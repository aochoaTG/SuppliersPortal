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otalgasgroup-my.sharepoint.com/personal/veronicaolvera_totalgasgroup_onmicrosoft_com/Documents/Presupuesto 2025/GASOMEX/"/>
    </mc:Choice>
  </mc:AlternateContent>
  <xr:revisionPtr revIDLastSave="0" documentId="8_{CA5AF795-90C7-4CD6-83C3-481EBAAA7708}" xr6:coauthVersionLast="47" xr6:coauthVersionMax="47" xr10:uidLastSave="{00000000-0000-0000-0000-000000000000}"/>
  <bookViews>
    <workbookView minimized="1" xWindow="5664" yWindow="1224" windowWidth="17256" windowHeight="8868" tabRatio="915" firstSheet="6" activeTab="6" xr2:uid="{00000000-000D-0000-FFFF-FFFF00000000}"/>
  </bookViews>
  <sheets>
    <sheet name="Parametros JRZ" sheetId="38" state="hidden" r:id="rId1"/>
    <sheet name="EDO RESULTADOS TOTAL EST." sheetId="175" r:id="rId2"/>
    <sheet name="S" sheetId="94" r:id="rId3"/>
    <sheet name="COM-MKT" sheetId="173" r:id="rId4"/>
    <sheet name="Z" sheetId="93" r:id="rId5"/>
    <sheet name="EDO RESULTADOS MISMAS EST" sheetId="174" r:id="rId6"/>
    <sheet name="TOTAL ESTACIONES" sheetId="124" r:id="rId7"/>
    <sheet name="A" sheetId="3" r:id="rId8"/>
    <sheet name="Fuentes" sheetId="86" r:id="rId9"/>
    <sheet name="Satelite" sheetId="85" r:id="rId10"/>
    <sheet name="Ejercito" sheetId="84" r:id="rId11"/>
    <sheet name="Solis" sheetId="74" r:id="rId12"/>
    <sheet name="Santiago" sheetId="83" r:id="rId13"/>
    <sheet name="Clara" sheetId="68" r:id="rId14"/>
    <sheet name="Jarudo" sheetId="87" r:id="rId15"/>
    <sheet name="B" sheetId="4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______xlfn.BAHTTEXT" hidden="1">#NAME?</definedName>
    <definedName name="______xlfn.BAHTTEXT" hidden="1">#NAME?</definedName>
    <definedName name="_____xlfn.BAHTTEXT" hidden="1">#NAME?</definedName>
    <definedName name="____xlfn.BAHTTEXT" hidden="1">#NAME?</definedName>
    <definedName name="___f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___xlfn.BAHTTEXT" hidden="1">#NAME?</definedName>
    <definedName name="__xlfn.BAHTTEXT" hidden="1">#NAME?</definedName>
    <definedName name="_f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_Fill" localSheetId="13" hidden="1">#REF!</definedName>
    <definedName name="_Fill" localSheetId="10" hidden="1">#REF!</definedName>
    <definedName name="_Fill" localSheetId="8" hidden="1">#REF!</definedName>
    <definedName name="_Fill" localSheetId="14" hidden="1">#REF!</definedName>
    <definedName name="_Fill" localSheetId="0" hidden="1">#REF!</definedName>
    <definedName name="_Fill" localSheetId="12" hidden="1">#REF!</definedName>
    <definedName name="_Fill" localSheetId="9" hidden="1">#REF!</definedName>
    <definedName name="_Fill" localSheetId="11" hidden="1">#REF!</definedName>
    <definedName name="_Fill" localSheetId="6" hidden="1">#REF!</definedName>
    <definedName name="_Fill" localSheetId="1" hidden="1">#REF!</definedName>
    <definedName name="_Fill" hidden="1">#REF!</definedName>
    <definedName name="_xlnm._FilterDatabase" localSheetId="13" hidden="1">Clara!#REF!</definedName>
    <definedName name="_xlnm._FilterDatabase" localSheetId="10" hidden="1">Ejercito!#REF!</definedName>
    <definedName name="_xlnm._FilterDatabase" localSheetId="8" hidden="1">Fuentes!#REF!</definedName>
    <definedName name="_xlnm._FilterDatabase" localSheetId="14" hidden="1">Jarudo!#REF!</definedName>
    <definedName name="_xlnm._FilterDatabase" localSheetId="12" hidden="1">Santiago!#REF!</definedName>
    <definedName name="_xlnm._FilterDatabase" localSheetId="9" hidden="1">Satelite!#REF!</definedName>
    <definedName name="_xlnm._FilterDatabase" localSheetId="11" hidden="1">Solis!#REF!</definedName>
    <definedName name="_xlnm._FilterDatabase" localSheetId="6" hidden="1">'TOTAL ESTACIONES'!#REF!</definedName>
    <definedName name="_xlnm._FilterDatabase" localSheetId="1" hidden="1">'EDO RESULTADOS TOTAL EST.'!#REF!</definedName>
    <definedName name="_Key1" localSheetId="13" hidden="1">#REF!</definedName>
    <definedName name="_Key1" localSheetId="10" hidden="1">#REF!</definedName>
    <definedName name="_Key1" localSheetId="8" hidden="1">#REF!</definedName>
    <definedName name="_Key1" localSheetId="14" hidden="1">#REF!</definedName>
    <definedName name="_Key1" localSheetId="0" hidden="1">#REF!</definedName>
    <definedName name="_Key1" localSheetId="12" hidden="1">#REF!</definedName>
    <definedName name="_Key1" localSheetId="9" hidden="1">#REF!</definedName>
    <definedName name="_Key1" localSheetId="11" hidden="1">#REF!</definedName>
    <definedName name="_Key1" localSheetId="6" hidden="1">#REF!</definedName>
    <definedName name="_Key1" localSheetId="1" hidden="1">#REF!</definedName>
    <definedName name="_Key1" hidden="1">#REF!</definedName>
    <definedName name="_Key2" localSheetId="13" hidden="1">#REF!</definedName>
    <definedName name="_Key2" localSheetId="10" hidden="1">#REF!</definedName>
    <definedName name="_Key2" localSheetId="8" hidden="1">#REF!</definedName>
    <definedName name="_Key2" localSheetId="14" hidden="1">#REF!</definedName>
    <definedName name="_Key2" localSheetId="0" hidden="1">#REF!</definedName>
    <definedName name="_Key2" localSheetId="12" hidden="1">#REF!</definedName>
    <definedName name="_Key2" localSheetId="9" hidden="1">#REF!</definedName>
    <definedName name="_Key2" localSheetId="11" hidden="1">#REF!</definedName>
    <definedName name="_Key2" localSheetId="6" hidden="1">#REF!</definedName>
    <definedName name="_Key2" localSheetId="1" hidden="1">#REF!</definedName>
    <definedName name="_Key2" hidden="1">#REF!</definedName>
    <definedName name="_Order1" hidden="1">255</definedName>
    <definedName name="_Order2" hidden="1">255</definedName>
    <definedName name="_Parse_In" localSheetId="13" hidden="1">#REF!</definedName>
    <definedName name="_Parse_In" localSheetId="10" hidden="1">#REF!</definedName>
    <definedName name="_Parse_In" localSheetId="8" hidden="1">#REF!</definedName>
    <definedName name="_Parse_In" localSheetId="14" hidden="1">#REF!</definedName>
    <definedName name="_Parse_In" localSheetId="0" hidden="1">#REF!</definedName>
    <definedName name="_Parse_In" localSheetId="12" hidden="1">#REF!</definedName>
    <definedName name="_Parse_In" localSheetId="9" hidden="1">#REF!</definedName>
    <definedName name="_Parse_In" localSheetId="11" hidden="1">#REF!</definedName>
    <definedName name="_Parse_In" localSheetId="6" hidden="1">#REF!</definedName>
    <definedName name="_Parse_In" localSheetId="1" hidden="1">#REF!</definedName>
    <definedName name="_Parse_In" hidden="1">#REF!</definedName>
    <definedName name="_Parse_Out" localSheetId="13" hidden="1">#REF!</definedName>
    <definedName name="_Parse_Out" localSheetId="10" hidden="1">#REF!</definedName>
    <definedName name="_Parse_Out" localSheetId="8" hidden="1">#REF!</definedName>
    <definedName name="_Parse_Out" localSheetId="14" hidden="1">#REF!</definedName>
    <definedName name="_Parse_Out" localSheetId="0" hidden="1">#REF!</definedName>
    <definedName name="_Parse_Out" localSheetId="12" hidden="1">#REF!</definedName>
    <definedName name="_Parse_Out" localSheetId="9" hidden="1">#REF!</definedName>
    <definedName name="_Parse_Out" localSheetId="11" hidden="1">#REF!</definedName>
    <definedName name="_Parse_Out" localSheetId="6" hidden="1">#REF!</definedName>
    <definedName name="_Parse_Out" localSheetId="1" hidden="1">#REF!</definedName>
    <definedName name="_Parse_Out" hidden="1">#REF!</definedName>
    <definedName name="_Sort" localSheetId="13" hidden="1">#REF!</definedName>
    <definedName name="_Sort" localSheetId="10" hidden="1">#REF!</definedName>
    <definedName name="_Sort" localSheetId="8" hidden="1">#REF!</definedName>
    <definedName name="_Sort" localSheetId="14" hidden="1">#REF!</definedName>
    <definedName name="_Sort" localSheetId="0" hidden="1">#REF!</definedName>
    <definedName name="_Sort" localSheetId="12" hidden="1">#REF!</definedName>
    <definedName name="_Sort" localSheetId="9" hidden="1">#REF!</definedName>
    <definedName name="_Sort" localSheetId="11" hidden="1">#REF!</definedName>
    <definedName name="_Sort" localSheetId="6" hidden="1">#REF!</definedName>
    <definedName name="_Sort" localSheetId="1" hidden="1">#REF!</definedName>
    <definedName name="_Sort" hidden="1">#REF!</definedName>
    <definedName name="a" localSheetId="13" hidden="1">#REF!</definedName>
    <definedName name="a" localSheetId="10" hidden="1">#REF!</definedName>
    <definedName name="a" localSheetId="8" hidden="1">#REF!</definedName>
    <definedName name="a" localSheetId="14" hidden="1">#REF!</definedName>
    <definedName name="a" localSheetId="0" hidden="1">#REF!</definedName>
    <definedName name="a" localSheetId="12" hidden="1">#REF!</definedName>
    <definedName name="a" localSheetId="9" hidden="1">#REF!</definedName>
    <definedName name="a" localSheetId="11" hidden="1">#REF!</definedName>
    <definedName name="a" localSheetId="6" hidden="1">#REF!</definedName>
    <definedName name="a" localSheetId="1" hidden="1">#REF!</definedName>
    <definedName name="a" hidden="1">#REF!</definedName>
    <definedName name="AAI">#REF!</definedName>
    <definedName name="ALGDED">#REF!</definedName>
    <definedName name="as" localSheetId="13" hidden="1">#REF!</definedName>
    <definedName name="as" localSheetId="10" hidden="1">#REF!</definedName>
    <definedName name="as" localSheetId="8" hidden="1">#REF!</definedName>
    <definedName name="as" localSheetId="14" hidden="1">#REF!</definedName>
    <definedName name="as" localSheetId="0" hidden="1">#REF!</definedName>
    <definedName name="as" localSheetId="12" hidden="1">#REF!</definedName>
    <definedName name="as" localSheetId="9" hidden="1">#REF!</definedName>
    <definedName name="as" localSheetId="11" hidden="1">#REF!</definedName>
    <definedName name="as" localSheetId="6" hidden="1">#REF!</definedName>
    <definedName name="as" localSheetId="1" hidden="1">#REF!</definedName>
    <definedName name="as" hidden="1">#REF!</definedName>
    <definedName name="AS2DocOpenMode" hidden="1">"AS2DocumentEdit"</definedName>
    <definedName name="AS2ReportLS" hidden="1">1</definedName>
    <definedName name="AS2StaticLS" localSheetId="13" hidden="1">#REF!</definedName>
    <definedName name="AS2StaticLS" localSheetId="10" hidden="1">#REF!</definedName>
    <definedName name="AS2StaticLS" localSheetId="8" hidden="1">#REF!</definedName>
    <definedName name="AS2StaticLS" localSheetId="14" hidden="1">#REF!</definedName>
    <definedName name="AS2StaticLS" localSheetId="0" hidden="1">#REF!</definedName>
    <definedName name="AS2StaticLS" localSheetId="12" hidden="1">#REF!</definedName>
    <definedName name="AS2StaticLS" localSheetId="9" hidden="1">#REF!</definedName>
    <definedName name="AS2StaticLS" localSheetId="11" hidden="1">#REF!</definedName>
    <definedName name="AS2StaticLS" localSheetId="6" hidden="1">#REF!</definedName>
    <definedName name="AS2StaticLS" localSheetId="1" hidden="1">#REF!</definedName>
    <definedName name="AS2StaticLS" hidden="1">#REF!</definedName>
    <definedName name="AS2SyncStepLS" hidden="1">0</definedName>
    <definedName name="AS2TickmarkLS" localSheetId="13" hidden="1">#REF!</definedName>
    <definedName name="AS2TickmarkLS" localSheetId="10" hidden="1">#REF!</definedName>
    <definedName name="AS2TickmarkLS" localSheetId="8" hidden="1">#REF!</definedName>
    <definedName name="AS2TickmarkLS" localSheetId="14" hidden="1">#REF!</definedName>
    <definedName name="AS2TickmarkLS" localSheetId="0" hidden="1">#REF!</definedName>
    <definedName name="AS2TickmarkLS" localSheetId="12" hidden="1">#REF!</definedName>
    <definedName name="AS2TickmarkLS" localSheetId="9" hidden="1">#REF!</definedName>
    <definedName name="AS2TickmarkLS" localSheetId="11" hidden="1">#REF!</definedName>
    <definedName name="AS2TickmarkLS" localSheetId="6" hidden="1">#REF!</definedName>
    <definedName name="AS2TickmarkLS" localSheetId="1" hidden="1">#REF!</definedName>
    <definedName name="AS2TickmarkLS" hidden="1">#REF!</definedName>
    <definedName name="AS2VersionLS" hidden="1">300</definedName>
    <definedName name="balances" hidden="1">{#N/A,#N/A,FALSE,"Edificio"}</definedName>
    <definedName name="BALANZADIC">#REF!</definedName>
    <definedName name="BALANZADIC14">#REF!</definedName>
    <definedName name="BG_Del" hidden="1">15</definedName>
    <definedName name="BG_Ins" hidden="1">4</definedName>
    <definedName name="BG_Mod" hidden="1">6</definedName>
    <definedName name="BGDECL">#REF!</definedName>
    <definedName name="C.CENTERS" hidden="1">{#N/A,#N/A,TRUE,"ISSUES";#N/A,#N/A,TRUE,"PRFTSUM";#N/A,#N/A,TRUE,"PGSUM";#N/A,#N/A,TRUE,"MAGAG";#N/A,#N/A,TRUE,"HCSUM";#N/A,#N/A,TRUE,"NOC";#N/A,#N/A,TRUE,"STDSTD";#N/A,#N/A,TRUE,"STDSTDA";#N/A,#N/A,TRUE,"CIP";#N/A,#N/A,TRUE,"STDCHG";#N/A,#N/A,TRUE,"OPRDAYS";#N/A,#N/A,TRUE,"PLANT";#N/A,#N/A,TRUE,"BU Halogen";#N/A,#N/A,TRUE,"BU Halogen"}</definedName>
    <definedName name="CCF">#REF!</definedName>
    <definedName name="CONCILFISCAL" hidden="1">{#N/A,#N/A,FALSE,"Aging Summary";#N/A,#N/A,FALSE,"Ratio Analysis";#N/A,#N/A,FALSE,"Test 120 Day Accts";#N/A,#N/A,FALSE,"Tickmarks"}</definedName>
    <definedName name="dfsdf" hidden="1">{#N/A,#N/A,FALSE,"Edificio"}</definedName>
    <definedName name="EDI" localSheetId="13" hidden="1">#REF!</definedName>
    <definedName name="EDI" localSheetId="10" hidden="1">#REF!</definedName>
    <definedName name="EDI" localSheetId="8" hidden="1">#REF!</definedName>
    <definedName name="EDI" localSheetId="14" hidden="1">#REF!</definedName>
    <definedName name="EDI" localSheetId="0" hidden="1">#REF!</definedName>
    <definedName name="EDI" localSheetId="12" hidden="1">#REF!</definedName>
    <definedName name="EDI" localSheetId="9" hidden="1">#REF!</definedName>
    <definedName name="EDI" localSheetId="11" hidden="1">#REF!</definedName>
    <definedName name="EDI" localSheetId="6" hidden="1">#REF!</definedName>
    <definedName name="EDI" localSheetId="1" hidden="1">#REF!</definedName>
    <definedName name="EDI" hidden="1">#REF!</definedName>
    <definedName name="EJERCICIO">#REF!</definedName>
    <definedName name="ENERO16" localSheetId="13">#REF!</definedName>
    <definedName name="ENERO16" localSheetId="10">#REF!</definedName>
    <definedName name="ENERO16" localSheetId="8">#REF!</definedName>
    <definedName name="ENERO16" localSheetId="14">#REF!</definedName>
    <definedName name="ENERO16" localSheetId="0">#REF!</definedName>
    <definedName name="ENERO16" localSheetId="12">#REF!</definedName>
    <definedName name="ENERO16" localSheetId="9">#REF!</definedName>
    <definedName name="ENERO16" localSheetId="11">#REF!</definedName>
    <definedName name="ENERO16" localSheetId="6">#REF!</definedName>
    <definedName name="ENERO16" localSheetId="1">#REF!</definedName>
    <definedName name="ENERO16">#REF!</definedName>
    <definedName name="ERDECL">#REF!</definedName>
    <definedName name="HTML_CodePage" hidden="1">1252</definedName>
    <definedName name="HTML_Control" hidden="1">{"'Welcome'!$A$1:$J$27"}</definedName>
    <definedName name="HTML_Description" hidden="1">""</definedName>
    <definedName name="HTML_Email" hidden="1">""</definedName>
    <definedName name="HTML_Header" hidden="1">"Welcome"</definedName>
    <definedName name="HTML_LastUpdate" hidden="1">"3/20/98"</definedName>
    <definedName name="HTML_LineAfter" hidden="1">TRUE</definedName>
    <definedName name="HTML_LineBefore" hidden="1">TRUE</definedName>
    <definedName name="HTML_Name" hidden="1">"RM Sudario Viajar"</definedName>
    <definedName name="HTML_OBDlg2" hidden="1">TRUE</definedName>
    <definedName name="HTML_OBDlg4" hidden="1">TRUE</definedName>
    <definedName name="HTML_OS" hidden="1">0</definedName>
    <definedName name="HTML_PathFile" hidden="1">"F:\tax\MyHTML.htm"</definedName>
    <definedName name="HTML_Title" hidden="1">"tAXrPT"</definedName>
    <definedName name="inpc">#REF!</definedName>
    <definedName name="JCTechnology" hidden="1">{#N/A,#N/A,FALSE,"Aging Summary";#N/A,#N/A,FALSE,"Ratio Analysis";#N/A,#N/A,FALSE,"Test 120 Day Accts";#N/A,#N/A,FALSE,"Tickmarks"}</definedName>
    <definedName name="KLJ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list2" hidden="1">{"'Welcome'!$A$1:$J$27"}</definedName>
    <definedName name="mmm" hidden="1">{#N/A,#N/A,TRUE,"12 MO FFSP BY COST CENTER";#N/A,#N/A,TRUE,"P140 - April Forecast98";#N/A,#N/A,TRUE,"P130 April Forecast Lighting";#N/A,#N/A,TRUE,"P130 April Forecast Lamps";#N/A,#N/A,TRUE,"P130 April Forecast Auto";#N/A,#N/A,TRUE,"P130 April Forecast Halogen";#N/A,#N/A,TRUE,"P130 April Forecast CFL";#N/A,#N/A,TRUE,"Relevant Local Turnover";#N/A,#N/A,TRUE,"A12CC";#N/A,#N/A,TRUE,"A141"}</definedName>
    <definedName name="No_MES">#REF!</definedName>
    <definedName name="NombreRango1" localSheetId="13">#REF!</definedName>
    <definedName name="NombreRango1" localSheetId="10">#REF!</definedName>
    <definedName name="NombreRango1" localSheetId="8">#REF!</definedName>
    <definedName name="NombreRango1" localSheetId="14">#REF!</definedName>
    <definedName name="NombreRango1" localSheetId="0">#REF!</definedName>
    <definedName name="NombreRango1" localSheetId="12">#REF!</definedName>
    <definedName name="NombreRango1" localSheetId="9">#REF!</definedName>
    <definedName name="NombreRango1" localSheetId="11">#REF!</definedName>
    <definedName name="NombreRango1" localSheetId="6">#REF!</definedName>
    <definedName name="NombreRango1" localSheetId="1">#REF!</definedName>
    <definedName name="NombreRango1">#REF!</definedName>
    <definedName name="q" hidden="1">{#N/A,#N/A,FALSE,"Sheet1"}</definedName>
    <definedName name="sencount" hidden="1">1</definedName>
    <definedName name="SPCC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TextRefCopyRangeCount" hidden="1">1</definedName>
    <definedName name="VAC">#REF!</definedName>
    <definedName name="wrn.98._.PRESENTATION._.SCEDULES." hidden="1">{#N/A,#N/A,TRUE,"ISSUES";#N/A,#N/A,TRUE,"PRFTSUM";#N/A,#N/A,TRUE,"PGSUM";#N/A,#N/A,TRUE,"MAGAG";#N/A,#N/A,TRUE,"HCSUM";#N/A,#N/A,TRUE,"NOC";#N/A,#N/A,TRUE,"STDSTD";#N/A,#N/A,TRUE,"STDSTDA";#N/A,#N/A,TRUE,"CIP";#N/A,#N/A,TRUE,"STDCHG";#N/A,#N/A,TRUE,"OPRDAYS";#N/A,#N/A,TRUE,"PLANT";#N/A,#N/A,TRUE,"BU Halogen";#N/A,#N/A,TRUE,"BU Halogen"}</definedName>
    <definedName name="wrn.Aging._.and._.Trend._.Analysis." hidden="1">{#N/A,#N/A,FALSE,"Aging Summary";#N/A,#N/A,FALSE,"Ratio Analysis";#N/A,#N/A,FALSE,"Test 120 Day Accts";#N/A,#N/A,FALSE,"Tickmarks"}</definedName>
    <definedName name="wrn.April._.Forecast._.1998." hidden="1">{#N/A,#N/A,TRUE,"12 MO FFSP BY COST CENTER";#N/A,#N/A,TRUE,"P140 - April Forecast98";#N/A,#N/A,TRUE,"P130 April Forecast Lighting";#N/A,#N/A,TRUE,"P130 April Forecast Lamps";#N/A,#N/A,TRUE,"P130 April Forecast Auto";#N/A,#N/A,TRUE,"P130 April Forecast Halogen";#N/A,#N/A,TRUE,"P130 April Forecast CFL";#N/A,#N/A,TRUE,"Relevant Local Turnover";#N/A,#N/A,TRUE,"A12CC";#N/A,#N/A,TRUE,"A141"}</definedName>
    <definedName name="wrn.April._.Forecast98._.Summary." hidden="1">{#N/A,#N/A,FALSE,"Summary";#N/A,#N/A,FALSE,"12 MO FFSP BY COST CENTER";#N/A,#N/A,FALSE,"P140 - April Forecast98";#N/A,#N/A,FALSE,"P130 April Forecast Lighting";#N/A,#N/A,FALSE,"P130 April Forecast Lamps";#N/A,#N/A,FALSE,"P130 April Forecast Auto";#N/A,#N/A,FALSE,"Relevant Local Turnover";#N/A,#N/A,FALSE,"A141"}</definedName>
    <definedName name="wrn.conservador._.fresco." hidden="1">{#N/A,#N/A,FALSE,"Sheet1"}</definedName>
    <definedName name="wrn.edificio." hidden="1">{#N/A,#N/A,FALSE,"Edificio"}</definedName>
    <definedName name="wrn.rona." hidden="1">{#N/A,#N/A,FALSE,"RONA R.F. ARG";#N/A,#N/A,FALSE,"RONA BRA";#N/A,#N/A,FALSE,"RONA R.F. C.AM.";#N/A,#N/A,FALSE,"RONA R.F. CHI";#N/A,#N/A,FALSE,"RONA R.F. COL";#N/A,#N/A,FALSE,"RONA R.F. ECUA";#N/A,#N/A,FALSE,"RONA R.F. PARA";#N/A,#N/A,FALSE,"RONA R.F. PERU";#N/A,#N/A,FALSE,"RONA R.F. URU";#N/A,#N/A,FALSE,"RONA R.F. VENE";#N/A,#N/A,FALSE,"RONA R.F."}</definedName>
    <definedName name="wrn.schd13." hidden="1">{#N/A,#N/A,TRUE,"PLANT";#N/A,#N/A,TRUE,"BG 9011 Lamps";#N/A,#N/A,TRUE,"BG 9013 Automotive";#N/A,#N/A,TRUE,"Components"}</definedName>
    <definedName name="wrn.STANDARD." hidden="1">{#N/A,#N/A,FALSE,"SCHEDULE 7";#N/A,#N/A,FALSE,"BL-7.1"}</definedName>
    <definedName name="wrn.summary." hidden="1">{#N/A,#N/A,FALSE,"summary";#N/A,#N/A,FALSE,"COMBINED";#N/A,#N/A,FALSE,"JUAREZ";#N/A,#N/A,FALSE,"EL PASO";#N/A,#N/A,FALSE,"97vs.98"}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64" i="174" l="1"/>
  <c r="U160" i="124"/>
  <c r="T160" i="124"/>
  <c r="S160" i="124"/>
  <c r="R160" i="124"/>
  <c r="Q160" i="124"/>
  <c r="P160" i="124"/>
  <c r="O160" i="124"/>
  <c r="N160" i="124"/>
  <c r="M160" i="124"/>
  <c r="L160" i="124"/>
  <c r="K160" i="124"/>
  <c r="J160" i="124"/>
  <c r="V160" i="124"/>
  <c r="U159" i="86"/>
  <c r="T159" i="86"/>
  <c r="S159" i="86"/>
  <c r="R159" i="86"/>
  <c r="Q159" i="86"/>
  <c r="P159" i="86"/>
  <c r="O159" i="86"/>
  <c r="N159" i="86"/>
  <c r="M159" i="86"/>
  <c r="L159" i="86"/>
  <c r="K159" i="86"/>
  <c r="J159" i="86"/>
  <c r="Y160" i="86"/>
  <c r="V160" i="86"/>
  <c r="U159" i="85"/>
  <c r="T159" i="85"/>
  <c r="S159" i="85"/>
  <c r="R159" i="85"/>
  <c r="Q159" i="85"/>
  <c r="P159" i="85"/>
  <c r="O159" i="85"/>
  <c r="N159" i="85"/>
  <c r="M159" i="85"/>
  <c r="L159" i="85"/>
  <c r="K159" i="85"/>
  <c r="J159" i="85"/>
  <c r="Y160" i="85"/>
  <c r="V160" i="85"/>
  <c r="V159" i="85" s="1"/>
  <c r="U159" i="84"/>
  <c r="T159" i="84"/>
  <c r="S159" i="84"/>
  <c r="R159" i="84"/>
  <c r="Q159" i="84"/>
  <c r="P159" i="84"/>
  <c r="O159" i="84"/>
  <c r="N159" i="84"/>
  <c r="M159" i="84"/>
  <c r="L159" i="84"/>
  <c r="K159" i="84"/>
  <c r="J159" i="84"/>
  <c r="Y160" i="84"/>
  <c r="V160" i="84"/>
  <c r="U159" i="74"/>
  <c r="T159" i="74"/>
  <c r="S159" i="74"/>
  <c r="R159" i="74"/>
  <c r="Q159" i="74"/>
  <c r="P159" i="74"/>
  <c r="O159" i="74"/>
  <c r="N159" i="74"/>
  <c r="M159" i="74"/>
  <c r="L159" i="74"/>
  <c r="K159" i="74"/>
  <c r="J159" i="74"/>
  <c r="Y160" i="74"/>
  <c r="V160" i="74"/>
  <c r="U159" i="83"/>
  <c r="T159" i="83"/>
  <c r="S159" i="83"/>
  <c r="R159" i="83"/>
  <c r="Q159" i="83"/>
  <c r="P159" i="83"/>
  <c r="O159" i="83"/>
  <c r="N159" i="83"/>
  <c r="M159" i="83"/>
  <c r="L159" i="83"/>
  <c r="K159" i="83"/>
  <c r="J159" i="83"/>
  <c r="Y160" i="83"/>
  <c r="V160" i="83"/>
  <c r="U159" i="68"/>
  <c r="T159" i="68"/>
  <c r="S159" i="68"/>
  <c r="R159" i="68"/>
  <c r="Q159" i="68"/>
  <c r="P159" i="68"/>
  <c r="O159" i="68"/>
  <c r="N159" i="68"/>
  <c r="M159" i="68"/>
  <c r="L159" i="68"/>
  <c r="K159" i="68"/>
  <c r="J159" i="68"/>
  <c r="V160" i="68"/>
  <c r="V159" i="68" s="1"/>
  <c r="Y160" i="68"/>
  <c r="Y160" i="87"/>
  <c r="Y159" i="87" s="1"/>
  <c r="U159" i="87"/>
  <c r="T159" i="87"/>
  <c r="S159" i="87"/>
  <c r="R159" i="87"/>
  <c r="Q159" i="87"/>
  <c r="P159" i="87"/>
  <c r="O159" i="87"/>
  <c r="N159" i="87"/>
  <c r="M159" i="87"/>
  <c r="L159" i="87"/>
  <c r="K159" i="87"/>
  <c r="J159" i="87"/>
  <c r="V160" i="87"/>
  <c r="V159" i="87" s="1"/>
  <c r="Y105" i="124"/>
  <c r="Z105" i="124"/>
  <c r="AA105" i="124"/>
  <c r="AB105" i="124"/>
  <c r="AC105" i="124"/>
  <c r="AD105" i="124"/>
  <c r="AE105" i="124"/>
  <c r="AF105" i="124"/>
  <c r="AG105" i="124"/>
  <c r="AH105" i="124"/>
  <c r="AI105" i="124"/>
  <c r="AJ105" i="124"/>
  <c r="AK105" i="124"/>
  <c r="Y105" i="174"/>
  <c r="Z105" i="174"/>
  <c r="AA105" i="174"/>
  <c r="AB105" i="174"/>
  <c r="AC105" i="174"/>
  <c r="AD105" i="174"/>
  <c r="AE105" i="174"/>
  <c r="AF105" i="174"/>
  <c r="AG105" i="174"/>
  <c r="AH105" i="174"/>
  <c r="AI105" i="174"/>
  <c r="AJ105" i="174"/>
  <c r="AK105" i="174"/>
  <c r="Y74" i="87"/>
  <c r="Z74" i="87"/>
  <c r="AA74" i="87"/>
  <c r="AB74" i="87"/>
  <c r="AC74" i="87"/>
  <c r="AD74" i="87"/>
  <c r="AE74" i="87"/>
  <c r="AF74" i="87"/>
  <c r="AG74" i="87"/>
  <c r="AH74" i="87"/>
  <c r="AI74" i="87"/>
  <c r="AJ74" i="87"/>
  <c r="Y70" i="87"/>
  <c r="Y66" i="87"/>
  <c r="Y67" i="87"/>
  <c r="Y64" i="87"/>
  <c r="Y60" i="87"/>
  <c r="Z60" i="87"/>
  <c r="AA60" i="87"/>
  <c r="AB60" i="87"/>
  <c r="AC60" i="87"/>
  <c r="AD60" i="87"/>
  <c r="AE60" i="87"/>
  <c r="AF60" i="87"/>
  <c r="AG60" i="87"/>
  <c r="AH60" i="87"/>
  <c r="AI60" i="87"/>
  <c r="AJ60" i="87"/>
  <c r="Y61" i="87"/>
  <c r="Z61" i="87"/>
  <c r="AA61" i="87"/>
  <c r="AB61" i="87"/>
  <c r="AC61" i="87"/>
  <c r="AD61" i="87"/>
  <c r="AE61" i="87"/>
  <c r="AF61" i="87"/>
  <c r="AG61" i="87"/>
  <c r="AH61" i="87"/>
  <c r="AI61" i="87"/>
  <c r="AJ61" i="87"/>
  <c r="Y62" i="87"/>
  <c r="Z62" i="87"/>
  <c r="AA62" i="87"/>
  <c r="AB62" i="87"/>
  <c r="AC62" i="87"/>
  <c r="AD62" i="87"/>
  <c r="AE62" i="87"/>
  <c r="AF62" i="87"/>
  <c r="AG62" i="87"/>
  <c r="AH62" i="87"/>
  <c r="AI62" i="87"/>
  <c r="AJ62" i="87"/>
  <c r="Y74" i="68"/>
  <c r="Z74" i="68"/>
  <c r="AA74" i="68"/>
  <c r="AB74" i="68"/>
  <c r="AC74" i="68"/>
  <c r="AD74" i="68"/>
  <c r="AE74" i="68"/>
  <c r="AF74" i="68"/>
  <c r="AG74" i="68"/>
  <c r="AH74" i="68"/>
  <c r="AI74" i="68"/>
  <c r="AJ74" i="68"/>
  <c r="Y70" i="68"/>
  <c r="Y66" i="68"/>
  <c r="Y67" i="68"/>
  <c r="Y64" i="68"/>
  <c r="Y60" i="68"/>
  <c r="Z60" i="68"/>
  <c r="AA60" i="68"/>
  <c r="AB60" i="68"/>
  <c r="AC60" i="68"/>
  <c r="AD60" i="68"/>
  <c r="AE60" i="68"/>
  <c r="AF60" i="68"/>
  <c r="AG60" i="68"/>
  <c r="AH60" i="68"/>
  <c r="AI60" i="68"/>
  <c r="AJ60" i="68"/>
  <c r="Y61" i="68"/>
  <c r="Z61" i="68"/>
  <c r="AA61" i="68"/>
  <c r="AB61" i="68"/>
  <c r="AC61" i="68"/>
  <c r="AD61" i="68"/>
  <c r="AE61" i="68"/>
  <c r="AF61" i="68"/>
  <c r="AG61" i="68"/>
  <c r="AH61" i="68"/>
  <c r="AI61" i="68"/>
  <c r="AJ61" i="68"/>
  <c r="Y62" i="68"/>
  <c r="Z62" i="68"/>
  <c r="AA62" i="68"/>
  <c r="AB62" i="68"/>
  <c r="AC62" i="68"/>
  <c r="AD62" i="68"/>
  <c r="AE62" i="68"/>
  <c r="AF62" i="68"/>
  <c r="AG62" i="68"/>
  <c r="AH62" i="68"/>
  <c r="AI62" i="68"/>
  <c r="AJ62" i="68"/>
  <c r="Y74" i="83"/>
  <c r="Z74" i="83"/>
  <c r="AA74" i="83"/>
  <c r="AB74" i="83"/>
  <c r="AC74" i="83"/>
  <c r="AD74" i="83"/>
  <c r="AE74" i="83"/>
  <c r="AF74" i="83"/>
  <c r="AG74" i="83"/>
  <c r="AH74" i="83"/>
  <c r="AI74" i="83"/>
  <c r="AJ74" i="83"/>
  <c r="Y70" i="83"/>
  <c r="Y66" i="83"/>
  <c r="Y67" i="83"/>
  <c r="Y64" i="83"/>
  <c r="Y60" i="83"/>
  <c r="Z60" i="83"/>
  <c r="AA60" i="83"/>
  <c r="AB60" i="83"/>
  <c r="AC60" i="83"/>
  <c r="AD60" i="83"/>
  <c r="AE60" i="83"/>
  <c r="AF60" i="83"/>
  <c r="AG60" i="83"/>
  <c r="AH60" i="83"/>
  <c r="AI60" i="83"/>
  <c r="AJ60" i="83"/>
  <c r="Y61" i="83"/>
  <c r="Z61" i="83"/>
  <c r="AA61" i="83"/>
  <c r="AB61" i="83"/>
  <c r="AC61" i="83"/>
  <c r="AD61" i="83"/>
  <c r="AE61" i="83"/>
  <c r="AF61" i="83"/>
  <c r="AG61" i="83"/>
  <c r="AH61" i="83"/>
  <c r="AI61" i="83"/>
  <c r="AJ61" i="83"/>
  <c r="Y62" i="83"/>
  <c r="Z62" i="83"/>
  <c r="AA62" i="83"/>
  <c r="AB62" i="83"/>
  <c r="AC62" i="83"/>
  <c r="AD62" i="83"/>
  <c r="AE62" i="83"/>
  <c r="AF62" i="83"/>
  <c r="AG62" i="83"/>
  <c r="AH62" i="83"/>
  <c r="AI62" i="83"/>
  <c r="AJ62" i="83"/>
  <c r="Y74" i="74"/>
  <c r="Z74" i="74"/>
  <c r="AA74" i="74"/>
  <c r="AB74" i="74"/>
  <c r="AC74" i="74"/>
  <c r="AD74" i="74"/>
  <c r="AE74" i="74"/>
  <c r="AF74" i="74"/>
  <c r="AG74" i="74"/>
  <c r="AH74" i="74"/>
  <c r="AI74" i="74"/>
  <c r="AJ74" i="74"/>
  <c r="Y70" i="74"/>
  <c r="Y66" i="74"/>
  <c r="Y67" i="74"/>
  <c r="Y64" i="74"/>
  <c r="Y60" i="74"/>
  <c r="Z60" i="74"/>
  <c r="AA60" i="74"/>
  <c r="AB60" i="74"/>
  <c r="AC60" i="74"/>
  <c r="AD60" i="74"/>
  <c r="AE60" i="74"/>
  <c r="AF60" i="74"/>
  <c r="AG60" i="74"/>
  <c r="AH60" i="74"/>
  <c r="AI60" i="74"/>
  <c r="AJ60" i="74"/>
  <c r="Y61" i="74"/>
  <c r="Z61" i="74"/>
  <c r="AA61" i="74"/>
  <c r="AB61" i="74"/>
  <c r="AC61" i="74"/>
  <c r="AD61" i="74"/>
  <c r="AE61" i="74"/>
  <c r="AF61" i="74"/>
  <c r="AG61" i="74"/>
  <c r="AH61" i="74"/>
  <c r="AI61" i="74"/>
  <c r="AJ61" i="74"/>
  <c r="Y62" i="74"/>
  <c r="Z62" i="74"/>
  <c r="AA62" i="74"/>
  <c r="AB62" i="74"/>
  <c r="AC62" i="74"/>
  <c r="AD62" i="74"/>
  <c r="AE62" i="74"/>
  <c r="AF62" i="74"/>
  <c r="AG62" i="74"/>
  <c r="AH62" i="74"/>
  <c r="AI62" i="74"/>
  <c r="AJ62" i="74"/>
  <c r="Y74" i="84"/>
  <c r="Z74" i="84"/>
  <c r="AA74" i="84"/>
  <c r="AB74" i="84"/>
  <c r="AC74" i="84"/>
  <c r="AD74" i="84"/>
  <c r="AE74" i="84"/>
  <c r="AF74" i="84"/>
  <c r="AG74" i="84"/>
  <c r="AH74" i="84"/>
  <c r="AI74" i="84"/>
  <c r="AJ74" i="84"/>
  <c r="Y70" i="84"/>
  <c r="Y66" i="84"/>
  <c r="Y67" i="84"/>
  <c r="Y64" i="84"/>
  <c r="Y60" i="84"/>
  <c r="Z60" i="84"/>
  <c r="AA60" i="84"/>
  <c r="AB60" i="84"/>
  <c r="AC60" i="84"/>
  <c r="AD60" i="84"/>
  <c r="AE60" i="84"/>
  <c r="AF60" i="84"/>
  <c r="AG60" i="84"/>
  <c r="AH60" i="84"/>
  <c r="AI60" i="84"/>
  <c r="AJ60" i="84"/>
  <c r="Y61" i="84"/>
  <c r="Z61" i="84"/>
  <c r="AA61" i="84"/>
  <c r="AB61" i="84"/>
  <c r="AC61" i="84"/>
  <c r="AD61" i="84"/>
  <c r="AE61" i="84"/>
  <c r="AF61" i="84"/>
  <c r="AG61" i="84"/>
  <c r="AH61" i="84"/>
  <c r="AI61" i="84"/>
  <c r="AJ61" i="84"/>
  <c r="Y62" i="84"/>
  <c r="Z62" i="84"/>
  <c r="AA62" i="84"/>
  <c r="AB62" i="84"/>
  <c r="AC62" i="84"/>
  <c r="AD62" i="84"/>
  <c r="AE62" i="84"/>
  <c r="AF62" i="84"/>
  <c r="AG62" i="84"/>
  <c r="AH62" i="84"/>
  <c r="AI62" i="84"/>
  <c r="AJ62" i="84"/>
  <c r="Y60" i="85"/>
  <c r="Z60" i="85"/>
  <c r="AA60" i="85"/>
  <c r="AB60" i="85"/>
  <c r="AC60" i="85"/>
  <c r="AD60" i="85"/>
  <c r="AE60" i="85"/>
  <c r="AF60" i="85"/>
  <c r="AG60" i="85"/>
  <c r="AH60" i="85"/>
  <c r="AI60" i="85"/>
  <c r="AJ60" i="85"/>
  <c r="Y61" i="85"/>
  <c r="Z61" i="85"/>
  <c r="AA61" i="85"/>
  <c r="AB61" i="85"/>
  <c r="AC61" i="85"/>
  <c r="AD61" i="85"/>
  <c r="AE61" i="85"/>
  <c r="AF61" i="85"/>
  <c r="AG61" i="85"/>
  <c r="AH61" i="85"/>
  <c r="AI61" i="85"/>
  <c r="AJ61" i="85"/>
  <c r="Y62" i="85"/>
  <c r="Z62" i="85"/>
  <c r="AA62" i="85"/>
  <c r="AB62" i="85"/>
  <c r="AC62" i="85"/>
  <c r="AD62" i="85"/>
  <c r="AE62" i="85"/>
  <c r="AF62" i="85"/>
  <c r="AG62" i="85"/>
  <c r="AH62" i="85"/>
  <c r="AI62" i="85"/>
  <c r="AJ62" i="85"/>
  <c r="Y64" i="85"/>
  <c r="Y66" i="85"/>
  <c r="Y67" i="85"/>
  <c r="Y70" i="85"/>
  <c r="Y74" i="85"/>
  <c r="Z74" i="85"/>
  <c r="AA74" i="85"/>
  <c r="AB74" i="85"/>
  <c r="AC74" i="85"/>
  <c r="AD74" i="85"/>
  <c r="AE74" i="85"/>
  <c r="AF74" i="85"/>
  <c r="AG74" i="85"/>
  <c r="AH74" i="85"/>
  <c r="AI74" i="85"/>
  <c r="AJ74" i="85"/>
  <c r="Y74" i="86"/>
  <c r="Z74" i="86"/>
  <c r="AA74" i="86"/>
  <c r="AB74" i="86"/>
  <c r="AC74" i="86"/>
  <c r="AD74" i="86"/>
  <c r="AE74" i="86"/>
  <c r="AF74" i="86"/>
  <c r="AG74" i="86"/>
  <c r="AH74" i="86"/>
  <c r="AI74" i="86"/>
  <c r="AJ74" i="86"/>
  <c r="Y61" i="86"/>
  <c r="Z61" i="86"/>
  <c r="AA61" i="86"/>
  <c r="AB61" i="86"/>
  <c r="AC61" i="86"/>
  <c r="AD61" i="86"/>
  <c r="AE61" i="86"/>
  <c r="AF61" i="86"/>
  <c r="AG61" i="86"/>
  <c r="AH61" i="86"/>
  <c r="AI61" i="86"/>
  <c r="AJ61" i="86"/>
  <c r="Y62" i="86"/>
  <c r="Z62" i="86"/>
  <c r="AA62" i="86"/>
  <c r="AB62" i="86"/>
  <c r="AC62" i="86"/>
  <c r="AD62" i="86"/>
  <c r="AE62" i="86"/>
  <c r="AF62" i="86"/>
  <c r="AG62" i="86"/>
  <c r="AH62" i="86"/>
  <c r="AI62" i="86"/>
  <c r="AJ62" i="86"/>
  <c r="Y60" i="86"/>
  <c r="Z60" i="86"/>
  <c r="AA60" i="86"/>
  <c r="AB60" i="86"/>
  <c r="AC60" i="86"/>
  <c r="AD60" i="86"/>
  <c r="AE60" i="86"/>
  <c r="AF60" i="86"/>
  <c r="AG60" i="86"/>
  <c r="AH60" i="86"/>
  <c r="AI60" i="86"/>
  <c r="AJ60" i="86"/>
  <c r="Y374" i="174"/>
  <c r="Z374" i="174"/>
  <c r="AA374" i="174"/>
  <c r="AB374" i="174"/>
  <c r="AC374" i="174"/>
  <c r="AD374" i="174"/>
  <c r="AE374" i="174"/>
  <c r="AF374" i="174"/>
  <c r="AG374" i="174"/>
  <c r="AH374" i="174"/>
  <c r="Y366" i="174"/>
  <c r="Z366" i="174"/>
  <c r="AA366" i="174"/>
  <c r="AB366" i="174"/>
  <c r="AC366" i="174"/>
  <c r="AD366" i="174"/>
  <c r="AE366" i="174"/>
  <c r="AF366" i="174"/>
  <c r="AG366" i="174"/>
  <c r="AH366" i="174"/>
  <c r="Y361" i="174"/>
  <c r="Z361" i="174"/>
  <c r="AA361" i="174"/>
  <c r="AB361" i="174"/>
  <c r="AC361" i="174"/>
  <c r="AD361" i="174"/>
  <c r="AE361" i="174"/>
  <c r="AF361" i="174"/>
  <c r="AG361" i="174"/>
  <c r="AH361" i="174"/>
  <c r="Y358" i="174"/>
  <c r="Z358" i="174"/>
  <c r="AA358" i="174"/>
  <c r="AB358" i="174"/>
  <c r="AC358" i="174"/>
  <c r="AD358" i="174"/>
  <c r="AE358" i="174"/>
  <c r="AF358" i="174"/>
  <c r="AG358" i="174"/>
  <c r="AH358" i="174"/>
  <c r="Y359" i="174"/>
  <c r="Z359" i="174"/>
  <c r="AA359" i="174"/>
  <c r="AB359" i="174"/>
  <c r="AC359" i="174"/>
  <c r="AD359" i="174"/>
  <c r="AE359" i="174"/>
  <c r="AF359" i="174"/>
  <c r="AG359" i="174"/>
  <c r="AH359" i="174"/>
  <c r="T358" i="174"/>
  <c r="AI358" i="174" s="1"/>
  <c r="U358" i="174"/>
  <c r="AJ358" i="174" s="1"/>
  <c r="T359" i="174"/>
  <c r="AI359" i="174" s="1"/>
  <c r="U359" i="174"/>
  <c r="AJ359" i="174" s="1"/>
  <c r="T361" i="174"/>
  <c r="T366" i="174"/>
  <c r="Y384" i="174"/>
  <c r="Z384" i="174"/>
  <c r="AA384" i="174"/>
  <c r="AB384" i="174"/>
  <c r="AC384" i="174"/>
  <c r="AD384" i="174"/>
  <c r="AE384" i="174"/>
  <c r="AF384" i="174"/>
  <c r="AG384" i="174"/>
  <c r="AH384" i="174"/>
  <c r="Y385" i="174"/>
  <c r="Z385" i="174"/>
  <c r="AA385" i="174"/>
  <c r="AB385" i="174"/>
  <c r="AC385" i="174"/>
  <c r="AD385" i="174"/>
  <c r="AE385" i="174"/>
  <c r="AF385" i="174"/>
  <c r="AG385" i="174"/>
  <c r="AH385" i="174"/>
  <c r="Y386" i="174"/>
  <c r="Z386" i="174"/>
  <c r="AA386" i="174"/>
  <c r="AB386" i="174"/>
  <c r="AC386" i="174"/>
  <c r="AD386" i="174"/>
  <c r="AE386" i="174"/>
  <c r="AF386" i="174"/>
  <c r="AG386" i="174"/>
  <c r="AH386" i="174"/>
  <c r="Y387" i="174"/>
  <c r="Z387" i="174"/>
  <c r="AA387" i="174"/>
  <c r="AB387" i="174"/>
  <c r="AC387" i="174"/>
  <c r="AD387" i="174"/>
  <c r="AE387" i="174"/>
  <c r="AF387" i="174"/>
  <c r="AG387" i="174"/>
  <c r="AH387" i="174"/>
  <c r="T384" i="174"/>
  <c r="AI384" i="174" s="1"/>
  <c r="U384" i="174"/>
  <c r="AJ384" i="174" s="1"/>
  <c r="T385" i="174"/>
  <c r="AI385" i="174" s="1"/>
  <c r="U385" i="174"/>
  <c r="AJ385" i="174" s="1"/>
  <c r="T386" i="174"/>
  <c r="AI386" i="174" s="1"/>
  <c r="U386" i="174"/>
  <c r="AJ386" i="174" s="1"/>
  <c r="T387" i="174"/>
  <c r="AI387" i="174" s="1"/>
  <c r="U387" i="174"/>
  <c r="AJ387" i="174" s="1"/>
  <c r="T374" i="174"/>
  <c r="AC379" i="174"/>
  <c r="AD379" i="174"/>
  <c r="AE379" i="174"/>
  <c r="AF379" i="174"/>
  <c r="AG379" i="174"/>
  <c r="AH379" i="174"/>
  <c r="AB379" i="174"/>
  <c r="AA379" i="174"/>
  <c r="Z379" i="174"/>
  <c r="Y379" i="174"/>
  <c r="T379" i="174"/>
  <c r="J113" i="124"/>
  <c r="AH156" i="87"/>
  <c r="AG156" i="87"/>
  <c r="AF156" i="87"/>
  <c r="AE156" i="87"/>
  <c r="AD156" i="87"/>
  <c r="AC156" i="87"/>
  <c r="AB156" i="87"/>
  <c r="AA156" i="87"/>
  <c r="Z156" i="87"/>
  <c r="Y156" i="87"/>
  <c r="AH156" i="68"/>
  <c r="AG156" i="68"/>
  <c r="AF156" i="68"/>
  <c r="AE156" i="68"/>
  <c r="AD156" i="68"/>
  <c r="AC156" i="68"/>
  <c r="AB156" i="68"/>
  <c r="AA156" i="68"/>
  <c r="Z156" i="68"/>
  <c r="Y156" i="68"/>
  <c r="AH156" i="83"/>
  <c r="AG156" i="83"/>
  <c r="AF156" i="83"/>
  <c r="AE156" i="83"/>
  <c r="AD156" i="83"/>
  <c r="AC156" i="83"/>
  <c r="AB156" i="83"/>
  <c r="AA156" i="83"/>
  <c r="Z156" i="83"/>
  <c r="Y156" i="83"/>
  <c r="AG156" i="74"/>
  <c r="AF156" i="74"/>
  <c r="AE156" i="74"/>
  <c r="AD156" i="74"/>
  <c r="AC156" i="74"/>
  <c r="AB156" i="74"/>
  <c r="AA156" i="74"/>
  <c r="Z156" i="74"/>
  <c r="Y156" i="74"/>
  <c r="S156" i="84"/>
  <c r="AH156" i="84"/>
  <c r="AG156" i="84"/>
  <c r="AF156" i="84"/>
  <c r="AE156" i="84"/>
  <c r="AD156" i="84"/>
  <c r="AC156" i="84"/>
  <c r="AB156" i="84"/>
  <c r="AA156" i="84"/>
  <c r="Z156" i="84"/>
  <c r="Y156" i="84"/>
  <c r="AH156" i="85"/>
  <c r="AG156" i="85"/>
  <c r="AF156" i="85"/>
  <c r="AE156" i="85"/>
  <c r="AD156" i="85"/>
  <c r="AC156" i="85"/>
  <c r="AB156" i="85"/>
  <c r="AA156" i="85"/>
  <c r="Z156" i="85"/>
  <c r="Y156" i="85"/>
  <c r="AH156" i="86"/>
  <c r="AG156" i="86"/>
  <c r="AF156" i="86"/>
  <c r="AE156" i="86"/>
  <c r="AD156" i="86"/>
  <c r="AC156" i="86"/>
  <c r="AB156" i="86"/>
  <c r="AA156" i="86"/>
  <c r="Z156" i="86"/>
  <c r="Y156" i="86"/>
  <c r="Y90" i="87"/>
  <c r="Z90" i="87" s="1"/>
  <c r="AA90" i="87" s="1"/>
  <c r="AB90" i="87" s="1"/>
  <c r="AC90" i="87" s="1"/>
  <c r="AD90" i="87" s="1"/>
  <c r="AE90" i="87" s="1"/>
  <c r="AF90" i="87" s="1"/>
  <c r="AG90" i="87" s="1"/>
  <c r="AH90" i="87" s="1"/>
  <c r="AI90" i="87" s="1"/>
  <c r="AJ90" i="87" s="1"/>
  <c r="Y90" i="68"/>
  <c r="Z90" i="68" s="1"/>
  <c r="AA90" i="68" s="1"/>
  <c r="AB90" i="68" s="1"/>
  <c r="AC90" i="68" s="1"/>
  <c r="AD90" i="68" s="1"/>
  <c r="AE90" i="68" s="1"/>
  <c r="AF90" i="68" s="1"/>
  <c r="AG90" i="68" s="1"/>
  <c r="AH90" i="68" s="1"/>
  <c r="AI90" i="68" s="1"/>
  <c r="AJ90" i="68" s="1"/>
  <c r="T90" i="84"/>
  <c r="U90" i="84" s="1"/>
  <c r="Y90" i="84" s="1"/>
  <c r="Z90" i="84" s="1"/>
  <c r="AA90" i="84" s="1"/>
  <c r="AB90" i="84" s="1"/>
  <c r="AC90" i="84" s="1"/>
  <c r="AD90" i="84" s="1"/>
  <c r="AE90" i="84" s="1"/>
  <c r="AF90" i="84" s="1"/>
  <c r="AG90" i="84" s="1"/>
  <c r="AH90" i="84" s="1"/>
  <c r="AI90" i="84" s="1"/>
  <c r="AJ90" i="84" s="1"/>
  <c r="T90" i="85"/>
  <c r="U90" i="85" s="1"/>
  <c r="Y90" i="85" s="1"/>
  <c r="Z90" i="85" s="1"/>
  <c r="AA90" i="85" s="1"/>
  <c r="AB90" i="85" s="1"/>
  <c r="AC90" i="85" s="1"/>
  <c r="AD90" i="85" s="1"/>
  <c r="AE90" i="85" s="1"/>
  <c r="AF90" i="85" s="1"/>
  <c r="AG90" i="85" s="1"/>
  <c r="AH90" i="85" s="1"/>
  <c r="AI90" i="85" s="1"/>
  <c r="AJ90" i="85" s="1"/>
  <c r="T90" i="86"/>
  <c r="U90" i="86" s="1"/>
  <c r="Y90" i="86" s="1"/>
  <c r="Z90" i="86" s="1"/>
  <c r="AA90" i="86" s="1"/>
  <c r="AB90" i="86" s="1"/>
  <c r="AC90" i="86" s="1"/>
  <c r="AD90" i="86" s="1"/>
  <c r="AE90" i="86" s="1"/>
  <c r="AF90" i="86" s="1"/>
  <c r="AG90" i="86" s="1"/>
  <c r="AH90" i="86" s="1"/>
  <c r="AI90" i="86" s="1"/>
  <c r="AJ90" i="86" s="1"/>
  <c r="AH77" i="87"/>
  <c r="AG77" i="87"/>
  <c r="AF77" i="87"/>
  <c r="AE77" i="87"/>
  <c r="AD77" i="87"/>
  <c r="AC77" i="87"/>
  <c r="AB77" i="87"/>
  <c r="AA77" i="87"/>
  <c r="Z77" i="87"/>
  <c r="Y77" i="87"/>
  <c r="AH77" i="68"/>
  <c r="AG77" i="68"/>
  <c r="AF77" i="68"/>
  <c r="AE77" i="68"/>
  <c r="AD77" i="68"/>
  <c r="AC77" i="68"/>
  <c r="AB77" i="68"/>
  <c r="AA77" i="68"/>
  <c r="Z77" i="68"/>
  <c r="Y77" i="68"/>
  <c r="AH77" i="83"/>
  <c r="AG77" i="83"/>
  <c r="AF77" i="83"/>
  <c r="AE77" i="83"/>
  <c r="AD77" i="83"/>
  <c r="AC77" i="83"/>
  <c r="AB77" i="83"/>
  <c r="AA77" i="83"/>
  <c r="Z77" i="83"/>
  <c r="Y77" i="83"/>
  <c r="AG77" i="74"/>
  <c r="AF77" i="74"/>
  <c r="AE77" i="74"/>
  <c r="AD77" i="74"/>
  <c r="AC77" i="74"/>
  <c r="AB77" i="74"/>
  <c r="AA77" i="74"/>
  <c r="Z77" i="74"/>
  <c r="Y77" i="74"/>
  <c r="AH77" i="84"/>
  <c r="AG77" i="84"/>
  <c r="AF77" i="84"/>
  <c r="AE77" i="84"/>
  <c r="AD77" i="84"/>
  <c r="AC77" i="84"/>
  <c r="AB77" i="84"/>
  <c r="AA77" i="84"/>
  <c r="Z77" i="84"/>
  <c r="Y77" i="84"/>
  <c r="AH77" i="85"/>
  <c r="AG77" i="85"/>
  <c r="AF77" i="85"/>
  <c r="AE77" i="85"/>
  <c r="AD77" i="85"/>
  <c r="AC77" i="85"/>
  <c r="AB77" i="85"/>
  <c r="AA77" i="85"/>
  <c r="Z77" i="85"/>
  <c r="Y77" i="85"/>
  <c r="AH77" i="86"/>
  <c r="AG77" i="86"/>
  <c r="AF77" i="86"/>
  <c r="AE77" i="86"/>
  <c r="AD77" i="86"/>
  <c r="AC77" i="86"/>
  <c r="AB77" i="86"/>
  <c r="AA77" i="86"/>
  <c r="Z77" i="86"/>
  <c r="Y77" i="86"/>
  <c r="Y93" i="84"/>
  <c r="Y51" i="87"/>
  <c r="Y51" i="68"/>
  <c r="Y51" i="83"/>
  <c r="Y51" i="74"/>
  <c r="Y51" i="84"/>
  <c r="Y51" i="85"/>
  <c r="Y51" i="86"/>
  <c r="S82" i="87"/>
  <c r="S82" i="83"/>
  <c r="S82" i="74"/>
  <c r="S82" i="84"/>
  <c r="S82" i="85"/>
  <c r="T82" i="85" s="1"/>
  <c r="S82" i="86"/>
  <c r="T82" i="86" s="1"/>
  <c r="U82" i="86" s="1"/>
  <c r="Y82" i="86" s="1"/>
  <c r="T82" i="87"/>
  <c r="U82" i="87" s="1"/>
  <c r="S82" i="68"/>
  <c r="T82" i="68" s="1"/>
  <c r="U82" i="68" s="1"/>
  <c r="Y82" i="68" s="1"/>
  <c r="Z82" i="68" s="1"/>
  <c r="AA82" i="68" s="1"/>
  <c r="AB82" i="68" s="1"/>
  <c r="AC82" i="68" s="1"/>
  <c r="AD82" i="68" s="1"/>
  <c r="AE82" i="68" s="1"/>
  <c r="AF82" i="68" s="1"/>
  <c r="AG82" i="68" s="1"/>
  <c r="AH82" i="68" s="1"/>
  <c r="AI82" i="68" s="1"/>
  <c r="AJ82" i="68" s="1"/>
  <c r="T82" i="83"/>
  <c r="U82" i="83" s="1"/>
  <c r="T82" i="74"/>
  <c r="U82" i="74" s="1"/>
  <c r="T82" i="84"/>
  <c r="U82" i="84" s="1"/>
  <c r="U82" i="85"/>
  <c r="Z82" i="86"/>
  <c r="AA82" i="86" s="1"/>
  <c r="AB82" i="86" s="1"/>
  <c r="AC82" i="86" s="1"/>
  <c r="AD82" i="86" s="1"/>
  <c r="AE82" i="86" s="1"/>
  <c r="AF82" i="86" s="1"/>
  <c r="AG82" i="86" s="1"/>
  <c r="AH82" i="86" s="1"/>
  <c r="AI82" i="86" s="1"/>
  <c r="AJ82" i="86" s="1"/>
  <c r="Q94" i="87"/>
  <c r="Y149" i="87"/>
  <c r="Y149" i="68"/>
  <c r="Y149" i="83"/>
  <c r="Y149" i="74"/>
  <c r="Y149" i="84"/>
  <c r="Y149" i="86"/>
  <c r="Y149" i="85"/>
  <c r="Y115" i="87"/>
  <c r="Y115" i="68"/>
  <c r="Y115" i="85"/>
  <c r="Y115" i="74"/>
  <c r="Y115" i="84"/>
  <c r="Y115" i="86"/>
  <c r="Y93" i="83"/>
  <c r="Y94" i="83"/>
  <c r="Y95" i="83"/>
  <c r="Y96" i="83"/>
  <c r="Y97" i="83"/>
  <c r="Y98" i="83"/>
  <c r="Y99" i="83"/>
  <c r="Y100" i="83"/>
  <c r="Y101" i="83"/>
  <c r="Y102" i="83"/>
  <c r="Y103" i="83"/>
  <c r="Y104" i="83"/>
  <c r="Y106" i="83"/>
  <c r="Y107" i="83"/>
  <c r="Y108" i="83"/>
  <c r="Y110" i="83"/>
  <c r="Y111" i="83"/>
  <c r="Y112" i="83"/>
  <c r="Y113" i="83"/>
  <c r="Y93" i="74"/>
  <c r="Y94" i="74"/>
  <c r="Y95" i="74"/>
  <c r="Y96" i="74"/>
  <c r="Y97" i="74"/>
  <c r="Y98" i="74"/>
  <c r="Y99" i="74"/>
  <c r="Y100" i="74"/>
  <c r="Y101" i="74"/>
  <c r="Y102" i="74"/>
  <c r="Y103" i="74"/>
  <c r="Y104" i="74"/>
  <c r="Y106" i="74"/>
  <c r="Y107" i="74"/>
  <c r="Y108" i="74"/>
  <c r="Y110" i="74"/>
  <c r="Y111" i="74"/>
  <c r="Y112" i="74"/>
  <c r="Y113" i="74"/>
  <c r="Y94" i="84"/>
  <c r="Y95" i="84"/>
  <c r="Y96" i="84"/>
  <c r="Y97" i="84"/>
  <c r="Y98" i="84"/>
  <c r="Y99" i="84"/>
  <c r="Y100" i="84"/>
  <c r="Y101" i="84"/>
  <c r="Y102" i="84"/>
  <c r="Y103" i="84"/>
  <c r="Y104" i="84"/>
  <c r="Y106" i="84"/>
  <c r="Y107" i="84"/>
  <c r="Y108" i="84"/>
  <c r="Y110" i="84"/>
  <c r="Y111" i="84"/>
  <c r="Y112" i="84"/>
  <c r="Y113" i="84"/>
  <c r="Y93" i="86"/>
  <c r="Y94" i="86"/>
  <c r="Y95" i="86"/>
  <c r="Y96" i="86"/>
  <c r="Y97" i="86"/>
  <c r="Y98" i="86"/>
  <c r="Y99" i="86"/>
  <c r="Y100" i="86"/>
  <c r="Y101" i="86"/>
  <c r="Y102" i="86"/>
  <c r="Y103" i="86"/>
  <c r="Y104" i="86"/>
  <c r="Y106" i="86"/>
  <c r="Y107" i="86"/>
  <c r="Y108" i="86"/>
  <c r="Y110" i="86"/>
  <c r="Y111" i="86"/>
  <c r="Y112" i="86"/>
  <c r="Y113" i="86"/>
  <c r="Y93" i="85"/>
  <c r="Y94" i="85"/>
  <c r="Y95" i="85"/>
  <c r="Y96" i="85"/>
  <c r="Y97" i="85"/>
  <c r="Y98" i="85"/>
  <c r="Y99" i="85"/>
  <c r="Y100" i="85"/>
  <c r="Y101" i="85"/>
  <c r="Y102" i="85"/>
  <c r="Y103" i="85"/>
  <c r="Y104" i="85"/>
  <c r="Y106" i="85"/>
  <c r="Y107" i="85"/>
  <c r="Y108" i="85"/>
  <c r="Y110" i="85"/>
  <c r="Y111" i="85"/>
  <c r="Y112" i="85"/>
  <c r="Y113" i="85"/>
  <c r="Y93" i="87"/>
  <c r="Y94" i="87"/>
  <c r="Y95" i="87"/>
  <c r="Y96" i="87"/>
  <c r="Y97" i="87"/>
  <c r="Y98" i="87"/>
  <c r="Y99" i="87"/>
  <c r="Y100" i="87"/>
  <c r="Y101" i="87"/>
  <c r="Y102" i="87"/>
  <c r="Y104" i="87"/>
  <c r="Y106" i="87"/>
  <c r="Y107" i="87"/>
  <c r="Y108" i="87"/>
  <c r="Y110" i="87"/>
  <c r="Y111" i="87"/>
  <c r="Y112" i="87"/>
  <c r="Y113" i="87"/>
  <c r="Y94" i="68"/>
  <c r="Y95" i="68"/>
  <c r="Y96" i="68"/>
  <c r="Y97" i="68"/>
  <c r="Y98" i="68"/>
  <c r="Y99" i="68"/>
  <c r="Y100" i="68"/>
  <c r="Y101" i="68"/>
  <c r="Y102" i="68"/>
  <c r="Y103" i="68"/>
  <c r="Y104" i="68"/>
  <c r="Y106" i="68"/>
  <c r="Y107" i="68"/>
  <c r="Y108" i="68"/>
  <c r="Y110" i="68"/>
  <c r="Y111" i="68"/>
  <c r="Y112" i="68"/>
  <c r="Y113" i="68"/>
  <c r="Y93" i="68"/>
  <c r="S156" i="74"/>
  <c r="AJ157" i="124"/>
  <c r="AI157" i="124"/>
  <c r="AH157" i="124"/>
  <c r="AG157" i="124"/>
  <c r="AF157" i="124"/>
  <c r="AE157" i="124"/>
  <c r="AD157" i="124"/>
  <c r="AC157" i="124"/>
  <c r="AB157" i="124"/>
  <c r="AA157" i="124"/>
  <c r="Z157" i="124"/>
  <c r="Y157" i="124"/>
  <c r="AJ153" i="124"/>
  <c r="AI153" i="124"/>
  <c r="AH153" i="124"/>
  <c r="AG153" i="124"/>
  <c r="AF153" i="124"/>
  <c r="AE153" i="124"/>
  <c r="AD153" i="124"/>
  <c r="AC153" i="124"/>
  <c r="AB153" i="124"/>
  <c r="AA153" i="124"/>
  <c r="Z153" i="124"/>
  <c r="Y153" i="124"/>
  <c r="AJ152" i="124"/>
  <c r="AI152" i="124"/>
  <c r="AH152" i="124"/>
  <c r="AG152" i="124"/>
  <c r="AF152" i="124"/>
  <c r="AE152" i="124"/>
  <c r="AD152" i="124"/>
  <c r="AC152" i="124"/>
  <c r="AB152" i="124"/>
  <c r="AA152" i="124"/>
  <c r="Z152" i="124"/>
  <c r="Y152" i="124"/>
  <c r="AJ147" i="124"/>
  <c r="AI147" i="124"/>
  <c r="AH147" i="124"/>
  <c r="AG147" i="124"/>
  <c r="AF147" i="124"/>
  <c r="AE147" i="124"/>
  <c r="AD147" i="124"/>
  <c r="AC147" i="124"/>
  <c r="AB147" i="124"/>
  <c r="AA147" i="124"/>
  <c r="Z147" i="124"/>
  <c r="Y147" i="124"/>
  <c r="AJ146" i="124"/>
  <c r="AI146" i="124"/>
  <c r="AH146" i="124"/>
  <c r="AG146" i="124"/>
  <c r="AF146" i="124"/>
  <c r="AE146" i="124"/>
  <c r="AD146" i="124"/>
  <c r="AC146" i="124"/>
  <c r="AB146" i="124"/>
  <c r="AA146" i="124"/>
  <c r="Z146" i="124"/>
  <c r="Y146" i="124"/>
  <c r="AJ143" i="124"/>
  <c r="AI143" i="124"/>
  <c r="AH143" i="124"/>
  <c r="AG143" i="124"/>
  <c r="AF143" i="124"/>
  <c r="AE143" i="124"/>
  <c r="AD143" i="124"/>
  <c r="AC143" i="124"/>
  <c r="AB143" i="124"/>
  <c r="AA143" i="124"/>
  <c r="Z143" i="124"/>
  <c r="Y143" i="124"/>
  <c r="AJ139" i="124"/>
  <c r="AI139" i="124"/>
  <c r="AH139" i="124"/>
  <c r="AG139" i="124"/>
  <c r="AF139" i="124"/>
  <c r="AE139" i="124"/>
  <c r="AD139" i="124"/>
  <c r="AC139" i="124"/>
  <c r="AB139" i="124"/>
  <c r="AA139" i="124"/>
  <c r="Z139" i="124"/>
  <c r="Y139" i="124"/>
  <c r="AJ138" i="124"/>
  <c r="AI138" i="124"/>
  <c r="AH138" i="124"/>
  <c r="AG138" i="124"/>
  <c r="AF138" i="124"/>
  <c r="AE138" i="124"/>
  <c r="AD138" i="124"/>
  <c r="AC138" i="124"/>
  <c r="AB138" i="124"/>
  <c r="AA138" i="124"/>
  <c r="Z138" i="124"/>
  <c r="Y138" i="124"/>
  <c r="AJ136" i="124"/>
  <c r="AI136" i="124"/>
  <c r="AH136" i="124"/>
  <c r="AG136" i="124"/>
  <c r="AF136" i="124"/>
  <c r="AE136" i="124"/>
  <c r="AD136" i="124"/>
  <c r="AC136" i="124"/>
  <c r="AB136" i="124"/>
  <c r="AA136" i="124"/>
  <c r="Z136" i="124"/>
  <c r="Y136" i="124"/>
  <c r="AJ134" i="124"/>
  <c r="AI134" i="124"/>
  <c r="AH134" i="124"/>
  <c r="AG134" i="124"/>
  <c r="AF134" i="124"/>
  <c r="AE134" i="124"/>
  <c r="AD134" i="124"/>
  <c r="AC134" i="124"/>
  <c r="AB134" i="124"/>
  <c r="AA134" i="124"/>
  <c r="Z134" i="124"/>
  <c r="Y134" i="124"/>
  <c r="AJ133" i="124"/>
  <c r="AI133" i="124"/>
  <c r="AH133" i="124"/>
  <c r="AG133" i="124"/>
  <c r="AF133" i="124"/>
  <c r="AE133" i="124"/>
  <c r="AD133" i="124"/>
  <c r="AC133" i="124"/>
  <c r="AB133" i="124"/>
  <c r="AA133" i="124"/>
  <c r="Z133" i="124"/>
  <c r="Y133" i="124"/>
  <c r="AJ132" i="124"/>
  <c r="AI132" i="124"/>
  <c r="AH132" i="124"/>
  <c r="AG132" i="124"/>
  <c r="AF132" i="124"/>
  <c r="AE132" i="124"/>
  <c r="AD132" i="124"/>
  <c r="AC132" i="124"/>
  <c r="AB132" i="124"/>
  <c r="AA132" i="124"/>
  <c r="Z132" i="124"/>
  <c r="Y132" i="124"/>
  <c r="AJ130" i="124"/>
  <c r="AI130" i="124"/>
  <c r="AH130" i="124"/>
  <c r="AG130" i="124"/>
  <c r="AF130" i="124"/>
  <c r="AE130" i="124"/>
  <c r="AD130" i="124"/>
  <c r="AC130" i="124"/>
  <c r="AB130" i="124"/>
  <c r="AA130" i="124"/>
  <c r="Z130" i="124"/>
  <c r="Y130" i="124"/>
  <c r="AJ124" i="124"/>
  <c r="AI124" i="124"/>
  <c r="AH124" i="124"/>
  <c r="AG124" i="124"/>
  <c r="AF124" i="124"/>
  <c r="AE124" i="124"/>
  <c r="AD124" i="124"/>
  <c r="AC124" i="124"/>
  <c r="AB124" i="124"/>
  <c r="AA124" i="124"/>
  <c r="Z124" i="124"/>
  <c r="Y124" i="124"/>
  <c r="AJ122" i="124"/>
  <c r="AI122" i="124"/>
  <c r="AH122" i="124"/>
  <c r="AG122" i="124"/>
  <c r="AF122" i="124"/>
  <c r="AE122" i="124"/>
  <c r="AD122" i="124"/>
  <c r="AC122" i="124"/>
  <c r="AB122" i="124"/>
  <c r="AA122" i="124"/>
  <c r="Z122" i="124"/>
  <c r="Y122" i="124"/>
  <c r="AJ120" i="124"/>
  <c r="AI120" i="124"/>
  <c r="AH120" i="124"/>
  <c r="AG120" i="124"/>
  <c r="AF120" i="124"/>
  <c r="AE120" i="124"/>
  <c r="AD120" i="124"/>
  <c r="AC120" i="124"/>
  <c r="AB120" i="124"/>
  <c r="AA120" i="124"/>
  <c r="Z120" i="124"/>
  <c r="Y120" i="124"/>
  <c r="AJ117" i="124"/>
  <c r="AI117" i="124"/>
  <c r="AH117" i="124"/>
  <c r="AG117" i="124"/>
  <c r="AF117" i="124"/>
  <c r="AE117" i="124"/>
  <c r="AD117" i="124"/>
  <c r="AC117" i="124"/>
  <c r="AB117" i="124"/>
  <c r="AA117" i="124"/>
  <c r="Z117" i="124"/>
  <c r="Y117" i="124"/>
  <c r="AJ116" i="124"/>
  <c r="AI116" i="124"/>
  <c r="AH116" i="124"/>
  <c r="AG116" i="124"/>
  <c r="AF116" i="124"/>
  <c r="AE116" i="124"/>
  <c r="AD116" i="124"/>
  <c r="AC116" i="124"/>
  <c r="AB116" i="124"/>
  <c r="AA116" i="124"/>
  <c r="Z116" i="124"/>
  <c r="Y116" i="124"/>
  <c r="AJ87" i="124"/>
  <c r="AI87" i="124"/>
  <c r="AH87" i="124"/>
  <c r="AG87" i="124"/>
  <c r="AF87" i="124"/>
  <c r="AE87" i="124"/>
  <c r="AD87" i="124"/>
  <c r="AC87" i="124"/>
  <c r="AB87" i="124"/>
  <c r="AA87" i="124"/>
  <c r="Z87" i="124"/>
  <c r="Y87" i="124"/>
  <c r="AJ85" i="124"/>
  <c r="AI85" i="124"/>
  <c r="AH85" i="124"/>
  <c r="AG85" i="124"/>
  <c r="AF85" i="124"/>
  <c r="AE85" i="124"/>
  <c r="AD85" i="124"/>
  <c r="AC85" i="124"/>
  <c r="AB85" i="124"/>
  <c r="AA85" i="124"/>
  <c r="Z85" i="124"/>
  <c r="Y85" i="124"/>
  <c r="AJ84" i="124"/>
  <c r="AI84" i="124"/>
  <c r="AH84" i="124"/>
  <c r="AG84" i="124"/>
  <c r="AF84" i="124"/>
  <c r="AE84" i="124"/>
  <c r="AD84" i="124"/>
  <c r="AC84" i="124"/>
  <c r="AB84" i="124"/>
  <c r="AA84" i="124"/>
  <c r="Z84" i="124"/>
  <c r="Y84" i="124"/>
  <c r="AJ83" i="124"/>
  <c r="AI83" i="124"/>
  <c r="AH83" i="124"/>
  <c r="AG83" i="124"/>
  <c r="AF83" i="124"/>
  <c r="AE83" i="124"/>
  <c r="AD83" i="124"/>
  <c r="AC83" i="124"/>
  <c r="AB83" i="124"/>
  <c r="AA83" i="124"/>
  <c r="Z83" i="124"/>
  <c r="Y83" i="124"/>
  <c r="AJ81" i="124"/>
  <c r="AI81" i="124"/>
  <c r="AH81" i="124"/>
  <c r="AG81" i="124"/>
  <c r="AF81" i="124"/>
  <c r="AE81" i="124"/>
  <c r="AD81" i="124"/>
  <c r="AC81" i="124"/>
  <c r="AB81" i="124"/>
  <c r="AA81" i="124"/>
  <c r="Z81" i="124"/>
  <c r="Y81" i="124"/>
  <c r="AJ78" i="124"/>
  <c r="AI78" i="124"/>
  <c r="AH78" i="124"/>
  <c r="AG78" i="124"/>
  <c r="AF78" i="124"/>
  <c r="AE78" i="124"/>
  <c r="AD78" i="124"/>
  <c r="AC78" i="124"/>
  <c r="AB78" i="124"/>
  <c r="AA78" i="124"/>
  <c r="Z78" i="124"/>
  <c r="Y78" i="124"/>
  <c r="AJ75" i="124"/>
  <c r="AI75" i="124"/>
  <c r="AH75" i="124"/>
  <c r="AG75" i="124"/>
  <c r="AF75" i="124"/>
  <c r="AE75" i="124"/>
  <c r="AD75" i="124"/>
  <c r="AC75" i="124"/>
  <c r="AB75" i="124"/>
  <c r="AA75" i="124"/>
  <c r="Z75" i="124"/>
  <c r="Y75" i="124"/>
  <c r="AJ74" i="124"/>
  <c r="AI74" i="124"/>
  <c r="AH74" i="124"/>
  <c r="AG74" i="124"/>
  <c r="AF74" i="124"/>
  <c r="AE74" i="124"/>
  <c r="AD74" i="124"/>
  <c r="AC74" i="124"/>
  <c r="AB74" i="124"/>
  <c r="AA74" i="124"/>
  <c r="Z74" i="124"/>
  <c r="Y74" i="124"/>
  <c r="AK74" i="124" s="1"/>
  <c r="AJ73" i="124"/>
  <c r="AI73" i="124"/>
  <c r="AH73" i="124"/>
  <c r="AG73" i="124"/>
  <c r="AF73" i="124"/>
  <c r="AE73" i="124"/>
  <c r="AD73" i="124"/>
  <c r="AC73" i="124"/>
  <c r="AB73" i="124"/>
  <c r="AA73" i="124"/>
  <c r="Z73" i="124"/>
  <c r="Y73" i="124"/>
  <c r="AJ71" i="124"/>
  <c r="AI71" i="124"/>
  <c r="AH71" i="124"/>
  <c r="AG71" i="124"/>
  <c r="AF71" i="124"/>
  <c r="AE71" i="124"/>
  <c r="AD71" i="124"/>
  <c r="AC71" i="124"/>
  <c r="AB71" i="124"/>
  <c r="AA71" i="124"/>
  <c r="Z71" i="124"/>
  <c r="Y71" i="124"/>
  <c r="AJ69" i="124"/>
  <c r="AI69" i="124"/>
  <c r="AH69" i="124"/>
  <c r="AG69" i="124"/>
  <c r="AF69" i="124"/>
  <c r="AE69" i="124"/>
  <c r="AD69" i="124"/>
  <c r="AC69" i="124"/>
  <c r="AB69" i="124"/>
  <c r="AA69" i="124"/>
  <c r="Z69" i="124"/>
  <c r="Y69" i="124"/>
  <c r="AJ68" i="124"/>
  <c r="AI68" i="124"/>
  <c r="AH68" i="124"/>
  <c r="AG68" i="124"/>
  <c r="AF68" i="124"/>
  <c r="AE68" i="124"/>
  <c r="AD68" i="124"/>
  <c r="AC68" i="124"/>
  <c r="AB68" i="124"/>
  <c r="AA68" i="124"/>
  <c r="Z68" i="124"/>
  <c r="Y68" i="124"/>
  <c r="AJ65" i="124"/>
  <c r="AI65" i="124"/>
  <c r="AH65" i="124"/>
  <c r="AG65" i="124"/>
  <c r="AF65" i="124"/>
  <c r="AE65" i="124"/>
  <c r="AD65" i="124"/>
  <c r="AC65" i="124"/>
  <c r="AB65" i="124"/>
  <c r="AA65" i="124"/>
  <c r="Z65" i="124"/>
  <c r="Y65" i="124"/>
  <c r="AJ63" i="124"/>
  <c r="AI63" i="124"/>
  <c r="AH63" i="124"/>
  <c r="AG63" i="124"/>
  <c r="AF63" i="124"/>
  <c r="AE63" i="124"/>
  <c r="AD63" i="124"/>
  <c r="AC63" i="124"/>
  <c r="AB63" i="124"/>
  <c r="AA63" i="124"/>
  <c r="Z63" i="124"/>
  <c r="Y63" i="124"/>
  <c r="AJ62" i="124"/>
  <c r="AI62" i="124"/>
  <c r="AH62" i="124"/>
  <c r="AG62" i="124"/>
  <c r="AF62" i="124"/>
  <c r="AE62" i="124"/>
  <c r="AD62" i="124"/>
  <c r="AC62" i="124"/>
  <c r="AB62" i="124"/>
  <c r="AA62" i="124"/>
  <c r="Z62" i="124"/>
  <c r="Y62" i="124"/>
  <c r="AK62" i="124" s="1"/>
  <c r="AJ61" i="124"/>
  <c r="AI61" i="124"/>
  <c r="AH61" i="124"/>
  <c r="AG61" i="124"/>
  <c r="AF61" i="124"/>
  <c r="AE61" i="124"/>
  <c r="AD61" i="124"/>
  <c r="AC61" i="124"/>
  <c r="AB61" i="124"/>
  <c r="AA61" i="124"/>
  <c r="Z61" i="124"/>
  <c r="Y61" i="124"/>
  <c r="AK61" i="124" s="1"/>
  <c r="AO45" i="74"/>
  <c r="U39" i="84"/>
  <c r="T39" i="84"/>
  <c r="Q39" i="84"/>
  <c r="T39" i="83"/>
  <c r="U39" i="83"/>
  <c r="T39" i="74"/>
  <c r="S39" i="74"/>
  <c r="Q39" i="74"/>
  <c r="U39" i="74"/>
  <c r="T39" i="85"/>
  <c r="Q39" i="85"/>
  <c r="U39" i="85"/>
  <c r="U39" i="86"/>
  <c r="T39" i="86"/>
  <c r="T39" i="87"/>
  <c r="Q39" i="87"/>
  <c r="U39" i="87"/>
  <c r="T39" i="68"/>
  <c r="Q39" i="68"/>
  <c r="U39" i="68"/>
  <c r="Y155" i="74"/>
  <c r="Y155" i="85"/>
  <c r="Y52" i="85"/>
  <c r="Q158" i="124"/>
  <c r="P158" i="124"/>
  <c r="O158" i="124"/>
  <c r="N158" i="124"/>
  <c r="M158" i="124"/>
  <c r="L158" i="124"/>
  <c r="K158" i="124"/>
  <c r="J158" i="124"/>
  <c r="U157" i="124"/>
  <c r="T157" i="124"/>
  <c r="S157" i="124"/>
  <c r="R157" i="124"/>
  <c r="Q157" i="124"/>
  <c r="P157" i="124"/>
  <c r="O157" i="124"/>
  <c r="N157" i="124"/>
  <c r="M157" i="124"/>
  <c r="L157" i="124"/>
  <c r="K157" i="124"/>
  <c r="J157" i="124"/>
  <c r="R156" i="124"/>
  <c r="Q156" i="124"/>
  <c r="P156" i="124"/>
  <c r="O156" i="124"/>
  <c r="N156" i="124"/>
  <c r="M156" i="124"/>
  <c r="L156" i="124"/>
  <c r="K156" i="124"/>
  <c r="J156" i="124"/>
  <c r="U155" i="124"/>
  <c r="T155" i="124"/>
  <c r="S155" i="124"/>
  <c r="R155" i="124"/>
  <c r="Q155" i="124"/>
  <c r="P155" i="124"/>
  <c r="O155" i="124"/>
  <c r="N155" i="124"/>
  <c r="M155" i="124"/>
  <c r="L155" i="124"/>
  <c r="K155" i="124"/>
  <c r="J155" i="124"/>
  <c r="R154" i="124"/>
  <c r="Q154" i="124"/>
  <c r="P154" i="124"/>
  <c r="O154" i="124"/>
  <c r="N154" i="124"/>
  <c r="M154" i="124"/>
  <c r="L154" i="124"/>
  <c r="K154" i="124"/>
  <c r="J154" i="124"/>
  <c r="U153" i="124"/>
  <c r="T153" i="124"/>
  <c r="S153" i="124"/>
  <c r="R153" i="124"/>
  <c r="Q153" i="124"/>
  <c r="P153" i="124"/>
  <c r="O153" i="124"/>
  <c r="N153" i="124"/>
  <c r="M153" i="124"/>
  <c r="L153" i="124"/>
  <c r="K153" i="124"/>
  <c r="J153" i="124"/>
  <c r="U152" i="124"/>
  <c r="T152" i="124"/>
  <c r="S152" i="124"/>
  <c r="R152" i="124"/>
  <c r="Q152" i="124"/>
  <c r="P152" i="124"/>
  <c r="O152" i="124"/>
  <c r="N152" i="124"/>
  <c r="M152" i="124"/>
  <c r="L152" i="124"/>
  <c r="K152" i="124"/>
  <c r="J152" i="124"/>
  <c r="U150" i="124"/>
  <c r="T150" i="124"/>
  <c r="S150" i="124"/>
  <c r="R150" i="124"/>
  <c r="Q150" i="124"/>
  <c r="P150" i="124"/>
  <c r="O150" i="124"/>
  <c r="N150" i="124"/>
  <c r="M150" i="124"/>
  <c r="L150" i="124"/>
  <c r="K150" i="124"/>
  <c r="J150" i="124"/>
  <c r="U149" i="124"/>
  <c r="U149" i="174" s="1"/>
  <c r="T149" i="124"/>
  <c r="T149" i="174" s="1"/>
  <c r="S149" i="124"/>
  <c r="S149" i="174" s="1"/>
  <c r="R149" i="124"/>
  <c r="R149" i="174" s="1"/>
  <c r="Q149" i="124"/>
  <c r="Q149" i="174" s="1"/>
  <c r="P149" i="124"/>
  <c r="P149" i="174" s="1"/>
  <c r="O149" i="124"/>
  <c r="O149" i="174" s="1"/>
  <c r="N149" i="124"/>
  <c r="N149" i="174" s="1"/>
  <c r="M149" i="124"/>
  <c r="M149" i="174" s="1"/>
  <c r="L149" i="124"/>
  <c r="L149" i="174" s="1"/>
  <c r="K149" i="124"/>
  <c r="K149" i="174" s="1"/>
  <c r="J149" i="124"/>
  <c r="J149" i="174" s="1"/>
  <c r="V149" i="124"/>
  <c r="V149" i="174" s="1"/>
  <c r="Q148" i="124"/>
  <c r="P148" i="124"/>
  <c r="O148" i="124"/>
  <c r="N148" i="124"/>
  <c r="M148" i="124"/>
  <c r="L148" i="124"/>
  <c r="K148" i="124"/>
  <c r="J148" i="124"/>
  <c r="U147" i="124"/>
  <c r="T147" i="124"/>
  <c r="S147" i="124"/>
  <c r="R147" i="124"/>
  <c r="Q147" i="124"/>
  <c r="P147" i="124"/>
  <c r="O147" i="124"/>
  <c r="N147" i="124"/>
  <c r="M147" i="124"/>
  <c r="L147" i="124"/>
  <c r="K147" i="124"/>
  <c r="J147" i="124"/>
  <c r="U146" i="124"/>
  <c r="T146" i="124"/>
  <c r="S146" i="124"/>
  <c r="R146" i="124"/>
  <c r="Q146" i="124"/>
  <c r="P146" i="124"/>
  <c r="O146" i="124"/>
  <c r="N146" i="124"/>
  <c r="M146" i="124"/>
  <c r="L146" i="124"/>
  <c r="K146" i="124"/>
  <c r="J146" i="124"/>
  <c r="U145" i="124"/>
  <c r="T145" i="124"/>
  <c r="S145" i="124"/>
  <c r="R145" i="124"/>
  <c r="Q145" i="124"/>
  <c r="P145" i="124"/>
  <c r="O145" i="124"/>
  <c r="N145" i="124"/>
  <c r="M145" i="124"/>
  <c r="L145" i="124"/>
  <c r="K145" i="124"/>
  <c r="J145" i="124"/>
  <c r="U144" i="124"/>
  <c r="T144" i="124"/>
  <c r="S144" i="124"/>
  <c r="R144" i="124"/>
  <c r="Q144" i="124"/>
  <c r="P144" i="124"/>
  <c r="O144" i="124"/>
  <c r="N144" i="124"/>
  <c r="M144" i="124"/>
  <c r="L144" i="124"/>
  <c r="K144" i="124"/>
  <c r="J144" i="124"/>
  <c r="U143" i="124"/>
  <c r="T143" i="124"/>
  <c r="S143" i="124"/>
  <c r="R143" i="124"/>
  <c r="Q143" i="124"/>
  <c r="P143" i="124"/>
  <c r="O143" i="124"/>
  <c r="N143" i="124"/>
  <c r="M143" i="124"/>
  <c r="L143" i="124"/>
  <c r="K143" i="124"/>
  <c r="J143" i="124"/>
  <c r="U142" i="124"/>
  <c r="U142" i="174" s="1"/>
  <c r="T142" i="124"/>
  <c r="T142" i="174" s="1"/>
  <c r="S142" i="124"/>
  <c r="R142" i="124"/>
  <c r="Q142" i="124"/>
  <c r="P142" i="124"/>
  <c r="O142" i="124"/>
  <c r="N142" i="124"/>
  <c r="M142" i="124"/>
  <c r="L142" i="124"/>
  <c r="K142" i="124"/>
  <c r="J142" i="124"/>
  <c r="U141" i="124"/>
  <c r="T141" i="124"/>
  <c r="S141" i="124"/>
  <c r="R141" i="124"/>
  <c r="Q141" i="124"/>
  <c r="P141" i="124"/>
  <c r="O141" i="124"/>
  <c r="N141" i="124"/>
  <c r="M141" i="124"/>
  <c r="L141" i="124"/>
  <c r="K141" i="124"/>
  <c r="J141" i="124"/>
  <c r="U140" i="124"/>
  <c r="T140" i="124"/>
  <c r="S140" i="124"/>
  <c r="R140" i="124"/>
  <c r="Q140" i="124"/>
  <c r="P140" i="124"/>
  <c r="O140" i="124"/>
  <c r="N140" i="124"/>
  <c r="M140" i="124"/>
  <c r="L140" i="124"/>
  <c r="K140" i="124"/>
  <c r="J140" i="124"/>
  <c r="U139" i="124"/>
  <c r="T139" i="124"/>
  <c r="S139" i="124"/>
  <c r="R139" i="124"/>
  <c r="Q139" i="124"/>
  <c r="P139" i="124"/>
  <c r="O139" i="124"/>
  <c r="N139" i="124"/>
  <c r="M139" i="124"/>
  <c r="L139" i="124"/>
  <c r="K139" i="124"/>
  <c r="J139" i="124"/>
  <c r="U138" i="124"/>
  <c r="T138" i="124"/>
  <c r="S138" i="124"/>
  <c r="R138" i="124"/>
  <c r="Q138" i="124"/>
  <c r="P138" i="124"/>
  <c r="O138" i="124"/>
  <c r="N138" i="124"/>
  <c r="M138" i="124"/>
  <c r="L138" i="124"/>
  <c r="K138" i="124"/>
  <c r="J138" i="124"/>
  <c r="U137" i="124"/>
  <c r="T137" i="124"/>
  <c r="S137" i="124"/>
  <c r="R137" i="124"/>
  <c r="Q137" i="124"/>
  <c r="P137" i="124"/>
  <c r="O137" i="124"/>
  <c r="N137" i="124"/>
  <c r="M137" i="124"/>
  <c r="L137" i="124"/>
  <c r="K137" i="124"/>
  <c r="J137" i="124"/>
  <c r="U136" i="124"/>
  <c r="T136" i="124"/>
  <c r="S136" i="124"/>
  <c r="R136" i="124"/>
  <c r="Q136" i="124"/>
  <c r="P136" i="124"/>
  <c r="O136" i="124"/>
  <c r="N136" i="124"/>
  <c r="M136" i="124"/>
  <c r="L136" i="124"/>
  <c r="K136" i="124"/>
  <c r="J136" i="124"/>
  <c r="U135" i="124"/>
  <c r="T135" i="124"/>
  <c r="S135" i="124"/>
  <c r="R135" i="124"/>
  <c r="Q135" i="124"/>
  <c r="P135" i="124"/>
  <c r="O135" i="124"/>
  <c r="N135" i="124"/>
  <c r="M135" i="124"/>
  <c r="L135" i="124"/>
  <c r="K135" i="124"/>
  <c r="J135" i="124"/>
  <c r="U134" i="124"/>
  <c r="T134" i="124"/>
  <c r="S134" i="124"/>
  <c r="R134" i="124"/>
  <c r="Q134" i="124"/>
  <c r="P134" i="124"/>
  <c r="O134" i="124"/>
  <c r="N134" i="124"/>
  <c r="M134" i="124"/>
  <c r="L134" i="124"/>
  <c r="K134" i="124"/>
  <c r="J134" i="124"/>
  <c r="U133" i="124"/>
  <c r="T133" i="124"/>
  <c r="S133" i="124"/>
  <c r="R133" i="124"/>
  <c r="Q133" i="124"/>
  <c r="P133" i="124"/>
  <c r="O133" i="124"/>
  <c r="N133" i="124"/>
  <c r="M133" i="124"/>
  <c r="L133" i="124"/>
  <c r="K133" i="124"/>
  <c r="J133" i="124"/>
  <c r="U132" i="124"/>
  <c r="T132" i="124"/>
  <c r="S132" i="124"/>
  <c r="R132" i="124"/>
  <c r="Q132" i="124"/>
  <c r="P132" i="124"/>
  <c r="O132" i="124"/>
  <c r="N132" i="124"/>
  <c r="M132" i="124"/>
  <c r="L132" i="124"/>
  <c r="K132" i="124"/>
  <c r="J132" i="124"/>
  <c r="U131" i="124"/>
  <c r="T131" i="124"/>
  <c r="S131" i="124"/>
  <c r="R131" i="124"/>
  <c r="Q131" i="124"/>
  <c r="P131" i="124"/>
  <c r="O131" i="124"/>
  <c r="N131" i="124"/>
  <c r="M131" i="124"/>
  <c r="L131" i="124"/>
  <c r="K131" i="124"/>
  <c r="J131" i="124"/>
  <c r="U130" i="124"/>
  <c r="T130" i="124"/>
  <c r="S130" i="124"/>
  <c r="R130" i="124"/>
  <c r="Q130" i="124"/>
  <c r="P130" i="124"/>
  <c r="O130" i="124"/>
  <c r="N130" i="124"/>
  <c r="M130" i="124"/>
  <c r="L130" i="124"/>
  <c r="K130" i="124"/>
  <c r="J130" i="124"/>
  <c r="U129" i="124"/>
  <c r="T129" i="124"/>
  <c r="S129" i="124"/>
  <c r="R129" i="124"/>
  <c r="Q129" i="124"/>
  <c r="P129" i="124"/>
  <c r="O129" i="124"/>
  <c r="N129" i="124"/>
  <c r="M129" i="124"/>
  <c r="L129" i="124"/>
  <c r="K129" i="124"/>
  <c r="J129" i="124"/>
  <c r="U128" i="124"/>
  <c r="S128" i="124"/>
  <c r="R128" i="124"/>
  <c r="Q128" i="124"/>
  <c r="P128" i="124"/>
  <c r="O128" i="124"/>
  <c r="N128" i="124"/>
  <c r="M128" i="124"/>
  <c r="L128" i="124"/>
  <c r="K128" i="124"/>
  <c r="J128" i="124"/>
  <c r="U127" i="124"/>
  <c r="T127" i="124"/>
  <c r="S127" i="124"/>
  <c r="R127" i="124"/>
  <c r="Q127" i="124"/>
  <c r="P127" i="124"/>
  <c r="O127" i="124"/>
  <c r="N127" i="124"/>
  <c r="M127" i="124"/>
  <c r="L127" i="124"/>
  <c r="K127" i="124"/>
  <c r="J127" i="124"/>
  <c r="U126" i="124"/>
  <c r="T126" i="124"/>
  <c r="S126" i="124"/>
  <c r="R126" i="124"/>
  <c r="Q126" i="124"/>
  <c r="P126" i="124"/>
  <c r="O126" i="124"/>
  <c r="N126" i="124"/>
  <c r="M126" i="124"/>
  <c r="L126" i="124"/>
  <c r="K126" i="124"/>
  <c r="J126" i="124"/>
  <c r="U125" i="124"/>
  <c r="T125" i="124"/>
  <c r="S125" i="124"/>
  <c r="R125" i="124"/>
  <c r="Q125" i="124"/>
  <c r="P125" i="124"/>
  <c r="O125" i="124"/>
  <c r="N125" i="124"/>
  <c r="M125" i="124"/>
  <c r="L125" i="124"/>
  <c r="K125" i="124"/>
  <c r="J125" i="124"/>
  <c r="U124" i="124"/>
  <c r="T124" i="124"/>
  <c r="S124" i="124"/>
  <c r="R124" i="124"/>
  <c r="Q124" i="124"/>
  <c r="P124" i="124"/>
  <c r="O124" i="124"/>
  <c r="N124" i="124"/>
  <c r="M124" i="124"/>
  <c r="L124" i="124"/>
  <c r="K124" i="124"/>
  <c r="J124" i="124"/>
  <c r="U123" i="124"/>
  <c r="T123" i="124"/>
  <c r="S123" i="124"/>
  <c r="R123" i="124"/>
  <c r="Q123" i="124"/>
  <c r="P123" i="124"/>
  <c r="O123" i="124"/>
  <c r="N123" i="124"/>
  <c r="M123" i="124"/>
  <c r="L123" i="124"/>
  <c r="K123" i="124"/>
  <c r="J123" i="124"/>
  <c r="U122" i="124"/>
  <c r="T122" i="124"/>
  <c r="S122" i="124"/>
  <c r="R122" i="124"/>
  <c r="Q122" i="124"/>
  <c r="P122" i="124"/>
  <c r="O122" i="124"/>
  <c r="N122" i="124"/>
  <c r="M122" i="124"/>
  <c r="L122" i="124"/>
  <c r="K122" i="124"/>
  <c r="J122" i="124"/>
  <c r="U121" i="124"/>
  <c r="T121" i="124"/>
  <c r="S121" i="124"/>
  <c r="R121" i="124"/>
  <c r="Q121" i="124"/>
  <c r="P121" i="124"/>
  <c r="O121" i="124"/>
  <c r="N121" i="124"/>
  <c r="M121" i="124"/>
  <c r="L121" i="124"/>
  <c r="K121" i="124"/>
  <c r="J121" i="124"/>
  <c r="U120" i="124"/>
  <c r="T120" i="124"/>
  <c r="S120" i="124"/>
  <c r="R120" i="124"/>
  <c r="Q120" i="124"/>
  <c r="P120" i="124"/>
  <c r="O120" i="124"/>
  <c r="N120" i="124"/>
  <c r="M120" i="124"/>
  <c r="L120" i="124"/>
  <c r="K120" i="124"/>
  <c r="J120" i="124"/>
  <c r="U119" i="124"/>
  <c r="T119" i="124"/>
  <c r="S119" i="124"/>
  <c r="R119" i="124"/>
  <c r="Q119" i="124"/>
  <c r="P119" i="124"/>
  <c r="O119" i="124"/>
  <c r="N119" i="124"/>
  <c r="M119" i="124"/>
  <c r="L119" i="124"/>
  <c r="K119" i="124"/>
  <c r="J119" i="124"/>
  <c r="U118" i="124"/>
  <c r="T118" i="124"/>
  <c r="S118" i="124"/>
  <c r="R118" i="124"/>
  <c r="Q118" i="124"/>
  <c r="P118" i="124"/>
  <c r="O118" i="124"/>
  <c r="N118" i="124"/>
  <c r="M118" i="124"/>
  <c r="L118" i="124"/>
  <c r="K118" i="124"/>
  <c r="J118" i="124"/>
  <c r="U117" i="124"/>
  <c r="T117" i="124"/>
  <c r="S117" i="124"/>
  <c r="R117" i="124"/>
  <c r="Q117" i="124"/>
  <c r="P117" i="124"/>
  <c r="O117" i="124"/>
  <c r="N117" i="124"/>
  <c r="M117" i="124"/>
  <c r="L117" i="124"/>
  <c r="K117" i="124"/>
  <c r="J117" i="124"/>
  <c r="U116" i="124"/>
  <c r="T116" i="124"/>
  <c r="S116" i="124"/>
  <c r="R116" i="124"/>
  <c r="Q116" i="124"/>
  <c r="P116" i="124"/>
  <c r="O116" i="124"/>
  <c r="N116" i="124"/>
  <c r="M116" i="124"/>
  <c r="L116" i="124"/>
  <c r="K116" i="124"/>
  <c r="J116" i="124"/>
  <c r="U115" i="124"/>
  <c r="T115" i="124"/>
  <c r="S115" i="124"/>
  <c r="R115" i="124"/>
  <c r="Q115" i="124"/>
  <c r="P115" i="124"/>
  <c r="O115" i="124"/>
  <c r="N115" i="124"/>
  <c r="M115" i="124"/>
  <c r="L115" i="124"/>
  <c r="K115" i="124"/>
  <c r="J115" i="124"/>
  <c r="R113" i="124"/>
  <c r="Q113" i="124"/>
  <c r="P113" i="124"/>
  <c r="O113" i="124"/>
  <c r="N113" i="124"/>
  <c r="M113" i="124"/>
  <c r="L113" i="124"/>
  <c r="K113" i="124"/>
  <c r="R112" i="124"/>
  <c r="Q112" i="124"/>
  <c r="P112" i="124"/>
  <c r="O112" i="124"/>
  <c r="N112" i="124"/>
  <c r="M112" i="124"/>
  <c r="L112" i="124"/>
  <c r="K112" i="124"/>
  <c r="J112" i="124"/>
  <c r="R111" i="124"/>
  <c r="Q111" i="124"/>
  <c r="P111" i="124"/>
  <c r="O111" i="124"/>
  <c r="N111" i="124"/>
  <c r="M111" i="124"/>
  <c r="L111" i="124"/>
  <c r="K111" i="124"/>
  <c r="J111" i="124"/>
  <c r="R110" i="124"/>
  <c r="Q110" i="124"/>
  <c r="P110" i="124"/>
  <c r="O110" i="124"/>
  <c r="N110" i="124"/>
  <c r="M110" i="124"/>
  <c r="L110" i="124"/>
  <c r="K110" i="124"/>
  <c r="J110" i="124"/>
  <c r="R108" i="124"/>
  <c r="Q108" i="124"/>
  <c r="P108" i="124"/>
  <c r="O108" i="124"/>
  <c r="N108" i="124"/>
  <c r="M108" i="124"/>
  <c r="L108" i="124"/>
  <c r="K108" i="124"/>
  <c r="J108" i="124"/>
  <c r="R107" i="124"/>
  <c r="Q107" i="124"/>
  <c r="P107" i="124"/>
  <c r="O107" i="124"/>
  <c r="N107" i="124"/>
  <c r="M107" i="124"/>
  <c r="L107" i="124"/>
  <c r="K107" i="124"/>
  <c r="J107" i="124"/>
  <c r="R106" i="124"/>
  <c r="Q106" i="124"/>
  <c r="P106" i="124"/>
  <c r="O106" i="124"/>
  <c r="N106" i="124"/>
  <c r="M106" i="124"/>
  <c r="L106" i="124"/>
  <c r="K106" i="124"/>
  <c r="J106" i="124"/>
  <c r="R105" i="124"/>
  <c r="Q105" i="124"/>
  <c r="P105" i="124"/>
  <c r="O105" i="124"/>
  <c r="N105" i="124"/>
  <c r="M105" i="124"/>
  <c r="L105" i="124"/>
  <c r="K105" i="124"/>
  <c r="J105" i="124"/>
  <c r="R104" i="124"/>
  <c r="Q104" i="124"/>
  <c r="P104" i="124"/>
  <c r="O104" i="124"/>
  <c r="N104" i="124"/>
  <c r="M104" i="124"/>
  <c r="L104" i="124"/>
  <c r="K104" i="124"/>
  <c r="J104" i="124"/>
  <c r="R103" i="124"/>
  <c r="Q103" i="124"/>
  <c r="P103" i="124"/>
  <c r="O103" i="124"/>
  <c r="N103" i="124"/>
  <c r="M103" i="124"/>
  <c r="L103" i="124"/>
  <c r="K103" i="124"/>
  <c r="J103" i="124"/>
  <c r="R102" i="124"/>
  <c r="Q102" i="124"/>
  <c r="P102" i="124"/>
  <c r="O102" i="124"/>
  <c r="N102" i="124"/>
  <c r="M102" i="124"/>
  <c r="L102" i="124"/>
  <c r="K102" i="124"/>
  <c r="J102" i="124"/>
  <c r="R101" i="124"/>
  <c r="Q101" i="124"/>
  <c r="P101" i="124"/>
  <c r="O101" i="124"/>
  <c r="N101" i="124"/>
  <c r="M101" i="124"/>
  <c r="L101" i="124"/>
  <c r="K101" i="124"/>
  <c r="J101" i="124"/>
  <c r="R100" i="124"/>
  <c r="Q100" i="124"/>
  <c r="P100" i="124"/>
  <c r="O100" i="124"/>
  <c r="N100" i="124"/>
  <c r="M100" i="124"/>
  <c r="L100" i="124"/>
  <c r="K100" i="124"/>
  <c r="J100" i="124"/>
  <c r="R99" i="124"/>
  <c r="Q99" i="124"/>
  <c r="P99" i="124"/>
  <c r="O99" i="124"/>
  <c r="N99" i="124"/>
  <c r="M99" i="124"/>
  <c r="L99" i="124"/>
  <c r="K99" i="124"/>
  <c r="J99" i="124"/>
  <c r="R98" i="124"/>
  <c r="Q98" i="124"/>
  <c r="P98" i="124"/>
  <c r="O98" i="124"/>
  <c r="N98" i="124"/>
  <c r="M98" i="124"/>
  <c r="L98" i="124"/>
  <c r="K98" i="124"/>
  <c r="J98" i="124"/>
  <c r="R97" i="124"/>
  <c r="Q97" i="124"/>
  <c r="P97" i="124"/>
  <c r="O97" i="124"/>
  <c r="N97" i="124"/>
  <c r="M97" i="124"/>
  <c r="L97" i="124"/>
  <c r="K97" i="124"/>
  <c r="J97" i="124"/>
  <c r="R96" i="124"/>
  <c r="Q96" i="124"/>
  <c r="P96" i="124"/>
  <c r="O96" i="124"/>
  <c r="N96" i="124"/>
  <c r="M96" i="124"/>
  <c r="L96" i="124"/>
  <c r="K96" i="124"/>
  <c r="J96" i="124"/>
  <c r="R95" i="124"/>
  <c r="Q95" i="124"/>
  <c r="P95" i="124"/>
  <c r="O95" i="124"/>
  <c r="N95" i="124"/>
  <c r="M95" i="124"/>
  <c r="L95" i="124"/>
  <c r="K95" i="124"/>
  <c r="J95" i="124"/>
  <c r="R94" i="124"/>
  <c r="Q94" i="124"/>
  <c r="P94" i="124"/>
  <c r="O94" i="124"/>
  <c r="N94" i="124"/>
  <c r="M94" i="124"/>
  <c r="L94" i="124"/>
  <c r="K94" i="124"/>
  <c r="J94" i="124"/>
  <c r="R93" i="124"/>
  <c r="Q93" i="124"/>
  <c r="P93" i="124"/>
  <c r="O93" i="124"/>
  <c r="N93" i="124"/>
  <c r="M93" i="124"/>
  <c r="L93" i="124"/>
  <c r="K93" i="124"/>
  <c r="J93" i="124"/>
  <c r="U91" i="124"/>
  <c r="T91" i="124"/>
  <c r="S91" i="124"/>
  <c r="R91" i="124"/>
  <c r="Q91" i="124"/>
  <c r="P91" i="124"/>
  <c r="O91" i="124"/>
  <c r="N91" i="124"/>
  <c r="M91" i="124"/>
  <c r="L91" i="124"/>
  <c r="K91" i="124"/>
  <c r="J91" i="124"/>
  <c r="U90" i="124"/>
  <c r="T90" i="124"/>
  <c r="S90" i="124"/>
  <c r="R90" i="124"/>
  <c r="Q90" i="124"/>
  <c r="P90" i="124"/>
  <c r="O90" i="124"/>
  <c r="N90" i="124"/>
  <c r="M90" i="124"/>
  <c r="L90" i="124"/>
  <c r="K90" i="124"/>
  <c r="J90" i="124"/>
  <c r="U89" i="124"/>
  <c r="T89" i="124"/>
  <c r="S89" i="124"/>
  <c r="R89" i="124"/>
  <c r="Q89" i="124"/>
  <c r="P89" i="124"/>
  <c r="O89" i="124"/>
  <c r="N89" i="124"/>
  <c r="M89" i="124"/>
  <c r="L89" i="124"/>
  <c r="K89" i="124"/>
  <c r="J89" i="124"/>
  <c r="U88" i="124"/>
  <c r="T88" i="124"/>
  <c r="S88" i="124"/>
  <c r="R88" i="124"/>
  <c r="Q88" i="124"/>
  <c r="P88" i="124"/>
  <c r="O88" i="124"/>
  <c r="N88" i="124"/>
  <c r="M88" i="124"/>
  <c r="L88" i="124"/>
  <c r="K88" i="124"/>
  <c r="J88" i="124"/>
  <c r="U87" i="124"/>
  <c r="T87" i="124"/>
  <c r="S87" i="124"/>
  <c r="R87" i="124"/>
  <c r="Q87" i="124"/>
  <c r="P87" i="124"/>
  <c r="O87" i="124"/>
  <c r="N87" i="124"/>
  <c r="M87" i="124"/>
  <c r="L87" i="124"/>
  <c r="K87" i="124"/>
  <c r="J87" i="124"/>
  <c r="U86" i="124"/>
  <c r="T86" i="124"/>
  <c r="S86" i="124"/>
  <c r="R86" i="124"/>
  <c r="Q86" i="124"/>
  <c r="P86" i="124"/>
  <c r="O86" i="124"/>
  <c r="N86" i="124"/>
  <c r="M86" i="124"/>
  <c r="L86" i="124"/>
  <c r="K86" i="124"/>
  <c r="J86" i="124"/>
  <c r="U85" i="124"/>
  <c r="T85" i="124"/>
  <c r="S85" i="124"/>
  <c r="R85" i="124"/>
  <c r="Q85" i="124"/>
  <c r="P85" i="124"/>
  <c r="O85" i="124"/>
  <c r="N85" i="124"/>
  <c r="M85" i="124"/>
  <c r="L85" i="124"/>
  <c r="K85" i="124"/>
  <c r="J85" i="124"/>
  <c r="U84" i="124"/>
  <c r="T84" i="124"/>
  <c r="S84" i="124"/>
  <c r="R84" i="124"/>
  <c r="Q84" i="124"/>
  <c r="P84" i="124"/>
  <c r="O84" i="124"/>
  <c r="N84" i="124"/>
  <c r="M84" i="124"/>
  <c r="L84" i="124"/>
  <c r="K84" i="124"/>
  <c r="J84" i="124"/>
  <c r="U83" i="124"/>
  <c r="T83" i="124"/>
  <c r="S83" i="124"/>
  <c r="R83" i="124"/>
  <c r="Q83" i="124"/>
  <c r="P83" i="124"/>
  <c r="O83" i="124"/>
  <c r="N83" i="124"/>
  <c r="M83" i="124"/>
  <c r="L83" i="124"/>
  <c r="K83" i="124"/>
  <c r="J83" i="124"/>
  <c r="U82" i="124"/>
  <c r="T82" i="124"/>
  <c r="S82" i="124"/>
  <c r="R82" i="124"/>
  <c r="Q82" i="124"/>
  <c r="P82" i="124"/>
  <c r="O82" i="124"/>
  <c r="N82" i="124"/>
  <c r="M82" i="124"/>
  <c r="L82" i="124"/>
  <c r="K82" i="124"/>
  <c r="J82" i="124"/>
  <c r="U81" i="124"/>
  <c r="T81" i="124"/>
  <c r="S81" i="124"/>
  <c r="R81" i="124"/>
  <c r="Q81" i="124"/>
  <c r="P81" i="124"/>
  <c r="O81" i="124"/>
  <c r="N81" i="124"/>
  <c r="M81" i="124"/>
  <c r="L81" i="124"/>
  <c r="K81" i="124"/>
  <c r="J81" i="124"/>
  <c r="U80" i="124"/>
  <c r="T80" i="124"/>
  <c r="S80" i="124"/>
  <c r="R80" i="124"/>
  <c r="Q80" i="124"/>
  <c r="P80" i="124"/>
  <c r="O80" i="124"/>
  <c r="N80" i="124"/>
  <c r="M80" i="124"/>
  <c r="L80" i="124"/>
  <c r="K80" i="124"/>
  <c r="J80" i="124"/>
  <c r="U79" i="124"/>
  <c r="T79" i="124"/>
  <c r="S79" i="124"/>
  <c r="R79" i="124"/>
  <c r="Q79" i="124"/>
  <c r="P79" i="124"/>
  <c r="O79" i="124"/>
  <c r="N79" i="124"/>
  <c r="M79" i="124"/>
  <c r="L79" i="124"/>
  <c r="K79" i="124"/>
  <c r="J79" i="124"/>
  <c r="U78" i="124"/>
  <c r="T78" i="124"/>
  <c r="S78" i="124"/>
  <c r="R78" i="124"/>
  <c r="Q78" i="124"/>
  <c r="P78" i="124"/>
  <c r="O78" i="124"/>
  <c r="N78" i="124"/>
  <c r="M78" i="124"/>
  <c r="L78" i="124"/>
  <c r="K78" i="124"/>
  <c r="J78" i="124"/>
  <c r="R77" i="124"/>
  <c r="Q77" i="124"/>
  <c r="P77" i="124"/>
  <c r="O77" i="124"/>
  <c r="N77" i="124"/>
  <c r="M77" i="124"/>
  <c r="L77" i="124"/>
  <c r="K77" i="124"/>
  <c r="J77" i="124"/>
  <c r="R76" i="124"/>
  <c r="Q76" i="124"/>
  <c r="P76" i="124"/>
  <c r="O76" i="124"/>
  <c r="N76" i="124"/>
  <c r="M76" i="124"/>
  <c r="L76" i="124"/>
  <c r="K76" i="124"/>
  <c r="J76" i="124"/>
  <c r="U75" i="124"/>
  <c r="T75" i="124"/>
  <c r="S75" i="124"/>
  <c r="R75" i="124"/>
  <c r="Q75" i="124"/>
  <c r="P75" i="124"/>
  <c r="O75" i="124"/>
  <c r="N75" i="124"/>
  <c r="M75" i="124"/>
  <c r="L75" i="124"/>
  <c r="K75" i="124"/>
  <c r="J75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U73" i="124"/>
  <c r="T73" i="124"/>
  <c r="S73" i="124"/>
  <c r="R73" i="124"/>
  <c r="Q73" i="124"/>
  <c r="P73" i="124"/>
  <c r="O73" i="124"/>
  <c r="N73" i="124"/>
  <c r="M73" i="124"/>
  <c r="L73" i="124"/>
  <c r="K73" i="124"/>
  <c r="J73" i="124"/>
  <c r="R72" i="124"/>
  <c r="Q72" i="124"/>
  <c r="P72" i="124"/>
  <c r="O72" i="124"/>
  <c r="N72" i="124"/>
  <c r="M72" i="124"/>
  <c r="L72" i="124"/>
  <c r="K72" i="124"/>
  <c r="J72" i="124"/>
  <c r="U71" i="124"/>
  <c r="T71" i="124"/>
  <c r="S71" i="124"/>
  <c r="R71" i="124"/>
  <c r="Q71" i="124"/>
  <c r="P71" i="124"/>
  <c r="O71" i="124"/>
  <c r="N71" i="124"/>
  <c r="M71" i="124"/>
  <c r="L71" i="124"/>
  <c r="K71" i="124"/>
  <c r="J71" i="124"/>
  <c r="R70" i="124"/>
  <c r="Q70" i="124"/>
  <c r="P70" i="124"/>
  <c r="O70" i="124"/>
  <c r="N70" i="124"/>
  <c r="M70" i="124"/>
  <c r="L70" i="124"/>
  <c r="K70" i="124"/>
  <c r="J70" i="124"/>
  <c r="U69" i="124"/>
  <c r="T69" i="124"/>
  <c r="S69" i="124"/>
  <c r="R69" i="124"/>
  <c r="Q69" i="124"/>
  <c r="P69" i="124"/>
  <c r="O69" i="124"/>
  <c r="N69" i="124"/>
  <c r="M69" i="124"/>
  <c r="L69" i="124"/>
  <c r="K69" i="124"/>
  <c r="J69" i="124"/>
  <c r="U68" i="124"/>
  <c r="T68" i="124"/>
  <c r="S68" i="124"/>
  <c r="R68" i="124"/>
  <c r="Q68" i="124"/>
  <c r="P68" i="124"/>
  <c r="O68" i="124"/>
  <c r="N68" i="124"/>
  <c r="M68" i="124"/>
  <c r="L68" i="124"/>
  <c r="K68" i="124"/>
  <c r="J68" i="124"/>
  <c r="R67" i="124"/>
  <c r="Q67" i="124"/>
  <c r="P67" i="124"/>
  <c r="O67" i="124"/>
  <c r="N67" i="124"/>
  <c r="M67" i="124"/>
  <c r="L67" i="124"/>
  <c r="K67" i="124"/>
  <c r="J67" i="124"/>
  <c r="R66" i="124"/>
  <c r="Q66" i="124"/>
  <c r="P66" i="124"/>
  <c r="O66" i="124"/>
  <c r="N66" i="124"/>
  <c r="M66" i="124"/>
  <c r="L66" i="124"/>
  <c r="K66" i="124"/>
  <c r="J66" i="124"/>
  <c r="U65" i="124"/>
  <c r="T65" i="124"/>
  <c r="S65" i="124"/>
  <c r="R65" i="124"/>
  <c r="Q65" i="124"/>
  <c r="P65" i="124"/>
  <c r="O65" i="124"/>
  <c r="N65" i="124"/>
  <c r="M65" i="124"/>
  <c r="L65" i="124"/>
  <c r="K65" i="124"/>
  <c r="J65" i="124"/>
  <c r="R64" i="124"/>
  <c r="Q64" i="124"/>
  <c r="P64" i="124"/>
  <c r="O64" i="124"/>
  <c r="N64" i="124"/>
  <c r="M64" i="124"/>
  <c r="L64" i="124"/>
  <c r="K64" i="124"/>
  <c r="J64" i="124"/>
  <c r="U63" i="124"/>
  <c r="T63" i="124"/>
  <c r="S63" i="124"/>
  <c r="R63" i="124"/>
  <c r="Q63" i="124"/>
  <c r="P63" i="124"/>
  <c r="O63" i="124"/>
  <c r="N63" i="124"/>
  <c r="M63" i="124"/>
  <c r="L63" i="124"/>
  <c r="K63" i="124"/>
  <c r="J63" i="124"/>
  <c r="U62" i="124"/>
  <c r="T62" i="124"/>
  <c r="S62" i="124"/>
  <c r="R62" i="124"/>
  <c r="Q62" i="124"/>
  <c r="P62" i="124"/>
  <c r="O62" i="124"/>
  <c r="N62" i="124"/>
  <c r="M62" i="124"/>
  <c r="L62" i="124"/>
  <c r="K62" i="124"/>
  <c r="J62" i="124"/>
  <c r="U61" i="124"/>
  <c r="U61" i="174" s="1"/>
  <c r="T61" i="124"/>
  <c r="T61" i="174" s="1"/>
  <c r="S61" i="124"/>
  <c r="S61" i="174" s="1"/>
  <c r="R61" i="124"/>
  <c r="R61" i="174" s="1"/>
  <c r="Q61" i="124"/>
  <c r="Q61" i="174" s="1"/>
  <c r="P61" i="124"/>
  <c r="P61" i="174" s="1"/>
  <c r="O61" i="124"/>
  <c r="O61" i="174" s="1"/>
  <c r="N61" i="124"/>
  <c r="N61" i="174" s="1"/>
  <c r="M61" i="124"/>
  <c r="M61" i="174" s="1"/>
  <c r="L61" i="124"/>
  <c r="L61" i="174" s="1"/>
  <c r="K61" i="124"/>
  <c r="K61" i="174" s="1"/>
  <c r="J61" i="124"/>
  <c r="J61" i="174" s="1"/>
  <c r="AJ61" i="174"/>
  <c r="AI61" i="174"/>
  <c r="AH61" i="174"/>
  <c r="AG61" i="174"/>
  <c r="AF61" i="174"/>
  <c r="AE61" i="174"/>
  <c r="AD61" i="174"/>
  <c r="AC61" i="174"/>
  <c r="AB61" i="174"/>
  <c r="AA61" i="174"/>
  <c r="Z61" i="174"/>
  <c r="V61" i="124"/>
  <c r="V61" i="174" s="1"/>
  <c r="J165" i="86"/>
  <c r="K165" i="86"/>
  <c r="L165" i="86"/>
  <c r="M165" i="86"/>
  <c r="N165" i="86"/>
  <c r="O165" i="86"/>
  <c r="P165" i="86"/>
  <c r="V149" i="87"/>
  <c r="V149" i="68"/>
  <c r="V149" i="83"/>
  <c r="V149" i="74"/>
  <c r="V149" i="84"/>
  <c r="V149" i="86"/>
  <c r="AK61" i="87"/>
  <c r="V61" i="87"/>
  <c r="AK61" i="68"/>
  <c r="V61" i="68"/>
  <c r="AK61" i="83"/>
  <c r="V61" i="83"/>
  <c r="AK61" i="74"/>
  <c r="V61" i="74"/>
  <c r="AK61" i="84"/>
  <c r="V61" i="84"/>
  <c r="AK61" i="86"/>
  <c r="V61" i="86"/>
  <c r="V149" i="85"/>
  <c r="AK61" i="85"/>
  <c r="V61" i="85"/>
  <c r="J165" i="85"/>
  <c r="K165" i="85"/>
  <c r="L165" i="85"/>
  <c r="M165" i="85"/>
  <c r="N165" i="85"/>
  <c r="O165" i="85"/>
  <c r="P165" i="85"/>
  <c r="AJ388" i="174"/>
  <c r="AI388" i="174"/>
  <c r="AH388" i="174"/>
  <c r="AG388" i="174"/>
  <c r="AF388" i="174"/>
  <c r="AE388" i="174"/>
  <c r="AD388" i="174"/>
  <c r="AC388" i="174"/>
  <c r="AB388" i="174"/>
  <c r="AA388" i="174"/>
  <c r="Z388" i="174"/>
  <c r="Y388" i="174"/>
  <c r="AJ383" i="174"/>
  <c r="AI383" i="174"/>
  <c r="AH383" i="174"/>
  <c r="AG383" i="174"/>
  <c r="AF383" i="174"/>
  <c r="AE383" i="174"/>
  <c r="AD383" i="174"/>
  <c r="AC383" i="174"/>
  <c r="AB383" i="174"/>
  <c r="AA383" i="174"/>
  <c r="Z383" i="174"/>
  <c r="Y383" i="174"/>
  <c r="AJ382" i="174"/>
  <c r="AI382" i="174"/>
  <c r="AH382" i="174"/>
  <c r="AG382" i="174"/>
  <c r="AF382" i="174"/>
  <c r="AE382" i="174"/>
  <c r="AD382" i="174"/>
  <c r="AC382" i="174"/>
  <c r="AB382" i="174"/>
  <c r="AA382" i="174"/>
  <c r="Z382" i="174"/>
  <c r="Y382" i="174"/>
  <c r="AK388" i="174"/>
  <c r="AK387" i="174"/>
  <c r="AK386" i="174"/>
  <c r="AK385" i="174"/>
  <c r="AK384" i="174"/>
  <c r="AK383" i="174"/>
  <c r="AK382" i="174"/>
  <c r="AK381" i="174"/>
  <c r="AJ381" i="174"/>
  <c r="AI381" i="174"/>
  <c r="AH381" i="174"/>
  <c r="AG381" i="174"/>
  <c r="AF381" i="174"/>
  <c r="AE381" i="174"/>
  <c r="AD381" i="174"/>
  <c r="AC381" i="174"/>
  <c r="AB381" i="174"/>
  <c r="AA381" i="174"/>
  <c r="Z381" i="174"/>
  <c r="Y381" i="174"/>
  <c r="AK378" i="174"/>
  <c r="AK377" i="174"/>
  <c r="AK376" i="174"/>
  <c r="AK375" i="174"/>
  <c r="AH373" i="174"/>
  <c r="AG373" i="174"/>
  <c r="AF373" i="174"/>
  <c r="AE373" i="174"/>
  <c r="AD373" i="174"/>
  <c r="AC373" i="174"/>
  <c r="AB373" i="174"/>
  <c r="AA373" i="174"/>
  <c r="Z373" i="174"/>
  <c r="Y373" i="174"/>
  <c r="AK371" i="174"/>
  <c r="AK370" i="174"/>
  <c r="AK369" i="174"/>
  <c r="AK368" i="174"/>
  <c r="AK367" i="174"/>
  <c r="AK365" i="174"/>
  <c r="AK364" i="174"/>
  <c r="AK363" i="174"/>
  <c r="AK362" i="174"/>
  <c r="AK360" i="174"/>
  <c r="AK359" i="174"/>
  <c r="AK358" i="174"/>
  <c r="AH357" i="174"/>
  <c r="AG357" i="174"/>
  <c r="AF357" i="174"/>
  <c r="AE357" i="174"/>
  <c r="AD357" i="174"/>
  <c r="AC357" i="174"/>
  <c r="AB357" i="174"/>
  <c r="AA357" i="174"/>
  <c r="Z357" i="174"/>
  <c r="Y357" i="174"/>
  <c r="V388" i="174"/>
  <c r="V387" i="174"/>
  <c r="V386" i="174"/>
  <c r="V385" i="174"/>
  <c r="V384" i="174"/>
  <c r="V383" i="174"/>
  <c r="V382" i="174"/>
  <c r="V381" i="174"/>
  <c r="U381" i="174"/>
  <c r="T381" i="174"/>
  <c r="S381" i="174"/>
  <c r="R381" i="174"/>
  <c r="Q381" i="174"/>
  <c r="P381" i="174"/>
  <c r="O381" i="174"/>
  <c r="N381" i="174"/>
  <c r="M381" i="174"/>
  <c r="L381" i="174"/>
  <c r="K381" i="174"/>
  <c r="J381" i="174"/>
  <c r="V378" i="174"/>
  <c r="V377" i="174"/>
  <c r="V376" i="174"/>
  <c r="V375" i="174"/>
  <c r="T373" i="174"/>
  <c r="S373" i="174"/>
  <c r="R373" i="174"/>
  <c r="Q373" i="174"/>
  <c r="P373" i="174"/>
  <c r="O373" i="174"/>
  <c r="N373" i="174"/>
  <c r="M373" i="174"/>
  <c r="L373" i="174"/>
  <c r="K373" i="174"/>
  <c r="J373" i="174"/>
  <c r="T357" i="174"/>
  <c r="S357" i="174"/>
  <c r="R357" i="174"/>
  <c r="Q357" i="174"/>
  <c r="P357" i="174"/>
  <c r="O357" i="174"/>
  <c r="N357" i="174"/>
  <c r="M357" i="174"/>
  <c r="L357" i="174"/>
  <c r="K357" i="174"/>
  <c r="J357" i="174"/>
  <c r="V371" i="174"/>
  <c r="V370" i="174"/>
  <c r="V369" i="174"/>
  <c r="V368" i="174"/>
  <c r="V367" i="174"/>
  <c r="V365" i="174"/>
  <c r="V364" i="174"/>
  <c r="V363" i="174"/>
  <c r="V362" i="174"/>
  <c r="V360" i="174"/>
  <c r="V359" i="174"/>
  <c r="V358" i="174"/>
  <c r="AK55" i="87"/>
  <c r="Y52" i="87"/>
  <c r="Y52" i="68"/>
  <c r="Y52" i="83"/>
  <c r="Y52" i="74"/>
  <c r="Y52" i="84"/>
  <c r="Y52" i="86"/>
  <c r="Y90" i="83"/>
  <c r="Y90" i="74"/>
  <c r="Y90" i="124"/>
  <c r="U341" i="174"/>
  <c r="T341" i="174"/>
  <c r="S341" i="174"/>
  <c r="R341" i="174"/>
  <c r="Q341" i="174"/>
  <c r="P341" i="174"/>
  <c r="O341" i="174"/>
  <c r="N341" i="174"/>
  <c r="M341" i="174"/>
  <c r="L341" i="174"/>
  <c r="K341" i="174"/>
  <c r="J341" i="174"/>
  <c r="U330" i="174"/>
  <c r="T330" i="174"/>
  <c r="S330" i="174"/>
  <c r="R330" i="174"/>
  <c r="Q330" i="174"/>
  <c r="P330" i="174"/>
  <c r="O330" i="174"/>
  <c r="N330" i="174"/>
  <c r="M330" i="174"/>
  <c r="L330" i="174"/>
  <c r="K330" i="174"/>
  <c r="J330" i="174"/>
  <c r="U325" i="174"/>
  <c r="T325" i="174"/>
  <c r="S325" i="174"/>
  <c r="R325" i="174"/>
  <c r="Q325" i="174"/>
  <c r="P325" i="174"/>
  <c r="O325" i="174"/>
  <c r="N325" i="174"/>
  <c r="M325" i="174"/>
  <c r="L325" i="174"/>
  <c r="K325" i="174"/>
  <c r="J325" i="174"/>
  <c r="U308" i="174"/>
  <c r="T308" i="174"/>
  <c r="S308" i="174"/>
  <c r="R308" i="174"/>
  <c r="Q308" i="174"/>
  <c r="P308" i="174"/>
  <c r="O308" i="174"/>
  <c r="N308" i="174"/>
  <c r="M308" i="174"/>
  <c r="L308" i="174"/>
  <c r="K308" i="174"/>
  <c r="J308" i="174"/>
  <c r="V347" i="174"/>
  <c r="V346" i="174"/>
  <c r="V345" i="174"/>
  <c r="V344" i="174"/>
  <c r="V343" i="174"/>
  <c r="V342" i="174"/>
  <c r="V341" i="174"/>
  <c r="V340" i="174"/>
  <c r="V339" i="174"/>
  <c r="V338" i="174"/>
  <c r="V337" i="174"/>
  <c r="V336" i="174"/>
  <c r="V335" i="174"/>
  <c r="V334" i="174"/>
  <c r="V333" i="174"/>
  <c r="V332" i="174"/>
  <c r="V331" i="174"/>
  <c r="V330" i="174"/>
  <c r="V329" i="174"/>
  <c r="V328" i="174"/>
  <c r="V327" i="174"/>
  <c r="V326" i="174"/>
  <c r="V325" i="174"/>
  <c r="V324" i="174"/>
  <c r="V323" i="174"/>
  <c r="V322" i="174"/>
  <c r="V321" i="174"/>
  <c r="V320" i="174"/>
  <c r="V319" i="174"/>
  <c r="V318" i="174"/>
  <c r="V317" i="174"/>
  <c r="V316" i="174"/>
  <c r="V315" i="174"/>
  <c r="V314" i="174"/>
  <c r="V313" i="174"/>
  <c r="V312" i="174"/>
  <c r="V311" i="174"/>
  <c r="V310" i="174"/>
  <c r="V309" i="174"/>
  <c r="V308" i="174"/>
  <c r="V307" i="174"/>
  <c r="V306" i="174"/>
  <c r="V305" i="174"/>
  <c r="V304" i="174"/>
  <c r="V303" i="174"/>
  <c r="V302" i="174"/>
  <c r="V301" i="174"/>
  <c r="V300" i="174"/>
  <c r="V299" i="174"/>
  <c r="V298" i="174"/>
  <c r="V297" i="174"/>
  <c r="V296" i="174"/>
  <c r="V295" i="174"/>
  <c r="V294" i="174"/>
  <c r="V293" i="174"/>
  <c r="V292" i="174"/>
  <c r="V291" i="174"/>
  <c r="V290" i="174"/>
  <c r="V289" i="174"/>
  <c r="V288" i="174"/>
  <c r="V287" i="174"/>
  <c r="V286" i="174"/>
  <c r="V285" i="174"/>
  <c r="V284" i="174"/>
  <c r="V283" i="174"/>
  <c r="V282" i="174"/>
  <c r="V281" i="174"/>
  <c r="V280" i="174"/>
  <c r="V279" i="174"/>
  <c r="V278" i="174"/>
  <c r="V277" i="174"/>
  <c r="V276" i="174"/>
  <c r="V275" i="174"/>
  <c r="V274" i="174"/>
  <c r="V273" i="174"/>
  <c r="V272" i="174"/>
  <c r="V271" i="174"/>
  <c r="V270" i="174"/>
  <c r="V269" i="174"/>
  <c r="V268" i="174"/>
  <c r="V267" i="174"/>
  <c r="V266" i="174"/>
  <c r="V265" i="174"/>
  <c r="V264" i="174"/>
  <c r="V263" i="174"/>
  <c r="V262" i="174"/>
  <c r="U261" i="174"/>
  <c r="T261" i="174"/>
  <c r="S261" i="174"/>
  <c r="R261" i="174"/>
  <c r="Q261" i="174"/>
  <c r="P261" i="174"/>
  <c r="O261" i="174"/>
  <c r="N261" i="174"/>
  <c r="M261" i="174"/>
  <c r="L261" i="174"/>
  <c r="K261" i="174"/>
  <c r="J261" i="174"/>
  <c r="V261" i="174" s="1"/>
  <c r="AK330" i="174"/>
  <c r="AK325" i="174"/>
  <c r="AK308" i="174"/>
  <c r="AM347" i="174"/>
  <c r="AM346" i="174"/>
  <c r="AM345" i="174"/>
  <c r="AM344" i="174"/>
  <c r="AM342" i="174"/>
  <c r="AM340" i="174"/>
  <c r="AM339" i="174"/>
  <c r="AM338" i="174"/>
  <c r="AM337" i="174"/>
  <c r="AM336" i="174"/>
  <c r="AM335" i="174"/>
  <c r="AM334" i="174"/>
  <c r="AM333" i="174"/>
  <c r="AM332" i="174"/>
  <c r="AM331" i="174"/>
  <c r="AM330" i="174"/>
  <c r="AM329" i="174"/>
  <c r="AM328" i="174"/>
  <c r="AM327" i="174"/>
  <c r="AM326" i="174"/>
  <c r="AM325" i="174"/>
  <c r="AM324" i="174"/>
  <c r="AM323" i="174"/>
  <c r="AM322" i="174"/>
  <c r="AM321" i="174"/>
  <c r="AM320" i="174"/>
  <c r="AM319" i="174"/>
  <c r="AM318" i="174"/>
  <c r="AM317" i="174"/>
  <c r="AM316" i="174"/>
  <c r="AM315" i="174"/>
  <c r="AM314" i="174"/>
  <c r="AM313" i="174"/>
  <c r="AM312" i="174"/>
  <c r="AM311" i="174"/>
  <c r="AM310" i="174"/>
  <c r="AM309" i="174"/>
  <c r="AM308" i="174"/>
  <c r="AM307" i="174"/>
  <c r="AM306" i="174"/>
  <c r="AM305" i="174"/>
  <c r="AM304" i="174"/>
  <c r="AM303" i="174"/>
  <c r="AM302" i="174"/>
  <c r="AM301" i="174"/>
  <c r="AM300" i="174"/>
  <c r="AM299" i="174"/>
  <c r="AM298" i="174"/>
  <c r="AM297" i="174"/>
  <c r="AM296" i="174"/>
  <c r="AM295" i="174"/>
  <c r="AM294" i="174"/>
  <c r="AM293" i="174"/>
  <c r="AM292" i="174"/>
  <c r="AM291" i="174"/>
  <c r="AM290" i="174"/>
  <c r="AM289" i="174"/>
  <c r="AM288" i="174"/>
  <c r="AM287" i="174"/>
  <c r="AM286" i="174"/>
  <c r="AM285" i="174"/>
  <c r="AM284" i="174"/>
  <c r="AM283" i="174"/>
  <c r="AM282" i="174"/>
  <c r="AM281" i="174"/>
  <c r="AM280" i="174"/>
  <c r="AM279" i="174"/>
  <c r="AM278" i="174"/>
  <c r="AM277" i="174"/>
  <c r="AM276" i="174"/>
  <c r="AM275" i="174"/>
  <c r="AM274" i="174"/>
  <c r="AM273" i="174"/>
  <c r="AM272" i="174"/>
  <c r="AM271" i="174"/>
  <c r="AM270" i="174"/>
  <c r="AM269" i="174"/>
  <c r="AM268" i="174"/>
  <c r="AM267" i="174"/>
  <c r="AM265" i="174"/>
  <c r="AM264" i="174"/>
  <c r="AM263" i="174"/>
  <c r="AM262" i="174"/>
  <c r="Y343" i="174"/>
  <c r="Y341" i="174" s="1"/>
  <c r="Z343" i="174"/>
  <c r="Z341" i="174" s="1"/>
  <c r="AA343" i="174"/>
  <c r="AA341" i="174" s="1"/>
  <c r="AB343" i="174"/>
  <c r="AB341" i="174" s="1"/>
  <c r="AC343" i="174"/>
  <c r="AC341" i="174" s="1"/>
  <c r="AD343" i="174"/>
  <c r="AD341" i="174" s="1"/>
  <c r="AE343" i="174"/>
  <c r="AE341" i="174" s="1"/>
  <c r="AF343" i="174"/>
  <c r="AF341" i="174" s="1"/>
  <c r="AG343" i="174"/>
  <c r="AG341" i="174" s="1"/>
  <c r="AH343" i="174"/>
  <c r="AH341" i="174" s="1"/>
  <c r="AI343" i="174"/>
  <c r="AI341" i="174" s="1"/>
  <c r="AJ343" i="174"/>
  <c r="AJ341" i="174" s="1"/>
  <c r="AK343" i="174"/>
  <c r="AJ266" i="174"/>
  <c r="AJ261" i="174" s="1"/>
  <c r="AI266" i="174"/>
  <c r="AI261" i="174" s="1"/>
  <c r="AH266" i="174"/>
  <c r="AH261" i="174" s="1"/>
  <c r="AG266" i="174"/>
  <c r="AG261" i="174" s="1"/>
  <c r="AF266" i="174"/>
  <c r="AF261" i="174" s="1"/>
  <c r="AE266" i="174"/>
  <c r="AE261" i="174" s="1"/>
  <c r="AD266" i="174"/>
  <c r="AD261" i="174" s="1"/>
  <c r="AC266" i="174"/>
  <c r="AC261" i="174" s="1"/>
  <c r="AB266" i="174"/>
  <c r="AB261" i="174" s="1"/>
  <c r="AA266" i="174"/>
  <c r="AA261" i="174" s="1"/>
  <c r="Z266" i="174"/>
  <c r="Z261" i="174" s="1"/>
  <c r="Y266" i="174"/>
  <c r="Y335" i="175"/>
  <c r="AJ335" i="175"/>
  <c r="AI335" i="175"/>
  <c r="AH335" i="175"/>
  <c r="AG335" i="175"/>
  <c r="AF335" i="175"/>
  <c r="AE335" i="175"/>
  <c r="AD335" i="175"/>
  <c r="AC335" i="175"/>
  <c r="AB335" i="175"/>
  <c r="AA335" i="175"/>
  <c r="Z335" i="175"/>
  <c r="AJ258" i="175"/>
  <c r="AI258" i="175"/>
  <c r="AH258" i="175"/>
  <c r="AG258" i="175"/>
  <c r="AF258" i="175"/>
  <c r="AE258" i="175"/>
  <c r="AD258" i="175"/>
  <c r="AC258" i="175"/>
  <c r="AB258" i="175"/>
  <c r="AA258" i="175"/>
  <c r="Z258" i="175"/>
  <c r="Y258" i="175"/>
  <c r="AK156" i="175"/>
  <c r="R156" i="175"/>
  <c r="Q156" i="175"/>
  <c r="P156" i="175"/>
  <c r="O156" i="175"/>
  <c r="N156" i="175"/>
  <c r="M156" i="175"/>
  <c r="L156" i="175"/>
  <c r="K156" i="175"/>
  <c r="J156" i="175"/>
  <c r="AK155" i="175"/>
  <c r="U155" i="175"/>
  <c r="T155" i="175"/>
  <c r="S155" i="175"/>
  <c r="R155" i="175"/>
  <c r="Q155" i="175"/>
  <c r="P155" i="175"/>
  <c r="O155" i="175"/>
  <c r="N155" i="175"/>
  <c r="M155" i="175"/>
  <c r="L155" i="175"/>
  <c r="K155" i="175"/>
  <c r="J155" i="175"/>
  <c r="V155" i="175" s="1"/>
  <c r="AK154" i="175"/>
  <c r="R154" i="175"/>
  <c r="Q154" i="175"/>
  <c r="P154" i="175"/>
  <c r="O154" i="175"/>
  <c r="N154" i="175"/>
  <c r="M154" i="175"/>
  <c r="L154" i="175"/>
  <c r="K154" i="175"/>
  <c r="J154" i="175"/>
  <c r="AK153" i="175"/>
  <c r="U153" i="175"/>
  <c r="T153" i="175"/>
  <c r="S153" i="175"/>
  <c r="R153" i="175"/>
  <c r="Q153" i="175"/>
  <c r="P153" i="175"/>
  <c r="O153" i="175"/>
  <c r="N153" i="175"/>
  <c r="M153" i="175"/>
  <c r="L153" i="175"/>
  <c r="K153" i="175"/>
  <c r="J153" i="175"/>
  <c r="V153" i="175" s="1"/>
  <c r="AK152" i="175"/>
  <c r="U152" i="175"/>
  <c r="T152" i="175"/>
  <c r="S152" i="175"/>
  <c r="R152" i="175"/>
  <c r="Q152" i="175"/>
  <c r="P152" i="175"/>
  <c r="O152" i="175"/>
  <c r="N152" i="175"/>
  <c r="M152" i="175"/>
  <c r="L152" i="175"/>
  <c r="K152" i="175"/>
  <c r="J152" i="175"/>
  <c r="V152" i="175" s="1"/>
  <c r="R151" i="175"/>
  <c r="Q151" i="175"/>
  <c r="P151" i="175"/>
  <c r="O151" i="175"/>
  <c r="N151" i="175"/>
  <c r="M151" i="175"/>
  <c r="L151" i="175"/>
  <c r="K151" i="175"/>
  <c r="J151" i="175"/>
  <c r="U150" i="175"/>
  <c r="T150" i="175"/>
  <c r="S150" i="175"/>
  <c r="R150" i="175"/>
  <c r="Q150" i="175"/>
  <c r="P150" i="175"/>
  <c r="O150" i="175"/>
  <c r="N150" i="175"/>
  <c r="M150" i="175"/>
  <c r="L150" i="175"/>
  <c r="K150" i="175"/>
  <c r="J150" i="175"/>
  <c r="V150" i="175" s="1"/>
  <c r="R149" i="175"/>
  <c r="Q149" i="175"/>
  <c r="P149" i="175"/>
  <c r="O149" i="175"/>
  <c r="N149" i="175"/>
  <c r="M149" i="175"/>
  <c r="L149" i="175"/>
  <c r="K149" i="175"/>
  <c r="J149" i="175"/>
  <c r="Q148" i="175"/>
  <c r="P148" i="175"/>
  <c r="O148" i="175"/>
  <c r="N148" i="175"/>
  <c r="M148" i="175"/>
  <c r="L148" i="175"/>
  <c r="K148" i="175"/>
  <c r="J148" i="175"/>
  <c r="U147" i="175"/>
  <c r="T147" i="175"/>
  <c r="S147" i="175"/>
  <c r="R147" i="175"/>
  <c r="Q147" i="175"/>
  <c r="P147" i="175"/>
  <c r="O147" i="175"/>
  <c r="N147" i="175"/>
  <c r="M147" i="175"/>
  <c r="L147" i="175"/>
  <c r="K147" i="175"/>
  <c r="J147" i="175"/>
  <c r="V147" i="175" s="1"/>
  <c r="AJ146" i="175"/>
  <c r="AI146" i="175"/>
  <c r="AH146" i="175"/>
  <c r="AG146" i="175"/>
  <c r="AF146" i="175"/>
  <c r="AE146" i="175"/>
  <c r="AD146" i="175"/>
  <c r="AC146" i="175"/>
  <c r="AB146" i="175"/>
  <c r="AA146" i="175"/>
  <c r="Z146" i="175"/>
  <c r="Y146" i="175"/>
  <c r="AK146" i="175" s="1"/>
  <c r="U146" i="175"/>
  <c r="T146" i="175"/>
  <c r="S146" i="175"/>
  <c r="R146" i="175"/>
  <c r="Q146" i="175"/>
  <c r="P146" i="175"/>
  <c r="O146" i="175"/>
  <c r="N146" i="175"/>
  <c r="M146" i="175"/>
  <c r="L146" i="175"/>
  <c r="K146" i="175"/>
  <c r="J146" i="175"/>
  <c r="V146" i="175" s="1"/>
  <c r="U145" i="175"/>
  <c r="T145" i="175"/>
  <c r="S145" i="175"/>
  <c r="R145" i="175"/>
  <c r="Q145" i="175"/>
  <c r="P145" i="175"/>
  <c r="O145" i="175"/>
  <c r="N145" i="175"/>
  <c r="M145" i="175"/>
  <c r="L145" i="175"/>
  <c r="K145" i="175"/>
  <c r="J145" i="175"/>
  <c r="V145" i="175" s="1"/>
  <c r="U144" i="175"/>
  <c r="T144" i="175"/>
  <c r="S144" i="175"/>
  <c r="R144" i="175"/>
  <c r="Q144" i="175"/>
  <c r="P144" i="175"/>
  <c r="O144" i="175"/>
  <c r="N144" i="175"/>
  <c r="M144" i="175"/>
  <c r="L144" i="175"/>
  <c r="K144" i="175"/>
  <c r="J144" i="175"/>
  <c r="V144" i="175" s="1"/>
  <c r="U143" i="175"/>
  <c r="T143" i="175"/>
  <c r="S143" i="175"/>
  <c r="R143" i="175"/>
  <c r="Q143" i="175"/>
  <c r="P143" i="175"/>
  <c r="O143" i="175"/>
  <c r="N143" i="175"/>
  <c r="M143" i="175"/>
  <c r="L143" i="175"/>
  <c r="K143" i="175"/>
  <c r="J143" i="175"/>
  <c r="V143" i="175" s="1"/>
  <c r="U142" i="175"/>
  <c r="T142" i="175"/>
  <c r="S142" i="175"/>
  <c r="R142" i="175"/>
  <c r="Q142" i="175"/>
  <c r="P142" i="175"/>
  <c r="O142" i="175"/>
  <c r="N142" i="175"/>
  <c r="M142" i="175"/>
  <c r="L142" i="175"/>
  <c r="K142" i="175"/>
  <c r="J142" i="175"/>
  <c r="V142" i="175" s="1"/>
  <c r="U141" i="175"/>
  <c r="T141" i="175"/>
  <c r="S141" i="175"/>
  <c r="R141" i="175"/>
  <c r="Q141" i="175"/>
  <c r="P141" i="175"/>
  <c r="O141" i="175"/>
  <c r="N141" i="175"/>
  <c r="M141" i="175"/>
  <c r="L141" i="175"/>
  <c r="K141" i="175"/>
  <c r="J141" i="175"/>
  <c r="V141" i="175" s="1"/>
  <c r="U140" i="175"/>
  <c r="T140" i="175"/>
  <c r="S140" i="175"/>
  <c r="R140" i="175"/>
  <c r="Q140" i="175"/>
  <c r="P140" i="175"/>
  <c r="O140" i="175"/>
  <c r="N140" i="175"/>
  <c r="M140" i="175"/>
  <c r="L140" i="175"/>
  <c r="K140" i="175"/>
  <c r="J140" i="175"/>
  <c r="V140" i="175" s="1"/>
  <c r="U139" i="175"/>
  <c r="T139" i="175"/>
  <c r="S139" i="175"/>
  <c r="R139" i="175"/>
  <c r="Q139" i="175"/>
  <c r="P139" i="175"/>
  <c r="O139" i="175"/>
  <c r="N139" i="175"/>
  <c r="M139" i="175"/>
  <c r="L139" i="175"/>
  <c r="K139" i="175"/>
  <c r="J139" i="175"/>
  <c r="V139" i="175" s="1"/>
  <c r="AJ138" i="175"/>
  <c r="AI138" i="175"/>
  <c r="AH138" i="175"/>
  <c r="AG138" i="175"/>
  <c r="AF138" i="175"/>
  <c r="AE138" i="175"/>
  <c r="AD138" i="175"/>
  <c r="AC138" i="175"/>
  <c r="AB138" i="175"/>
  <c r="AA138" i="175"/>
  <c r="Z138" i="175"/>
  <c r="Y138" i="175"/>
  <c r="AK138" i="175" s="1"/>
  <c r="U138" i="175"/>
  <c r="T138" i="175"/>
  <c r="S138" i="175"/>
  <c r="R138" i="175"/>
  <c r="Q138" i="175"/>
  <c r="P138" i="175"/>
  <c r="O138" i="175"/>
  <c r="N138" i="175"/>
  <c r="M138" i="175"/>
  <c r="L138" i="175"/>
  <c r="K138" i="175"/>
  <c r="J138" i="175"/>
  <c r="V138" i="175" s="1"/>
  <c r="U137" i="175"/>
  <c r="T137" i="175"/>
  <c r="S137" i="175"/>
  <c r="R137" i="175"/>
  <c r="Q137" i="175"/>
  <c r="P137" i="175"/>
  <c r="O137" i="175"/>
  <c r="N137" i="175"/>
  <c r="M137" i="175"/>
  <c r="L137" i="175"/>
  <c r="K137" i="175"/>
  <c r="J137" i="175"/>
  <c r="V137" i="175" s="1"/>
  <c r="U136" i="175"/>
  <c r="T136" i="175"/>
  <c r="S136" i="175"/>
  <c r="R136" i="175"/>
  <c r="Q136" i="175"/>
  <c r="P136" i="175"/>
  <c r="O136" i="175"/>
  <c r="N136" i="175"/>
  <c r="M136" i="175"/>
  <c r="L136" i="175"/>
  <c r="K136" i="175"/>
  <c r="J136" i="175"/>
  <c r="V136" i="175" s="1"/>
  <c r="U135" i="175"/>
  <c r="T135" i="175"/>
  <c r="S135" i="175"/>
  <c r="R135" i="175"/>
  <c r="Q135" i="175"/>
  <c r="P135" i="175"/>
  <c r="O135" i="175"/>
  <c r="N135" i="175"/>
  <c r="M135" i="175"/>
  <c r="L135" i="175"/>
  <c r="K135" i="175"/>
  <c r="J135" i="175"/>
  <c r="V135" i="175" s="1"/>
  <c r="U134" i="175"/>
  <c r="T134" i="175"/>
  <c r="S134" i="175"/>
  <c r="R134" i="175"/>
  <c r="Q134" i="175"/>
  <c r="P134" i="175"/>
  <c r="O134" i="175"/>
  <c r="N134" i="175"/>
  <c r="M134" i="175"/>
  <c r="L134" i="175"/>
  <c r="K134" i="175"/>
  <c r="J134" i="175"/>
  <c r="V134" i="175" s="1"/>
  <c r="AJ133" i="175"/>
  <c r="AI133" i="175"/>
  <c r="AH133" i="175"/>
  <c r="AG133" i="175"/>
  <c r="AF133" i="175"/>
  <c r="AE133" i="175"/>
  <c r="AD133" i="175"/>
  <c r="AC133" i="175"/>
  <c r="AB133" i="175"/>
  <c r="AA133" i="175"/>
  <c r="Z133" i="175"/>
  <c r="Y133" i="175"/>
  <c r="AK133" i="175" s="1"/>
  <c r="U133" i="175"/>
  <c r="T133" i="175"/>
  <c r="S133" i="175"/>
  <c r="R133" i="175"/>
  <c r="Q133" i="175"/>
  <c r="P133" i="175"/>
  <c r="O133" i="175"/>
  <c r="N133" i="175"/>
  <c r="M133" i="175"/>
  <c r="L133" i="175"/>
  <c r="K133" i="175"/>
  <c r="J133" i="175"/>
  <c r="V133" i="175" s="1"/>
  <c r="AJ132" i="175"/>
  <c r="AI132" i="175"/>
  <c r="AH132" i="175"/>
  <c r="AG132" i="175"/>
  <c r="AF132" i="175"/>
  <c r="AE132" i="175"/>
  <c r="AD132" i="175"/>
  <c r="AC132" i="175"/>
  <c r="AB132" i="175"/>
  <c r="AA132" i="175"/>
  <c r="Z132" i="175"/>
  <c r="Y132" i="175"/>
  <c r="AK132" i="175" s="1"/>
  <c r="U132" i="175"/>
  <c r="T132" i="175"/>
  <c r="S132" i="175"/>
  <c r="R132" i="175"/>
  <c r="Q132" i="175"/>
  <c r="P132" i="175"/>
  <c r="O132" i="175"/>
  <c r="N132" i="175"/>
  <c r="M132" i="175"/>
  <c r="L132" i="175"/>
  <c r="K132" i="175"/>
  <c r="J132" i="175"/>
  <c r="V132" i="175" s="1"/>
  <c r="U131" i="175"/>
  <c r="T131" i="175"/>
  <c r="S131" i="175"/>
  <c r="R131" i="175"/>
  <c r="Q131" i="175"/>
  <c r="P131" i="175"/>
  <c r="O131" i="175"/>
  <c r="N131" i="175"/>
  <c r="M131" i="175"/>
  <c r="L131" i="175"/>
  <c r="K131" i="175"/>
  <c r="J131" i="175"/>
  <c r="V131" i="175" s="1"/>
  <c r="U130" i="175"/>
  <c r="T130" i="175"/>
  <c r="S130" i="175"/>
  <c r="R130" i="175"/>
  <c r="Q130" i="175"/>
  <c r="P130" i="175"/>
  <c r="O130" i="175"/>
  <c r="N130" i="175"/>
  <c r="M130" i="175"/>
  <c r="L130" i="175"/>
  <c r="K130" i="175"/>
  <c r="J130" i="175"/>
  <c r="V130" i="175" s="1"/>
  <c r="U129" i="175"/>
  <c r="T129" i="175"/>
  <c r="S129" i="175"/>
  <c r="R129" i="175"/>
  <c r="Q129" i="175"/>
  <c r="P129" i="175"/>
  <c r="O129" i="175"/>
  <c r="N129" i="175"/>
  <c r="M129" i="175"/>
  <c r="L129" i="175"/>
  <c r="K129" i="175"/>
  <c r="J129" i="175"/>
  <c r="V129" i="175" s="1"/>
  <c r="U128" i="175"/>
  <c r="T128" i="175"/>
  <c r="S128" i="175"/>
  <c r="R128" i="175"/>
  <c r="Q128" i="175"/>
  <c r="P128" i="175"/>
  <c r="O128" i="175"/>
  <c r="N128" i="175"/>
  <c r="M128" i="175"/>
  <c r="L128" i="175"/>
  <c r="K128" i="175"/>
  <c r="J128" i="175"/>
  <c r="V128" i="175" s="1"/>
  <c r="U127" i="175"/>
  <c r="T127" i="175"/>
  <c r="S127" i="175"/>
  <c r="R127" i="175"/>
  <c r="Q127" i="175"/>
  <c r="P127" i="175"/>
  <c r="O127" i="175"/>
  <c r="N127" i="175"/>
  <c r="M127" i="175"/>
  <c r="L127" i="175"/>
  <c r="K127" i="175"/>
  <c r="J127" i="175"/>
  <c r="V127" i="175" s="1"/>
  <c r="U126" i="175"/>
  <c r="T126" i="175"/>
  <c r="S126" i="175"/>
  <c r="R126" i="175"/>
  <c r="Q126" i="175"/>
  <c r="P126" i="175"/>
  <c r="O126" i="175"/>
  <c r="N126" i="175"/>
  <c r="M126" i="175"/>
  <c r="L126" i="175"/>
  <c r="K126" i="175"/>
  <c r="J126" i="175"/>
  <c r="V126" i="175" s="1"/>
  <c r="U125" i="175"/>
  <c r="T125" i="175"/>
  <c r="S125" i="175"/>
  <c r="R125" i="175"/>
  <c r="Q125" i="175"/>
  <c r="P125" i="175"/>
  <c r="O125" i="175"/>
  <c r="N125" i="175"/>
  <c r="M125" i="175"/>
  <c r="L125" i="175"/>
  <c r="K125" i="175"/>
  <c r="J125" i="175"/>
  <c r="V125" i="175" s="1"/>
  <c r="U124" i="175"/>
  <c r="T124" i="175"/>
  <c r="S124" i="175"/>
  <c r="R124" i="175"/>
  <c r="Q124" i="175"/>
  <c r="P124" i="175"/>
  <c r="O124" i="175"/>
  <c r="N124" i="175"/>
  <c r="M124" i="175"/>
  <c r="L124" i="175"/>
  <c r="K124" i="175"/>
  <c r="J124" i="175"/>
  <c r="V124" i="175" s="1"/>
  <c r="U123" i="175"/>
  <c r="T123" i="175"/>
  <c r="S123" i="175"/>
  <c r="R123" i="175"/>
  <c r="Q123" i="175"/>
  <c r="P123" i="175"/>
  <c r="O123" i="175"/>
  <c r="N123" i="175"/>
  <c r="M123" i="175"/>
  <c r="L123" i="175"/>
  <c r="K123" i="175"/>
  <c r="J123" i="175"/>
  <c r="V123" i="175" s="1"/>
  <c r="U122" i="175"/>
  <c r="T122" i="175"/>
  <c r="S122" i="175"/>
  <c r="R122" i="175"/>
  <c r="Q122" i="175"/>
  <c r="P122" i="175"/>
  <c r="O122" i="175"/>
  <c r="N122" i="175"/>
  <c r="M122" i="175"/>
  <c r="L122" i="175"/>
  <c r="K122" i="175"/>
  <c r="J122" i="175"/>
  <c r="V122" i="175" s="1"/>
  <c r="U121" i="175"/>
  <c r="T121" i="175"/>
  <c r="S121" i="175"/>
  <c r="R121" i="175"/>
  <c r="Q121" i="175"/>
  <c r="P121" i="175"/>
  <c r="O121" i="175"/>
  <c r="N121" i="175"/>
  <c r="M121" i="175"/>
  <c r="L121" i="175"/>
  <c r="K121" i="175"/>
  <c r="J121" i="175"/>
  <c r="V121" i="175" s="1"/>
  <c r="U120" i="175"/>
  <c r="T120" i="175"/>
  <c r="S120" i="175"/>
  <c r="R120" i="175"/>
  <c r="Q120" i="175"/>
  <c r="P120" i="175"/>
  <c r="O120" i="175"/>
  <c r="N120" i="175"/>
  <c r="M120" i="175"/>
  <c r="L120" i="175"/>
  <c r="K120" i="175"/>
  <c r="J120" i="175"/>
  <c r="V120" i="175" s="1"/>
  <c r="U119" i="175"/>
  <c r="T119" i="175"/>
  <c r="S119" i="175"/>
  <c r="R119" i="175"/>
  <c r="Q119" i="175"/>
  <c r="P119" i="175"/>
  <c r="O119" i="175"/>
  <c r="N119" i="175"/>
  <c r="M119" i="175"/>
  <c r="L119" i="175"/>
  <c r="K119" i="175"/>
  <c r="J119" i="175"/>
  <c r="V119" i="175" s="1"/>
  <c r="U118" i="175"/>
  <c r="T118" i="175"/>
  <c r="S118" i="175"/>
  <c r="R118" i="175"/>
  <c r="Q118" i="175"/>
  <c r="P118" i="175"/>
  <c r="O118" i="175"/>
  <c r="N118" i="175"/>
  <c r="M118" i="175"/>
  <c r="L118" i="175"/>
  <c r="K118" i="175"/>
  <c r="J118" i="175"/>
  <c r="V118" i="175" s="1"/>
  <c r="U117" i="175"/>
  <c r="T117" i="175"/>
  <c r="S117" i="175"/>
  <c r="R117" i="175"/>
  <c r="Q117" i="175"/>
  <c r="P117" i="175"/>
  <c r="O117" i="175"/>
  <c r="N117" i="175"/>
  <c r="M117" i="175"/>
  <c r="L117" i="175"/>
  <c r="K117" i="175"/>
  <c r="J117" i="175"/>
  <c r="V117" i="175" s="1"/>
  <c r="AJ116" i="175"/>
  <c r="AI116" i="175"/>
  <c r="AH116" i="175"/>
  <c r="AG116" i="175"/>
  <c r="AF116" i="175"/>
  <c r="AE116" i="175"/>
  <c r="AD116" i="175"/>
  <c r="AC116" i="175"/>
  <c r="AB116" i="175"/>
  <c r="AA116" i="175"/>
  <c r="Z116" i="175"/>
  <c r="Y116" i="175"/>
  <c r="AK116" i="175" s="1"/>
  <c r="U116" i="175"/>
  <c r="T116" i="175"/>
  <c r="S116" i="175"/>
  <c r="R116" i="175"/>
  <c r="Q116" i="175"/>
  <c r="P116" i="175"/>
  <c r="O116" i="175"/>
  <c r="N116" i="175"/>
  <c r="M116" i="175"/>
  <c r="L116" i="175"/>
  <c r="K116" i="175"/>
  <c r="J116" i="175"/>
  <c r="V116" i="175" s="1"/>
  <c r="U115" i="175"/>
  <c r="T115" i="175"/>
  <c r="S115" i="175"/>
  <c r="R115" i="175"/>
  <c r="Q115" i="175"/>
  <c r="P115" i="175"/>
  <c r="O115" i="175"/>
  <c r="N115" i="175"/>
  <c r="M115" i="175"/>
  <c r="L115" i="175"/>
  <c r="K115" i="175"/>
  <c r="J115" i="175"/>
  <c r="V115" i="175" s="1"/>
  <c r="U114" i="175"/>
  <c r="T114" i="175"/>
  <c r="S114" i="175"/>
  <c r="R114" i="175"/>
  <c r="Q114" i="175"/>
  <c r="P114" i="175"/>
  <c r="O114" i="175"/>
  <c r="N114" i="175"/>
  <c r="M114" i="175"/>
  <c r="L114" i="175"/>
  <c r="K114" i="175"/>
  <c r="J114" i="175"/>
  <c r="V114" i="175" s="1"/>
  <c r="Q113" i="175"/>
  <c r="P113" i="175"/>
  <c r="O113" i="175"/>
  <c r="N113" i="175"/>
  <c r="M113" i="175"/>
  <c r="L113" i="175"/>
  <c r="K113" i="175"/>
  <c r="J113" i="175"/>
  <c r="R112" i="175"/>
  <c r="Q112" i="175"/>
  <c r="P112" i="175"/>
  <c r="O112" i="175"/>
  <c r="N112" i="175"/>
  <c r="M112" i="175"/>
  <c r="L112" i="175"/>
  <c r="K112" i="175"/>
  <c r="J112" i="175"/>
  <c r="R111" i="175"/>
  <c r="Q111" i="175"/>
  <c r="P111" i="175"/>
  <c r="O111" i="175"/>
  <c r="N111" i="175"/>
  <c r="M111" i="175"/>
  <c r="L111" i="175"/>
  <c r="K111" i="175"/>
  <c r="J111" i="175"/>
  <c r="R110" i="175"/>
  <c r="Q110" i="175"/>
  <c r="P110" i="175"/>
  <c r="O110" i="175"/>
  <c r="N110" i="175"/>
  <c r="M110" i="175"/>
  <c r="L110" i="175"/>
  <c r="K110" i="175"/>
  <c r="J110" i="175"/>
  <c r="Q109" i="175"/>
  <c r="P109" i="175"/>
  <c r="O109" i="175"/>
  <c r="N109" i="175"/>
  <c r="M109" i="175"/>
  <c r="L109" i="175"/>
  <c r="K109" i="175"/>
  <c r="J109" i="175"/>
  <c r="Q108" i="175"/>
  <c r="P108" i="175"/>
  <c r="O108" i="175"/>
  <c r="N108" i="175"/>
  <c r="M108" i="175"/>
  <c r="L108" i="175"/>
  <c r="K108" i="175"/>
  <c r="J108" i="175"/>
  <c r="R107" i="175"/>
  <c r="Q107" i="175"/>
  <c r="P107" i="175"/>
  <c r="O107" i="175"/>
  <c r="N107" i="175"/>
  <c r="M107" i="175"/>
  <c r="L107" i="175"/>
  <c r="K107" i="175"/>
  <c r="J107" i="175"/>
  <c r="R106" i="175"/>
  <c r="Q106" i="175"/>
  <c r="P106" i="175"/>
  <c r="O106" i="175"/>
  <c r="N106" i="175"/>
  <c r="M106" i="175"/>
  <c r="L106" i="175"/>
  <c r="K106" i="175"/>
  <c r="J106" i="175"/>
  <c r="R105" i="175"/>
  <c r="Q105" i="175"/>
  <c r="P105" i="175"/>
  <c r="O105" i="175"/>
  <c r="N105" i="175"/>
  <c r="M105" i="175"/>
  <c r="L105" i="175"/>
  <c r="K105" i="175"/>
  <c r="J105" i="175"/>
  <c r="R104" i="175"/>
  <c r="Q104" i="175"/>
  <c r="P104" i="175"/>
  <c r="O104" i="175"/>
  <c r="N104" i="175"/>
  <c r="M104" i="175"/>
  <c r="L104" i="175"/>
  <c r="K104" i="175"/>
  <c r="J104" i="175"/>
  <c r="R103" i="175"/>
  <c r="Q103" i="175"/>
  <c r="P103" i="175"/>
  <c r="O103" i="175"/>
  <c r="N103" i="175"/>
  <c r="M103" i="175"/>
  <c r="L103" i="175"/>
  <c r="K103" i="175"/>
  <c r="J103" i="175"/>
  <c r="R102" i="175"/>
  <c r="Q102" i="175"/>
  <c r="P102" i="175"/>
  <c r="O102" i="175"/>
  <c r="N102" i="175"/>
  <c r="M102" i="175"/>
  <c r="L102" i="175"/>
  <c r="K102" i="175"/>
  <c r="J102" i="175"/>
  <c r="R101" i="175"/>
  <c r="Q101" i="175"/>
  <c r="P101" i="175"/>
  <c r="O101" i="175"/>
  <c r="N101" i="175"/>
  <c r="M101" i="175"/>
  <c r="L101" i="175"/>
  <c r="K101" i="175"/>
  <c r="J101" i="175"/>
  <c r="R100" i="175"/>
  <c r="Q100" i="175"/>
  <c r="P100" i="175"/>
  <c r="O100" i="175"/>
  <c r="N100" i="175"/>
  <c r="M100" i="175"/>
  <c r="L100" i="175"/>
  <c r="K100" i="175"/>
  <c r="J100" i="175"/>
  <c r="R99" i="175"/>
  <c r="Q99" i="175"/>
  <c r="P99" i="175"/>
  <c r="O99" i="175"/>
  <c r="N99" i="175"/>
  <c r="M99" i="175"/>
  <c r="L99" i="175"/>
  <c r="K99" i="175"/>
  <c r="J99" i="175"/>
  <c r="R98" i="175"/>
  <c r="Q98" i="175"/>
  <c r="P98" i="175"/>
  <c r="O98" i="175"/>
  <c r="N98" i="175"/>
  <c r="M98" i="175"/>
  <c r="L98" i="175"/>
  <c r="K98" i="175"/>
  <c r="J98" i="175"/>
  <c r="R97" i="175"/>
  <c r="Q97" i="175"/>
  <c r="P97" i="175"/>
  <c r="O97" i="175"/>
  <c r="N97" i="175"/>
  <c r="M97" i="175"/>
  <c r="L97" i="175"/>
  <c r="K97" i="175"/>
  <c r="J97" i="175"/>
  <c r="R96" i="175"/>
  <c r="Q96" i="175"/>
  <c r="P96" i="175"/>
  <c r="O96" i="175"/>
  <c r="N96" i="175"/>
  <c r="M96" i="175"/>
  <c r="L96" i="175"/>
  <c r="K96" i="175"/>
  <c r="J96" i="175"/>
  <c r="R95" i="175"/>
  <c r="Q95" i="175"/>
  <c r="P95" i="175"/>
  <c r="O95" i="175"/>
  <c r="N95" i="175"/>
  <c r="M95" i="175"/>
  <c r="L95" i="175"/>
  <c r="K95" i="175"/>
  <c r="J95" i="175"/>
  <c r="R94" i="175"/>
  <c r="Q94" i="175"/>
  <c r="P94" i="175"/>
  <c r="O94" i="175"/>
  <c r="N94" i="175"/>
  <c r="M94" i="175"/>
  <c r="L94" i="175"/>
  <c r="K94" i="175"/>
  <c r="J94" i="175"/>
  <c r="R93" i="175"/>
  <c r="Q93" i="175"/>
  <c r="P93" i="175"/>
  <c r="O93" i="175"/>
  <c r="N93" i="175"/>
  <c r="M93" i="175"/>
  <c r="L93" i="175"/>
  <c r="K93" i="175"/>
  <c r="J93" i="175"/>
  <c r="Q92" i="175"/>
  <c r="P92" i="175"/>
  <c r="O92" i="175"/>
  <c r="N92" i="175"/>
  <c r="M92" i="175"/>
  <c r="L92" i="175"/>
  <c r="K92" i="175"/>
  <c r="J92" i="175"/>
  <c r="Q91" i="175"/>
  <c r="P91" i="175"/>
  <c r="O91" i="175"/>
  <c r="N91" i="175"/>
  <c r="M91" i="175"/>
  <c r="L91" i="175"/>
  <c r="K91" i="175"/>
  <c r="J91" i="175"/>
  <c r="U90" i="175"/>
  <c r="T90" i="175"/>
  <c r="S90" i="175"/>
  <c r="R90" i="175"/>
  <c r="Q90" i="175"/>
  <c r="P90" i="175"/>
  <c r="O90" i="175"/>
  <c r="N90" i="175"/>
  <c r="M90" i="175"/>
  <c r="L90" i="175"/>
  <c r="K90" i="175"/>
  <c r="J90" i="175"/>
  <c r="V90" i="175" s="1"/>
  <c r="U89" i="175"/>
  <c r="T89" i="175"/>
  <c r="S89" i="175"/>
  <c r="R89" i="175"/>
  <c r="Q89" i="175"/>
  <c r="P89" i="175"/>
  <c r="O89" i="175"/>
  <c r="N89" i="175"/>
  <c r="M89" i="175"/>
  <c r="L89" i="175"/>
  <c r="K89" i="175"/>
  <c r="J89" i="175"/>
  <c r="V89" i="175" s="1"/>
  <c r="U88" i="175"/>
  <c r="T88" i="175"/>
  <c r="S88" i="175"/>
  <c r="R88" i="175"/>
  <c r="Q88" i="175"/>
  <c r="P88" i="175"/>
  <c r="O88" i="175"/>
  <c r="N88" i="175"/>
  <c r="M88" i="175"/>
  <c r="L88" i="175"/>
  <c r="K88" i="175"/>
  <c r="J88" i="175"/>
  <c r="V88" i="175" s="1"/>
  <c r="U87" i="175"/>
  <c r="T87" i="175"/>
  <c r="S87" i="175"/>
  <c r="R87" i="175"/>
  <c r="Q87" i="175"/>
  <c r="P87" i="175"/>
  <c r="O87" i="175"/>
  <c r="N87" i="175"/>
  <c r="M87" i="175"/>
  <c r="L87" i="175"/>
  <c r="K87" i="175"/>
  <c r="J87" i="175"/>
  <c r="V87" i="175" s="1"/>
  <c r="U86" i="175"/>
  <c r="T86" i="175"/>
  <c r="S86" i="175"/>
  <c r="R86" i="175"/>
  <c r="Q86" i="175"/>
  <c r="P86" i="175"/>
  <c r="O86" i="175"/>
  <c r="N86" i="175"/>
  <c r="M86" i="175"/>
  <c r="L86" i="175"/>
  <c r="K86" i="175"/>
  <c r="J86" i="175"/>
  <c r="V86" i="175" s="1"/>
  <c r="U85" i="175"/>
  <c r="T85" i="175"/>
  <c r="S85" i="175"/>
  <c r="R85" i="175"/>
  <c r="Q85" i="175"/>
  <c r="P85" i="175"/>
  <c r="O85" i="175"/>
  <c r="N85" i="175"/>
  <c r="M85" i="175"/>
  <c r="L85" i="175"/>
  <c r="K85" i="175"/>
  <c r="J85" i="175"/>
  <c r="V85" i="175" s="1"/>
  <c r="AJ84" i="175"/>
  <c r="AI84" i="175"/>
  <c r="AH84" i="175"/>
  <c r="AG84" i="175"/>
  <c r="AF84" i="175"/>
  <c r="AE84" i="175"/>
  <c r="AD84" i="175"/>
  <c r="AC84" i="175"/>
  <c r="AB84" i="175"/>
  <c r="AA84" i="175"/>
  <c r="Z84" i="175"/>
  <c r="Y84" i="175"/>
  <c r="AK84" i="175" s="1"/>
  <c r="U84" i="175"/>
  <c r="T84" i="175"/>
  <c r="S84" i="175"/>
  <c r="R84" i="175"/>
  <c r="Q84" i="175"/>
  <c r="P84" i="175"/>
  <c r="O84" i="175"/>
  <c r="N84" i="175"/>
  <c r="M84" i="175"/>
  <c r="L84" i="175"/>
  <c r="K84" i="175"/>
  <c r="J84" i="175"/>
  <c r="V84" i="175" s="1"/>
  <c r="AJ83" i="175"/>
  <c r="AI83" i="175"/>
  <c r="AH83" i="175"/>
  <c r="AG83" i="175"/>
  <c r="AF83" i="175"/>
  <c r="AE83" i="175"/>
  <c r="AD83" i="175"/>
  <c r="AC83" i="175"/>
  <c r="AB83" i="175"/>
  <c r="AA83" i="175"/>
  <c r="Z83" i="175"/>
  <c r="Y83" i="175"/>
  <c r="AK83" i="175" s="1"/>
  <c r="U83" i="175"/>
  <c r="T83" i="175"/>
  <c r="S83" i="175"/>
  <c r="R83" i="175"/>
  <c r="Q83" i="175"/>
  <c r="P83" i="175"/>
  <c r="O83" i="175"/>
  <c r="N83" i="175"/>
  <c r="M83" i="175"/>
  <c r="L83" i="175"/>
  <c r="K83" i="175"/>
  <c r="J83" i="175"/>
  <c r="V83" i="175" s="1"/>
  <c r="U82" i="175"/>
  <c r="T82" i="175"/>
  <c r="S82" i="175"/>
  <c r="R82" i="175"/>
  <c r="Q82" i="175"/>
  <c r="P82" i="175"/>
  <c r="O82" i="175"/>
  <c r="N82" i="175"/>
  <c r="M82" i="175"/>
  <c r="L82" i="175"/>
  <c r="K82" i="175"/>
  <c r="J82" i="175"/>
  <c r="V82" i="175" s="1"/>
  <c r="U81" i="175"/>
  <c r="T81" i="175"/>
  <c r="S81" i="175"/>
  <c r="R81" i="175"/>
  <c r="Q81" i="175"/>
  <c r="P81" i="175"/>
  <c r="O81" i="175"/>
  <c r="N81" i="175"/>
  <c r="M81" i="175"/>
  <c r="L81" i="175"/>
  <c r="K81" i="175"/>
  <c r="J81" i="175"/>
  <c r="V81" i="175" s="1"/>
  <c r="U80" i="175"/>
  <c r="T80" i="175"/>
  <c r="S80" i="175"/>
  <c r="R80" i="175"/>
  <c r="Q80" i="175"/>
  <c r="P80" i="175"/>
  <c r="O80" i="175"/>
  <c r="N80" i="175"/>
  <c r="M80" i="175"/>
  <c r="L80" i="175"/>
  <c r="K80" i="175"/>
  <c r="J80" i="175"/>
  <c r="V80" i="175" s="1"/>
  <c r="U79" i="175"/>
  <c r="T79" i="175"/>
  <c r="S79" i="175"/>
  <c r="R79" i="175"/>
  <c r="Q79" i="175"/>
  <c r="P79" i="175"/>
  <c r="O79" i="175"/>
  <c r="N79" i="175"/>
  <c r="M79" i="175"/>
  <c r="L79" i="175"/>
  <c r="K79" i="175"/>
  <c r="J79" i="175"/>
  <c r="V79" i="175" s="1"/>
  <c r="U78" i="175"/>
  <c r="T78" i="175"/>
  <c r="S78" i="175"/>
  <c r="R78" i="175"/>
  <c r="Q78" i="175"/>
  <c r="P78" i="175"/>
  <c r="O78" i="175"/>
  <c r="N78" i="175"/>
  <c r="M78" i="175"/>
  <c r="L78" i="175"/>
  <c r="K78" i="175"/>
  <c r="J78" i="175"/>
  <c r="V78" i="175" s="1"/>
  <c r="R77" i="175"/>
  <c r="Q77" i="175"/>
  <c r="P77" i="175"/>
  <c r="O77" i="175"/>
  <c r="N77" i="175"/>
  <c r="M77" i="175"/>
  <c r="L77" i="175"/>
  <c r="K77" i="175"/>
  <c r="J77" i="175"/>
  <c r="R76" i="175"/>
  <c r="Q76" i="175"/>
  <c r="P76" i="175"/>
  <c r="O76" i="175"/>
  <c r="N76" i="175"/>
  <c r="M76" i="175"/>
  <c r="L76" i="175"/>
  <c r="K76" i="175"/>
  <c r="J76" i="175"/>
  <c r="U75" i="175"/>
  <c r="T75" i="175"/>
  <c r="S75" i="175"/>
  <c r="R75" i="175"/>
  <c r="Q75" i="175"/>
  <c r="P75" i="175"/>
  <c r="O75" i="175"/>
  <c r="N75" i="175"/>
  <c r="M75" i="175"/>
  <c r="L75" i="175"/>
  <c r="K75" i="175"/>
  <c r="J75" i="175"/>
  <c r="V75" i="175" s="1"/>
  <c r="AJ74" i="175"/>
  <c r="AI74" i="175"/>
  <c r="AH74" i="175"/>
  <c r="AG74" i="175"/>
  <c r="AF74" i="175"/>
  <c r="AE74" i="175"/>
  <c r="AD74" i="175"/>
  <c r="AC74" i="175"/>
  <c r="AB74" i="175"/>
  <c r="AA74" i="175"/>
  <c r="Z74" i="175"/>
  <c r="Y74" i="175"/>
  <c r="AK74" i="175" s="1"/>
  <c r="U74" i="175"/>
  <c r="T74" i="175"/>
  <c r="S74" i="175"/>
  <c r="R74" i="175"/>
  <c r="Q74" i="175"/>
  <c r="P74" i="175"/>
  <c r="O74" i="175"/>
  <c r="N74" i="175"/>
  <c r="M74" i="175"/>
  <c r="L74" i="175"/>
  <c r="K74" i="175"/>
  <c r="J74" i="175"/>
  <c r="V74" i="175" s="1"/>
  <c r="AJ73" i="175"/>
  <c r="AI73" i="175"/>
  <c r="AH73" i="175"/>
  <c r="AG73" i="175"/>
  <c r="AF73" i="175"/>
  <c r="AE73" i="175"/>
  <c r="AD73" i="175"/>
  <c r="AC73" i="175"/>
  <c r="AB73" i="175"/>
  <c r="AA73" i="175"/>
  <c r="Z73" i="175"/>
  <c r="Y73" i="175"/>
  <c r="AK73" i="175" s="1"/>
  <c r="U73" i="175"/>
  <c r="T73" i="175"/>
  <c r="S73" i="175"/>
  <c r="R73" i="175"/>
  <c r="Q73" i="175"/>
  <c r="P73" i="175"/>
  <c r="O73" i="175"/>
  <c r="N73" i="175"/>
  <c r="M73" i="175"/>
  <c r="L73" i="175"/>
  <c r="K73" i="175"/>
  <c r="J73" i="175"/>
  <c r="V73" i="175" s="1"/>
  <c r="R72" i="175"/>
  <c r="Q72" i="175"/>
  <c r="P72" i="175"/>
  <c r="O72" i="175"/>
  <c r="N72" i="175"/>
  <c r="M72" i="175"/>
  <c r="L72" i="175"/>
  <c r="K72" i="175"/>
  <c r="J72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V71" i="175" s="1"/>
  <c r="R70" i="175"/>
  <c r="Q70" i="175"/>
  <c r="P70" i="175"/>
  <c r="O70" i="175"/>
  <c r="N70" i="175"/>
  <c r="M70" i="175"/>
  <c r="L70" i="175"/>
  <c r="K70" i="175"/>
  <c r="J70" i="175"/>
  <c r="U69" i="175"/>
  <c r="T69" i="175"/>
  <c r="S69" i="175"/>
  <c r="R69" i="175"/>
  <c r="Q69" i="175"/>
  <c r="P69" i="175"/>
  <c r="O69" i="175"/>
  <c r="N69" i="175"/>
  <c r="M69" i="175"/>
  <c r="L69" i="175"/>
  <c r="K69" i="175"/>
  <c r="J69" i="175"/>
  <c r="V69" i="175" s="1"/>
  <c r="AJ68" i="175"/>
  <c r="AI68" i="175"/>
  <c r="AH68" i="175"/>
  <c r="AG68" i="175"/>
  <c r="AF68" i="175"/>
  <c r="AE68" i="175"/>
  <c r="AD68" i="175"/>
  <c r="AC68" i="175"/>
  <c r="AB68" i="175"/>
  <c r="AA68" i="175"/>
  <c r="Z68" i="175"/>
  <c r="Y68" i="175"/>
  <c r="AK68" i="175" s="1"/>
  <c r="U68" i="175"/>
  <c r="T68" i="175"/>
  <c r="S68" i="175"/>
  <c r="R68" i="175"/>
  <c r="Q68" i="175"/>
  <c r="P68" i="175"/>
  <c r="O68" i="175"/>
  <c r="N68" i="175"/>
  <c r="M68" i="175"/>
  <c r="L68" i="175"/>
  <c r="K68" i="175"/>
  <c r="J68" i="175"/>
  <c r="V68" i="175" s="1"/>
  <c r="R67" i="175"/>
  <c r="Q67" i="175"/>
  <c r="P67" i="175"/>
  <c r="O67" i="175"/>
  <c r="N67" i="175"/>
  <c r="M67" i="175"/>
  <c r="L67" i="175"/>
  <c r="K67" i="175"/>
  <c r="J67" i="175"/>
  <c r="R66" i="175"/>
  <c r="Q66" i="175"/>
  <c r="P66" i="175"/>
  <c r="O66" i="175"/>
  <c r="N66" i="175"/>
  <c r="M66" i="175"/>
  <c r="L66" i="175"/>
  <c r="K66" i="175"/>
  <c r="J66" i="175"/>
  <c r="U65" i="175"/>
  <c r="T65" i="175"/>
  <c r="S65" i="175"/>
  <c r="R65" i="175"/>
  <c r="Q65" i="175"/>
  <c r="P65" i="175"/>
  <c r="O65" i="175"/>
  <c r="N65" i="175"/>
  <c r="M65" i="175"/>
  <c r="L65" i="175"/>
  <c r="K65" i="175"/>
  <c r="J65" i="175"/>
  <c r="V65" i="175" s="1"/>
  <c r="R64" i="175"/>
  <c r="Q64" i="175"/>
  <c r="P64" i="175"/>
  <c r="O64" i="175"/>
  <c r="N64" i="175"/>
  <c r="M64" i="175"/>
  <c r="L64" i="175"/>
  <c r="K64" i="175"/>
  <c r="J64" i="175"/>
  <c r="U63" i="175"/>
  <c r="T63" i="175"/>
  <c r="S63" i="175"/>
  <c r="R63" i="175"/>
  <c r="Q63" i="175"/>
  <c r="P63" i="175"/>
  <c r="O63" i="175"/>
  <c r="N63" i="175"/>
  <c r="M63" i="175"/>
  <c r="L63" i="175"/>
  <c r="K63" i="175"/>
  <c r="J63" i="175"/>
  <c r="V63" i="175" s="1"/>
  <c r="AJ62" i="175"/>
  <c r="AI62" i="175"/>
  <c r="AH62" i="175"/>
  <c r="AG62" i="175"/>
  <c r="AF62" i="175"/>
  <c r="AE62" i="175"/>
  <c r="AD62" i="175"/>
  <c r="AC62" i="175"/>
  <c r="AB62" i="175"/>
  <c r="AA62" i="175"/>
  <c r="Z62" i="175"/>
  <c r="Y62" i="175"/>
  <c r="AK62" i="175" s="1"/>
  <c r="U62" i="175"/>
  <c r="T62" i="175"/>
  <c r="S62" i="175"/>
  <c r="R62" i="175"/>
  <c r="Q62" i="175"/>
  <c r="P62" i="175"/>
  <c r="O62" i="175"/>
  <c r="N62" i="175"/>
  <c r="M62" i="175"/>
  <c r="L62" i="175"/>
  <c r="K62" i="175"/>
  <c r="J62" i="175"/>
  <c r="V62" i="175" s="1"/>
  <c r="AJ61" i="175"/>
  <c r="AI61" i="175"/>
  <c r="AH61" i="175"/>
  <c r="AG61" i="175"/>
  <c r="AF61" i="175"/>
  <c r="AE61" i="175"/>
  <c r="AD61" i="175"/>
  <c r="AC61" i="175"/>
  <c r="AB61" i="175"/>
  <c r="AA61" i="175"/>
  <c r="Z61" i="175"/>
  <c r="Y61" i="175"/>
  <c r="AK61" i="175" s="1"/>
  <c r="U61" i="175"/>
  <c r="T61" i="175"/>
  <c r="S61" i="175"/>
  <c r="R61" i="175"/>
  <c r="Q61" i="175"/>
  <c r="P61" i="175"/>
  <c r="O61" i="175"/>
  <c r="N61" i="175"/>
  <c r="M61" i="175"/>
  <c r="L61" i="175"/>
  <c r="K61" i="175"/>
  <c r="J61" i="175"/>
  <c r="V61" i="175" s="1"/>
  <c r="Y60" i="175"/>
  <c r="U60" i="175"/>
  <c r="T60" i="175"/>
  <c r="S60" i="175"/>
  <c r="R60" i="175"/>
  <c r="Q60" i="175"/>
  <c r="P60" i="175"/>
  <c r="O60" i="175"/>
  <c r="N60" i="175"/>
  <c r="M60" i="175"/>
  <c r="L60" i="175"/>
  <c r="K60" i="175"/>
  <c r="J60" i="175"/>
  <c r="V60" i="175" s="1"/>
  <c r="AJ59" i="175"/>
  <c r="AI59" i="175"/>
  <c r="AH59" i="175"/>
  <c r="AG59" i="175"/>
  <c r="AF59" i="175"/>
  <c r="AE59" i="175"/>
  <c r="AD59" i="175"/>
  <c r="AC59" i="175"/>
  <c r="AB59" i="175"/>
  <c r="AA59" i="175"/>
  <c r="Z59" i="175"/>
  <c r="Y59" i="175"/>
  <c r="AK59" i="175" s="1"/>
  <c r="U59" i="175"/>
  <c r="T59" i="175"/>
  <c r="S59" i="175"/>
  <c r="R59" i="175"/>
  <c r="Q59" i="175"/>
  <c r="P59" i="175"/>
  <c r="O59" i="175"/>
  <c r="N59" i="175"/>
  <c r="M59" i="175"/>
  <c r="L59" i="175"/>
  <c r="K59" i="175"/>
  <c r="J59" i="175"/>
  <c r="V59" i="175" s="1"/>
  <c r="U58" i="175"/>
  <c r="T58" i="175"/>
  <c r="S58" i="175"/>
  <c r="R58" i="175"/>
  <c r="Q58" i="175"/>
  <c r="P58" i="175"/>
  <c r="O58" i="175"/>
  <c r="N58" i="175"/>
  <c r="M58" i="175"/>
  <c r="L58" i="175"/>
  <c r="K58" i="175"/>
  <c r="J58" i="175"/>
  <c r="V58" i="175" s="1"/>
  <c r="U57" i="175"/>
  <c r="T57" i="175"/>
  <c r="S57" i="175"/>
  <c r="R57" i="175"/>
  <c r="Q57" i="175"/>
  <c r="P57" i="175"/>
  <c r="O57" i="175"/>
  <c r="N57" i="175"/>
  <c r="M57" i="175"/>
  <c r="L57" i="175"/>
  <c r="K57" i="175"/>
  <c r="J57" i="175"/>
  <c r="V57" i="175" s="1"/>
  <c r="R56" i="175"/>
  <c r="Q56" i="175"/>
  <c r="P56" i="175"/>
  <c r="O56" i="175"/>
  <c r="N56" i="175"/>
  <c r="M56" i="175"/>
  <c r="L56" i="175"/>
  <c r="K56" i="175"/>
  <c r="J56" i="175"/>
  <c r="U55" i="175"/>
  <c r="T55" i="175"/>
  <c r="S55" i="175"/>
  <c r="R55" i="175"/>
  <c r="Q55" i="175"/>
  <c r="P55" i="175"/>
  <c r="O55" i="175"/>
  <c r="N55" i="175"/>
  <c r="M55" i="175"/>
  <c r="L55" i="175"/>
  <c r="K55" i="175"/>
  <c r="J55" i="175"/>
  <c r="V55" i="175" s="1"/>
  <c r="R54" i="175"/>
  <c r="Q54" i="175"/>
  <c r="P54" i="175"/>
  <c r="O54" i="175"/>
  <c r="N54" i="175"/>
  <c r="M54" i="175"/>
  <c r="L54" i="175"/>
  <c r="K54" i="175"/>
  <c r="J54" i="175"/>
  <c r="AJ53" i="175"/>
  <c r="AI53" i="175"/>
  <c r="AH53" i="175"/>
  <c r="AG53" i="175"/>
  <c r="AF53" i="175"/>
  <c r="AE53" i="175"/>
  <c r="AD53" i="175"/>
  <c r="AC53" i="175"/>
  <c r="AB53" i="175"/>
  <c r="AA53" i="175"/>
  <c r="Z53" i="175"/>
  <c r="Y53" i="175"/>
  <c r="AK53" i="175" s="1"/>
  <c r="U53" i="175"/>
  <c r="T53" i="175"/>
  <c r="S53" i="175"/>
  <c r="R53" i="175"/>
  <c r="Q53" i="175"/>
  <c r="P53" i="175"/>
  <c r="O53" i="175"/>
  <c r="N53" i="175"/>
  <c r="M53" i="175"/>
  <c r="L53" i="175"/>
  <c r="K53" i="175"/>
  <c r="J53" i="175"/>
  <c r="V53" i="175" s="1"/>
  <c r="R52" i="175"/>
  <c r="Q52" i="175"/>
  <c r="P52" i="175"/>
  <c r="O52" i="175"/>
  <c r="N52" i="175"/>
  <c r="M52" i="175"/>
  <c r="L52" i="175"/>
  <c r="K52" i="175"/>
  <c r="J52" i="175"/>
  <c r="R51" i="175"/>
  <c r="Q51" i="175"/>
  <c r="P51" i="175"/>
  <c r="O51" i="175"/>
  <c r="N51" i="175"/>
  <c r="M51" i="175"/>
  <c r="L51" i="175"/>
  <c r="K51" i="175"/>
  <c r="J51" i="175"/>
  <c r="R50" i="175"/>
  <c r="Q50" i="175"/>
  <c r="Q157" i="175" s="1"/>
  <c r="P50" i="175"/>
  <c r="P157" i="175" s="1"/>
  <c r="O50" i="175"/>
  <c r="O157" i="175" s="1"/>
  <c r="N50" i="175"/>
  <c r="N157" i="175" s="1"/>
  <c r="M50" i="175"/>
  <c r="M157" i="175" s="1"/>
  <c r="L50" i="175"/>
  <c r="L157" i="175" s="1"/>
  <c r="K50" i="175"/>
  <c r="K157" i="175" s="1"/>
  <c r="J50" i="175"/>
  <c r="J157" i="175" s="1"/>
  <c r="AO43" i="175"/>
  <c r="U42" i="175"/>
  <c r="T42" i="175"/>
  <c r="S42" i="175"/>
  <c r="R42" i="175"/>
  <c r="Q42" i="175"/>
  <c r="P42" i="175"/>
  <c r="O42" i="175"/>
  <c r="N42" i="175"/>
  <c r="M42" i="175"/>
  <c r="L42" i="175"/>
  <c r="K42" i="175"/>
  <c r="J42" i="175"/>
  <c r="V42" i="175" s="1"/>
  <c r="U41" i="175"/>
  <c r="T41" i="175"/>
  <c r="S41" i="175"/>
  <c r="R41" i="175"/>
  <c r="Q41" i="175"/>
  <c r="P41" i="175"/>
  <c r="O41" i="175"/>
  <c r="N41" i="175"/>
  <c r="M41" i="175"/>
  <c r="L41" i="175"/>
  <c r="K41" i="175"/>
  <c r="J41" i="175"/>
  <c r="V41" i="175" s="1"/>
  <c r="U40" i="175"/>
  <c r="T40" i="175"/>
  <c r="S40" i="175"/>
  <c r="R40" i="175"/>
  <c r="Q40" i="175"/>
  <c r="P40" i="175"/>
  <c r="O40" i="175"/>
  <c r="N40" i="175"/>
  <c r="M40" i="175"/>
  <c r="L40" i="175"/>
  <c r="K40" i="175"/>
  <c r="J40" i="175"/>
  <c r="V40" i="175" s="1"/>
  <c r="U39" i="175"/>
  <c r="T39" i="175"/>
  <c r="S39" i="175"/>
  <c r="R39" i="175"/>
  <c r="Q39" i="175"/>
  <c r="P39" i="175"/>
  <c r="O39" i="175"/>
  <c r="N39" i="175"/>
  <c r="M39" i="175"/>
  <c r="L39" i="175"/>
  <c r="K39" i="175"/>
  <c r="J39" i="175"/>
  <c r="Q38" i="175"/>
  <c r="P38" i="175"/>
  <c r="O38" i="175"/>
  <c r="N38" i="175"/>
  <c r="M38" i="175"/>
  <c r="L38" i="175"/>
  <c r="K38" i="175"/>
  <c r="J38" i="175"/>
  <c r="R37" i="175"/>
  <c r="Q37" i="175"/>
  <c r="P37" i="175"/>
  <c r="O37" i="175"/>
  <c r="N37" i="175"/>
  <c r="M37" i="175"/>
  <c r="L37" i="175"/>
  <c r="K37" i="175"/>
  <c r="J37" i="175"/>
  <c r="R36" i="175"/>
  <c r="Q36" i="175"/>
  <c r="P36" i="175"/>
  <c r="O36" i="175"/>
  <c r="N36" i="175"/>
  <c r="M36" i="175"/>
  <c r="L36" i="175"/>
  <c r="K36" i="175"/>
  <c r="J36" i="175"/>
  <c r="R35" i="175"/>
  <c r="Q35" i="175"/>
  <c r="P35" i="175"/>
  <c r="O35" i="175"/>
  <c r="N35" i="175"/>
  <c r="M35" i="175"/>
  <c r="L35" i="175"/>
  <c r="K35" i="175"/>
  <c r="J35" i="175"/>
  <c r="AJ33" i="175"/>
  <c r="AI33" i="175"/>
  <c r="AH33" i="175"/>
  <c r="AG33" i="175"/>
  <c r="AF33" i="175"/>
  <c r="AE33" i="175"/>
  <c r="AD33" i="175"/>
  <c r="AC33" i="175"/>
  <c r="AB33" i="175"/>
  <c r="AA33" i="175"/>
  <c r="Z33" i="175"/>
  <c r="Y33" i="175"/>
  <c r="AK33" i="175" s="1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V33" i="175" s="1"/>
  <c r="AJ32" i="175"/>
  <c r="AI32" i="175"/>
  <c r="AH32" i="175"/>
  <c r="AG32" i="175"/>
  <c r="AF32" i="175"/>
  <c r="AE32" i="175"/>
  <c r="AD32" i="175"/>
  <c r="AC32" i="175"/>
  <c r="AB32" i="175"/>
  <c r="AA32" i="175"/>
  <c r="Z32" i="175"/>
  <c r="Y32" i="175"/>
  <c r="AK32" i="175" s="1"/>
  <c r="U32" i="175"/>
  <c r="T32" i="175"/>
  <c r="S32" i="175"/>
  <c r="R32" i="175"/>
  <c r="Q32" i="175"/>
  <c r="P32" i="175"/>
  <c r="O32" i="175"/>
  <c r="N32" i="175"/>
  <c r="M32" i="175"/>
  <c r="L32" i="175"/>
  <c r="K32" i="175"/>
  <c r="J32" i="175"/>
  <c r="V32" i="175" s="1"/>
  <c r="AJ31" i="175"/>
  <c r="AI31" i="175"/>
  <c r="AH31" i="175"/>
  <c r="AG31" i="175"/>
  <c r="AF31" i="175"/>
  <c r="AE31" i="175"/>
  <c r="AD31" i="175"/>
  <c r="AC31" i="175"/>
  <c r="AB31" i="175"/>
  <c r="AA31" i="175"/>
  <c r="Z31" i="175"/>
  <c r="Y31" i="175"/>
  <c r="AK31" i="175" s="1"/>
  <c r="U31" i="175"/>
  <c r="T31" i="175"/>
  <c r="S31" i="175"/>
  <c r="R31" i="175"/>
  <c r="Q31" i="175"/>
  <c r="P31" i="175"/>
  <c r="O31" i="175"/>
  <c r="N31" i="175"/>
  <c r="M31" i="175"/>
  <c r="L31" i="175"/>
  <c r="K31" i="175"/>
  <c r="J31" i="175"/>
  <c r="V31" i="175" s="1"/>
  <c r="Q30" i="175"/>
  <c r="P30" i="175"/>
  <c r="O30" i="175"/>
  <c r="N30" i="175"/>
  <c r="M30" i="175"/>
  <c r="L30" i="175"/>
  <c r="K30" i="175"/>
  <c r="J30" i="175"/>
  <c r="U29" i="175"/>
  <c r="T29" i="175"/>
  <c r="S29" i="175"/>
  <c r="R29" i="175"/>
  <c r="Q29" i="175"/>
  <c r="P29" i="175"/>
  <c r="O29" i="175"/>
  <c r="N29" i="175"/>
  <c r="M29" i="175"/>
  <c r="L29" i="175"/>
  <c r="K29" i="175"/>
  <c r="J29" i="175"/>
  <c r="V29" i="175" s="1"/>
  <c r="U28" i="175"/>
  <c r="T28" i="175"/>
  <c r="S28" i="175"/>
  <c r="R28" i="175"/>
  <c r="Q28" i="175"/>
  <c r="P28" i="175"/>
  <c r="O28" i="175"/>
  <c r="N28" i="175"/>
  <c r="M28" i="175"/>
  <c r="L28" i="175"/>
  <c r="K28" i="175"/>
  <c r="J28" i="175"/>
  <c r="V28" i="175" s="1"/>
  <c r="U27" i="175"/>
  <c r="T27" i="175"/>
  <c r="S27" i="175"/>
  <c r="R27" i="175"/>
  <c r="Q27" i="175"/>
  <c r="P27" i="175"/>
  <c r="O27" i="175"/>
  <c r="N27" i="175"/>
  <c r="M27" i="175"/>
  <c r="L27" i="175"/>
  <c r="K27" i="175"/>
  <c r="J27" i="175"/>
  <c r="V27" i="175" s="1"/>
  <c r="U26" i="175"/>
  <c r="T26" i="175"/>
  <c r="S26" i="175"/>
  <c r="R26" i="175"/>
  <c r="Q26" i="175"/>
  <c r="P26" i="175"/>
  <c r="O26" i="175"/>
  <c r="N26" i="175"/>
  <c r="M26" i="175"/>
  <c r="L26" i="175"/>
  <c r="K26" i="175"/>
  <c r="J26" i="175"/>
  <c r="V26" i="175" s="1"/>
  <c r="U25" i="175"/>
  <c r="T25" i="175"/>
  <c r="S25" i="175"/>
  <c r="R25" i="175"/>
  <c r="Q25" i="175"/>
  <c r="P25" i="175"/>
  <c r="O25" i="175"/>
  <c r="N25" i="175"/>
  <c r="M25" i="175"/>
  <c r="L25" i="175"/>
  <c r="K25" i="175"/>
  <c r="J25" i="175"/>
  <c r="V25" i="175" s="1"/>
  <c r="U24" i="175"/>
  <c r="T24" i="175"/>
  <c r="S24" i="175"/>
  <c r="R24" i="175"/>
  <c r="Q24" i="175"/>
  <c r="P24" i="175"/>
  <c r="O24" i="175"/>
  <c r="N24" i="175"/>
  <c r="M24" i="175"/>
  <c r="L24" i="175"/>
  <c r="K24" i="175"/>
  <c r="J24" i="175"/>
  <c r="V24" i="175" s="1"/>
  <c r="U23" i="175"/>
  <c r="T23" i="175"/>
  <c r="S23" i="175"/>
  <c r="R23" i="175"/>
  <c r="Q23" i="175"/>
  <c r="P23" i="175"/>
  <c r="O23" i="175"/>
  <c r="N23" i="175"/>
  <c r="M23" i="175"/>
  <c r="L23" i="175"/>
  <c r="K23" i="175"/>
  <c r="J23" i="175"/>
  <c r="V23" i="175" s="1"/>
  <c r="AJ22" i="175"/>
  <c r="AI22" i="175"/>
  <c r="AH22" i="175"/>
  <c r="AG22" i="175"/>
  <c r="AF22" i="175"/>
  <c r="AE22" i="175"/>
  <c r="AD22" i="175"/>
  <c r="AC22" i="175"/>
  <c r="AB22" i="175"/>
  <c r="AA22" i="175"/>
  <c r="Z22" i="175"/>
  <c r="Y22" i="175"/>
  <c r="AK22" i="175" s="1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V22" i="175" s="1"/>
  <c r="AJ21" i="175"/>
  <c r="AI21" i="175"/>
  <c r="AH21" i="175"/>
  <c r="AG21" i="175"/>
  <c r="AF21" i="175"/>
  <c r="AE21" i="175"/>
  <c r="AD21" i="175"/>
  <c r="AC21" i="175"/>
  <c r="AB21" i="175"/>
  <c r="AA21" i="175"/>
  <c r="Z21" i="175"/>
  <c r="Y21" i="175"/>
  <c r="AK21" i="175" s="1"/>
  <c r="U21" i="175"/>
  <c r="T21" i="175"/>
  <c r="S21" i="175"/>
  <c r="R21" i="175"/>
  <c r="Q21" i="175"/>
  <c r="P21" i="175"/>
  <c r="O21" i="175"/>
  <c r="N21" i="175"/>
  <c r="M21" i="175"/>
  <c r="L21" i="175"/>
  <c r="K21" i="175"/>
  <c r="J21" i="175"/>
  <c r="V21" i="175" s="1"/>
  <c r="AJ20" i="175"/>
  <c r="AI20" i="175"/>
  <c r="AH20" i="175"/>
  <c r="AG20" i="175"/>
  <c r="AF20" i="175"/>
  <c r="AE20" i="175"/>
  <c r="AD20" i="175"/>
  <c r="AC20" i="175"/>
  <c r="AB20" i="175"/>
  <c r="AA20" i="175"/>
  <c r="Z20" i="175"/>
  <c r="Y20" i="175"/>
  <c r="AK20" i="175" s="1"/>
  <c r="U20" i="175"/>
  <c r="T20" i="175"/>
  <c r="S20" i="175"/>
  <c r="R20" i="175"/>
  <c r="Q20" i="175"/>
  <c r="P20" i="175"/>
  <c r="O20" i="175"/>
  <c r="N20" i="175"/>
  <c r="M20" i="175"/>
  <c r="L20" i="175"/>
  <c r="K20" i="175"/>
  <c r="J20" i="175"/>
  <c r="V20" i="175" s="1"/>
  <c r="AJ19" i="175"/>
  <c r="AI19" i="175"/>
  <c r="AH19" i="175"/>
  <c r="AG19" i="175"/>
  <c r="AF19" i="175"/>
  <c r="AE19" i="175"/>
  <c r="AD19" i="175"/>
  <c r="AC19" i="175"/>
  <c r="AB19" i="175"/>
  <c r="AA19" i="175"/>
  <c r="Z19" i="175"/>
  <c r="Y19" i="175"/>
  <c r="AK19" i="175" s="1"/>
  <c r="U19" i="175"/>
  <c r="T19" i="175"/>
  <c r="S19" i="175"/>
  <c r="R19" i="175"/>
  <c r="Q19" i="175"/>
  <c r="P19" i="175"/>
  <c r="O19" i="175"/>
  <c r="N19" i="175"/>
  <c r="M19" i="175"/>
  <c r="L19" i="175"/>
  <c r="K19" i="175"/>
  <c r="J19" i="175"/>
  <c r="V19" i="175" s="1"/>
  <c r="AJ18" i="175"/>
  <c r="AI18" i="175"/>
  <c r="AH18" i="175"/>
  <c r="AG18" i="175"/>
  <c r="AF18" i="175"/>
  <c r="AE18" i="175"/>
  <c r="AD18" i="175"/>
  <c r="AC18" i="175"/>
  <c r="AB18" i="175"/>
  <c r="AA18" i="175"/>
  <c r="Z18" i="175"/>
  <c r="Y18" i="175"/>
  <c r="AK18" i="175" s="1"/>
  <c r="U18" i="175"/>
  <c r="T18" i="175"/>
  <c r="S18" i="175"/>
  <c r="R18" i="175"/>
  <c r="Q18" i="175"/>
  <c r="P18" i="175"/>
  <c r="O18" i="175"/>
  <c r="N18" i="175"/>
  <c r="M18" i="175"/>
  <c r="L18" i="175"/>
  <c r="K18" i="175"/>
  <c r="J18" i="175"/>
  <c r="V18" i="175" s="1"/>
  <c r="AJ17" i="175"/>
  <c r="AI17" i="175"/>
  <c r="AH17" i="175"/>
  <c r="AG17" i="175"/>
  <c r="AF17" i="175"/>
  <c r="AE17" i="175"/>
  <c r="AD17" i="175"/>
  <c r="AC17" i="175"/>
  <c r="AB17" i="175"/>
  <c r="AA17" i="175"/>
  <c r="Z17" i="175"/>
  <c r="Y17" i="175"/>
  <c r="AK17" i="175" s="1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V17" i="175" s="1"/>
  <c r="U16" i="175"/>
  <c r="T16" i="175"/>
  <c r="S16" i="175"/>
  <c r="R16" i="175"/>
  <c r="Q16" i="175"/>
  <c r="P16" i="175"/>
  <c r="O16" i="175"/>
  <c r="N16" i="175"/>
  <c r="M16" i="175"/>
  <c r="L16" i="175"/>
  <c r="K16" i="175"/>
  <c r="J16" i="175"/>
  <c r="V16" i="175" s="1"/>
  <c r="U15" i="175"/>
  <c r="T15" i="175"/>
  <c r="S15" i="175"/>
  <c r="R15" i="175"/>
  <c r="Q15" i="175"/>
  <c r="P15" i="175"/>
  <c r="O15" i="175"/>
  <c r="N15" i="175"/>
  <c r="M15" i="175"/>
  <c r="L15" i="175"/>
  <c r="K15" i="175"/>
  <c r="J15" i="175"/>
  <c r="V15" i="175" s="1"/>
  <c r="U14" i="175"/>
  <c r="T14" i="175"/>
  <c r="S14" i="175"/>
  <c r="Q14" i="175"/>
  <c r="P14" i="175"/>
  <c r="O14" i="175"/>
  <c r="N14" i="175"/>
  <c r="M14" i="175"/>
  <c r="L14" i="175"/>
  <c r="K14" i="175"/>
  <c r="J14" i="175"/>
  <c r="Q13" i="175"/>
  <c r="P13" i="175"/>
  <c r="O13" i="175"/>
  <c r="N13" i="175"/>
  <c r="M13" i="175"/>
  <c r="L13" i="175"/>
  <c r="K13" i="175"/>
  <c r="J13" i="175"/>
  <c r="AJ12" i="175"/>
  <c r="AI12" i="175"/>
  <c r="AH12" i="175"/>
  <c r="AG12" i="175"/>
  <c r="AF12" i="175"/>
  <c r="AE12" i="175"/>
  <c r="AD12" i="175"/>
  <c r="AC12" i="175"/>
  <c r="AB12" i="175"/>
  <c r="AA12" i="175"/>
  <c r="Z12" i="175"/>
  <c r="Y12" i="175"/>
  <c r="AK12" i="175" s="1"/>
  <c r="U12" i="175"/>
  <c r="T12" i="175"/>
  <c r="S12" i="175"/>
  <c r="R12" i="175"/>
  <c r="Q12" i="175"/>
  <c r="P12" i="175"/>
  <c r="O12" i="175"/>
  <c r="N12" i="175"/>
  <c r="M12" i="175"/>
  <c r="L12" i="175"/>
  <c r="K12" i="175"/>
  <c r="J12" i="175"/>
  <c r="V12" i="175" s="1"/>
  <c r="AJ11" i="175"/>
  <c r="AI11" i="175"/>
  <c r="AH11" i="175"/>
  <c r="AG11" i="175"/>
  <c r="AF11" i="175"/>
  <c r="AE11" i="175"/>
  <c r="AD11" i="175"/>
  <c r="AC11" i="175"/>
  <c r="AB11" i="175"/>
  <c r="AA11" i="175"/>
  <c r="Z11" i="175"/>
  <c r="Y11" i="175"/>
  <c r="AK11" i="175" s="1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V11" i="175" s="1"/>
  <c r="U10" i="175"/>
  <c r="T10" i="175"/>
  <c r="S10" i="175"/>
  <c r="R10" i="175"/>
  <c r="Q10" i="175"/>
  <c r="P10" i="175"/>
  <c r="O10" i="175"/>
  <c r="N10" i="175"/>
  <c r="M10" i="175"/>
  <c r="L10" i="175"/>
  <c r="K10" i="175"/>
  <c r="J10" i="175"/>
  <c r="V10" i="175" s="1"/>
  <c r="U9" i="175"/>
  <c r="T9" i="175"/>
  <c r="S9" i="175"/>
  <c r="S46" i="175" s="1"/>
  <c r="R9" i="175"/>
  <c r="R46" i="175" s="1"/>
  <c r="Q9" i="175"/>
  <c r="Q46" i="175" s="1"/>
  <c r="P9" i="175"/>
  <c r="P46" i="175" s="1"/>
  <c r="O9" i="175"/>
  <c r="O46" i="175" s="1"/>
  <c r="N9" i="175"/>
  <c r="N46" i="175" s="1"/>
  <c r="M9" i="175"/>
  <c r="M46" i="175" s="1"/>
  <c r="L9" i="175"/>
  <c r="L46" i="175" s="1"/>
  <c r="K9" i="175"/>
  <c r="K46" i="175" s="1"/>
  <c r="J9" i="175"/>
  <c r="U8" i="175"/>
  <c r="T8" i="175"/>
  <c r="S8" i="175"/>
  <c r="S45" i="175" s="1"/>
  <c r="R8" i="175"/>
  <c r="R45" i="175" s="1"/>
  <c r="Q8" i="175"/>
  <c r="Q45" i="175" s="1"/>
  <c r="P8" i="175"/>
  <c r="P45" i="175" s="1"/>
  <c r="O8" i="175"/>
  <c r="O45" i="175" s="1"/>
  <c r="N8" i="175"/>
  <c r="N45" i="175" s="1"/>
  <c r="M8" i="175"/>
  <c r="M45" i="175" s="1"/>
  <c r="L8" i="175"/>
  <c r="L45" i="175" s="1"/>
  <c r="K8" i="175"/>
  <c r="K45" i="175" s="1"/>
  <c r="J8" i="175"/>
  <c r="U7" i="175"/>
  <c r="T7" i="175"/>
  <c r="S7" i="175"/>
  <c r="S44" i="175" s="1"/>
  <c r="R7" i="175"/>
  <c r="Q7" i="175"/>
  <c r="Q44" i="175" s="1"/>
  <c r="P7" i="175"/>
  <c r="P44" i="175" s="1"/>
  <c r="O7" i="175"/>
  <c r="O44" i="175" s="1"/>
  <c r="N7" i="175"/>
  <c r="N44" i="175" s="1"/>
  <c r="M7" i="175"/>
  <c r="M44" i="175" s="1"/>
  <c r="L7" i="175"/>
  <c r="L44" i="175" s="1"/>
  <c r="K7" i="175"/>
  <c r="K44" i="175" s="1"/>
  <c r="J7" i="175"/>
  <c r="U6" i="175"/>
  <c r="T6" i="175"/>
  <c r="S6" i="175"/>
  <c r="R6" i="175"/>
  <c r="Q6" i="175"/>
  <c r="Q34" i="175" s="1"/>
  <c r="P6" i="175"/>
  <c r="P34" i="175" s="1"/>
  <c r="O6" i="175"/>
  <c r="O34" i="175" s="1"/>
  <c r="N6" i="175"/>
  <c r="N34" i="175" s="1"/>
  <c r="M6" i="175"/>
  <c r="M34" i="175" s="1"/>
  <c r="L6" i="175"/>
  <c r="L34" i="175" s="1"/>
  <c r="K6" i="175"/>
  <c r="K34" i="175" s="1"/>
  <c r="J6" i="175"/>
  <c r="J34" i="175" s="1"/>
  <c r="Z1" i="175"/>
  <c r="AA1" i="175" s="1"/>
  <c r="AB1" i="175" s="1"/>
  <c r="AC1" i="175" s="1"/>
  <c r="AD1" i="175" s="1"/>
  <c r="AE1" i="175" s="1"/>
  <c r="AF1" i="175" s="1"/>
  <c r="AG1" i="175" s="1"/>
  <c r="AH1" i="175" s="1"/>
  <c r="AI1" i="175" s="1"/>
  <c r="AJ1" i="175" s="1"/>
  <c r="AK1" i="175" s="1"/>
  <c r="Q165" i="87"/>
  <c r="P165" i="87"/>
  <c r="O165" i="87"/>
  <c r="N165" i="87"/>
  <c r="M165" i="87"/>
  <c r="L165" i="87"/>
  <c r="K165" i="87"/>
  <c r="J165" i="87"/>
  <c r="Q165" i="68"/>
  <c r="P165" i="68"/>
  <c r="O165" i="68"/>
  <c r="N165" i="68"/>
  <c r="M165" i="68"/>
  <c r="L165" i="68"/>
  <c r="K165" i="68"/>
  <c r="J165" i="68"/>
  <c r="Q165" i="83"/>
  <c r="P165" i="83"/>
  <c r="O165" i="83"/>
  <c r="N165" i="83"/>
  <c r="M165" i="83"/>
  <c r="L165" i="83"/>
  <c r="K165" i="83"/>
  <c r="J165" i="83"/>
  <c r="Q165" i="74"/>
  <c r="P165" i="74"/>
  <c r="O165" i="74"/>
  <c r="N165" i="74"/>
  <c r="M165" i="74"/>
  <c r="L165" i="74"/>
  <c r="K165" i="74"/>
  <c r="J165" i="74"/>
  <c r="Q165" i="84"/>
  <c r="P165" i="84"/>
  <c r="O165" i="84"/>
  <c r="N165" i="84"/>
  <c r="M165" i="84"/>
  <c r="L165" i="84"/>
  <c r="K165" i="84"/>
  <c r="J165" i="84"/>
  <c r="Q165" i="85"/>
  <c r="Q165" i="86"/>
  <c r="Z44" i="85"/>
  <c r="AA44" i="85"/>
  <c r="AB44" i="85"/>
  <c r="AC44" i="85"/>
  <c r="AD44" i="85"/>
  <c r="AE44" i="85"/>
  <c r="AF44" i="85"/>
  <c r="AG44" i="85"/>
  <c r="AH44" i="85"/>
  <c r="AI44" i="85"/>
  <c r="AJ44" i="85"/>
  <c r="Y44" i="85"/>
  <c r="Z44" i="84"/>
  <c r="AA44" i="84"/>
  <c r="AB44" i="84"/>
  <c r="AC44" i="84"/>
  <c r="AD44" i="84"/>
  <c r="AE44" i="84"/>
  <c r="AF44" i="84"/>
  <c r="AG44" i="84"/>
  <c r="AH44" i="84"/>
  <c r="AI44" i="84"/>
  <c r="AJ44" i="84"/>
  <c r="Y44" i="84"/>
  <c r="Z44" i="74"/>
  <c r="AA44" i="74"/>
  <c r="AB44" i="74"/>
  <c r="AC44" i="74"/>
  <c r="AD44" i="74"/>
  <c r="AE44" i="74"/>
  <c r="AF44" i="74"/>
  <c r="AG44" i="74"/>
  <c r="AH44" i="74"/>
  <c r="AI44" i="74"/>
  <c r="AJ44" i="74"/>
  <c r="Y44" i="74"/>
  <c r="Z44" i="83"/>
  <c r="AA44" i="83"/>
  <c r="AB44" i="83"/>
  <c r="AC44" i="83"/>
  <c r="AD44" i="83"/>
  <c r="AE44" i="83"/>
  <c r="AF44" i="83"/>
  <c r="AG44" i="83"/>
  <c r="AH44" i="83"/>
  <c r="AI44" i="83"/>
  <c r="AJ44" i="83"/>
  <c r="Y44" i="83"/>
  <c r="Z44" i="68"/>
  <c r="AA44" i="68"/>
  <c r="AB44" i="68"/>
  <c r="AC44" i="68"/>
  <c r="AD44" i="68"/>
  <c r="AE44" i="68"/>
  <c r="AF44" i="68"/>
  <c r="AG44" i="68"/>
  <c r="AH44" i="68"/>
  <c r="AI44" i="68"/>
  <c r="AJ44" i="68"/>
  <c r="Y44" i="68"/>
  <c r="Z44" i="87"/>
  <c r="AA44" i="87"/>
  <c r="AB44" i="87"/>
  <c r="AC44" i="87"/>
  <c r="AD44" i="87"/>
  <c r="AE44" i="87"/>
  <c r="AF44" i="87"/>
  <c r="AG44" i="87"/>
  <c r="AH44" i="87"/>
  <c r="AI44" i="87"/>
  <c r="AJ44" i="87"/>
  <c r="Y44" i="87"/>
  <c r="Z44" i="86"/>
  <c r="AA44" i="86"/>
  <c r="AB44" i="86"/>
  <c r="AC44" i="86"/>
  <c r="AD44" i="86"/>
  <c r="AE44" i="86"/>
  <c r="AF44" i="86"/>
  <c r="AG44" i="86"/>
  <c r="AH44" i="86"/>
  <c r="AI44" i="86"/>
  <c r="AJ44" i="86"/>
  <c r="Y44" i="86"/>
  <c r="AK11" i="87"/>
  <c r="AK12" i="87"/>
  <c r="V11" i="87"/>
  <c r="V12" i="87"/>
  <c r="V104" i="86"/>
  <c r="V104" i="83"/>
  <c r="Y56" i="83"/>
  <c r="AK103" i="87"/>
  <c r="V91" i="87"/>
  <c r="V125" i="87"/>
  <c r="V126" i="87"/>
  <c r="V127" i="87"/>
  <c r="V128" i="87"/>
  <c r="V129" i="87"/>
  <c r="V130" i="87"/>
  <c r="V131" i="87"/>
  <c r="V132" i="87"/>
  <c r="V133" i="87"/>
  <c r="V134" i="87"/>
  <c r="V135" i="87"/>
  <c r="V136" i="87"/>
  <c r="V125" i="68"/>
  <c r="V126" i="68"/>
  <c r="V127" i="68"/>
  <c r="V128" i="68"/>
  <c r="V129" i="68"/>
  <c r="V130" i="68"/>
  <c r="V131" i="68"/>
  <c r="V132" i="68"/>
  <c r="V133" i="68"/>
  <c r="V134" i="68"/>
  <c r="V135" i="68"/>
  <c r="V136" i="68"/>
  <c r="V88" i="68"/>
  <c r="V89" i="68"/>
  <c r="V90" i="68"/>
  <c r="V91" i="68"/>
  <c r="V125" i="83"/>
  <c r="V126" i="83"/>
  <c r="V127" i="83"/>
  <c r="V128" i="83"/>
  <c r="V129" i="83"/>
  <c r="V130" i="83"/>
  <c r="V131" i="83"/>
  <c r="V132" i="83"/>
  <c r="V133" i="83"/>
  <c r="V134" i="83"/>
  <c r="V135" i="83"/>
  <c r="V88" i="83"/>
  <c r="V89" i="83"/>
  <c r="V90" i="83"/>
  <c r="V91" i="83"/>
  <c r="V125" i="74"/>
  <c r="V126" i="74"/>
  <c r="V127" i="74"/>
  <c r="V128" i="74"/>
  <c r="V129" i="74"/>
  <c r="V130" i="74"/>
  <c r="V131" i="74"/>
  <c r="V132" i="74"/>
  <c r="V133" i="74"/>
  <c r="V134" i="74"/>
  <c r="V135" i="74"/>
  <c r="V88" i="74"/>
  <c r="V89" i="74"/>
  <c r="V90" i="74"/>
  <c r="V91" i="74"/>
  <c r="V125" i="84"/>
  <c r="V126" i="84"/>
  <c r="V127" i="84"/>
  <c r="V128" i="84"/>
  <c r="V129" i="84"/>
  <c r="V130" i="84"/>
  <c r="V131" i="84"/>
  <c r="V132" i="84"/>
  <c r="V133" i="84"/>
  <c r="V134" i="84"/>
  <c r="V135" i="84"/>
  <c r="V125" i="85"/>
  <c r="V126" i="85"/>
  <c r="V127" i="85"/>
  <c r="V128" i="85"/>
  <c r="V129" i="85"/>
  <c r="V130" i="85"/>
  <c r="V131" i="85"/>
  <c r="V132" i="85"/>
  <c r="V133" i="85"/>
  <c r="V134" i="85"/>
  <c r="V135" i="85"/>
  <c r="V136" i="85"/>
  <c r="V88" i="85"/>
  <c r="V89" i="85"/>
  <c r="V90" i="85"/>
  <c r="V91" i="85"/>
  <c r="V125" i="86"/>
  <c r="V126" i="86"/>
  <c r="V127" i="86"/>
  <c r="V128" i="86"/>
  <c r="V129" i="86"/>
  <c r="V130" i="86"/>
  <c r="V131" i="86"/>
  <c r="V132" i="86"/>
  <c r="V133" i="86"/>
  <c r="V134" i="86"/>
  <c r="V135" i="86"/>
  <c r="AK237" i="174"/>
  <c r="AK238" i="174"/>
  <c r="AK239" i="174"/>
  <c r="AK236" i="174"/>
  <c r="AK220" i="174"/>
  <c r="AK221" i="174"/>
  <c r="AK222" i="174"/>
  <c r="AK223" i="174"/>
  <c r="AK224" i="174"/>
  <c r="AK225" i="174"/>
  <c r="AK226" i="174"/>
  <c r="AK227" i="174"/>
  <c r="AK228" i="174"/>
  <c r="AK229" i="174"/>
  <c r="AK230" i="174"/>
  <c r="AM230" i="174" s="1"/>
  <c r="AK231" i="174"/>
  <c r="AK232" i="174"/>
  <c r="AK233" i="174"/>
  <c r="AK234" i="174"/>
  <c r="AK219" i="174"/>
  <c r="AK170" i="174"/>
  <c r="AK171" i="174"/>
  <c r="AK172" i="174"/>
  <c r="AK173" i="174"/>
  <c r="AK174" i="174"/>
  <c r="AK175" i="174"/>
  <c r="AK176" i="174"/>
  <c r="AK177" i="174"/>
  <c r="AK178" i="174"/>
  <c r="AK179" i="174"/>
  <c r="AK180" i="174"/>
  <c r="AK181" i="174"/>
  <c r="AK182" i="174"/>
  <c r="AK183" i="174"/>
  <c r="AK184" i="174"/>
  <c r="AK185" i="174"/>
  <c r="AK186" i="174"/>
  <c r="AK187" i="174"/>
  <c r="AK188" i="174"/>
  <c r="AK189" i="174"/>
  <c r="AK190" i="174"/>
  <c r="AK191" i="174"/>
  <c r="AK192" i="174"/>
  <c r="AK193" i="174"/>
  <c r="AK194" i="174"/>
  <c r="AK195" i="174"/>
  <c r="AK196" i="174"/>
  <c r="AK197" i="174"/>
  <c r="AK198" i="174"/>
  <c r="AK199" i="174"/>
  <c r="AK200" i="174"/>
  <c r="AK201" i="174"/>
  <c r="AK202" i="174"/>
  <c r="AK203" i="174"/>
  <c r="AK204" i="174"/>
  <c r="AK205" i="174"/>
  <c r="AK206" i="174"/>
  <c r="AK207" i="174"/>
  <c r="AK208" i="174"/>
  <c r="AK209" i="174"/>
  <c r="AK210" i="174"/>
  <c r="AK211" i="174"/>
  <c r="AK212" i="174"/>
  <c r="AK213" i="174"/>
  <c r="AK214" i="174"/>
  <c r="AK215" i="174"/>
  <c r="AK216" i="174"/>
  <c r="AK217" i="174"/>
  <c r="Y80" i="87"/>
  <c r="Y80" i="68"/>
  <c r="Y80" i="83"/>
  <c r="Y80" i="74"/>
  <c r="Y80" i="84"/>
  <c r="Y79" i="84"/>
  <c r="Y80" i="85"/>
  <c r="Y80" i="86"/>
  <c r="Y115" i="83"/>
  <c r="V88" i="84"/>
  <c r="V89" i="84"/>
  <c r="V90" i="84"/>
  <c r="V91" i="84"/>
  <c r="Y52" i="175"/>
  <c r="V88" i="86"/>
  <c r="V89" i="86"/>
  <c r="V90" i="86"/>
  <c r="V91" i="86"/>
  <c r="Y64" i="86"/>
  <c r="Y63" i="175" s="1"/>
  <c r="Y56" i="87"/>
  <c r="Y56" i="68"/>
  <c r="Y56" i="74"/>
  <c r="Y56" i="84"/>
  <c r="Y56" i="85"/>
  <c r="Y56" i="86"/>
  <c r="Y56" i="175" s="1"/>
  <c r="Y158" i="83"/>
  <c r="Y155" i="83"/>
  <c r="Y154" i="83"/>
  <c r="Y158" i="74"/>
  <c r="Y154" i="74"/>
  <c r="Y158" i="84"/>
  <c r="Y155" i="84"/>
  <c r="Y154" i="84"/>
  <c r="Y158" i="85"/>
  <c r="Y154" i="85"/>
  <c r="Y158" i="86"/>
  <c r="Y155" i="86"/>
  <c r="Y154" i="86"/>
  <c r="Y158" i="68"/>
  <c r="Y155" i="68"/>
  <c r="Y154" i="68"/>
  <c r="Y148" i="83"/>
  <c r="Y145" i="83"/>
  <c r="Y144" i="83"/>
  <c r="Y142" i="83"/>
  <c r="Y141" i="83"/>
  <c r="Y140" i="83"/>
  <c r="Y137" i="83"/>
  <c r="Y135" i="83"/>
  <c r="Y131" i="83"/>
  <c r="Y129" i="83"/>
  <c r="Y128" i="83"/>
  <c r="Y127" i="83"/>
  <c r="Y126" i="83"/>
  <c r="Y125" i="83"/>
  <c r="Y123" i="83"/>
  <c r="Y121" i="83"/>
  <c r="Y119" i="83"/>
  <c r="Y118" i="83"/>
  <c r="Y148" i="74"/>
  <c r="Y145" i="74"/>
  <c r="Y144" i="74"/>
  <c r="Y142" i="74"/>
  <c r="Y141" i="74"/>
  <c r="Y140" i="74"/>
  <c r="Y137" i="74"/>
  <c r="Y135" i="74"/>
  <c r="Y131" i="74"/>
  <c r="Y129" i="74"/>
  <c r="Y128" i="74"/>
  <c r="Y127" i="74"/>
  <c r="Y126" i="74"/>
  <c r="Y125" i="74"/>
  <c r="Y123" i="74"/>
  <c r="Y121" i="74"/>
  <c r="Y119" i="74"/>
  <c r="Y118" i="74"/>
  <c r="Y148" i="84"/>
  <c r="Y145" i="84"/>
  <c r="Y144" i="84"/>
  <c r="Y142" i="84"/>
  <c r="Y141" i="84"/>
  <c r="Y140" i="84"/>
  <c r="Y137" i="84"/>
  <c r="Y135" i="84"/>
  <c r="Y131" i="84"/>
  <c r="Y129" i="84"/>
  <c r="Y128" i="84"/>
  <c r="Y127" i="84"/>
  <c r="Y126" i="84"/>
  <c r="Y125" i="84"/>
  <c r="Y123" i="84"/>
  <c r="Y121" i="84"/>
  <c r="Y119" i="84"/>
  <c r="Y118" i="84"/>
  <c r="Y148" i="85"/>
  <c r="Y145" i="85"/>
  <c r="Y144" i="85"/>
  <c r="Y142" i="85"/>
  <c r="Y141" i="85"/>
  <c r="Y140" i="85"/>
  <c r="Y137" i="85"/>
  <c r="Y135" i="85"/>
  <c r="Y131" i="85"/>
  <c r="Y129" i="85"/>
  <c r="Y128" i="85"/>
  <c r="Y127" i="85"/>
  <c r="Y126" i="85"/>
  <c r="Y125" i="85"/>
  <c r="Y123" i="85"/>
  <c r="Y121" i="85"/>
  <c r="Y119" i="85"/>
  <c r="Y118" i="85"/>
  <c r="Y148" i="86"/>
  <c r="Y145" i="86"/>
  <c r="Y144" i="86"/>
  <c r="Y142" i="86"/>
  <c r="Y141" i="86"/>
  <c r="Y140" i="86"/>
  <c r="Y137" i="86"/>
  <c r="Y135" i="86"/>
  <c r="Y131" i="86"/>
  <c r="Y129" i="86"/>
  <c r="Y128" i="86"/>
  <c r="Y127" i="86"/>
  <c r="Y126" i="86"/>
  <c r="Y125" i="86"/>
  <c r="Y123" i="86"/>
  <c r="Y121" i="86"/>
  <c r="Y119" i="86"/>
  <c r="Y118" i="86"/>
  <c r="Y148" i="68"/>
  <c r="Y145" i="68"/>
  <c r="Y144" i="68"/>
  <c r="Y142" i="68"/>
  <c r="Y141" i="68"/>
  <c r="Y140" i="68"/>
  <c r="Y137" i="68"/>
  <c r="Y135" i="68"/>
  <c r="Y131" i="68"/>
  <c r="Y129" i="68"/>
  <c r="Y128" i="68"/>
  <c r="Y127" i="68"/>
  <c r="Y126" i="68"/>
  <c r="Y125" i="68"/>
  <c r="Y123" i="68"/>
  <c r="Y121" i="68"/>
  <c r="Y119" i="68"/>
  <c r="Y118" i="68"/>
  <c r="Y91" i="83"/>
  <c r="Y89" i="83"/>
  <c r="Y88" i="83"/>
  <c r="Y86" i="83"/>
  <c r="Y79" i="83"/>
  <c r="Y76" i="83"/>
  <c r="Y58" i="83"/>
  <c r="Y57" i="83"/>
  <c r="Y55" i="83"/>
  <c r="Y54" i="83"/>
  <c r="Y91" i="74"/>
  <c r="Y89" i="74"/>
  <c r="Y88" i="74"/>
  <c r="Y86" i="74"/>
  <c r="Y79" i="74"/>
  <c r="Y76" i="74"/>
  <c r="Y58" i="74"/>
  <c r="Y57" i="74"/>
  <c r="Y55" i="74"/>
  <c r="Y54" i="74"/>
  <c r="Y89" i="84"/>
  <c r="Y88" i="84"/>
  <c r="Y86" i="84"/>
  <c r="Y76" i="84"/>
  <c r="Y58" i="84"/>
  <c r="Y57" i="84"/>
  <c r="Y55" i="84"/>
  <c r="Y54" i="84"/>
  <c r="Y91" i="85"/>
  <c r="Y89" i="85"/>
  <c r="Y88" i="85"/>
  <c r="Y86" i="85"/>
  <c r="Y79" i="85"/>
  <c r="Y76" i="85"/>
  <c r="Y58" i="85"/>
  <c r="Y57" i="85"/>
  <c r="Y55" i="85"/>
  <c r="Y54" i="85"/>
  <c r="Y91" i="86"/>
  <c r="Y89" i="86"/>
  <c r="Y88" i="86"/>
  <c r="Y86" i="86"/>
  <c r="Y79" i="86"/>
  <c r="Y76" i="86"/>
  <c r="Y70" i="86"/>
  <c r="Y67" i="86"/>
  <c r="Y66" i="86"/>
  <c r="Y58" i="86"/>
  <c r="Y57" i="86"/>
  <c r="Y55" i="86"/>
  <c r="Y54" i="86"/>
  <c r="Y91" i="68"/>
  <c r="Y89" i="68"/>
  <c r="Y88" i="68"/>
  <c r="Y86" i="68"/>
  <c r="Y79" i="68"/>
  <c r="Y76" i="68"/>
  <c r="Y58" i="68"/>
  <c r="Y57" i="68"/>
  <c r="Y55" i="68"/>
  <c r="Y54" i="68"/>
  <c r="Y154" i="87"/>
  <c r="Y10" i="85"/>
  <c r="Y30" i="85"/>
  <c r="Y38" i="85"/>
  <c r="Y40" i="85"/>
  <c r="Y7" i="85" s="1"/>
  <c r="Y41" i="85"/>
  <c r="Y8" i="85" s="1"/>
  <c r="Y42" i="85"/>
  <c r="Y9" i="85" s="1"/>
  <c r="Y126" i="87"/>
  <c r="Y91" i="87"/>
  <c r="Y151" i="83"/>
  <c r="Y151" i="74"/>
  <c r="Y151" i="84"/>
  <c r="Y151" i="86"/>
  <c r="Y151" i="68"/>
  <c r="Y155" i="87"/>
  <c r="V42" i="83"/>
  <c r="V41" i="83"/>
  <c r="V40" i="83"/>
  <c r="V39" i="83"/>
  <c r="V42" i="74"/>
  <c r="V41" i="74"/>
  <c r="V40" i="74"/>
  <c r="V39" i="74"/>
  <c r="V42" i="84"/>
  <c r="V41" i="84"/>
  <c r="V40" i="84"/>
  <c r="V39" i="84"/>
  <c r="V42" i="85"/>
  <c r="V41" i="85"/>
  <c r="V40" i="85"/>
  <c r="V39" i="85"/>
  <c r="V42" i="87"/>
  <c r="V41" i="87"/>
  <c r="V40" i="87"/>
  <c r="V39" i="87"/>
  <c r="V42" i="68"/>
  <c r="V41" i="68"/>
  <c r="V40" i="68"/>
  <c r="V39" i="68"/>
  <c r="D125" i="38"/>
  <c r="E125" i="38"/>
  <c r="F125" i="38"/>
  <c r="G125" i="38"/>
  <c r="H125" i="38"/>
  <c r="I125" i="38"/>
  <c r="J125" i="38"/>
  <c r="K125" i="38"/>
  <c r="L125" i="38"/>
  <c r="M125" i="38"/>
  <c r="N125" i="38"/>
  <c r="D126" i="38"/>
  <c r="E126" i="38"/>
  <c r="F126" i="38"/>
  <c r="G126" i="38"/>
  <c r="H126" i="38"/>
  <c r="I126" i="38"/>
  <c r="J126" i="38"/>
  <c r="K126" i="38"/>
  <c r="L126" i="38"/>
  <c r="M126" i="38"/>
  <c r="N126" i="38"/>
  <c r="D127" i="38"/>
  <c r="E127" i="38"/>
  <c r="F127" i="38"/>
  <c r="G127" i="38"/>
  <c r="H127" i="38"/>
  <c r="I127" i="38"/>
  <c r="J127" i="38"/>
  <c r="K127" i="38"/>
  <c r="L127" i="38"/>
  <c r="M127" i="38"/>
  <c r="N127" i="38"/>
  <c r="D128" i="38"/>
  <c r="E128" i="38"/>
  <c r="F128" i="38"/>
  <c r="G128" i="38"/>
  <c r="H128" i="38"/>
  <c r="I128" i="38"/>
  <c r="J128" i="38"/>
  <c r="K128" i="38"/>
  <c r="L128" i="38"/>
  <c r="M128" i="38"/>
  <c r="N128" i="38"/>
  <c r="D129" i="38"/>
  <c r="E129" i="38"/>
  <c r="F129" i="38"/>
  <c r="G129" i="38"/>
  <c r="H129" i="38"/>
  <c r="I129" i="38"/>
  <c r="J129" i="38"/>
  <c r="K129" i="38"/>
  <c r="L129" i="38"/>
  <c r="M129" i="38"/>
  <c r="N129" i="38"/>
  <c r="D130" i="38"/>
  <c r="E130" i="38"/>
  <c r="F130" i="38"/>
  <c r="G130" i="38"/>
  <c r="H130" i="38"/>
  <c r="I130" i="38"/>
  <c r="J130" i="38"/>
  <c r="K130" i="38"/>
  <c r="L130" i="38"/>
  <c r="M130" i="38"/>
  <c r="N130" i="38"/>
  <c r="D131" i="38"/>
  <c r="E131" i="38"/>
  <c r="F131" i="38"/>
  <c r="G131" i="38"/>
  <c r="H131" i="38"/>
  <c r="I131" i="38"/>
  <c r="J131" i="38"/>
  <c r="K131" i="38"/>
  <c r="L131" i="38"/>
  <c r="M131" i="38"/>
  <c r="N131" i="38"/>
  <c r="D132" i="38"/>
  <c r="E132" i="38"/>
  <c r="F132" i="38"/>
  <c r="G132" i="38"/>
  <c r="H132" i="38"/>
  <c r="I132" i="38"/>
  <c r="J132" i="38"/>
  <c r="K132" i="38"/>
  <c r="L132" i="38"/>
  <c r="M132" i="38"/>
  <c r="N132" i="38"/>
  <c r="D133" i="38"/>
  <c r="E133" i="38"/>
  <c r="F133" i="38"/>
  <c r="G133" i="38"/>
  <c r="H133" i="38"/>
  <c r="I133" i="38"/>
  <c r="J133" i="38"/>
  <c r="K133" i="38"/>
  <c r="L133" i="38"/>
  <c r="M133" i="38"/>
  <c r="N133" i="38"/>
  <c r="D134" i="38"/>
  <c r="E134" i="38"/>
  <c r="F134" i="38"/>
  <c r="G134" i="38"/>
  <c r="H134" i="38"/>
  <c r="I134" i="38"/>
  <c r="J134" i="38"/>
  <c r="K134" i="38"/>
  <c r="L134" i="38"/>
  <c r="M134" i="38"/>
  <c r="N134" i="38"/>
  <c r="D135" i="38"/>
  <c r="E135" i="38"/>
  <c r="F135" i="38"/>
  <c r="G135" i="38"/>
  <c r="H135" i="38"/>
  <c r="I135" i="38"/>
  <c r="J135" i="38"/>
  <c r="K135" i="38"/>
  <c r="L135" i="38"/>
  <c r="M135" i="38"/>
  <c r="N135" i="38"/>
  <c r="D136" i="38"/>
  <c r="E136" i="38"/>
  <c r="F136" i="38"/>
  <c r="G136" i="38"/>
  <c r="H136" i="38"/>
  <c r="I136" i="38"/>
  <c r="J136" i="38"/>
  <c r="K136" i="38"/>
  <c r="L136" i="38"/>
  <c r="M136" i="38"/>
  <c r="N136" i="38"/>
  <c r="D137" i="38"/>
  <c r="E137" i="38"/>
  <c r="F137" i="38"/>
  <c r="G137" i="38"/>
  <c r="H137" i="38"/>
  <c r="I137" i="38"/>
  <c r="J137" i="38"/>
  <c r="K137" i="38"/>
  <c r="L137" i="38"/>
  <c r="M137" i="38"/>
  <c r="N137" i="38"/>
  <c r="D138" i="38"/>
  <c r="E138" i="38"/>
  <c r="F138" i="38"/>
  <c r="G138" i="38"/>
  <c r="H138" i="38"/>
  <c r="I138" i="38"/>
  <c r="J138" i="38"/>
  <c r="K138" i="38"/>
  <c r="L138" i="38"/>
  <c r="M138" i="38"/>
  <c r="N138" i="38"/>
  <c r="D139" i="38"/>
  <c r="E139" i="38"/>
  <c r="F139" i="38"/>
  <c r="G139" i="38"/>
  <c r="H139" i="38"/>
  <c r="I139" i="38"/>
  <c r="J139" i="38"/>
  <c r="K139" i="38"/>
  <c r="L139" i="38"/>
  <c r="M139" i="38"/>
  <c r="N139" i="38"/>
  <c r="D140" i="38"/>
  <c r="E140" i="38"/>
  <c r="F140" i="38"/>
  <c r="G140" i="38"/>
  <c r="H140" i="38"/>
  <c r="I140" i="38"/>
  <c r="J140" i="38"/>
  <c r="K140" i="38"/>
  <c r="L140" i="38"/>
  <c r="M140" i="38"/>
  <c r="N140" i="38"/>
  <c r="D141" i="38"/>
  <c r="E141" i="38"/>
  <c r="F141" i="38"/>
  <c r="G141" i="38"/>
  <c r="H141" i="38"/>
  <c r="I141" i="38"/>
  <c r="J141" i="38"/>
  <c r="K141" i="38"/>
  <c r="L141" i="38"/>
  <c r="M141" i="38"/>
  <c r="N141" i="38"/>
  <c r="D142" i="38"/>
  <c r="E142" i="38"/>
  <c r="F142" i="38"/>
  <c r="G142" i="38"/>
  <c r="H142" i="38"/>
  <c r="I142" i="38"/>
  <c r="J142" i="38"/>
  <c r="K142" i="38"/>
  <c r="L142" i="38"/>
  <c r="M142" i="38"/>
  <c r="N142" i="38"/>
  <c r="D143" i="38"/>
  <c r="E143" i="38"/>
  <c r="F143" i="38"/>
  <c r="G143" i="38"/>
  <c r="H143" i="38"/>
  <c r="I143" i="38"/>
  <c r="J143" i="38"/>
  <c r="K143" i="38"/>
  <c r="L143" i="38"/>
  <c r="M143" i="38"/>
  <c r="N143" i="38"/>
  <c r="D144" i="38"/>
  <c r="E144" i="38"/>
  <c r="F144" i="38"/>
  <c r="G144" i="38"/>
  <c r="H144" i="38"/>
  <c r="I144" i="38"/>
  <c r="J144" i="38"/>
  <c r="K144" i="38"/>
  <c r="L144" i="38"/>
  <c r="M144" i="38"/>
  <c r="N144" i="38"/>
  <c r="D145" i="38"/>
  <c r="E145" i="38"/>
  <c r="F145" i="38"/>
  <c r="G145" i="38"/>
  <c r="H145" i="38"/>
  <c r="I145" i="38"/>
  <c r="J145" i="38"/>
  <c r="K145" i="38"/>
  <c r="L145" i="38"/>
  <c r="M145" i="38"/>
  <c r="N145" i="38"/>
  <c r="D146" i="38"/>
  <c r="E146" i="38"/>
  <c r="F146" i="38"/>
  <c r="G146" i="38"/>
  <c r="H146" i="38"/>
  <c r="I146" i="38"/>
  <c r="J146" i="38"/>
  <c r="K146" i="38"/>
  <c r="L146" i="38"/>
  <c r="M146" i="38"/>
  <c r="N146" i="38"/>
  <c r="D147" i="38"/>
  <c r="E147" i="38"/>
  <c r="F147" i="38"/>
  <c r="G147" i="38"/>
  <c r="H147" i="38"/>
  <c r="I147" i="38"/>
  <c r="J147" i="38"/>
  <c r="K147" i="38"/>
  <c r="L147" i="38"/>
  <c r="M147" i="38"/>
  <c r="N147" i="38"/>
  <c r="D148" i="38"/>
  <c r="E148" i="38"/>
  <c r="F148" i="38"/>
  <c r="G148" i="38"/>
  <c r="H148" i="38"/>
  <c r="I148" i="38"/>
  <c r="J148" i="38"/>
  <c r="K148" i="38"/>
  <c r="L148" i="38"/>
  <c r="M148" i="38"/>
  <c r="N148" i="38"/>
  <c r="D149" i="38"/>
  <c r="E149" i="38"/>
  <c r="F149" i="38"/>
  <c r="G149" i="38"/>
  <c r="H149" i="38"/>
  <c r="I149" i="38"/>
  <c r="J149" i="38"/>
  <c r="K149" i="38"/>
  <c r="L149" i="38"/>
  <c r="M149" i="38"/>
  <c r="N149" i="38"/>
  <c r="D150" i="38"/>
  <c r="E150" i="38"/>
  <c r="F150" i="38"/>
  <c r="G150" i="38"/>
  <c r="H150" i="38"/>
  <c r="I150" i="38"/>
  <c r="J150" i="38"/>
  <c r="K150" i="38"/>
  <c r="L150" i="38"/>
  <c r="M150" i="38"/>
  <c r="N150" i="38"/>
  <c r="C126" i="38"/>
  <c r="C127" i="38"/>
  <c r="C128" i="38"/>
  <c r="C129" i="38"/>
  <c r="C130" i="38"/>
  <c r="C131" i="38"/>
  <c r="C132" i="38"/>
  <c r="C133" i="38"/>
  <c r="C134" i="38"/>
  <c r="C135" i="38"/>
  <c r="C136" i="38"/>
  <c r="C137" i="38"/>
  <c r="C138" i="38"/>
  <c r="C139" i="38"/>
  <c r="C140" i="38"/>
  <c r="C141" i="38"/>
  <c r="C142" i="38"/>
  <c r="C143" i="38"/>
  <c r="C144" i="38"/>
  <c r="C145" i="38"/>
  <c r="C146" i="38"/>
  <c r="C147" i="38"/>
  <c r="C148" i="38"/>
  <c r="C149" i="38"/>
  <c r="C150" i="38"/>
  <c r="C125" i="38"/>
  <c r="D96" i="38"/>
  <c r="E96" i="38"/>
  <c r="F96" i="38"/>
  <c r="G96" i="38"/>
  <c r="H96" i="38"/>
  <c r="I96" i="38"/>
  <c r="J96" i="38"/>
  <c r="K96" i="38"/>
  <c r="L96" i="38"/>
  <c r="M96" i="38"/>
  <c r="N96" i="38"/>
  <c r="D97" i="38"/>
  <c r="E97" i="38"/>
  <c r="F97" i="38"/>
  <c r="G97" i="38"/>
  <c r="H97" i="38"/>
  <c r="I97" i="38"/>
  <c r="J97" i="38"/>
  <c r="K97" i="38"/>
  <c r="L97" i="38"/>
  <c r="M97" i="38"/>
  <c r="N97" i="38"/>
  <c r="D98" i="38"/>
  <c r="E98" i="38"/>
  <c r="F98" i="38"/>
  <c r="G98" i="38"/>
  <c r="H98" i="38"/>
  <c r="I98" i="38"/>
  <c r="J98" i="38"/>
  <c r="K98" i="38"/>
  <c r="L98" i="38"/>
  <c r="M98" i="38"/>
  <c r="N98" i="38"/>
  <c r="D99" i="38"/>
  <c r="E99" i="38"/>
  <c r="F99" i="38"/>
  <c r="G99" i="38"/>
  <c r="H99" i="38"/>
  <c r="I99" i="38"/>
  <c r="J99" i="38"/>
  <c r="K99" i="38"/>
  <c r="L99" i="38"/>
  <c r="M99" i="38"/>
  <c r="N99" i="38"/>
  <c r="D100" i="38"/>
  <c r="E100" i="38"/>
  <c r="F100" i="38"/>
  <c r="G100" i="38"/>
  <c r="H100" i="38"/>
  <c r="I100" i="38"/>
  <c r="J100" i="38"/>
  <c r="K100" i="38"/>
  <c r="L100" i="38"/>
  <c r="M100" i="38"/>
  <c r="N100" i="38"/>
  <c r="D101" i="38"/>
  <c r="E101" i="38"/>
  <c r="F101" i="38"/>
  <c r="G101" i="38"/>
  <c r="H101" i="38"/>
  <c r="I101" i="38"/>
  <c r="J101" i="38"/>
  <c r="K101" i="38"/>
  <c r="L101" i="38"/>
  <c r="M101" i="38"/>
  <c r="N101" i="38"/>
  <c r="D102" i="38"/>
  <c r="E102" i="38"/>
  <c r="F102" i="38"/>
  <c r="G102" i="38"/>
  <c r="H102" i="38"/>
  <c r="I102" i="38"/>
  <c r="J102" i="38"/>
  <c r="K102" i="38"/>
  <c r="L102" i="38"/>
  <c r="M102" i="38"/>
  <c r="N102" i="38"/>
  <c r="D103" i="38"/>
  <c r="E103" i="38"/>
  <c r="F103" i="38"/>
  <c r="G103" i="38"/>
  <c r="H103" i="38"/>
  <c r="I103" i="38"/>
  <c r="J103" i="38"/>
  <c r="K103" i="38"/>
  <c r="L103" i="38"/>
  <c r="M103" i="38"/>
  <c r="N103" i="38"/>
  <c r="D104" i="38"/>
  <c r="E104" i="38"/>
  <c r="F104" i="38"/>
  <c r="G104" i="38"/>
  <c r="H104" i="38"/>
  <c r="I104" i="38"/>
  <c r="J104" i="38"/>
  <c r="K104" i="38"/>
  <c r="L104" i="38"/>
  <c r="M104" i="38"/>
  <c r="N104" i="38"/>
  <c r="D105" i="38"/>
  <c r="E105" i="38"/>
  <c r="F105" i="38"/>
  <c r="G105" i="38"/>
  <c r="H105" i="38"/>
  <c r="I105" i="38"/>
  <c r="J105" i="38"/>
  <c r="K105" i="38"/>
  <c r="L105" i="38"/>
  <c r="M105" i="38"/>
  <c r="N105" i="38"/>
  <c r="D106" i="38"/>
  <c r="E106" i="38"/>
  <c r="F106" i="38"/>
  <c r="G106" i="38"/>
  <c r="H106" i="38"/>
  <c r="I106" i="38"/>
  <c r="J106" i="38"/>
  <c r="K106" i="38"/>
  <c r="L106" i="38"/>
  <c r="M106" i="38"/>
  <c r="N106" i="38"/>
  <c r="D107" i="38"/>
  <c r="E107" i="38"/>
  <c r="F107" i="38"/>
  <c r="G107" i="38"/>
  <c r="H107" i="38"/>
  <c r="I107" i="38"/>
  <c r="J107" i="38"/>
  <c r="K107" i="38"/>
  <c r="L107" i="38"/>
  <c r="M107" i="38"/>
  <c r="N107" i="38"/>
  <c r="D108" i="38"/>
  <c r="E108" i="38"/>
  <c r="F108" i="38"/>
  <c r="G108" i="38"/>
  <c r="H108" i="38"/>
  <c r="I108" i="38"/>
  <c r="J108" i="38"/>
  <c r="K108" i="38"/>
  <c r="L108" i="38"/>
  <c r="M108" i="38"/>
  <c r="N108" i="38"/>
  <c r="D109" i="38"/>
  <c r="E109" i="38"/>
  <c r="F109" i="38"/>
  <c r="G109" i="38"/>
  <c r="H109" i="38"/>
  <c r="I109" i="38"/>
  <c r="J109" i="38"/>
  <c r="K109" i="38"/>
  <c r="L109" i="38"/>
  <c r="M109" i="38"/>
  <c r="N109" i="38"/>
  <c r="D110" i="38"/>
  <c r="E110" i="38"/>
  <c r="F110" i="38"/>
  <c r="G110" i="38"/>
  <c r="H110" i="38"/>
  <c r="I110" i="38"/>
  <c r="J110" i="38"/>
  <c r="K110" i="38"/>
  <c r="L110" i="38"/>
  <c r="M110" i="38"/>
  <c r="N110" i="38"/>
  <c r="D111" i="38"/>
  <c r="E111" i="38"/>
  <c r="F111" i="38"/>
  <c r="G111" i="38"/>
  <c r="H111" i="38"/>
  <c r="I111" i="38"/>
  <c r="J111" i="38"/>
  <c r="K111" i="38"/>
  <c r="L111" i="38"/>
  <c r="M111" i="38"/>
  <c r="N111" i="38"/>
  <c r="D112" i="38"/>
  <c r="E112" i="38"/>
  <c r="F112" i="38"/>
  <c r="G112" i="38"/>
  <c r="H112" i="38"/>
  <c r="I112" i="38"/>
  <c r="J112" i="38"/>
  <c r="K112" i="38"/>
  <c r="L112" i="38"/>
  <c r="M112" i="38"/>
  <c r="N112" i="38"/>
  <c r="D113" i="38"/>
  <c r="E113" i="38"/>
  <c r="F113" i="38"/>
  <c r="G113" i="38"/>
  <c r="H113" i="38"/>
  <c r="I113" i="38"/>
  <c r="J113" i="38"/>
  <c r="K113" i="38"/>
  <c r="L113" i="38"/>
  <c r="M113" i="38"/>
  <c r="N113" i="38"/>
  <c r="D114" i="38"/>
  <c r="E114" i="38"/>
  <c r="F114" i="38"/>
  <c r="G114" i="38"/>
  <c r="H114" i="38"/>
  <c r="I114" i="38"/>
  <c r="J114" i="38"/>
  <c r="K114" i="38"/>
  <c r="L114" i="38"/>
  <c r="M114" i="38"/>
  <c r="N114" i="38"/>
  <c r="D115" i="38"/>
  <c r="E115" i="38"/>
  <c r="F115" i="38"/>
  <c r="G115" i="38"/>
  <c r="H115" i="38"/>
  <c r="I115" i="38"/>
  <c r="J115" i="38"/>
  <c r="K115" i="38"/>
  <c r="L115" i="38"/>
  <c r="M115" i="38"/>
  <c r="N115" i="38"/>
  <c r="D116" i="38"/>
  <c r="E116" i="38"/>
  <c r="F116" i="38"/>
  <c r="G116" i="38"/>
  <c r="H116" i="38"/>
  <c r="I116" i="38"/>
  <c r="J116" i="38"/>
  <c r="K116" i="38"/>
  <c r="L116" i="38"/>
  <c r="M116" i="38"/>
  <c r="N116" i="38"/>
  <c r="D117" i="38"/>
  <c r="E117" i="38"/>
  <c r="F117" i="38"/>
  <c r="G117" i="38"/>
  <c r="H117" i="38"/>
  <c r="I117" i="38"/>
  <c r="J117" i="38"/>
  <c r="K117" i="38"/>
  <c r="L117" i="38"/>
  <c r="M117" i="38"/>
  <c r="N117" i="38"/>
  <c r="D118" i="38"/>
  <c r="E118" i="38"/>
  <c r="F118" i="38"/>
  <c r="G118" i="38"/>
  <c r="H118" i="38"/>
  <c r="I118" i="38"/>
  <c r="J118" i="38"/>
  <c r="K118" i="38"/>
  <c r="L118" i="38"/>
  <c r="M118" i="38"/>
  <c r="N118" i="38"/>
  <c r="D119" i="38"/>
  <c r="E119" i="38"/>
  <c r="F119" i="38"/>
  <c r="G119" i="38"/>
  <c r="H119" i="38"/>
  <c r="I119" i="38"/>
  <c r="J119" i="38"/>
  <c r="K119" i="38"/>
  <c r="L119" i="38"/>
  <c r="M119" i="38"/>
  <c r="N119" i="38"/>
  <c r="D120" i="38"/>
  <c r="E120" i="38"/>
  <c r="F120" i="38"/>
  <c r="G120" i="38"/>
  <c r="H120" i="38"/>
  <c r="I120" i="38"/>
  <c r="J120" i="38"/>
  <c r="K120" i="38"/>
  <c r="L120" i="38"/>
  <c r="M120" i="38"/>
  <c r="N120" i="38"/>
  <c r="D121" i="38"/>
  <c r="E121" i="38"/>
  <c r="F121" i="38"/>
  <c r="G121" i="38"/>
  <c r="H121" i="38"/>
  <c r="I121" i="38"/>
  <c r="J121" i="38"/>
  <c r="K121" i="38"/>
  <c r="L121" i="38"/>
  <c r="M121" i="38"/>
  <c r="N121" i="38"/>
  <c r="C97" i="38"/>
  <c r="C98" i="38"/>
  <c r="C99" i="38"/>
  <c r="C100" i="38"/>
  <c r="C101" i="38"/>
  <c r="C102" i="38"/>
  <c r="C103" i="38"/>
  <c r="C104" i="38"/>
  <c r="C105" i="38"/>
  <c r="C106" i="38"/>
  <c r="C107" i="38"/>
  <c r="C108" i="38"/>
  <c r="C109" i="38"/>
  <c r="C110" i="38"/>
  <c r="C111" i="38"/>
  <c r="C112" i="38"/>
  <c r="C113" i="38"/>
  <c r="C114" i="38"/>
  <c r="C115" i="38"/>
  <c r="C116" i="38"/>
  <c r="C117" i="38"/>
  <c r="C118" i="38"/>
  <c r="C119" i="38"/>
  <c r="C120" i="38"/>
  <c r="C121" i="38"/>
  <c r="C96" i="38"/>
  <c r="D68" i="38"/>
  <c r="E68" i="38"/>
  <c r="F68" i="38"/>
  <c r="G68" i="38"/>
  <c r="H68" i="38"/>
  <c r="I68" i="38"/>
  <c r="J68" i="38"/>
  <c r="K68" i="38"/>
  <c r="L68" i="38"/>
  <c r="M68" i="38"/>
  <c r="N68" i="38"/>
  <c r="D69" i="38"/>
  <c r="E69" i="38"/>
  <c r="F69" i="38"/>
  <c r="G69" i="38"/>
  <c r="H69" i="38"/>
  <c r="I69" i="38"/>
  <c r="J69" i="38"/>
  <c r="K69" i="38"/>
  <c r="L69" i="38"/>
  <c r="M69" i="38"/>
  <c r="N69" i="38"/>
  <c r="D70" i="38"/>
  <c r="E70" i="38"/>
  <c r="F70" i="38"/>
  <c r="G70" i="38"/>
  <c r="H70" i="38"/>
  <c r="I70" i="38"/>
  <c r="J70" i="38"/>
  <c r="K70" i="38"/>
  <c r="L70" i="38"/>
  <c r="M70" i="38"/>
  <c r="N70" i="38"/>
  <c r="D71" i="38"/>
  <c r="E71" i="38"/>
  <c r="F71" i="38"/>
  <c r="G71" i="38"/>
  <c r="H71" i="38"/>
  <c r="I71" i="38"/>
  <c r="J71" i="38"/>
  <c r="K71" i="38"/>
  <c r="L71" i="38"/>
  <c r="M71" i="38"/>
  <c r="N71" i="38"/>
  <c r="D72" i="38"/>
  <c r="E72" i="38"/>
  <c r="F72" i="38"/>
  <c r="G72" i="38"/>
  <c r="H72" i="38"/>
  <c r="I72" i="38"/>
  <c r="J72" i="38"/>
  <c r="K72" i="38"/>
  <c r="L72" i="38"/>
  <c r="M72" i="38"/>
  <c r="N72" i="38"/>
  <c r="D73" i="38"/>
  <c r="E73" i="38"/>
  <c r="F73" i="38"/>
  <c r="G73" i="38"/>
  <c r="H73" i="38"/>
  <c r="I73" i="38"/>
  <c r="J73" i="38"/>
  <c r="K73" i="38"/>
  <c r="L73" i="38"/>
  <c r="M73" i="38"/>
  <c r="N73" i="38"/>
  <c r="D74" i="38"/>
  <c r="E74" i="38"/>
  <c r="F74" i="38"/>
  <c r="G74" i="38"/>
  <c r="H74" i="38"/>
  <c r="I74" i="38"/>
  <c r="J74" i="38"/>
  <c r="K74" i="38"/>
  <c r="L74" i="38"/>
  <c r="M74" i="38"/>
  <c r="N74" i="38"/>
  <c r="D75" i="38"/>
  <c r="E75" i="38"/>
  <c r="F75" i="38"/>
  <c r="G75" i="38"/>
  <c r="H75" i="38"/>
  <c r="I75" i="38"/>
  <c r="J75" i="38"/>
  <c r="K75" i="38"/>
  <c r="L75" i="38"/>
  <c r="M75" i="38"/>
  <c r="N75" i="38"/>
  <c r="D76" i="38"/>
  <c r="E76" i="38"/>
  <c r="F76" i="38"/>
  <c r="G76" i="38"/>
  <c r="H76" i="38"/>
  <c r="I76" i="38"/>
  <c r="J76" i="38"/>
  <c r="K76" i="38"/>
  <c r="L76" i="38"/>
  <c r="M76" i="38"/>
  <c r="N76" i="38"/>
  <c r="D77" i="38"/>
  <c r="E77" i="38"/>
  <c r="F77" i="38"/>
  <c r="G77" i="38"/>
  <c r="H77" i="38"/>
  <c r="I77" i="38"/>
  <c r="J77" i="38"/>
  <c r="K77" i="38"/>
  <c r="L77" i="38"/>
  <c r="M77" i="38"/>
  <c r="N77" i="38"/>
  <c r="D78" i="38"/>
  <c r="E78" i="38"/>
  <c r="F78" i="38"/>
  <c r="G78" i="38"/>
  <c r="H78" i="38"/>
  <c r="I78" i="38"/>
  <c r="J78" i="38"/>
  <c r="K78" i="38"/>
  <c r="L78" i="38"/>
  <c r="M78" i="38"/>
  <c r="N78" i="38"/>
  <c r="D79" i="38"/>
  <c r="E79" i="38"/>
  <c r="F79" i="38"/>
  <c r="G79" i="38"/>
  <c r="H79" i="38"/>
  <c r="I79" i="38"/>
  <c r="J79" i="38"/>
  <c r="K79" i="38"/>
  <c r="L79" i="38"/>
  <c r="M79" i="38"/>
  <c r="N79" i="38"/>
  <c r="D80" i="38"/>
  <c r="E80" i="38"/>
  <c r="F80" i="38"/>
  <c r="G80" i="38"/>
  <c r="H80" i="38"/>
  <c r="I80" i="38"/>
  <c r="J80" i="38"/>
  <c r="K80" i="38"/>
  <c r="L80" i="38"/>
  <c r="M80" i="38"/>
  <c r="N80" i="38"/>
  <c r="D81" i="38"/>
  <c r="E81" i="38"/>
  <c r="F81" i="38"/>
  <c r="G81" i="38"/>
  <c r="H81" i="38"/>
  <c r="I81" i="38"/>
  <c r="J81" i="38"/>
  <c r="K81" i="38"/>
  <c r="L81" i="38"/>
  <c r="M81" i="38"/>
  <c r="N81" i="38"/>
  <c r="D82" i="38"/>
  <c r="E82" i="38"/>
  <c r="F82" i="38"/>
  <c r="G82" i="38"/>
  <c r="H82" i="38"/>
  <c r="I82" i="38"/>
  <c r="J82" i="38"/>
  <c r="K82" i="38"/>
  <c r="L82" i="38"/>
  <c r="M82" i="38"/>
  <c r="N82" i="38"/>
  <c r="D83" i="38"/>
  <c r="E83" i="38"/>
  <c r="F83" i="38"/>
  <c r="G83" i="38"/>
  <c r="H83" i="38"/>
  <c r="I83" i="38"/>
  <c r="J83" i="38"/>
  <c r="K83" i="38"/>
  <c r="L83" i="38"/>
  <c r="M83" i="38"/>
  <c r="N83" i="38"/>
  <c r="D84" i="38"/>
  <c r="E84" i="38"/>
  <c r="F84" i="38"/>
  <c r="G84" i="38"/>
  <c r="H84" i="38"/>
  <c r="I84" i="38"/>
  <c r="J84" i="38"/>
  <c r="K84" i="38"/>
  <c r="L84" i="38"/>
  <c r="M84" i="38"/>
  <c r="N84" i="38"/>
  <c r="D85" i="38"/>
  <c r="E85" i="38"/>
  <c r="F85" i="38"/>
  <c r="G85" i="38"/>
  <c r="H85" i="38"/>
  <c r="I85" i="38"/>
  <c r="J85" i="38"/>
  <c r="K85" i="38"/>
  <c r="L85" i="38"/>
  <c r="M85" i="38"/>
  <c r="N85" i="38"/>
  <c r="D86" i="38"/>
  <c r="E86" i="38"/>
  <c r="F86" i="38"/>
  <c r="G86" i="38"/>
  <c r="H86" i="38"/>
  <c r="I86" i="38"/>
  <c r="J86" i="38"/>
  <c r="K86" i="38"/>
  <c r="L86" i="38"/>
  <c r="M86" i="38"/>
  <c r="N86" i="38"/>
  <c r="D87" i="38"/>
  <c r="E87" i="38"/>
  <c r="F87" i="38"/>
  <c r="G87" i="38"/>
  <c r="H87" i="38"/>
  <c r="I87" i="38"/>
  <c r="J87" i="38"/>
  <c r="K87" i="38"/>
  <c r="L87" i="38"/>
  <c r="M87" i="38"/>
  <c r="N87" i="38"/>
  <c r="D88" i="38"/>
  <c r="E88" i="38"/>
  <c r="F88" i="38"/>
  <c r="G88" i="38"/>
  <c r="H88" i="38"/>
  <c r="I88" i="38"/>
  <c r="J88" i="38"/>
  <c r="K88" i="38"/>
  <c r="L88" i="38"/>
  <c r="M88" i="38"/>
  <c r="N88" i="38"/>
  <c r="D89" i="38"/>
  <c r="E89" i="38"/>
  <c r="F89" i="38"/>
  <c r="G89" i="38"/>
  <c r="H89" i="38"/>
  <c r="I89" i="38"/>
  <c r="J89" i="38"/>
  <c r="K89" i="38"/>
  <c r="L89" i="38"/>
  <c r="M89" i="38"/>
  <c r="N89" i="38"/>
  <c r="D90" i="38"/>
  <c r="E90" i="38"/>
  <c r="F90" i="38"/>
  <c r="G90" i="38"/>
  <c r="H90" i="38"/>
  <c r="I90" i="38"/>
  <c r="J90" i="38"/>
  <c r="K90" i="38"/>
  <c r="L90" i="38"/>
  <c r="M90" i="38"/>
  <c r="N90" i="38"/>
  <c r="D91" i="38"/>
  <c r="E91" i="38"/>
  <c r="F91" i="38"/>
  <c r="G91" i="38"/>
  <c r="H91" i="38"/>
  <c r="I91" i="38"/>
  <c r="J91" i="38"/>
  <c r="K91" i="38"/>
  <c r="L91" i="38"/>
  <c r="M91" i="38"/>
  <c r="N91" i="38"/>
  <c r="D92" i="38"/>
  <c r="E92" i="38"/>
  <c r="F92" i="38"/>
  <c r="G92" i="38"/>
  <c r="H92" i="38"/>
  <c r="I92" i="38"/>
  <c r="J92" i="38"/>
  <c r="K92" i="38"/>
  <c r="L92" i="38"/>
  <c r="M92" i="38"/>
  <c r="N92" i="38"/>
  <c r="D93" i="38"/>
  <c r="E93" i="38"/>
  <c r="F93" i="38"/>
  <c r="G93" i="38"/>
  <c r="H93" i="38"/>
  <c r="I93" i="38"/>
  <c r="J93" i="38"/>
  <c r="K93" i="38"/>
  <c r="L93" i="38"/>
  <c r="M93" i="38"/>
  <c r="N93" i="38"/>
  <c r="C69" i="38"/>
  <c r="C70" i="38"/>
  <c r="C71" i="38"/>
  <c r="C72" i="38"/>
  <c r="C73" i="38"/>
  <c r="C74" i="38"/>
  <c r="C75" i="38"/>
  <c r="C76" i="38"/>
  <c r="C77" i="38"/>
  <c r="C78" i="38"/>
  <c r="C79" i="38"/>
  <c r="C80" i="38"/>
  <c r="C81" i="38"/>
  <c r="C82" i="38"/>
  <c r="C83" i="38"/>
  <c r="C84" i="38"/>
  <c r="C85" i="38"/>
  <c r="C86" i="38"/>
  <c r="C87" i="38"/>
  <c r="C88" i="38"/>
  <c r="C89" i="38"/>
  <c r="C90" i="38"/>
  <c r="C91" i="38"/>
  <c r="C92" i="38"/>
  <c r="C93" i="38"/>
  <c r="C68" i="38"/>
  <c r="N60" i="38"/>
  <c r="N59" i="38"/>
  <c r="N58" i="38"/>
  <c r="B61" i="38"/>
  <c r="B60" i="38"/>
  <c r="B59" i="38"/>
  <c r="C54" i="38"/>
  <c r="D54" i="38"/>
  <c r="E54" i="38"/>
  <c r="F54" i="38"/>
  <c r="G54" i="38"/>
  <c r="H54" i="38"/>
  <c r="I54" i="38"/>
  <c r="J54" i="38"/>
  <c r="K54" i="38"/>
  <c r="L54" i="38"/>
  <c r="M54" i="38"/>
  <c r="N54" i="38"/>
  <c r="C55" i="38"/>
  <c r="D55" i="38"/>
  <c r="E55" i="38"/>
  <c r="F55" i="38"/>
  <c r="G55" i="38"/>
  <c r="H55" i="38"/>
  <c r="I55" i="38"/>
  <c r="J55" i="38"/>
  <c r="K55" i="38"/>
  <c r="L55" i="38"/>
  <c r="M55" i="38"/>
  <c r="N55" i="38"/>
  <c r="C56" i="38"/>
  <c r="D56" i="38"/>
  <c r="E56" i="38"/>
  <c r="F56" i="38"/>
  <c r="G56" i="38"/>
  <c r="H56" i="38"/>
  <c r="I56" i="38"/>
  <c r="J56" i="38"/>
  <c r="K56" i="38"/>
  <c r="L56" i="38"/>
  <c r="M56" i="38"/>
  <c r="N56" i="38"/>
  <c r="B55" i="38"/>
  <c r="B56" i="38"/>
  <c r="B54" i="38"/>
  <c r="C48" i="38"/>
  <c r="D48" i="38"/>
  <c r="E48" i="38"/>
  <c r="F48" i="38"/>
  <c r="G48" i="38"/>
  <c r="H48" i="38"/>
  <c r="I48" i="38"/>
  <c r="J48" i="38"/>
  <c r="K48" i="38"/>
  <c r="L48" i="38"/>
  <c r="M48" i="38"/>
  <c r="N48" i="38"/>
  <c r="C49" i="38"/>
  <c r="D49" i="38"/>
  <c r="E49" i="38"/>
  <c r="F49" i="38"/>
  <c r="G49" i="38"/>
  <c r="H49" i="38"/>
  <c r="I49" i="38"/>
  <c r="J49" i="38"/>
  <c r="K49" i="38"/>
  <c r="L49" i="38"/>
  <c r="M49" i="38"/>
  <c r="N49" i="38"/>
  <c r="C50" i="38"/>
  <c r="D50" i="38"/>
  <c r="E50" i="38"/>
  <c r="F50" i="38"/>
  <c r="G50" i="38"/>
  <c r="H50" i="38"/>
  <c r="I50" i="38"/>
  <c r="J50" i="38"/>
  <c r="K50" i="38"/>
  <c r="L50" i="38"/>
  <c r="M50" i="38"/>
  <c r="N50" i="38"/>
  <c r="B49" i="38"/>
  <c r="B50" i="38"/>
  <c r="B48" i="38"/>
  <c r="C42" i="38"/>
  <c r="D42" i="38"/>
  <c r="E42" i="38"/>
  <c r="F42" i="38"/>
  <c r="G42" i="38"/>
  <c r="H42" i="38"/>
  <c r="I42" i="38"/>
  <c r="J42" i="38"/>
  <c r="K42" i="38"/>
  <c r="L42" i="38"/>
  <c r="M42" i="38"/>
  <c r="N42" i="38"/>
  <c r="C43" i="38"/>
  <c r="D43" i="38"/>
  <c r="E43" i="38"/>
  <c r="F43" i="38"/>
  <c r="G43" i="38"/>
  <c r="H43" i="38"/>
  <c r="I43" i="38"/>
  <c r="J43" i="38"/>
  <c r="K43" i="38"/>
  <c r="L43" i="38"/>
  <c r="M43" i="38"/>
  <c r="N43" i="38"/>
  <c r="C44" i="38"/>
  <c r="D44" i="38"/>
  <c r="E44" i="38"/>
  <c r="F44" i="38"/>
  <c r="G44" i="38"/>
  <c r="H44" i="38"/>
  <c r="I44" i="38"/>
  <c r="J44" i="38"/>
  <c r="K44" i="38"/>
  <c r="L44" i="38"/>
  <c r="M44" i="38"/>
  <c r="N44" i="38"/>
  <c r="B43" i="38"/>
  <c r="B44" i="38"/>
  <c r="B42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B37" i="38"/>
  <c r="B38" i="38"/>
  <c r="B36" i="38"/>
  <c r="C30" i="38"/>
  <c r="D30" i="38"/>
  <c r="E30" i="38"/>
  <c r="F30" i="38"/>
  <c r="G30" i="38"/>
  <c r="H30" i="38"/>
  <c r="I30" i="38"/>
  <c r="J30" i="38"/>
  <c r="K30" i="38"/>
  <c r="L30" i="38"/>
  <c r="M30" i="38"/>
  <c r="N30" i="38"/>
  <c r="C31" i="38"/>
  <c r="D31" i="38"/>
  <c r="E31" i="38"/>
  <c r="F31" i="38"/>
  <c r="G31" i="38"/>
  <c r="H31" i="38"/>
  <c r="I31" i="38"/>
  <c r="J31" i="38"/>
  <c r="K31" i="38"/>
  <c r="L31" i="38"/>
  <c r="M31" i="38"/>
  <c r="N31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B31" i="38"/>
  <c r="B32" i="38"/>
  <c r="B30" i="38"/>
  <c r="B52" i="38"/>
  <c r="B46" i="38"/>
  <c r="B40" i="38"/>
  <c r="B34" i="38"/>
  <c r="B28" i="38"/>
  <c r="C24" i="38"/>
  <c r="D24" i="38"/>
  <c r="E24" i="38"/>
  <c r="F24" i="38"/>
  <c r="G24" i="38"/>
  <c r="H24" i="38"/>
  <c r="I24" i="38"/>
  <c r="J24" i="38"/>
  <c r="K24" i="38"/>
  <c r="L24" i="38"/>
  <c r="M24" i="38"/>
  <c r="C25" i="38"/>
  <c r="D25" i="38"/>
  <c r="E25" i="38"/>
  <c r="F25" i="38"/>
  <c r="G25" i="38"/>
  <c r="H25" i="38"/>
  <c r="I25" i="38"/>
  <c r="J25" i="38"/>
  <c r="K25" i="38"/>
  <c r="L25" i="38"/>
  <c r="M25" i="38"/>
  <c r="C26" i="38"/>
  <c r="D26" i="38"/>
  <c r="E26" i="38"/>
  <c r="F26" i="38"/>
  <c r="G26" i="38"/>
  <c r="H26" i="38"/>
  <c r="I26" i="38"/>
  <c r="J26" i="38"/>
  <c r="K26" i="38"/>
  <c r="L26" i="38"/>
  <c r="M26" i="38"/>
  <c r="B25" i="38"/>
  <c r="B26" i="38"/>
  <c r="B24" i="38"/>
  <c r="B18" i="38"/>
  <c r="A18" i="38"/>
  <c r="C14" i="38"/>
  <c r="D14" i="38"/>
  <c r="E14" i="38"/>
  <c r="F14" i="38"/>
  <c r="G14" i="38"/>
  <c r="H14" i="38"/>
  <c r="I14" i="38"/>
  <c r="J14" i="38"/>
  <c r="K14" i="38"/>
  <c r="L14" i="38"/>
  <c r="M14" i="38"/>
  <c r="C15" i="38"/>
  <c r="D15" i="38"/>
  <c r="E15" i="38"/>
  <c r="F15" i="38"/>
  <c r="G15" i="38"/>
  <c r="H15" i="38"/>
  <c r="I15" i="38"/>
  <c r="J15" i="38"/>
  <c r="K15" i="38"/>
  <c r="L15" i="38"/>
  <c r="M15" i="38"/>
  <c r="C16" i="38"/>
  <c r="D16" i="38"/>
  <c r="E16" i="38"/>
  <c r="F16" i="38"/>
  <c r="G16" i="38"/>
  <c r="H16" i="38"/>
  <c r="I16" i="38"/>
  <c r="J16" i="38"/>
  <c r="K16" i="38"/>
  <c r="L16" i="38"/>
  <c r="M16" i="38"/>
  <c r="B15" i="38"/>
  <c r="B16" i="38"/>
  <c r="B14" i="38"/>
  <c r="C12" i="38"/>
  <c r="D12" i="38"/>
  <c r="E12" i="38"/>
  <c r="F12" i="38"/>
  <c r="G12" i="38"/>
  <c r="H12" i="38"/>
  <c r="I12" i="38"/>
  <c r="J12" i="38"/>
  <c r="K12" i="38"/>
  <c r="L12" i="38"/>
  <c r="M12" i="38"/>
  <c r="B12" i="38"/>
  <c r="D9" i="38"/>
  <c r="D8" i="38"/>
  <c r="D7" i="38"/>
  <c r="B9" i="38"/>
  <c r="B8" i="38"/>
  <c r="B7" i="38"/>
  <c r="A6" i="38"/>
  <c r="E4" i="38"/>
  <c r="E3" i="38"/>
  <c r="E2" i="38"/>
  <c r="B4" i="38"/>
  <c r="B3" i="38"/>
  <c r="B2" i="38"/>
  <c r="Z117" i="174"/>
  <c r="AA117" i="174"/>
  <c r="AB117" i="174"/>
  <c r="AC117" i="174"/>
  <c r="AD117" i="174"/>
  <c r="AE117" i="174"/>
  <c r="AF117" i="174"/>
  <c r="AG117" i="174"/>
  <c r="AH117" i="174"/>
  <c r="AI117" i="174"/>
  <c r="AJ117" i="174"/>
  <c r="Z133" i="174"/>
  <c r="AA133" i="174"/>
  <c r="AB133" i="174"/>
  <c r="AC133" i="174"/>
  <c r="AD133" i="174"/>
  <c r="AE133" i="174"/>
  <c r="AF133" i="174"/>
  <c r="AG133" i="174"/>
  <c r="AH133" i="174"/>
  <c r="AI133" i="174"/>
  <c r="AJ133" i="174"/>
  <c r="Z134" i="174"/>
  <c r="AA134" i="174"/>
  <c r="AB134" i="174"/>
  <c r="AC134" i="174"/>
  <c r="AD134" i="174"/>
  <c r="AE134" i="174"/>
  <c r="AF134" i="174"/>
  <c r="AG134" i="174"/>
  <c r="AH134" i="174"/>
  <c r="AI134" i="174"/>
  <c r="AJ134" i="174"/>
  <c r="Z139" i="174"/>
  <c r="AA139" i="174"/>
  <c r="AB139" i="174"/>
  <c r="AC139" i="174"/>
  <c r="AD139" i="174"/>
  <c r="AE139" i="174"/>
  <c r="AF139" i="174"/>
  <c r="AG139" i="174"/>
  <c r="AH139" i="174"/>
  <c r="AI139" i="174"/>
  <c r="AJ139" i="174"/>
  <c r="Z147" i="174"/>
  <c r="AA147" i="174"/>
  <c r="AB147" i="174"/>
  <c r="AC147" i="174"/>
  <c r="AD147" i="174"/>
  <c r="AE147" i="174"/>
  <c r="AF147" i="174"/>
  <c r="AG147" i="174"/>
  <c r="AH147" i="174"/>
  <c r="AI147" i="174"/>
  <c r="AJ147" i="174"/>
  <c r="Y116" i="174"/>
  <c r="Y117" i="174"/>
  <c r="Y133" i="174"/>
  <c r="Y134" i="174"/>
  <c r="Y139" i="174"/>
  <c r="Y147" i="174"/>
  <c r="Z53" i="124"/>
  <c r="Z53" i="174" s="1"/>
  <c r="AA53" i="124"/>
  <c r="AA53" i="174" s="1"/>
  <c r="AB53" i="124"/>
  <c r="AB53" i="174" s="1"/>
  <c r="AC53" i="124"/>
  <c r="AC53" i="174" s="1"/>
  <c r="AD53" i="124"/>
  <c r="AD53" i="174" s="1"/>
  <c r="AE53" i="124"/>
  <c r="AE53" i="174" s="1"/>
  <c r="AF53" i="124"/>
  <c r="AF53" i="174" s="1"/>
  <c r="AG53" i="124"/>
  <c r="AG53" i="174" s="1"/>
  <c r="AH53" i="124"/>
  <c r="AH53" i="174" s="1"/>
  <c r="AI53" i="124"/>
  <c r="AI53" i="174" s="1"/>
  <c r="AJ53" i="124"/>
  <c r="AJ53" i="174" s="1"/>
  <c r="Z59" i="124"/>
  <c r="Z59" i="174" s="1"/>
  <c r="AA59" i="124"/>
  <c r="AA59" i="174" s="1"/>
  <c r="AB59" i="124"/>
  <c r="AB59" i="174" s="1"/>
  <c r="AC59" i="124"/>
  <c r="AC59" i="174" s="1"/>
  <c r="AD59" i="124"/>
  <c r="AD59" i="174" s="1"/>
  <c r="AE59" i="124"/>
  <c r="AE59" i="174" s="1"/>
  <c r="AF59" i="124"/>
  <c r="AF59" i="174" s="1"/>
  <c r="AG59" i="124"/>
  <c r="AG59" i="174" s="1"/>
  <c r="AH59" i="124"/>
  <c r="AH59" i="174" s="1"/>
  <c r="AI59" i="124"/>
  <c r="AI59" i="174" s="1"/>
  <c r="AJ59" i="124"/>
  <c r="AJ59" i="174" s="1"/>
  <c r="Z62" i="174"/>
  <c r="AA62" i="174"/>
  <c r="AB62" i="174"/>
  <c r="AC62" i="174"/>
  <c r="AD62" i="174"/>
  <c r="AE62" i="174"/>
  <c r="AF62" i="174"/>
  <c r="AG62" i="174"/>
  <c r="AH62" i="174"/>
  <c r="AI62" i="174"/>
  <c r="AJ62" i="174"/>
  <c r="Z63" i="174"/>
  <c r="AA63" i="174"/>
  <c r="AB63" i="174"/>
  <c r="AC63" i="174"/>
  <c r="AD63" i="174"/>
  <c r="AE63" i="174"/>
  <c r="AF63" i="174"/>
  <c r="AG63" i="174"/>
  <c r="AH63" i="174"/>
  <c r="AI63" i="174"/>
  <c r="AJ63" i="174"/>
  <c r="Z69" i="174"/>
  <c r="AA69" i="174"/>
  <c r="AB69" i="174"/>
  <c r="AC69" i="174"/>
  <c r="AD69" i="174"/>
  <c r="AE69" i="174"/>
  <c r="AF69" i="174"/>
  <c r="AG69" i="174"/>
  <c r="AH69" i="174"/>
  <c r="AI69" i="174"/>
  <c r="AJ69" i="174"/>
  <c r="Z74" i="174"/>
  <c r="AA74" i="174"/>
  <c r="AB74" i="174"/>
  <c r="AC74" i="174"/>
  <c r="AD74" i="174"/>
  <c r="AE74" i="174"/>
  <c r="AF74" i="174"/>
  <c r="AG74" i="174"/>
  <c r="AH74" i="174"/>
  <c r="AI74" i="174"/>
  <c r="AJ74" i="174"/>
  <c r="Z75" i="174"/>
  <c r="AA75" i="174"/>
  <c r="AB75" i="174"/>
  <c r="AC75" i="174"/>
  <c r="AD75" i="174"/>
  <c r="AE75" i="174"/>
  <c r="AF75" i="174"/>
  <c r="AG75" i="174"/>
  <c r="AH75" i="174"/>
  <c r="AI75" i="174"/>
  <c r="AJ75" i="174"/>
  <c r="Z84" i="174"/>
  <c r="AA84" i="174"/>
  <c r="AB84" i="174"/>
  <c r="AC84" i="174"/>
  <c r="AD84" i="174"/>
  <c r="AE84" i="174"/>
  <c r="AF84" i="174"/>
  <c r="AG84" i="174"/>
  <c r="AH84" i="174"/>
  <c r="AI84" i="174"/>
  <c r="AJ84" i="174"/>
  <c r="Z85" i="174"/>
  <c r="AA85" i="174"/>
  <c r="AB85" i="174"/>
  <c r="AC85" i="174"/>
  <c r="AD85" i="174"/>
  <c r="AE85" i="174"/>
  <c r="AF85" i="174"/>
  <c r="AG85" i="174"/>
  <c r="AH85" i="174"/>
  <c r="AI85" i="174"/>
  <c r="AJ85" i="174"/>
  <c r="Y53" i="124"/>
  <c r="Y53" i="174" s="1"/>
  <c r="Y59" i="124"/>
  <c r="Y59" i="174" s="1"/>
  <c r="Y60" i="124"/>
  <c r="Y62" i="174"/>
  <c r="Y63" i="174"/>
  <c r="Y65" i="174"/>
  <c r="Y69" i="174"/>
  <c r="Y74" i="174"/>
  <c r="Y75" i="174"/>
  <c r="Y81" i="174"/>
  <c r="Y84" i="174"/>
  <c r="Y85" i="174"/>
  <c r="K152" i="174"/>
  <c r="L152" i="174"/>
  <c r="M152" i="174"/>
  <c r="N152" i="174"/>
  <c r="O152" i="174"/>
  <c r="P152" i="174"/>
  <c r="Q152" i="174"/>
  <c r="R152" i="174"/>
  <c r="S152" i="174"/>
  <c r="T152" i="174"/>
  <c r="U152" i="174"/>
  <c r="K153" i="174"/>
  <c r="L153" i="174"/>
  <c r="M153" i="174"/>
  <c r="N153" i="174"/>
  <c r="O153" i="174"/>
  <c r="P153" i="174"/>
  <c r="Q153" i="174"/>
  <c r="R153" i="174"/>
  <c r="S153" i="174"/>
  <c r="T153" i="174"/>
  <c r="U153" i="174"/>
  <c r="K154" i="174"/>
  <c r="L154" i="174"/>
  <c r="M154" i="174"/>
  <c r="N154" i="174"/>
  <c r="O154" i="174"/>
  <c r="P154" i="174"/>
  <c r="Q154" i="174"/>
  <c r="R154" i="174"/>
  <c r="K155" i="174"/>
  <c r="L155" i="174"/>
  <c r="M155" i="174"/>
  <c r="N155" i="174"/>
  <c r="O155" i="174"/>
  <c r="P155" i="174"/>
  <c r="Q155" i="174"/>
  <c r="R155" i="174"/>
  <c r="S155" i="174"/>
  <c r="T155" i="174"/>
  <c r="U155" i="174"/>
  <c r="K156" i="174"/>
  <c r="L156" i="174"/>
  <c r="M156" i="174"/>
  <c r="N156" i="174"/>
  <c r="O156" i="174"/>
  <c r="P156" i="174"/>
  <c r="Q156" i="174"/>
  <c r="R156" i="174"/>
  <c r="K157" i="174"/>
  <c r="L157" i="174"/>
  <c r="M157" i="174"/>
  <c r="N157" i="174"/>
  <c r="O157" i="174"/>
  <c r="P157" i="174"/>
  <c r="Q157" i="174"/>
  <c r="R157" i="174"/>
  <c r="S157" i="174"/>
  <c r="T157" i="174"/>
  <c r="U157" i="174"/>
  <c r="J153" i="174"/>
  <c r="J154" i="174"/>
  <c r="J155" i="174"/>
  <c r="J156" i="174"/>
  <c r="J157" i="174"/>
  <c r="J152" i="174"/>
  <c r="K115" i="174"/>
  <c r="L115" i="174"/>
  <c r="M115" i="174"/>
  <c r="N115" i="174"/>
  <c r="O115" i="174"/>
  <c r="P115" i="174"/>
  <c r="Q115" i="174"/>
  <c r="R115" i="174"/>
  <c r="S115" i="174"/>
  <c r="T115" i="174"/>
  <c r="U115" i="174"/>
  <c r="K116" i="174"/>
  <c r="L116" i="174"/>
  <c r="M116" i="174"/>
  <c r="N116" i="174"/>
  <c r="O116" i="174"/>
  <c r="P116" i="174"/>
  <c r="Q116" i="174"/>
  <c r="S116" i="174"/>
  <c r="T116" i="174"/>
  <c r="U116" i="174"/>
  <c r="K117" i="174"/>
  <c r="L117" i="174"/>
  <c r="M117" i="174"/>
  <c r="N117" i="174"/>
  <c r="O117" i="174"/>
  <c r="P117" i="174"/>
  <c r="Q117" i="174"/>
  <c r="S117" i="174"/>
  <c r="T117" i="174"/>
  <c r="U117" i="174"/>
  <c r="K118" i="174"/>
  <c r="L118" i="174"/>
  <c r="M118" i="174"/>
  <c r="N118" i="174"/>
  <c r="O118" i="174"/>
  <c r="P118" i="174"/>
  <c r="Q118" i="174"/>
  <c r="S118" i="174"/>
  <c r="T118" i="174"/>
  <c r="U118" i="174"/>
  <c r="K119" i="174"/>
  <c r="L119" i="174"/>
  <c r="M119" i="174"/>
  <c r="N119" i="174"/>
  <c r="O119" i="174"/>
  <c r="P119" i="174"/>
  <c r="Q119" i="174"/>
  <c r="S119" i="174"/>
  <c r="T119" i="174"/>
  <c r="U119" i="174"/>
  <c r="K120" i="174"/>
  <c r="L120" i="174"/>
  <c r="M120" i="174"/>
  <c r="N120" i="174"/>
  <c r="O120" i="174"/>
  <c r="P120" i="174"/>
  <c r="Q120" i="174"/>
  <c r="S120" i="174"/>
  <c r="T120" i="174"/>
  <c r="U120" i="174"/>
  <c r="K121" i="174"/>
  <c r="L121" i="174"/>
  <c r="M121" i="174"/>
  <c r="N121" i="174"/>
  <c r="O121" i="174"/>
  <c r="P121" i="174"/>
  <c r="Q121" i="174"/>
  <c r="S121" i="174"/>
  <c r="T121" i="174"/>
  <c r="U121" i="174"/>
  <c r="K122" i="174"/>
  <c r="L122" i="174"/>
  <c r="M122" i="174"/>
  <c r="N122" i="174"/>
  <c r="O122" i="174"/>
  <c r="P122" i="174"/>
  <c r="Q122" i="174"/>
  <c r="S122" i="174"/>
  <c r="T122" i="174"/>
  <c r="U122" i="174"/>
  <c r="K123" i="174"/>
  <c r="L123" i="174"/>
  <c r="M123" i="174"/>
  <c r="N123" i="174"/>
  <c r="O123" i="174"/>
  <c r="P123" i="174"/>
  <c r="Q123" i="174"/>
  <c r="S123" i="174"/>
  <c r="T123" i="174"/>
  <c r="U123" i="174"/>
  <c r="K124" i="174"/>
  <c r="L124" i="174"/>
  <c r="M124" i="174"/>
  <c r="N124" i="174"/>
  <c r="O124" i="174"/>
  <c r="P124" i="174"/>
  <c r="Q124" i="174"/>
  <c r="S124" i="174"/>
  <c r="T124" i="174"/>
  <c r="U124" i="174"/>
  <c r="K125" i="174"/>
  <c r="L125" i="174"/>
  <c r="M125" i="174"/>
  <c r="N125" i="174"/>
  <c r="O125" i="174"/>
  <c r="P125" i="174"/>
  <c r="Q125" i="174"/>
  <c r="S125" i="174"/>
  <c r="T125" i="174"/>
  <c r="U125" i="174"/>
  <c r="K126" i="174"/>
  <c r="L126" i="174"/>
  <c r="M126" i="174"/>
  <c r="N126" i="174"/>
  <c r="O126" i="174"/>
  <c r="P126" i="174"/>
  <c r="Q126" i="174"/>
  <c r="S126" i="174"/>
  <c r="T126" i="174"/>
  <c r="U126" i="174"/>
  <c r="K127" i="174"/>
  <c r="L127" i="174"/>
  <c r="M127" i="174"/>
  <c r="N127" i="174"/>
  <c r="O127" i="174"/>
  <c r="P127" i="174"/>
  <c r="Q127" i="174"/>
  <c r="S127" i="174"/>
  <c r="T127" i="174"/>
  <c r="U127" i="174"/>
  <c r="K128" i="174"/>
  <c r="L128" i="174"/>
  <c r="M128" i="174"/>
  <c r="N128" i="174"/>
  <c r="O128" i="174"/>
  <c r="P128" i="174"/>
  <c r="Q128" i="174"/>
  <c r="S128" i="174"/>
  <c r="U128" i="174"/>
  <c r="K129" i="174"/>
  <c r="L129" i="174"/>
  <c r="M129" i="174"/>
  <c r="N129" i="174"/>
  <c r="O129" i="174"/>
  <c r="P129" i="174"/>
  <c r="Q129" i="174"/>
  <c r="S129" i="174"/>
  <c r="T129" i="174"/>
  <c r="U129" i="174"/>
  <c r="K130" i="174"/>
  <c r="L130" i="174"/>
  <c r="M130" i="174"/>
  <c r="N130" i="174"/>
  <c r="O130" i="174"/>
  <c r="P130" i="174"/>
  <c r="Q130" i="174"/>
  <c r="S130" i="174"/>
  <c r="T130" i="174"/>
  <c r="U130" i="174"/>
  <c r="K131" i="174"/>
  <c r="L131" i="174"/>
  <c r="M131" i="174"/>
  <c r="N131" i="174"/>
  <c r="O131" i="174"/>
  <c r="P131" i="174"/>
  <c r="Q131" i="174"/>
  <c r="S131" i="174"/>
  <c r="T131" i="174"/>
  <c r="U131" i="174"/>
  <c r="K132" i="174"/>
  <c r="L132" i="174"/>
  <c r="M132" i="174"/>
  <c r="N132" i="174"/>
  <c r="O132" i="174"/>
  <c r="P132" i="174"/>
  <c r="Q132" i="174"/>
  <c r="S132" i="174"/>
  <c r="T132" i="174"/>
  <c r="U132" i="174"/>
  <c r="K133" i="174"/>
  <c r="L133" i="174"/>
  <c r="M133" i="174"/>
  <c r="N133" i="174"/>
  <c r="O133" i="174"/>
  <c r="P133" i="174"/>
  <c r="Q133" i="174"/>
  <c r="S133" i="174"/>
  <c r="T133" i="174"/>
  <c r="U133" i="174"/>
  <c r="K134" i="174"/>
  <c r="L134" i="174"/>
  <c r="M134" i="174"/>
  <c r="N134" i="174"/>
  <c r="O134" i="174"/>
  <c r="P134" i="174"/>
  <c r="Q134" i="174"/>
  <c r="S134" i="174"/>
  <c r="T134" i="174"/>
  <c r="U134" i="174"/>
  <c r="K135" i="174"/>
  <c r="L135" i="174"/>
  <c r="M135" i="174"/>
  <c r="N135" i="174"/>
  <c r="O135" i="174"/>
  <c r="P135" i="174"/>
  <c r="Q135" i="174"/>
  <c r="S135" i="174"/>
  <c r="T135" i="174"/>
  <c r="U135" i="174"/>
  <c r="K136" i="174"/>
  <c r="L136" i="174"/>
  <c r="M136" i="174"/>
  <c r="N136" i="174"/>
  <c r="O136" i="174"/>
  <c r="P136" i="174"/>
  <c r="Q136" i="174"/>
  <c r="S136" i="174"/>
  <c r="T136" i="174"/>
  <c r="U136" i="174"/>
  <c r="K137" i="174"/>
  <c r="L137" i="174"/>
  <c r="M137" i="174"/>
  <c r="N137" i="174"/>
  <c r="O137" i="174"/>
  <c r="P137" i="174"/>
  <c r="Q137" i="174"/>
  <c r="S137" i="174"/>
  <c r="T137" i="174"/>
  <c r="U137" i="174"/>
  <c r="K138" i="174"/>
  <c r="L138" i="174"/>
  <c r="M138" i="174"/>
  <c r="N138" i="174"/>
  <c r="O138" i="174"/>
  <c r="P138" i="174"/>
  <c r="Q138" i="174"/>
  <c r="S138" i="174"/>
  <c r="T138" i="174"/>
  <c r="U138" i="174"/>
  <c r="K139" i="174"/>
  <c r="L139" i="174"/>
  <c r="M139" i="174"/>
  <c r="N139" i="174"/>
  <c r="O139" i="174"/>
  <c r="P139" i="174"/>
  <c r="Q139" i="174"/>
  <c r="S139" i="174"/>
  <c r="T139" i="174"/>
  <c r="U139" i="174"/>
  <c r="K140" i="174"/>
  <c r="L140" i="174"/>
  <c r="M140" i="174"/>
  <c r="N140" i="174"/>
  <c r="O140" i="174"/>
  <c r="P140" i="174"/>
  <c r="Q140" i="174"/>
  <c r="S140" i="174"/>
  <c r="T140" i="174"/>
  <c r="U140" i="174"/>
  <c r="K141" i="174"/>
  <c r="L141" i="174"/>
  <c r="M141" i="174"/>
  <c r="N141" i="174"/>
  <c r="O141" i="174"/>
  <c r="P141" i="174"/>
  <c r="Q141" i="174"/>
  <c r="S141" i="174"/>
  <c r="T141" i="174"/>
  <c r="U141" i="174"/>
  <c r="K142" i="174"/>
  <c r="L142" i="174"/>
  <c r="M142" i="174"/>
  <c r="N142" i="174"/>
  <c r="O142" i="174"/>
  <c r="P142" i="174"/>
  <c r="Q142" i="174"/>
  <c r="S142" i="174"/>
  <c r="K143" i="174"/>
  <c r="L143" i="174"/>
  <c r="M143" i="174"/>
  <c r="N143" i="174"/>
  <c r="O143" i="174"/>
  <c r="P143" i="174"/>
  <c r="Q143" i="174"/>
  <c r="S143" i="174"/>
  <c r="T143" i="174"/>
  <c r="U143" i="174"/>
  <c r="K144" i="174"/>
  <c r="L144" i="174"/>
  <c r="M144" i="174"/>
  <c r="N144" i="174"/>
  <c r="O144" i="174"/>
  <c r="P144" i="174"/>
  <c r="Q144" i="174"/>
  <c r="S144" i="174"/>
  <c r="T144" i="174"/>
  <c r="U144" i="174"/>
  <c r="K145" i="174"/>
  <c r="L145" i="174"/>
  <c r="M145" i="174"/>
  <c r="N145" i="174"/>
  <c r="O145" i="174"/>
  <c r="P145" i="174"/>
  <c r="Q145" i="174"/>
  <c r="S145" i="174"/>
  <c r="T145" i="174"/>
  <c r="U145" i="174"/>
  <c r="K146" i="174"/>
  <c r="L146" i="174"/>
  <c r="M146" i="174"/>
  <c r="N146" i="174"/>
  <c r="O146" i="174"/>
  <c r="P146" i="174"/>
  <c r="Q146" i="174"/>
  <c r="S146" i="174"/>
  <c r="T146" i="174"/>
  <c r="U146" i="174"/>
  <c r="K147" i="174"/>
  <c r="L147" i="174"/>
  <c r="M147" i="174"/>
  <c r="N147" i="174"/>
  <c r="O147" i="174"/>
  <c r="P147" i="174"/>
  <c r="Q147" i="174"/>
  <c r="S147" i="174"/>
  <c r="T147" i="174"/>
  <c r="U147" i="174"/>
  <c r="K148" i="174"/>
  <c r="L148" i="174"/>
  <c r="M148" i="174"/>
  <c r="N148" i="174"/>
  <c r="O148" i="174"/>
  <c r="P148" i="174"/>
  <c r="Q148" i="174"/>
  <c r="K150" i="174"/>
  <c r="L150" i="174"/>
  <c r="M150" i="174"/>
  <c r="N150" i="174"/>
  <c r="O150" i="174"/>
  <c r="P150" i="174"/>
  <c r="Q150" i="174"/>
  <c r="S150" i="174"/>
  <c r="T150" i="174"/>
  <c r="U150" i="174"/>
  <c r="J116" i="174"/>
  <c r="J117" i="174"/>
  <c r="J118" i="174"/>
  <c r="J119" i="174"/>
  <c r="J120" i="174"/>
  <c r="J121" i="174"/>
  <c r="J122" i="174"/>
  <c r="J123" i="174"/>
  <c r="J124" i="174"/>
  <c r="J125" i="174"/>
  <c r="J126" i="174"/>
  <c r="J127" i="174"/>
  <c r="J128" i="174"/>
  <c r="J129" i="174"/>
  <c r="J130" i="174"/>
  <c r="J131" i="174"/>
  <c r="J132" i="174"/>
  <c r="J133" i="174"/>
  <c r="J134" i="174"/>
  <c r="J135" i="174"/>
  <c r="J136" i="174"/>
  <c r="J137" i="174"/>
  <c r="J138" i="174"/>
  <c r="J139" i="174"/>
  <c r="J140" i="174"/>
  <c r="J141" i="174"/>
  <c r="J142" i="174"/>
  <c r="J143" i="174"/>
  <c r="J144" i="174"/>
  <c r="J145" i="174"/>
  <c r="J146" i="174"/>
  <c r="J147" i="174"/>
  <c r="J148" i="174"/>
  <c r="J150" i="174"/>
  <c r="J115" i="174"/>
  <c r="K110" i="174"/>
  <c r="L110" i="174"/>
  <c r="M110" i="174"/>
  <c r="N110" i="174"/>
  <c r="O110" i="174"/>
  <c r="P110" i="174"/>
  <c r="Q110" i="174"/>
  <c r="R110" i="174"/>
  <c r="K111" i="174"/>
  <c r="L111" i="174"/>
  <c r="M111" i="174"/>
  <c r="N111" i="174"/>
  <c r="O111" i="174"/>
  <c r="P111" i="174"/>
  <c r="Q111" i="174"/>
  <c r="R111" i="174"/>
  <c r="K112" i="174"/>
  <c r="L112" i="174"/>
  <c r="M112" i="174"/>
  <c r="N112" i="174"/>
  <c r="O112" i="174"/>
  <c r="P112" i="174"/>
  <c r="Q112" i="174"/>
  <c r="R112" i="174"/>
  <c r="K113" i="174"/>
  <c r="L113" i="174"/>
  <c r="M113" i="174"/>
  <c r="N113" i="174"/>
  <c r="O113" i="174"/>
  <c r="P113" i="174"/>
  <c r="Q113" i="174"/>
  <c r="R113" i="174"/>
  <c r="J111" i="174"/>
  <c r="J112" i="174"/>
  <c r="J113" i="174"/>
  <c r="J110" i="174"/>
  <c r="K93" i="174"/>
  <c r="L93" i="174"/>
  <c r="M93" i="174"/>
  <c r="N93" i="174"/>
  <c r="O93" i="174"/>
  <c r="P93" i="174"/>
  <c r="Q93" i="174"/>
  <c r="R93" i="174"/>
  <c r="K94" i="174"/>
  <c r="L94" i="174"/>
  <c r="M94" i="174"/>
  <c r="N94" i="174"/>
  <c r="O94" i="174"/>
  <c r="P94" i="174"/>
  <c r="Q94" i="174"/>
  <c r="R94" i="174"/>
  <c r="K95" i="174"/>
  <c r="L95" i="174"/>
  <c r="M95" i="174"/>
  <c r="N95" i="174"/>
  <c r="O95" i="174"/>
  <c r="P95" i="174"/>
  <c r="Q95" i="174"/>
  <c r="R95" i="174"/>
  <c r="K96" i="174"/>
  <c r="L96" i="174"/>
  <c r="M96" i="174"/>
  <c r="N96" i="174"/>
  <c r="O96" i="174"/>
  <c r="P96" i="174"/>
  <c r="Q96" i="174"/>
  <c r="R96" i="174"/>
  <c r="K97" i="174"/>
  <c r="L97" i="174"/>
  <c r="M97" i="174"/>
  <c r="N97" i="174"/>
  <c r="O97" i="174"/>
  <c r="P97" i="174"/>
  <c r="Q97" i="174"/>
  <c r="R97" i="174"/>
  <c r="K98" i="174"/>
  <c r="L98" i="174"/>
  <c r="M98" i="174"/>
  <c r="N98" i="174"/>
  <c r="O98" i="174"/>
  <c r="P98" i="174"/>
  <c r="Q98" i="174"/>
  <c r="R98" i="174"/>
  <c r="K99" i="174"/>
  <c r="L99" i="174"/>
  <c r="M99" i="174"/>
  <c r="N99" i="174"/>
  <c r="O99" i="174"/>
  <c r="P99" i="174"/>
  <c r="Q99" i="174"/>
  <c r="R99" i="174"/>
  <c r="K100" i="174"/>
  <c r="L100" i="174"/>
  <c r="M100" i="174"/>
  <c r="N100" i="174"/>
  <c r="O100" i="174"/>
  <c r="P100" i="174"/>
  <c r="Q100" i="174"/>
  <c r="R100" i="174"/>
  <c r="K101" i="174"/>
  <c r="L101" i="174"/>
  <c r="M101" i="174"/>
  <c r="N101" i="174"/>
  <c r="O101" i="174"/>
  <c r="P101" i="174"/>
  <c r="Q101" i="174"/>
  <c r="R101" i="174"/>
  <c r="K102" i="174"/>
  <c r="L102" i="174"/>
  <c r="M102" i="174"/>
  <c r="N102" i="174"/>
  <c r="O102" i="174"/>
  <c r="P102" i="174"/>
  <c r="Q102" i="174"/>
  <c r="R102" i="174"/>
  <c r="K103" i="174"/>
  <c r="L103" i="174"/>
  <c r="M103" i="174"/>
  <c r="N103" i="174"/>
  <c r="O103" i="174"/>
  <c r="P103" i="174"/>
  <c r="Q103" i="174"/>
  <c r="R103" i="174"/>
  <c r="K104" i="174"/>
  <c r="L104" i="174"/>
  <c r="M104" i="174"/>
  <c r="N104" i="174"/>
  <c r="O104" i="174"/>
  <c r="P104" i="174"/>
  <c r="Q104" i="174"/>
  <c r="R104" i="174"/>
  <c r="K105" i="174"/>
  <c r="L105" i="174"/>
  <c r="M105" i="174"/>
  <c r="N105" i="174"/>
  <c r="O105" i="174"/>
  <c r="P105" i="174"/>
  <c r="Q105" i="174"/>
  <c r="K106" i="174"/>
  <c r="L106" i="174"/>
  <c r="M106" i="174"/>
  <c r="N106" i="174"/>
  <c r="O106" i="174"/>
  <c r="P106" i="174"/>
  <c r="Q106" i="174"/>
  <c r="R106" i="174"/>
  <c r="K107" i="174"/>
  <c r="L107" i="174"/>
  <c r="M107" i="174"/>
  <c r="N107" i="174"/>
  <c r="O107" i="174"/>
  <c r="P107" i="174"/>
  <c r="Q107" i="174"/>
  <c r="R107" i="174"/>
  <c r="K108" i="174"/>
  <c r="L108" i="174"/>
  <c r="M108" i="174"/>
  <c r="N108" i="174"/>
  <c r="O108" i="174"/>
  <c r="P108" i="174"/>
  <c r="Q108" i="174"/>
  <c r="R108" i="174"/>
  <c r="J94" i="174"/>
  <c r="J95" i="174"/>
  <c r="J96" i="174"/>
  <c r="J97" i="174"/>
  <c r="J98" i="174"/>
  <c r="J99" i="174"/>
  <c r="J100" i="174"/>
  <c r="J101" i="174"/>
  <c r="J102" i="174"/>
  <c r="J103" i="174"/>
  <c r="J104" i="174"/>
  <c r="J105" i="174"/>
  <c r="J106" i="174"/>
  <c r="J107" i="174"/>
  <c r="J108" i="174"/>
  <c r="J93" i="174"/>
  <c r="K51" i="124"/>
  <c r="K51" i="174" s="1"/>
  <c r="L51" i="124"/>
  <c r="L51" i="174" s="1"/>
  <c r="M51" i="124"/>
  <c r="M51" i="174" s="1"/>
  <c r="N51" i="124"/>
  <c r="N51" i="174" s="1"/>
  <c r="O51" i="124"/>
  <c r="O51" i="174" s="1"/>
  <c r="P51" i="124"/>
  <c r="P51" i="174" s="1"/>
  <c r="Q51" i="124"/>
  <c r="Q51" i="174" s="1"/>
  <c r="R51" i="124"/>
  <c r="R51" i="174" s="1"/>
  <c r="K52" i="124"/>
  <c r="K52" i="174" s="1"/>
  <c r="L52" i="124"/>
  <c r="L52" i="174" s="1"/>
  <c r="M52" i="124"/>
  <c r="M52" i="174" s="1"/>
  <c r="N52" i="124"/>
  <c r="N52" i="174" s="1"/>
  <c r="O52" i="124"/>
  <c r="O52" i="174" s="1"/>
  <c r="P52" i="124"/>
  <c r="P52" i="174" s="1"/>
  <c r="Q52" i="124"/>
  <c r="Q52" i="174" s="1"/>
  <c r="R52" i="124"/>
  <c r="K53" i="124"/>
  <c r="K53" i="174" s="1"/>
  <c r="L53" i="124"/>
  <c r="L53" i="174" s="1"/>
  <c r="M53" i="124"/>
  <c r="M53" i="174" s="1"/>
  <c r="N53" i="124"/>
  <c r="N53" i="174" s="1"/>
  <c r="O53" i="124"/>
  <c r="O53" i="174" s="1"/>
  <c r="P53" i="124"/>
  <c r="P53" i="174" s="1"/>
  <c r="Q53" i="124"/>
  <c r="Q53" i="174" s="1"/>
  <c r="R53" i="124"/>
  <c r="S53" i="124"/>
  <c r="S53" i="174" s="1"/>
  <c r="K54" i="124"/>
  <c r="K54" i="174" s="1"/>
  <c r="L54" i="124"/>
  <c r="L54" i="174" s="1"/>
  <c r="M54" i="124"/>
  <c r="M54" i="174" s="1"/>
  <c r="N54" i="124"/>
  <c r="N54" i="174" s="1"/>
  <c r="O54" i="124"/>
  <c r="O54" i="174" s="1"/>
  <c r="P54" i="124"/>
  <c r="P54" i="174" s="1"/>
  <c r="Q54" i="124"/>
  <c r="Q54" i="174" s="1"/>
  <c r="R54" i="124"/>
  <c r="K55" i="124"/>
  <c r="K55" i="174" s="1"/>
  <c r="L55" i="124"/>
  <c r="L55" i="174" s="1"/>
  <c r="M55" i="124"/>
  <c r="M55" i="174" s="1"/>
  <c r="N55" i="124"/>
  <c r="N55" i="174" s="1"/>
  <c r="O55" i="124"/>
  <c r="O55" i="174" s="1"/>
  <c r="P55" i="124"/>
  <c r="P55" i="174" s="1"/>
  <c r="Q55" i="124"/>
  <c r="Q55" i="174" s="1"/>
  <c r="R55" i="124"/>
  <c r="S55" i="124"/>
  <c r="S55" i="174" s="1"/>
  <c r="K56" i="124"/>
  <c r="K56" i="174" s="1"/>
  <c r="L56" i="124"/>
  <c r="L56" i="174" s="1"/>
  <c r="M56" i="124"/>
  <c r="M56" i="174" s="1"/>
  <c r="N56" i="124"/>
  <c r="N56" i="174" s="1"/>
  <c r="O56" i="124"/>
  <c r="O56" i="174" s="1"/>
  <c r="P56" i="124"/>
  <c r="P56" i="174" s="1"/>
  <c r="Q56" i="124"/>
  <c r="Q56" i="174" s="1"/>
  <c r="R56" i="124"/>
  <c r="K57" i="124"/>
  <c r="K57" i="174" s="1"/>
  <c r="L57" i="124"/>
  <c r="L57" i="174" s="1"/>
  <c r="M57" i="124"/>
  <c r="M57" i="174" s="1"/>
  <c r="N57" i="124"/>
  <c r="N57" i="174" s="1"/>
  <c r="O57" i="124"/>
  <c r="O57" i="174" s="1"/>
  <c r="P57" i="124"/>
  <c r="P57" i="174" s="1"/>
  <c r="Q57" i="124"/>
  <c r="Q57" i="174" s="1"/>
  <c r="R57" i="124"/>
  <c r="S57" i="124"/>
  <c r="S57" i="174" s="1"/>
  <c r="K58" i="124"/>
  <c r="K58" i="174" s="1"/>
  <c r="L58" i="124"/>
  <c r="L58" i="174" s="1"/>
  <c r="M58" i="124"/>
  <c r="M58" i="174" s="1"/>
  <c r="N58" i="124"/>
  <c r="N58" i="174" s="1"/>
  <c r="O58" i="124"/>
  <c r="O58" i="174" s="1"/>
  <c r="P58" i="124"/>
  <c r="P58" i="174" s="1"/>
  <c r="Q58" i="124"/>
  <c r="Q58" i="174" s="1"/>
  <c r="R58" i="124"/>
  <c r="S58" i="124"/>
  <c r="S58" i="174" s="1"/>
  <c r="K59" i="124"/>
  <c r="K59" i="174" s="1"/>
  <c r="L59" i="124"/>
  <c r="L59" i="174" s="1"/>
  <c r="M59" i="124"/>
  <c r="M59" i="174" s="1"/>
  <c r="N59" i="124"/>
  <c r="N59" i="174" s="1"/>
  <c r="O59" i="124"/>
  <c r="O59" i="174" s="1"/>
  <c r="P59" i="124"/>
  <c r="P59" i="174" s="1"/>
  <c r="Q59" i="124"/>
  <c r="Q59" i="174" s="1"/>
  <c r="R59" i="124"/>
  <c r="R59" i="174" s="1"/>
  <c r="S59" i="124"/>
  <c r="S59" i="174" s="1"/>
  <c r="K60" i="124"/>
  <c r="K60" i="174" s="1"/>
  <c r="L60" i="124"/>
  <c r="L60" i="174" s="1"/>
  <c r="M60" i="124"/>
  <c r="M60" i="174" s="1"/>
  <c r="N60" i="124"/>
  <c r="N60" i="174" s="1"/>
  <c r="O60" i="124"/>
  <c r="O60" i="174" s="1"/>
  <c r="P60" i="124"/>
  <c r="P60" i="174" s="1"/>
  <c r="Q60" i="124"/>
  <c r="Q60" i="174" s="1"/>
  <c r="R60" i="124"/>
  <c r="R60" i="174" s="1"/>
  <c r="S60" i="124"/>
  <c r="S60" i="174" s="1"/>
  <c r="K62" i="174"/>
  <c r="L62" i="174"/>
  <c r="M62" i="174"/>
  <c r="N62" i="174"/>
  <c r="O62" i="174"/>
  <c r="P62" i="174"/>
  <c r="Q62" i="174"/>
  <c r="S62" i="174"/>
  <c r="K63" i="174"/>
  <c r="L63" i="174"/>
  <c r="M63" i="174"/>
  <c r="N63" i="174"/>
  <c r="O63" i="174"/>
  <c r="P63" i="174"/>
  <c r="Q63" i="174"/>
  <c r="S63" i="174"/>
  <c r="K64" i="174"/>
  <c r="L64" i="174"/>
  <c r="M64" i="174"/>
  <c r="N64" i="174"/>
  <c r="O64" i="174"/>
  <c r="P64" i="174"/>
  <c r="Q64" i="174"/>
  <c r="K65" i="174"/>
  <c r="L65" i="174"/>
  <c r="M65" i="174"/>
  <c r="N65" i="174"/>
  <c r="O65" i="174"/>
  <c r="P65" i="174"/>
  <c r="Q65" i="174"/>
  <c r="S65" i="174"/>
  <c r="K66" i="174"/>
  <c r="L66" i="174"/>
  <c r="M66" i="174"/>
  <c r="N66" i="174"/>
  <c r="O66" i="174"/>
  <c r="P66" i="174"/>
  <c r="Q66" i="174"/>
  <c r="K67" i="174"/>
  <c r="L67" i="174"/>
  <c r="M67" i="174"/>
  <c r="N67" i="174"/>
  <c r="O67" i="174"/>
  <c r="P67" i="174"/>
  <c r="Q67" i="174"/>
  <c r="K68" i="174"/>
  <c r="L68" i="174"/>
  <c r="M68" i="174"/>
  <c r="N68" i="174"/>
  <c r="O68" i="174"/>
  <c r="P68" i="174"/>
  <c r="Q68" i="174"/>
  <c r="S68" i="174"/>
  <c r="K69" i="174"/>
  <c r="L69" i="174"/>
  <c r="M69" i="174"/>
  <c r="N69" i="174"/>
  <c r="O69" i="174"/>
  <c r="P69" i="174"/>
  <c r="Q69" i="174"/>
  <c r="S69" i="174"/>
  <c r="K70" i="174"/>
  <c r="L70" i="174"/>
  <c r="M70" i="174"/>
  <c r="N70" i="174"/>
  <c r="O70" i="174"/>
  <c r="P70" i="174"/>
  <c r="Q70" i="174"/>
  <c r="K71" i="174"/>
  <c r="L71" i="174"/>
  <c r="M71" i="174"/>
  <c r="N71" i="174"/>
  <c r="O71" i="174"/>
  <c r="P71" i="174"/>
  <c r="Q71" i="174"/>
  <c r="S71" i="174"/>
  <c r="K72" i="174"/>
  <c r="L72" i="174"/>
  <c r="M72" i="174"/>
  <c r="N72" i="174"/>
  <c r="O72" i="174"/>
  <c r="P72" i="174"/>
  <c r="Q72" i="174"/>
  <c r="K73" i="174"/>
  <c r="L73" i="174"/>
  <c r="M73" i="174"/>
  <c r="N73" i="174"/>
  <c r="O73" i="174"/>
  <c r="P73" i="174"/>
  <c r="Q73" i="174"/>
  <c r="S73" i="174"/>
  <c r="K74" i="174"/>
  <c r="L74" i="174"/>
  <c r="M74" i="174"/>
  <c r="N74" i="174"/>
  <c r="O74" i="174"/>
  <c r="P74" i="174"/>
  <c r="Q74" i="174"/>
  <c r="S74" i="174"/>
  <c r="K75" i="174"/>
  <c r="L75" i="174"/>
  <c r="M75" i="174"/>
  <c r="N75" i="174"/>
  <c r="O75" i="174"/>
  <c r="P75" i="174"/>
  <c r="Q75" i="174"/>
  <c r="S75" i="174"/>
  <c r="K76" i="174"/>
  <c r="L76" i="174"/>
  <c r="M76" i="174"/>
  <c r="N76" i="174"/>
  <c r="O76" i="174"/>
  <c r="P76" i="174"/>
  <c r="Q76" i="174"/>
  <c r="K77" i="174"/>
  <c r="L77" i="174"/>
  <c r="M77" i="174"/>
  <c r="N77" i="174"/>
  <c r="O77" i="174"/>
  <c r="P77" i="174"/>
  <c r="Q77" i="174"/>
  <c r="K78" i="174"/>
  <c r="L78" i="174"/>
  <c r="M78" i="174"/>
  <c r="N78" i="174"/>
  <c r="O78" i="174"/>
  <c r="P78" i="174"/>
  <c r="Q78" i="174"/>
  <c r="S78" i="174"/>
  <c r="K79" i="174"/>
  <c r="L79" i="174"/>
  <c r="M79" i="174"/>
  <c r="N79" i="174"/>
  <c r="O79" i="174"/>
  <c r="P79" i="174"/>
  <c r="Q79" i="174"/>
  <c r="S79" i="174"/>
  <c r="K80" i="174"/>
  <c r="L80" i="174"/>
  <c r="M80" i="174"/>
  <c r="N80" i="174"/>
  <c r="O80" i="174"/>
  <c r="P80" i="174"/>
  <c r="Q80" i="174"/>
  <c r="S80" i="174"/>
  <c r="K81" i="174"/>
  <c r="L81" i="174"/>
  <c r="M81" i="174"/>
  <c r="N81" i="174"/>
  <c r="O81" i="174"/>
  <c r="P81" i="174"/>
  <c r="Q81" i="174"/>
  <c r="S81" i="174"/>
  <c r="K82" i="174"/>
  <c r="L82" i="174"/>
  <c r="M82" i="174"/>
  <c r="N82" i="174"/>
  <c r="O82" i="174"/>
  <c r="P82" i="174"/>
  <c r="Q82" i="174"/>
  <c r="S82" i="174"/>
  <c r="K83" i="174"/>
  <c r="L83" i="174"/>
  <c r="M83" i="174"/>
  <c r="N83" i="174"/>
  <c r="O83" i="174"/>
  <c r="P83" i="174"/>
  <c r="Q83" i="174"/>
  <c r="S83" i="174"/>
  <c r="K84" i="174"/>
  <c r="L84" i="174"/>
  <c r="M84" i="174"/>
  <c r="N84" i="174"/>
  <c r="O84" i="174"/>
  <c r="P84" i="174"/>
  <c r="Q84" i="174"/>
  <c r="S84" i="174"/>
  <c r="K85" i="174"/>
  <c r="L85" i="174"/>
  <c r="M85" i="174"/>
  <c r="N85" i="174"/>
  <c r="O85" i="174"/>
  <c r="P85" i="174"/>
  <c r="Q85" i="174"/>
  <c r="S85" i="174"/>
  <c r="K86" i="174"/>
  <c r="L86" i="174"/>
  <c r="M86" i="174"/>
  <c r="N86" i="174"/>
  <c r="O86" i="174"/>
  <c r="P86" i="174"/>
  <c r="Q86" i="174"/>
  <c r="S86" i="174"/>
  <c r="K87" i="174"/>
  <c r="L87" i="174"/>
  <c r="M87" i="174"/>
  <c r="N87" i="174"/>
  <c r="O87" i="174"/>
  <c r="P87" i="174"/>
  <c r="Q87" i="174"/>
  <c r="S87" i="174"/>
  <c r="K88" i="174"/>
  <c r="L88" i="174"/>
  <c r="M88" i="174"/>
  <c r="N88" i="174"/>
  <c r="O88" i="174"/>
  <c r="P88" i="174"/>
  <c r="Q88" i="174"/>
  <c r="S88" i="174"/>
  <c r="K89" i="174"/>
  <c r="L89" i="174"/>
  <c r="M89" i="174"/>
  <c r="N89" i="174"/>
  <c r="O89" i="174"/>
  <c r="P89" i="174"/>
  <c r="Q89" i="174"/>
  <c r="S89" i="174"/>
  <c r="K90" i="174"/>
  <c r="L90" i="174"/>
  <c r="M90" i="174"/>
  <c r="N90" i="174"/>
  <c r="O90" i="174"/>
  <c r="P90" i="174"/>
  <c r="Q90" i="174"/>
  <c r="S90" i="174"/>
  <c r="K91" i="174"/>
  <c r="L91" i="174"/>
  <c r="M91" i="174"/>
  <c r="N91" i="174"/>
  <c r="O91" i="174"/>
  <c r="P91" i="174"/>
  <c r="Q91" i="174"/>
  <c r="S91" i="174"/>
  <c r="J52" i="124"/>
  <c r="J52" i="174" s="1"/>
  <c r="J53" i="124"/>
  <c r="J53" i="174" s="1"/>
  <c r="J54" i="124"/>
  <c r="J54" i="174" s="1"/>
  <c r="J55" i="124"/>
  <c r="J56" i="124"/>
  <c r="J56" i="174" s="1"/>
  <c r="J57" i="124"/>
  <c r="J57" i="174" s="1"/>
  <c r="J58" i="124"/>
  <c r="J58" i="174" s="1"/>
  <c r="J59" i="124"/>
  <c r="J59" i="174" s="1"/>
  <c r="J60" i="124"/>
  <c r="J60" i="174" s="1"/>
  <c r="J62" i="174"/>
  <c r="J63" i="174"/>
  <c r="J64" i="174"/>
  <c r="J65" i="174"/>
  <c r="J66" i="174"/>
  <c r="J67" i="174"/>
  <c r="J68" i="174"/>
  <c r="J69" i="174"/>
  <c r="J70" i="174"/>
  <c r="J71" i="174"/>
  <c r="J72" i="174"/>
  <c r="J73" i="174"/>
  <c r="J74" i="174"/>
  <c r="J75" i="174"/>
  <c r="J76" i="174"/>
  <c r="J77" i="174"/>
  <c r="J78" i="174"/>
  <c r="J79" i="174"/>
  <c r="J80" i="174"/>
  <c r="J81" i="174"/>
  <c r="J82" i="174"/>
  <c r="J83" i="174"/>
  <c r="J84" i="174"/>
  <c r="J85" i="174"/>
  <c r="J86" i="174"/>
  <c r="J87" i="174"/>
  <c r="J88" i="174"/>
  <c r="J89" i="174"/>
  <c r="J90" i="174"/>
  <c r="J91" i="174"/>
  <c r="K39" i="124"/>
  <c r="K39" i="174" s="1"/>
  <c r="L39" i="124"/>
  <c r="L39" i="174" s="1"/>
  <c r="M39" i="124"/>
  <c r="M39" i="174" s="1"/>
  <c r="N39" i="124"/>
  <c r="N39" i="174" s="1"/>
  <c r="O39" i="124"/>
  <c r="O39" i="174" s="1"/>
  <c r="P39" i="124"/>
  <c r="P39" i="174" s="1"/>
  <c r="Q39" i="124"/>
  <c r="Q39" i="174" s="1"/>
  <c r="R39" i="124"/>
  <c r="R39" i="174" s="1"/>
  <c r="S39" i="124"/>
  <c r="S39" i="174" s="1"/>
  <c r="T39" i="124"/>
  <c r="T39" i="174" s="1"/>
  <c r="U39" i="124"/>
  <c r="U39" i="174" s="1"/>
  <c r="J39" i="124"/>
  <c r="J39" i="174" s="1"/>
  <c r="AK105" i="83"/>
  <c r="AK105" i="85"/>
  <c r="V15" i="87"/>
  <c r="V16" i="87"/>
  <c r="V17" i="87"/>
  <c r="V18" i="87"/>
  <c r="V19" i="87"/>
  <c r="V20" i="87"/>
  <c r="V21" i="87"/>
  <c r="V22" i="87"/>
  <c r="V23" i="87"/>
  <c r="V24" i="87"/>
  <c r="V25" i="87"/>
  <c r="V26" i="87"/>
  <c r="V27" i="87"/>
  <c r="V28" i="87"/>
  <c r="V29" i="87"/>
  <c r="V30" i="87"/>
  <c r="V31" i="87"/>
  <c r="V32" i="87"/>
  <c r="V33" i="87"/>
  <c r="V14" i="87"/>
  <c r="Y158" i="87"/>
  <c r="Y76" i="87"/>
  <c r="Y68" i="174"/>
  <c r="Y109" i="84"/>
  <c r="Y57" i="87"/>
  <c r="Y54" i="87"/>
  <c r="Y88" i="87"/>
  <c r="Y118" i="87"/>
  <c r="Y119" i="87"/>
  <c r="Y120" i="174" s="1"/>
  <c r="Y123" i="87"/>
  <c r="Y124" i="174" s="1"/>
  <c r="Y125" i="87"/>
  <c r="Y128" i="87"/>
  <c r="Y129" i="87"/>
  <c r="Y130" i="174" s="1"/>
  <c r="Y131" i="87"/>
  <c r="Y132" i="174" s="1"/>
  <c r="Y135" i="87"/>
  <c r="Y136" i="174" s="1"/>
  <c r="Y137" i="87"/>
  <c r="Y138" i="174" s="1"/>
  <c r="Y140" i="87"/>
  <c r="Y141" i="87"/>
  <c r="Y142" i="87"/>
  <c r="Y143" i="174" s="1"/>
  <c r="Y144" i="87"/>
  <c r="Y145" i="87"/>
  <c r="Y146" i="174" s="1"/>
  <c r="Y86" i="87"/>
  <c r="Y87" i="174" s="1"/>
  <c r="Y148" i="87"/>
  <c r="Y79" i="87"/>
  <c r="Y89" i="87"/>
  <c r="V88" i="87"/>
  <c r="V89" i="87"/>
  <c r="V90" i="87"/>
  <c r="Y58" i="87"/>
  <c r="Y78" i="174"/>
  <c r="Y83" i="174"/>
  <c r="Y73" i="174"/>
  <c r="Y127" i="87"/>
  <c r="Y121" i="87"/>
  <c r="Y122" i="174" s="1"/>
  <c r="Y71" i="174"/>
  <c r="T53" i="124"/>
  <c r="T53" i="174" s="1"/>
  <c r="U53" i="124"/>
  <c r="U53" i="174" s="1"/>
  <c r="T55" i="124"/>
  <c r="T55" i="174" s="1"/>
  <c r="U55" i="124"/>
  <c r="U55" i="174" s="1"/>
  <c r="T57" i="124"/>
  <c r="T57" i="174" s="1"/>
  <c r="U57" i="124"/>
  <c r="U57" i="174" s="1"/>
  <c r="T58" i="124"/>
  <c r="T58" i="174" s="1"/>
  <c r="U58" i="124"/>
  <c r="U58" i="174" s="1"/>
  <c r="T59" i="124"/>
  <c r="T59" i="174" s="1"/>
  <c r="U59" i="124"/>
  <c r="U59" i="174" s="1"/>
  <c r="T60" i="124"/>
  <c r="T60" i="174" s="1"/>
  <c r="U60" i="124"/>
  <c r="U60" i="174" s="1"/>
  <c r="T62" i="174"/>
  <c r="U62" i="174"/>
  <c r="T63" i="174"/>
  <c r="U63" i="174"/>
  <c r="T65" i="174"/>
  <c r="U65" i="174"/>
  <c r="T68" i="174"/>
  <c r="U68" i="174"/>
  <c r="T69" i="174"/>
  <c r="U69" i="174"/>
  <c r="T71" i="174"/>
  <c r="U71" i="174"/>
  <c r="T73" i="174"/>
  <c r="U73" i="174"/>
  <c r="T74" i="174"/>
  <c r="U74" i="174"/>
  <c r="T75" i="174"/>
  <c r="U75" i="174"/>
  <c r="T78" i="174"/>
  <c r="U78" i="174"/>
  <c r="T79" i="174"/>
  <c r="U79" i="174"/>
  <c r="T80" i="174"/>
  <c r="U80" i="174"/>
  <c r="T81" i="174"/>
  <c r="U81" i="174"/>
  <c r="T82" i="174"/>
  <c r="U82" i="174"/>
  <c r="T83" i="174"/>
  <c r="U83" i="174"/>
  <c r="T84" i="174"/>
  <c r="U84" i="174"/>
  <c r="T85" i="174"/>
  <c r="U85" i="174"/>
  <c r="T86" i="174"/>
  <c r="U86" i="174"/>
  <c r="T87" i="174"/>
  <c r="U87" i="174"/>
  <c r="T88" i="174"/>
  <c r="U88" i="174"/>
  <c r="T89" i="174"/>
  <c r="U89" i="174"/>
  <c r="T90" i="174"/>
  <c r="U90" i="174"/>
  <c r="T91" i="174"/>
  <c r="U91" i="174"/>
  <c r="J51" i="124"/>
  <c r="J51" i="174" s="1"/>
  <c r="AK84" i="124"/>
  <c r="K40" i="124"/>
  <c r="K40" i="174" s="1"/>
  <c r="L40" i="124"/>
  <c r="L40" i="174" s="1"/>
  <c r="M40" i="124"/>
  <c r="M40" i="174" s="1"/>
  <c r="N40" i="124"/>
  <c r="N40" i="174" s="1"/>
  <c r="O40" i="124"/>
  <c r="O40" i="174" s="1"/>
  <c r="P40" i="124"/>
  <c r="P40" i="174" s="1"/>
  <c r="Q40" i="124"/>
  <c r="Q40" i="174" s="1"/>
  <c r="R40" i="124"/>
  <c r="R40" i="174" s="1"/>
  <c r="S40" i="124"/>
  <c r="S40" i="174" s="1"/>
  <c r="T40" i="124"/>
  <c r="T40" i="174" s="1"/>
  <c r="U40" i="124"/>
  <c r="U40" i="174" s="1"/>
  <c r="K41" i="124"/>
  <c r="K41" i="174" s="1"/>
  <c r="L41" i="124"/>
  <c r="L41" i="174" s="1"/>
  <c r="M41" i="124"/>
  <c r="M41" i="174" s="1"/>
  <c r="N41" i="124"/>
  <c r="N41" i="174" s="1"/>
  <c r="O41" i="124"/>
  <c r="O41" i="174" s="1"/>
  <c r="P41" i="124"/>
  <c r="P41" i="174" s="1"/>
  <c r="Q41" i="124"/>
  <c r="Q41" i="174" s="1"/>
  <c r="R41" i="124"/>
  <c r="R41" i="174" s="1"/>
  <c r="S41" i="124"/>
  <c r="S41" i="174" s="1"/>
  <c r="T41" i="124"/>
  <c r="T41" i="174" s="1"/>
  <c r="U41" i="124"/>
  <c r="U41" i="174" s="1"/>
  <c r="J41" i="124"/>
  <c r="J41" i="174" s="1"/>
  <c r="J40" i="124"/>
  <c r="J40" i="174" s="1"/>
  <c r="K38" i="124"/>
  <c r="K38" i="174" s="1"/>
  <c r="L38" i="124"/>
  <c r="L38" i="174" s="1"/>
  <c r="M38" i="124"/>
  <c r="M38" i="174" s="1"/>
  <c r="N38" i="124"/>
  <c r="N38" i="174" s="1"/>
  <c r="O38" i="124"/>
  <c r="P38" i="124"/>
  <c r="P38" i="174" s="1"/>
  <c r="Q38" i="124"/>
  <c r="J38" i="124"/>
  <c r="J38" i="174" s="1"/>
  <c r="Z17" i="124"/>
  <c r="Z17" i="174" s="1"/>
  <c r="AA17" i="124"/>
  <c r="AA17" i="174" s="1"/>
  <c r="AB17" i="124"/>
  <c r="AB17" i="174" s="1"/>
  <c r="AC17" i="124"/>
  <c r="AC17" i="174" s="1"/>
  <c r="AD17" i="124"/>
  <c r="AD17" i="174" s="1"/>
  <c r="AE17" i="124"/>
  <c r="AE17" i="174" s="1"/>
  <c r="AF17" i="124"/>
  <c r="AF17" i="174" s="1"/>
  <c r="AG17" i="124"/>
  <c r="AG17" i="174" s="1"/>
  <c r="AH17" i="124"/>
  <c r="AH17" i="174" s="1"/>
  <c r="AI17" i="124"/>
  <c r="AI17" i="174" s="1"/>
  <c r="AJ17" i="124"/>
  <c r="AJ17" i="174" s="1"/>
  <c r="Z18" i="124"/>
  <c r="Z18" i="174" s="1"/>
  <c r="AA18" i="124"/>
  <c r="AA18" i="174" s="1"/>
  <c r="AB18" i="124"/>
  <c r="AB18" i="174" s="1"/>
  <c r="AC18" i="124"/>
  <c r="AC18" i="174" s="1"/>
  <c r="AD18" i="124"/>
  <c r="AD18" i="174" s="1"/>
  <c r="AE18" i="124"/>
  <c r="AE18" i="174" s="1"/>
  <c r="AF18" i="124"/>
  <c r="AF18" i="174" s="1"/>
  <c r="AG18" i="124"/>
  <c r="AG18" i="174" s="1"/>
  <c r="AH18" i="124"/>
  <c r="AH18" i="174" s="1"/>
  <c r="AI18" i="124"/>
  <c r="AI18" i="174" s="1"/>
  <c r="AJ18" i="124"/>
  <c r="AJ18" i="174" s="1"/>
  <c r="Z19" i="124"/>
  <c r="Z19" i="174" s="1"/>
  <c r="AA19" i="124"/>
  <c r="AA19" i="174" s="1"/>
  <c r="AB19" i="124"/>
  <c r="AB19" i="174" s="1"/>
  <c r="AC19" i="124"/>
  <c r="AC19" i="174" s="1"/>
  <c r="AD19" i="124"/>
  <c r="AD19" i="174" s="1"/>
  <c r="AE19" i="124"/>
  <c r="AE19" i="174" s="1"/>
  <c r="AF19" i="124"/>
  <c r="AF19" i="174" s="1"/>
  <c r="AG19" i="124"/>
  <c r="AG19" i="174" s="1"/>
  <c r="AH19" i="124"/>
  <c r="AH19" i="174" s="1"/>
  <c r="AI19" i="124"/>
  <c r="AI19" i="174" s="1"/>
  <c r="AJ19" i="124"/>
  <c r="AJ19" i="174" s="1"/>
  <c r="Z20" i="124"/>
  <c r="Z20" i="174" s="1"/>
  <c r="AA20" i="124"/>
  <c r="AA20" i="174" s="1"/>
  <c r="AB20" i="124"/>
  <c r="AB20" i="174" s="1"/>
  <c r="AC20" i="124"/>
  <c r="AC20" i="174" s="1"/>
  <c r="AD20" i="124"/>
  <c r="AD20" i="174" s="1"/>
  <c r="AE20" i="124"/>
  <c r="AE20" i="174" s="1"/>
  <c r="AF20" i="124"/>
  <c r="AF20" i="174" s="1"/>
  <c r="AG20" i="124"/>
  <c r="AG20" i="174" s="1"/>
  <c r="AH20" i="124"/>
  <c r="AH20" i="174" s="1"/>
  <c r="AI20" i="124"/>
  <c r="AI20" i="174" s="1"/>
  <c r="AJ20" i="124"/>
  <c r="AJ20" i="174" s="1"/>
  <c r="Z21" i="124"/>
  <c r="Z21" i="174" s="1"/>
  <c r="AA21" i="124"/>
  <c r="AA21" i="174" s="1"/>
  <c r="AB21" i="124"/>
  <c r="AB21" i="174" s="1"/>
  <c r="AC21" i="124"/>
  <c r="AC21" i="174" s="1"/>
  <c r="AD21" i="124"/>
  <c r="AD21" i="174" s="1"/>
  <c r="AE21" i="124"/>
  <c r="AE21" i="174" s="1"/>
  <c r="AF21" i="124"/>
  <c r="AF21" i="174" s="1"/>
  <c r="AG21" i="124"/>
  <c r="AG21" i="174" s="1"/>
  <c r="AH21" i="124"/>
  <c r="AH21" i="174" s="1"/>
  <c r="AI21" i="124"/>
  <c r="AI21" i="174" s="1"/>
  <c r="AJ21" i="124"/>
  <c r="AJ21" i="174" s="1"/>
  <c r="Z31" i="124"/>
  <c r="Z31" i="174" s="1"/>
  <c r="AA31" i="124"/>
  <c r="AA31" i="174" s="1"/>
  <c r="AB31" i="124"/>
  <c r="AB31" i="174" s="1"/>
  <c r="AC31" i="124"/>
  <c r="AC31" i="174" s="1"/>
  <c r="AD31" i="124"/>
  <c r="AD31" i="174" s="1"/>
  <c r="AE31" i="124"/>
  <c r="AE31" i="174" s="1"/>
  <c r="AF31" i="124"/>
  <c r="AF31" i="174" s="1"/>
  <c r="AG31" i="124"/>
  <c r="AG31" i="174" s="1"/>
  <c r="AH31" i="124"/>
  <c r="AH31" i="174" s="1"/>
  <c r="AI31" i="124"/>
  <c r="AI31" i="174" s="1"/>
  <c r="AJ31" i="124"/>
  <c r="AJ31" i="174" s="1"/>
  <c r="Z32" i="124"/>
  <c r="Z32" i="174" s="1"/>
  <c r="AA32" i="124"/>
  <c r="AA32" i="174" s="1"/>
  <c r="AB32" i="124"/>
  <c r="AB32" i="174" s="1"/>
  <c r="AC32" i="124"/>
  <c r="AC32" i="174" s="1"/>
  <c r="AD32" i="124"/>
  <c r="AD32" i="174" s="1"/>
  <c r="AE32" i="124"/>
  <c r="AE32" i="174" s="1"/>
  <c r="AF32" i="124"/>
  <c r="AF32" i="174" s="1"/>
  <c r="AG32" i="124"/>
  <c r="AG32" i="174" s="1"/>
  <c r="AH32" i="124"/>
  <c r="AH32" i="174" s="1"/>
  <c r="AI32" i="124"/>
  <c r="AI32" i="174" s="1"/>
  <c r="AJ32" i="124"/>
  <c r="AJ32" i="174" s="1"/>
  <c r="Y17" i="124"/>
  <c r="Y18" i="124"/>
  <c r="Y19" i="124"/>
  <c r="Y20" i="124"/>
  <c r="Y21" i="124"/>
  <c r="Y31" i="124"/>
  <c r="Y32" i="124"/>
  <c r="K14" i="124"/>
  <c r="K14" i="174" s="1"/>
  <c r="L14" i="124"/>
  <c r="L14" i="174" s="1"/>
  <c r="M14" i="124"/>
  <c r="M14" i="174" s="1"/>
  <c r="N14" i="124"/>
  <c r="N14" i="174" s="1"/>
  <c r="O14" i="124"/>
  <c r="O14" i="174" s="1"/>
  <c r="P14" i="124"/>
  <c r="P14" i="174" s="1"/>
  <c r="Q14" i="124"/>
  <c r="Q14" i="174" s="1"/>
  <c r="S14" i="124"/>
  <c r="S14" i="174" s="1"/>
  <c r="T14" i="124"/>
  <c r="T14" i="174" s="1"/>
  <c r="U14" i="124"/>
  <c r="U14" i="174" s="1"/>
  <c r="K15" i="124"/>
  <c r="K15" i="174" s="1"/>
  <c r="L15" i="124"/>
  <c r="L15" i="174" s="1"/>
  <c r="M15" i="124"/>
  <c r="M15" i="174" s="1"/>
  <c r="N15" i="124"/>
  <c r="N15" i="174" s="1"/>
  <c r="O15" i="124"/>
  <c r="O15" i="174" s="1"/>
  <c r="P15" i="124"/>
  <c r="P15" i="174" s="1"/>
  <c r="Q15" i="124"/>
  <c r="Q15" i="174" s="1"/>
  <c r="R15" i="124"/>
  <c r="R15" i="174" s="1"/>
  <c r="S15" i="124"/>
  <c r="S15" i="174" s="1"/>
  <c r="T15" i="124"/>
  <c r="T15" i="174" s="1"/>
  <c r="U15" i="124"/>
  <c r="U15" i="174" s="1"/>
  <c r="K16" i="124"/>
  <c r="K16" i="174" s="1"/>
  <c r="L16" i="124"/>
  <c r="L16" i="174" s="1"/>
  <c r="M16" i="124"/>
  <c r="M16" i="174" s="1"/>
  <c r="N16" i="124"/>
  <c r="N16" i="174" s="1"/>
  <c r="O16" i="124"/>
  <c r="O16" i="174" s="1"/>
  <c r="P16" i="124"/>
  <c r="P16" i="174" s="1"/>
  <c r="Q16" i="124"/>
  <c r="Q16" i="174" s="1"/>
  <c r="R16" i="124"/>
  <c r="R16" i="174" s="1"/>
  <c r="S16" i="124"/>
  <c r="S16" i="174" s="1"/>
  <c r="T16" i="124"/>
  <c r="T16" i="174" s="1"/>
  <c r="U16" i="124"/>
  <c r="U16" i="174" s="1"/>
  <c r="K17" i="124"/>
  <c r="K17" i="174" s="1"/>
  <c r="L17" i="124"/>
  <c r="L17" i="174" s="1"/>
  <c r="M17" i="124"/>
  <c r="M17" i="174" s="1"/>
  <c r="N17" i="124"/>
  <c r="N17" i="174" s="1"/>
  <c r="O17" i="124"/>
  <c r="O17" i="174" s="1"/>
  <c r="P17" i="124"/>
  <c r="P17" i="174" s="1"/>
  <c r="Q17" i="124"/>
  <c r="Q17" i="174" s="1"/>
  <c r="R17" i="124"/>
  <c r="R17" i="174" s="1"/>
  <c r="S17" i="124"/>
  <c r="S17" i="174" s="1"/>
  <c r="T17" i="124"/>
  <c r="T17" i="174" s="1"/>
  <c r="U17" i="124"/>
  <c r="U17" i="174" s="1"/>
  <c r="K18" i="124"/>
  <c r="K18" i="174" s="1"/>
  <c r="L18" i="124"/>
  <c r="L18" i="174" s="1"/>
  <c r="M18" i="124"/>
  <c r="M18" i="174" s="1"/>
  <c r="N18" i="124"/>
  <c r="N18" i="174" s="1"/>
  <c r="O18" i="124"/>
  <c r="O18" i="174" s="1"/>
  <c r="P18" i="124"/>
  <c r="P18" i="174" s="1"/>
  <c r="Q18" i="124"/>
  <c r="Q18" i="174" s="1"/>
  <c r="R18" i="124"/>
  <c r="R18" i="174" s="1"/>
  <c r="S18" i="124"/>
  <c r="S18" i="174" s="1"/>
  <c r="T18" i="124"/>
  <c r="T18" i="174" s="1"/>
  <c r="U18" i="124"/>
  <c r="U18" i="174" s="1"/>
  <c r="K19" i="124"/>
  <c r="K19" i="174" s="1"/>
  <c r="L19" i="124"/>
  <c r="L19" i="174" s="1"/>
  <c r="M19" i="124"/>
  <c r="M19" i="174" s="1"/>
  <c r="N19" i="124"/>
  <c r="N19" i="174" s="1"/>
  <c r="O19" i="124"/>
  <c r="O19" i="174" s="1"/>
  <c r="P19" i="124"/>
  <c r="P19" i="174" s="1"/>
  <c r="Q19" i="124"/>
  <c r="Q19" i="174" s="1"/>
  <c r="R19" i="124"/>
  <c r="R19" i="174" s="1"/>
  <c r="S19" i="124"/>
  <c r="S19" i="174" s="1"/>
  <c r="T19" i="124"/>
  <c r="T19" i="174" s="1"/>
  <c r="U19" i="124"/>
  <c r="U19" i="174" s="1"/>
  <c r="K20" i="124"/>
  <c r="K20" i="174" s="1"/>
  <c r="L20" i="124"/>
  <c r="L20" i="174" s="1"/>
  <c r="M20" i="124"/>
  <c r="M20" i="174" s="1"/>
  <c r="N20" i="124"/>
  <c r="N20" i="174" s="1"/>
  <c r="O20" i="124"/>
  <c r="O20" i="174" s="1"/>
  <c r="P20" i="124"/>
  <c r="P20" i="174" s="1"/>
  <c r="Q20" i="124"/>
  <c r="Q20" i="174" s="1"/>
  <c r="R20" i="124"/>
  <c r="R20" i="174" s="1"/>
  <c r="S20" i="124"/>
  <c r="S20" i="174" s="1"/>
  <c r="T20" i="124"/>
  <c r="T20" i="174" s="1"/>
  <c r="U20" i="124"/>
  <c r="U20" i="174" s="1"/>
  <c r="K21" i="124"/>
  <c r="K21" i="174" s="1"/>
  <c r="L21" i="124"/>
  <c r="L21" i="174" s="1"/>
  <c r="M21" i="124"/>
  <c r="M21" i="174" s="1"/>
  <c r="N21" i="124"/>
  <c r="N21" i="174" s="1"/>
  <c r="O21" i="124"/>
  <c r="O21" i="174" s="1"/>
  <c r="P21" i="124"/>
  <c r="P21" i="174" s="1"/>
  <c r="Q21" i="124"/>
  <c r="Q21" i="174" s="1"/>
  <c r="R21" i="124"/>
  <c r="R21" i="174" s="1"/>
  <c r="S21" i="124"/>
  <c r="S21" i="174" s="1"/>
  <c r="T21" i="124"/>
  <c r="T21" i="174" s="1"/>
  <c r="U21" i="124"/>
  <c r="U21" i="174" s="1"/>
  <c r="K22" i="124"/>
  <c r="K22" i="174" s="1"/>
  <c r="L22" i="124"/>
  <c r="L22" i="174" s="1"/>
  <c r="M22" i="124"/>
  <c r="M22" i="174" s="1"/>
  <c r="N22" i="124"/>
  <c r="N22" i="174" s="1"/>
  <c r="O22" i="124"/>
  <c r="O22" i="174" s="1"/>
  <c r="P22" i="124"/>
  <c r="P22" i="174" s="1"/>
  <c r="Q22" i="124"/>
  <c r="Q22" i="174" s="1"/>
  <c r="R22" i="124"/>
  <c r="R22" i="174" s="1"/>
  <c r="S22" i="124"/>
  <c r="S22" i="174" s="1"/>
  <c r="T22" i="124"/>
  <c r="T22" i="174" s="1"/>
  <c r="U22" i="124"/>
  <c r="U22" i="174" s="1"/>
  <c r="K23" i="124"/>
  <c r="K23" i="174" s="1"/>
  <c r="L23" i="124"/>
  <c r="L23" i="174" s="1"/>
  <c r="M23" i="124"/>
  <c r="M23" i="174" s="1"/>
  <c r="N23" i="124"/>
  <c r="N23" i="174" s="1"/>
  <c r="O23" i="124"/>
  <c r="O23" i="174" s="1"/>
  <c r="P23" i="124"/>
  <c r="P23" i="174" s="1"/>
  <c r="Q23" i="124"/>
  <c r="Q23" i="174" s="1"/>
  <c r="R23" i="124"/>
  <c r="R23" i="174" s="1"/>
  <c r="S23" i="124"/>
  <c r="S23" i="174" s="1"/>
  <c r="T23" i="124"/>
  <c r="T23" i="174" s="1"/>
  <c r="U23" i="124"/>
  <c r="U23" i="174" s="1"/>
  <c r="K24" i="124"/>
  <c r="K24" i="174" s="1"/>
  <c r="L24" i="124"/>
  <c r="L24" i="174" s="1"/>
  <c r="M24" i="124"/>
  <c r="M24" i="174" s="1"/>
  <c r="N24" i="124"/>
  <c r="N24" i="174" s="1"/>
  <c r="O24" i="124"/>
  <c r="O24" i="174" s="1"/>
  <c r="P24" i="124"/>
  <c r="P24" i="174" s="1"/>
  <c r="Q24" i="124"/>
  <c r="Q24" i="174" s="1"/>
  <c r="R24" i="124"/>
  <c r="R24" i="174" s="1"/>
  <c r="S24" i="124"/>
  <c r="S24" i="174" s="1"/>
  <c r="T24" i="124"/>
  <c r="T24" i="174" s="1"/>
  <c r="U24" i="124"/>
  <c r="U24" i="174" s="1"/>
  <c r="K25" i="124"/>
  <c r="K25" i="174" s="1"/>
  <c r="L25" i="124"/>
  <c r="L25" i="174" s="1"/>
  <c r="M25" i="124"/>
  <c r="M25" i="174" s="1"/>
  <c r="N25" i="124"/>
  <c r="N25" i="174" s="1"/>
  <c r="O25" i="124"/>
  <c r="O25" i="174" s="1"/>
  <c r="P25" i="124"/>
  <c r="P25" i="174" s="1"/>
  <c r="Q25" i="124"/>
  <c r="Q25" i="174" s="1"/>
  <c r="R25" i="124"/>
  <c r="R25" i="174" s="1"/>
  <c r="S25" i="124"/>
  <c r="S25" i="174" s="1"/>
  <c r="T25" i="124"/>
  <c r="T25" i="174" s="1"/>
  <c r="U25" i="124"/>
  <c r="U25" i="174" s="1"/>
  <c r="K26" i="124"/>
  <c r="K26" i="174" s="1"/>
  <c r="L26" i="124"/>
  <c r="L26" i="174" s="1"/>
  <c r="M26" i="124"/>
  <c r="M26" i="174" s="1"/>
  <c r="N26" i="124"/>
  <c r="N26" i="174" s="1"/>
  <c r="O26" i="124"/>
  <c r="O26" i="174" s="1"/>
  <c r="P26" i="124"/>
  <c r="P26" i="174" s="1"/>
  <c r="Q26" i="124"/>
  <c r="Q26" i="174" s="1"/>
  <c r="R26" i="124"/>
  <c r="R26" i="174" s="1"/>
  <c r="S26" i="124"/>
  <c r="S26" i="174" s="1"/>
  <c r="T26" i="124"/>
  <c r="T26" i="174" s="1"/>
  <c r="U26" i="124"/>
  <c r="U26" i="174" s="1"/>
  <c r="K27" i="124"/>
  <c r="K27" i="174" s="1"/>
  <c r="L27" i="124"/>
  <c r="L27" i="174" s="1"/>
  <c r="M27" i="124"/>
  <c r="M27" i="174" s="1"/>
  <c r="N27" i="124"/>
  <c r="N27" i="174" s="1"/>
  <c r="O27" i="124"/>
  <c r="O27" i="174" s="1"/>
  <c r="P27" i="124"/>
  <c r="P27" i="174" s="1"/>
  <c r="Q27" i="124"/>
  <c r="Q27" i="174" s="1"/>
  <c r="R27" i="124"/>
  <c r="R27" i="174" s="1"/>
  <c r="S27" i="124"/>
  <c r="S27" i="174" s="1"/>
  <c r="T27" i="124"/>
  <c r="T27" i="174" s="1"/>
  <c r="U27" i="124"/>
  <c r="U27" i="174" s="1"/>
  <c r="K28" i="124"/>
  <c r="K28" i="174" s="1"/>
  <c r="L28" i="124"/>
  <c r="L28" i="174" s="1"/>
  <c r="M28" i="124"/>
  <c r="M28" i="174" s="1"/>
  <c r="N28" i="124"/>
  <c r="N28" i="174" s="1"/>
  <c r="O28" i="124"/>
  <c r="O28" i="174" s="1"/>
  <c r="P28" i="124"/>
  <c r="P28" i="174" s="1"/>
  <c r="Q28" i="124"/>
  <c r="Q28" i="174" s="1"/>
  <c r="R28" i="124"/>
  <c r="R28" i="174" s="1"/>
  <c r="S28" i="124"/>
  <c r="S28" i="174" s="1"/>
  <c r="T28" i="124"/>
  <c r="T28" i="174" s="1"/>
  <c r="U28" i="124"/>
  <c r="U28" i="174" s="1"/>
  <c r="K29" i="124"/>
  <c r="K29" i="174" s="1"/>
  <c r="L29" i="124"/>
  <c r="L29" i="174" s="1"/>
  <c r="M29" i="124"/>
  <c r="M29" i="174" s="1"/>
  <c r="N29" i="124"/>
  <c r="N29" i="174" s="1"/>
  <c r="O29" i="124"/>
  <c r="O29" i="174" s="1"/>
  <c r="P29" i="124"/>
  <c r="P29" i="174" s="1"/>
  <c r="Q29" i="124"/>
  <c r="Q29" i="174" s="1"/>
  <c r="R29" i="124"/>
  <c r="R29" i="174" s="1"/>
  <c r="S29" i="124"/>
  <c r="S29" i="174" s="1"/>
  <c r="T29" i="124"/>
  <c r="T29" i="174" s="1"/>
  <c r="U29" i="124"/>
  <c r="U29" i="174" s="1"/>
  <c r="K30" i="124"/>
  <c r="K30" i="174" s="1"/>
  <c r="L30" i="124"/>
  <c r="L30" i="174" s="1"/>
  <c r="M30" i="124"/>
  <c r="M30" i="174" s="1"/>
  <c r="N30" i="124"/>
  <c r="N30" i="174" s="1"/>
  <c r="O30" i="124"/>
  <c r="O30" i="174" s="1"/>
  <c r="P30" i="124"/>
  <c r="P30" i="174" s="1"/>
  <c r="Q30" i="124"/>
  <c r="Q30" i="174" s="1"/>
  <c r="K31" i="124"/>
  <c r="K31" i="174" s="1"/>
  <c r="L31" i="124"/>
  <c r="L31" i="174" s="1"/>
  <c r="M31" i="124"/>
  <c r="M31" i="174" s="1"/>
  <c r="N31" i="124"/>
  <c r="N31" i="174" s="1"/>
  <c r="O31" i="124"/>
  <c r="O31" i="174" s="1"/>
  <c r="P31" i="124"/>
  <c r="P31" i="174" s="1"/>
  <c r="Q31" i="124"/>
  <c r="Q31" i="174" s="1"/>
  <c r="R31" i="124"/>
  <c r="R31" i="174" s="1"/>
  <c r="S31" i="124"/>
  <c r="S31" i="174" s="1"/>
  <c r="T31" i="124"/>
  <c r="T31" i="174" s="1"/>
  <c r="U31" i="124"/>
  <c r="U31" i="174" s="1"/>
  <c r="K32" i="124"/>
  <c r="K32" i="174" s="1"/>
  <c r="L32" i="124"/>
  <c r="L32" i="174" s="1"/>
  <c r="M32" i="124"/>
  <c r="M32" i="174" s="1"/>
  <c r="N32" i="124"/>
  <c r="N32" i="174" s="1"/>
  <c r="O32" i="124"/>
  <c r="O32" i="174" s="1"/>
  <c r="P32" i="124"/>
  <c r="P32" i="174" s="1"/>
  <c r="Q32" i="124"/>
  <c r="Q32" i="174" s="1"/>
  <c r="R32" i="124"/>
  <c r="R32" i="174" s="1"/>
  <c r="S32" i="124"/>
  <c r="S32" i="174" s="1"/>
  <c r="T32" i="124"/>
  <c r="T32" i="174" s="1"/>
  <c r="U32" i="124"/>
  <c r="U32" i="174" s="1"/>
  <c r="J15" i="124"/>
  <c r="J15" i="174" s="1"/>
  <c r="J16" i="124"/>
  <c r="J16" i="174" s="1"/>
  <c r="J17" i="124"/>
  <c r="J17" i="174" s="1"/>
  <c r="J18" i="124"/>
  <c r="J18" i="174" s="1"/>
  <c r="J19" i="124"/>
  <c r="J19" i="174" s="1"/>
  <c r="J20" i="124"/>
  <c r="J21" i="124"/>
  <c r="J22" i="124"/>
  <c r="J23" i="124"/>
  <c r="J24" i="124"/>
  <c r="J25" i="124"/>
  <c r="J26" i="124"/>
  <c r="J27" i="124"/>
  <c r="J28" i="124"/>
  <c r="J29" i="124"/>
  <c r="J30" i="124"/>
  <c r="J31" i="124"/>
  <c r="J32" i="124"/>
  <c r="V157" i="83"/>
  <c r="V155" i="83"/>
  <c r="V153" i="83"/>
  <c r="V152" i="83"/>
  <c r="V150" i="83"/>
  <c r="V148" i="83"/>
  <c r="AK147" i="83"/>
  <c r="V147" i="83"/>
  <c r="AK146" i="83"/>
  <c r="V146" i="83"/>
  <c r="V145" i="83"/>
  <c r="V144" i="83"/>
  <c r="AK143" i="83"/>
  <c r="V143" i="83"/>
  <c r="V142" i="83"/>
  <c r="V141" i="83"/>
  <c r="V140" i="83"/>
  <c r="AK139" i="83"/>
  <c r="V139" i="83"/>
  <c r="AK138" i="83"/>
  <c r="V138" i="83"/>
  <c r="V137" i="83"/>
  <c r="AK136" i="83"/>
  <c r="V136" i="83"/>
  <c r="AK134" i="83"/>
  <c r="AK133" i="83"/>
  <c r="AK132" i="83"/>
  <c r="AK130" i="83"/>
  <c r="AK124" i="83"/>
  <c r="V124" i="83"/>
  <c r="V123" i="83"/>
  <c r="AK122" i="83"/>
  <c r="V122" i="83"/>
  <c r="V121" i="83"/>
  <c r="AK120" i="83"/>
  <c r="V120" i="83"/>
  <c r="V119" i="83"/>
  <c r="V118" i="83"/>
  <c r="AK117" i="83"/>
  <c r="V117" i="83"/>
  <c r="AK116" i="83"/>
  <c r="V116" i="83"/>
  <c r="V115" i="83"/>
  <c r="V114" i="83"/>
  <c r="AK87" i="83"/>
  <c r="V87" i="83"/>
  <c r="V86" i="83"/>
  <c r="AK85" i="83"/>
  <c r="V85" i="83"/>
  <c r="AK84" i="83"/>
  <c r="V84" i="83"/>
  <c r="AK83" i="83"/>
  <c r="V83" i="83"/>
  <c r="V82" i="83"/>
  <c r="AK81" i="83"/>
  <c r="V81" i="83"/>
  <c r="V80" i="83"/>
  <c r="V79" i="83"/>
  <c r="AK78" i="83"/>
  <c r="V78" i="83"/>
  <c r="AK75" i="83"/>
  <c r="V75" i="83"/>
  <c r="AK74" i="83"/>
  <c r="V74" i="83"/>
  <c r="AK73" i="83"/>
  <c r="V73" i="83"/>
  <c r="AK71" i="83"/>
  <c r="V71" i="83"/>
  <c r="AK69" i="83"/>
  <c r="V69" i="83"/>
  <c r="AK68" i="83"/>
  <c r="V68" i="83"/>
  <c r="V66" i="83"/>
  <c r="AK65" i="83"/>
  <c r="V65" i="83"/>
  <c r="AK63" i="83"/>
  <c r="V63" i="83"/>
  <c r="AK62" i="83"/>
  <c r="V62" i="83"/>
  <c r="AK60" i="83"/>
  <c r="V60" i="83"/>
  <c r="AK59" i="83"/>
  <c r="V59" i="83"/>
  <c r="V58" i="83"/>
  <c r="V57" i="83"/>
  <c r="V55" i="83"/>
  <c r="AK53" i="83"/>
  <c r="V53" i="83"/>
  <c r="W39" i="83"/>
  <c r="AK33" i="83"/>
  <c r="V33" i="83"/>
  <c r="AK32" i="83"/>
  <c r="V32" i="83"/>
  <c r="AK31" i="83"/>
  <c r="V31" i="83"/>
  <c r="V30" i="83"/>
  <c r="V29" i="83"/>
  <c r="V28" i="83"/>
  <c r="V27" i="83"/>
  <c r="V26" i="83"/>
  <c r="V25" i="83"/>
  <c r="V24" i="83"/>
  <c r="V23" i="83"/>
  <c r="AK22" i="83"/>
  <c r="V22" i="83"/>
  <c r="AK21" i="83"/>
  <c r="V21" i="83"/>
  <c r="AK20" i="83"/>
  <c r="V20" i="83"/>
  <c r="AK19" i="83"/>
  <c r="V19" i="83"/>
  <c r="AK18" i="83"/>
  <c r="V18" i="83"/>
  <c r="AK17" i="83"/>
  <c r="V17" i="83"/>
  <c r="V16" i="83"/>
  <c r="V15" i="83"/>
  <c r="V14" i="83"/>
  <c r="V13" i="83"/>
  <c r="AK12" i="83"/>
  <c r="V12" i="83"/>
  <c r="AK11" i="83"/>
  <c r="V11" i="83"/>
  <c r="Y10" i="83"/>
  <c r="V10" i="83"/>
  <c r="V9" i="83"/>
  <c r="V8" i="83"/>
  <c r="V7" i="83"/>
  <c r="V6" i="83"/>
  <c r="V157" i="74"/>
  <c r="V155" i="74"/>
  <c r="V153" i="74"/>
  <c r="V152" i="74"/>
  <c r="V150" i="74"/>
  <c r="V148" i="74"/>
  <c r="AK147" i="74"/>
  <c r="V147" i="74"/>
  <c r="AK146" i="74"/>
  <c r="V146" i="74"/>
  <c r="V145" i="74"/>
  <c r="V144" i="74"/>
  <c r="AK143" i="74"/>
  <c r="V143" i="74"/>
  <c r="V142" i="74"/>
  <c r="V141" i="74"/>
  <c r="V140" i="74"/>
  <c r="AK139" i="74"/>
  <c r="V139" i="74"/>
  <c r="AK138" i="74"/>
  <c r="V138" i="74"/>
  <c r="V137" i="74"/>
  <c r="AK136" i="74"/>
  <c r="V136" i="74"/>
  <c r="AK134" i="74"/>
  <c r="AK133" i="74"/>
  <c r="AK132" i="74"/>
  <c r="AK130" i="74"/>
  <c r="AK124" i="74"/>
  <c r="V124" i="74"/>
  <c r="V123" i="74"/>
  <c r="AK122" i="74"/>
  <c r="V122" i="74"/>
  <c r="V121" i="74"/>
  <c r="AK120" i="74"/>
  <c r="V120" i="74"/>
  <c r="V119" i="74"/>
  <c r="V118" i="74"/>
  <c r="AK117" i="74"/>
  <c r="V117" i="74"/>
  <c r="AK116" i="74"/>
  <c r="V116" i="74"/>
  <c r="V115" i="74"/>
  <c r="V114" i="74"/>
  <c r="V104" i="74"/>
  <c r="AK87" i="74"/>
  <c r="V87" i="74"/>
  <c r="V86" i="74"/>
  <c r="AK85" i="74"/>
  <c r="V85" i="74"/>
  <c r="AK84" i="74"/>
  <c r="V84" i="74"/>
  <c r="AK83" i="74"/>
  <c r="V83" i="74"/>
  <c r="V82" i="74"/>
  <c r="AK81" i="74"/>
  <c r="V81" i="74"/>
  <c r="V80" i="74"/>
  <c r="V79" i="74"/>
  <c r="AK78" i="74"/>
  <c r="V78" i="74"/>
  <c r="AK75" i="74"/>
  <c r="V75" i="74"/>
  <c r="AK74" i="74"/>
  <c r="V74" i="74"/>
  <c r="AK73" i="74"/>
  <c r="V73" i="74"/>
  <c r="AK71" i="74"/>
  <c r="V71" i="74"/>
  <c r="AK69" i="74"/>
  <c r="V69" i="74"/>
  <c r="AK68" i="74"/>
  <c r="V68" i="74"/>
  <c r="V66" i="74"/>
  <c r="AK65" i="74"/>
  <c r="V65" i="74"/>
  <c r="AK63" i="74"/>
  <c r="V63" i="74"/>
  <c r="AK62" i="74"/>
  <c r="V62" i="74"/>
  <c r="AK60" i="74"/>
  <c r="V60" i="74"/>
  <c r="AK59" i="74"/>
  <c r="V59" i="74"/>
  <c r="V58" i="74"/>
  <c r="V57" i="74"/>
  <c r="V55" i="74"/>
  <c r="AK53" i="74"/>
  <c r="V53" i="74"/>
  <c r="W39" i="74"/>
  <c r="AK33" i="74"/>
  <c r="V33" i="74"/>
  <c r="AK32" i="74"/>
  <c r="V32" i="74"/>
  <c r="AK31" i="74"/>
  <c r="V31" i="74"/>
  <c r="V30" i="74"/>
  <c r="V29" i="74"/>
  <c r="V28" i="74"/>
  <c r="V27" i="74"/>
  <c r="V26" i="74"/>
  <c r="V25" i="74"/>
  <c r="V24" i="74"/>
  <c r="V23" i="74"/>
  <c r="AK22" i="74"/>
  <c r="V22" i="74"/>
  <c r="AK21" i="74"/>
  <c r="V21" i="74"/>
  <c r="AK20" i="74"/>
  <c r="V20" i="74"/>
  <c r="AK19" i="74"/>
  <c r="V19" i="74"/>
  <c r="AK18" i="74"/>
  <c r="V18" i="74"/>
  <c r="AK17" i="74"/>
  <c r="V17" i="74"/>
  <c r="V16" i="74"/>
  <c r="V15" i="74"/>
  <c r="V14" i="74"/>
  <c r="V13" i="74"/>
  <c r="AK12" i="74"/>
  <c r="V12" i="74"/>
  <c r="AK11" i="74"/>
  <c r="V11" i="74"/>
  <c r="Y10" i="74"/>
  <c r="V10" i="74"/>
  <c r="V9" i="74"/>
  <c r="V8" i="74"/>
  <c r="V7" i="74"/>
  <c r="V6" i="74"/>
  <c r="V157" i="84"/>
  <c r="V155" i="84"/>
  <c r="V153" i="84"/>
  <c r="V152" i="84"/>
  <c r="V150" i="84"/>
  <c r="V148" i="84"/>
  <c r="AK147" i="84"/>
  <c r="V147" i="84"/>
  <c r="AK146" i="84"/>
  <c r="V146" i="84"/>
  <c r="V145" i="84"/>
  <c r="V144" i="84"/>
  <c r="AK143" i="84"/>
  <c r="V143" i="84"/>
  <c r="V142" i="84"/>
  <c r="V141" i="84"/>
  <c r="V140" i="84"/>
  <c r="AK139" i="84"/>
  <c r="V139" i="84"/>
  <c r="AK138" i="84"/>
  <c r="V138" i="84"/>
  <c r="V137" i="84"/>
  <c r="AK136" i="84"/>
  <c r="V136" i="84"/>
  <c r="AK134" i="84"/>
  <c r="AK133" i="84"/>
  <c r="AK132" i="84"/>
  <c r="AK130" i="84"/>
  <c r="AK124" i="84"/>
  <c r="V124" i="84"/>
  <c r="V123" i="84"/>
  <c r="AK122" i="84"/>
  <c r="V122" i="84"/>
  <c r="V121" i="84"/>
  <c r="AK120" i="84"/>
  <c r="V120" i="84"/>
  <c r="V119" i="84"/>
  <c r="V118" i="84"/>
  <c r="AK117" i="84"/>
  <c r="V117" i="84"/>
  <c r="AK116" i="84"/>
  <c r="V116" i="84"/>
  <c r="V115" i="84"/>
  <c r="V114" i="84"/>
  <c r="V104" i="84"/>
  <c r="AK87" i="84"/>
  <c r="V87" i="84"/>
  <c r="V86" i="84"/>
  <c r="AK85" i="84"/>
  <c r="V85" i="84"/>
  <c r="AK84" i="84"/>
  <c r="V84" i="84"/>
  <c r="AK83" i="84"/>
  <c r="V83" i="84"/>
  <c r="V82" i="84"/>
  <c r="AK81" i="84"/>
  <c r="V81" i="84"/>
  <c r="V80" i="84"/>
  <c r="V79" i="84"/>
  <c r="AK78" i="84"/>
  <c r="V78" i="84"/>
  <c r="AK75" i="84"/>
  <c r="V75" i="84"/>
  <c r="AK74" i="84"/>
  <c r="V74" i="84"/>
  <c r="AK73" i="84"/>
  <c r="V73" i="84"/>
  <c r="AK71" i="84"/>
  <c r="V71" i="84"/>
  <c r="AK69" i="84"/>
  <c r="V69" i="84"/>
  <c r="AK68" i="84"/>
  <c r="V68" i="84"/>
  <c r="V66" i="84"/>
  <c r="AK65" i="84"/>
  <c r="V65" i="84"/>
  <c r="AK63" i="84"/>
  <c r="V63" i="84"/>
  <c r="AK62" i="84"/>
  <c r="V62" i="84"/>
  <c r="AK60" i="84"/>
  <c r="V60" i="84"/>
  <c r="AK59" i="84"/>
  <c r="V59" i="84"/>
  <c r="V58" i="84"/>
  <c r="V57" i="84"/>
  <c r="V55" i="84"/>
  <c r="AK53" i="84"/>
  <c r="V53" i="84"/>
  <c r="W39" i="84"/>
  <c r="AK33" i="84"/>
  <c r="V33" i="84"/>
  <c r="AK32" i="84"/>
  <c r="V32" i="84"/>
  <c r="AK31" i="84"/>
  <c r="V31" i="84"/>
  <c r="V30" i="84"/>
  <c r="V29" i="84"/>
  <c r="V28" i="84"/>
  <c r="V27" i="84"/>
  <c r="V26" i="84"/>
  <c r="V25" i="84"/>
  <c r="V24" i="84"/>
  <c r="V23" i="84"/>
  <c r="AK22" i="84"/>
  <c r="V22" i="84"/>
  <c r="AK21" i="84"/>
  <c r="V21" i="84"/>
  <c r="AK20" i="84"/>
  <c r="V20" i="84"/>
  <c r="AK19" i="84"/>
  <c r="V19" i="84"/>
  <c r="AK18" i="84"/>
  <c r="V18" i="84"/>
  <c r="AK17" i="84"/>
  <c r="V17" i="84"/>
  <c r="V16" i="84"/>
  <c r="V15" i="84"/>
  <c r="V14" i="84"/>
  <c r="V13" i="84"/>
  <c r="AK12" i="84"/>
  <c r="V12" i="84"/>
  <c r="AK11" i="84"/>
  <c r="V11" i="84"/>
  <c r="Y10" i="84"/>
  <c r="V10" i="84"/>
  <c r="V9" i="84"/>
  <c r="V8" i="84"/>
  <c r="V7" i="84"/>
  <c r="V6" i="84"/>
  <c r="V157" i="85"/>
  <c r="V155" i="85"/>
  <c r="V153" i="85"/>
  <c r="V152" i="85"/>
  <c r="V150" i="85"/>
  <c r="AK147" i="85"/>
  <c r="V147" i="85"/>
  <c r="AK146" i="85"/>
  <c r="V146" i="85"/>
  <c r="V145" i="85"/>
  <c r="V144" i="85"/>
  <c r="AK143" i="85"/>
  <c r="V143" i="85"/>
  <c r="V142" i="85"/>
  <c r="V141" i="85"/>
  <c r="V140" i="85"/>
  <c r="AK139" i="85"/>
  <c r="V139" i="85"/>
  <c r="AK138" i="85"/>
  <c r="V138" i="85"/>
  <c r="V137" i="85"/>
  <c r="AK136" i="85"/>
  <c r="AK134" i="85"/>
  <c r="AK133" i="85"/>
  <c r="AK132" i="85"/>
  <c r="AK130" i="85"/>
  <c r="AK124" i="85"/>
  <c r="V124" i="85"/>
  <c r="V123" i="85"/>
  <c r="AK122" i="85"/>
  <c r="V122" i="85"/>
  <c r="V121" i="85"/>
  <c r="AK120" i="85"/>
  <c r="V120" i="85"/>
  <c r="V119" i="85"/>
  <c r="V118" i="85"/>
  <c r="AK117" i="85"/>
  <c r="V117" i="85"/>
  <c r="AK116" i="85"/>
  <c r="V116" i="85"/>
  <c r="V115" i="85"/>
  <c r="V104" i="85"/>
  <c r="AK87" i="85"/>
  <c r="V87" i="85"/>
  <c r="V86" i="85"/>
  <c r="AK85" i="85"/>
  <c r="V85" i="85"/>
  <c r="AK84" i="85"/>
  <c r="V84" i="85"/>
  <c r="AK83" i="85"/>
  <c r="V83" i="85"/>
  <c r="V82" i="85"/>
  <c r="AK81" i="85"/>
  <c r="V81" i="85"/>
  <c r="V80" i="85"/>
  <c r="V79" i="85"/>
  <c r="AK78" i="85"/>
  <c r="V78" i="85"/>
  <c r="AK75" i="85"/>
  <c r="V75" i="85"/>
  <c r="AK74" i="85"/>
  <c r="V74" i="85"/>
  <c r="AK73" i="85"/>
  <c r="V73" i="85"/>
  <c r="AK71" i="85"/>
  <c r="V71" i="85"/>
  <c r="AK69" i="85"/>
  <c r="V69" i="85"/>
  <c r="AK68" i="85"/>
  <c r="V68" i="85"/>
  <c r="AK65" i="85"/>
  <c r="V65" i="85"/>
  <c r="AK63" i="85"/>
  <c r="V63" i="85"/>
  <c r="AK62" i="85"/>
  <c r="V62" i="85"/>
  <c r="V60" i="85"/>
  <c r="AK59" i="85"/>
  <c r="V59" i="85"/>
  <c r="V58" i="85"/>
  <c r="V57" i="85"/>
  <c r="V55" i="85"/>
  <c r="AK53" i="85"/>
  <c r="V53" i="85"/>
  <c r="W39" i="85"/>
  <c r="AK33" i="85"/>
  <c r="V33" i="85"/>
  <c r="AK32" i="85"/>
  <c r="V32" i="85"/>
  <c r="AK31" i="85"/>
  <c r="V31" i="85"/>
  <c r="V29" i="85"/>
  <c r="V28" i="85"/>
  <c r="V27" i="85"/>
  <c r="V26" i="85"/>
  <c r="V25" i="85"/>
  <c r="V24" i="85"/>
  <c r="V23" i="85"/>
  <c r="AK22" i="85"/>
  <c r="V22" i="85"/>
  <c r="AK21" i="85"/>
  <c r="V21" i="85"/>
  <c r="AK20" i="85"/>
  <c r="V20" i="85"/>
  <c r="AK19" i="85"/>
  <c r="V19" i="85"/>
  <c r="AK18" i="85"/>
  <c r="V18" i="85"/>
  <c r="AK17" i="85"/>
  <c r="V17" i="85"/>
  <c r="V16" i="85"/>
  <c r="V15" i="85"/>
  <c r="AK12" i="85"/>
  <c r="V12" i="85"/>
  <c r="AK11" i="85"/>
  <c r="V11" i="85"/>
  <c r="V10" i="85"/>
  <c r="V9" i="85"/>
  <c r="V8" i="85"/>
  <c r="V7" i="85"/>
  <c r="V6" i="85"/>
  <c r="V157" i="86"/>
  <c r="V155" i="86"/>
  <c r="V153" i="86"/>
  <c r="V152" i="86"/>
  <c r="V150" i="86"/>
  <c r="V148" i="86"/>
  <c r="AK147" i="86"/>
  <c r="V147" i="86"/>
  <c r="AK146" i="86"/>
  <c r="V146" i="86"/>
  <c r="V145" i="86"/>
  <c r="V144" i="86"/>
  <c r="AK143" i="86"/>
  <c r="V143" i="86"/>
  <c r="V142" i="86"/>
  <c r="V141" i="86"/>
  <c r="V140" i="86"/>
  <c r="AK139" i="86"/>
  <c r="V139" i="86"/>
  <c r="AK138" i="86"/>
  <c r="V138" i="86"/>
  <c r="V137" i="86"/>
  <c r="AK136" i="86"/>
  <c r="V136" i="86"/>
  <c r="AK134" i="86"/>
  <c r="AK133" i="86"/>
  <c r="AK132" i="86"/>
  <c r="AK130" i="86"/>
  <c r="AK124" i="86"/>
  <c r="V124" i="86"/>
  <c r="V123" i="86"/>
  <c r="AK122" i="86"/>
  <c r="V122" i="86"/>
  <c r="V121" i="86"/>
  <c r="AK120" i="86"/>
  <c r="V120" i="86"/>
  <c r="V119" i="86"/>
  <c r="V118" i="86"/>
  <c r="AK117" i="86"/>
  <c r="V117" i="86"/>
  <c r="AK116" i="86"/>
  <c r="V116" i="86"/>
  <c r="V115" i="86"/>
  <c r="V114" i="86"/>
  <c r="AK87" i="86"/>
  <c r="V87" i="86"/>
  <c r="V86" i="86"/>
  <c r="AK85" i="86"/>
  <c r="V85" i="86"/>
  <c r="AK84" i="86"/>
  <c r="V84" i="86"/>
  <c r="AK83" i="86"/>
  <c r="V83" i="86"/>
  <c r="V82" i="86"/>
  <c r="AK81" i="86"/>
  <c r="V81" i="86"/>
  <c r="V80" i="86"/>
  <c r="V79" i="86"/>
  <c r="AK78" i="86"/>
  <c r="V78" i="86"/>
  <c r="AK75" i="86"/>
  <c r="V75" i="86"/>
  <c r="AK74" i="86"/>
  <c r="V74" i="86"/>
  <c r="AK73" i="86"/>
  <c r="V73" i="86"/>
  <c r="AK71" i="86"/>
  <c r="V71" i="86"/>
  <c r="AK69" i="86"/>
  <c r="V69" i="86"/>
  <c r="AK68" i="86"/>
  <c r="V68" i="86"/>
  <c r="V66" i="86"/>
  <c r="AK65" i="86"/>
  <c r="V65" i="86"/>
  <c r="AK63" i="86"/>
  <c r="V63" i="86"/>
  <c r="AK62" i="86"/>
  <c r="V62" i="86"/>
  <c r="V60" i="86"/>
  <c r="AK59" i="86"/>
  <c r="V59" i="86"/>
  <c r="V58" i="86"/>
  <c r="V57" i="86"/>
  <c r="V55" i="86"/>
  <c r="AK53" i="86"/>
  <c r="V53" i="86"/>
  <c r="V42" i="86"/>
  <c r="V41" i="86"/>
  <c r="V40" i="86"/>
  <c r="V39" i="86"/>
  <c r="AK33" i="86"/>
  <c r="V33" i="86"/>
  <c r="AK32" i="86"/>
  <c r="V32" i="86"/>
  <c r="AK31" i="86"/>
  <c r="V31" i="86"/>
  <c r="V30" i="86"/>
  <c r="V29" i="86"/>
  <c r="V28" i="86"/>
  <c r="V27" i="86"/>
  <c r="V26" i="86"/>
  <c r="V25" i="86"/>
  <c r="V24" i="86"/>
  <c r="V23" i="86"/>
  <c r="AK22" i="86"/>
  <c r="V22" i="86"/>
  <c r="AK21" i="86"/>
  <c r="V21" i="86"/>
  <c r="AK20" i="86"/>
  <c r="V20" i="86"/>
  <c r="AK19" i="86"/>
  <c r="V19" i="86"/>
  <c r="AK18" i="86"/>
  <c r="V18" i="86"/>
  <c r="AK17" i="86"/>
  <c r="V17" i="86"/>
  <c r="V16" i="86"/>
  <c r="V15" i="86"/>
  <c r="V14" i="86"/>
  <c r="V13" i="86"/>
  <c r="AK12" i="86"/>
  <c r="V12" i="86"/>
  <c r="AK11" i="86"/>
  <c r="V11" i="86"/>
  <c r="Y10" i="86"/>
  <c r="V10" i="86"/>
  <c r="V9" i="86"/>
  <c r="V8" i="86"/>
  <c r="V7" i="86"/>
  <c r="V6" i="86"/>
  <c r="V155" i="68"/>
  <c r="V153" i="68"/>
  <c r="V152" i="68"/>
  <c r="V150" i="68"/>
  <c r="V148" i="68"/>
  <c r="AK147" i="68"/>
  <c r="V147" i="68"/>
  <c r="AK146" i="68"/>
  <c r="V146" i="68"/>
  <c r="V145" i="68"/>
  <c r="V144" i="68"/>
  <c r="AK143" i="68"/>
  <c r="V143" i="68"/>
  <c r="V142" i="68"/>
  <c r="V141" i="68"/>
  <c r="V140" i="68"/>
  <c r="AK139" i="68"/>
  <c r="V139" i="68"/>
  <c r="AK138" i="68"/>
  <c r="V138" i="68"/>
  <c r="V137" i="68"/>
  <c r="AK136" i="68"/>
  <c r="AK134" i="68"/>
  <c r="AK133" i="68"/>
  <c r="AK132" i="68"/>
  <c r="AK130" i="68"/>
  <c r="AK124" i="68"/>
  <c r="V124" i="68"/>
  <c r="V123" i="68"/>
  <c r="AK122" i="68"/>
  <c r="V122" i="68"/>
  <c r="V121" i="68"/>
  <c r="AK120" i="68"/>
  <c r="V120" i="68"/>
  <c r="V119" i="68"/>
  <c r="V118" i="68"/>
  <c r="AK117" i="68"/>
  <c r="V117" i="68"/>
  <c r="AK116" i="68"/>
  <c r="V116" i="68"/>
  <c r="V115" i="68"/>
  <c r="V114" i="68"/>
  <c r="V104" i="68"/>
  <c r="AK87" i="68"/>
  <c r="V87" i="68"/>
  <c r="V86" i="68"/>
  <c r="AK85" i="68"/>
  <c r="V85" i="68"/>
  <c r="AK84" i="68"/>
  <c r="V84" i="68"/>
  <c r="AK83" i="68"/>
  <c r="V83" i="68"/>
  <c r="V82" i="68"/>
  <c r="AK81" i="68"/>
  <c r="V81" i="68"/>
  <c r="V80" i="68"/>
  <c r="V79" i="68"/>
  <c r="AK78" i="68"/>
  <c r="V78" i="68"/>
  <c r="AK75" i="68"/>
  <c r="V75" i="68"/>
  <c r="AK74" i="68"/>
  <c r="V74" i="68"/>
  <c r="AK73" i="68"/>
  <c r="V73" i="68"/>
  <c r="AK71" i="68"/>
  <c r="V71" i="68"/>
  <c r="AK69" i="68"/>
  <c r="V69" i="68"/>
  <c r="AK68" i="68"/>
  <c r="V68" i="68"/>
  <c r="V66" i="68"/>
  <c r="AK65" i="68"/>
  <c r="V65" i="68"/>
  <c r="AK63" i="68"/>
  <c r="V63" i="68"/>
  <c r="AK62" i="68"/>
  <c r="V62" i="68"/>
  <c r="AK60" i="68"/>
  <c r="V60" i="68"/>
  <c r="AK59" i="68"/>
  <c r="V59" i="68"/>
  <c r="V58" i="68"/>
  <c r="V57" i="68"/>
  <c r="V55" i="68"/>
  <c r="AK53" i="68"/>
  <c r="V53" i="68"/>
  <c r="W39" i="68"/>
  <c r="AK33" i="68"/>
  <c r="V33" i="68"/>
  <c r="AK32" i="68"/>
  <c r="V32" i="68"/>
  <c r="AK31" i="68"/>
  <c r="V31" i="68"/>
  <c r="V30" i="68"/>
  <c r="V29" i="68"/>
  <c r="V28" i="68"/>
  <c r="V27" i="68"/>
  <c r="V26" i="68"/>
  <c r="V25" i="68"/>
  <c r="V24" i="68"/>
  <c r="V23" i="68"/>
  <c r="AK22" i="68"/>
  <c r="V22" i="68"/>
  <c r="AK21" i="68"/>
  <c r="V21" i="68"/>
  <c r="AK20" i="68"/>
  <c r="V20" i="68"/>
  <c r="AK19" i="68"/>
  <c r="V19" i="68"/>
  <c r="AK18" i="68"/>
  <c r="V18" i="68"/>
  <c r="AK17" i="68"/>
  <c r="V17" i="68"/>
  <c r="V16" i="68"/>
  <c r="V15" i="68"/>
  <c r="V14" i="68"/>
  <c r="V13" i="68"/>
  <c r="AK12" i="68"/>
  <c r="V12" i="68"/>
  <c r="AK11" i="68"/>
  <c r="V11" i="68"/>
  <c r="Y10" i="68"/>
  <c r="V10" i="68"/>
  <c r="V9" i="68"/>
  <c r="V8" i="68"/>
  <c r="V7" i="68"/>
  <c r="V6" i="68"/>
  <c r="W160" i="68" s="1"/>
  <c r="AK130" i="87"/>
  <c r="AM130" i="87"/>
  <c r="AK132" i="87"/>
  <c r="AM132" i="87"/>
  <c r="AK133" i="87"/>
  <c r="AM133" i="87"/>
  <c r="AK134" i="87"/>
  <c r="AM134" i="87"/>
  <c r="AK20" i="87"/>
  <c r="AM20" i="87"/>
  <c r="AK21" i="87"/>
  <c r="AM21" i="87"/>
  <c r="AK22" i="87"/>
  <c r="AM22" i="87"/>
  <c r="AK31" i="87"/>
  <c r="AM31" i="87"/>
  <c r="AK32" i="87"/>
  <c r="AM32" i="87"/>
  <c r="AK33" i="87"/>
  <c r="AM33" i="87"/>
  <c r="Y10" i="87"/>
  <c r="V65" i="87"/>
  <c r="AK65" i="87"/>
  <c r="AM65" i="87"/>
  <c r="V66" i="87"/>
  <c r="V68" i="87"/>
  <c r="AK68" i="87"/>
  <c r="AM68" i="87"/>
  <c r="V69" i="87"/>
  <c r="AK69" i="87"/>
  <c r="AM69" i="87"/>
  <c r="V71" i="87"/>
  <c r="AK71" i="87"/>
  <c r="AM71" i="87"/>
  <c r="V73" i="87"/>
  <c r="AK73" i="87"/>
  <c r="AM73" i="87"/>
  <c r="V74" i="87"/>
  <c r="AK74" i="87"/>
  <c r="AM74" i="87"/>
  <c r="V75" i="87"/>
  <c r="AK75" i="87"/>
  <c r="AM75" i="87"/>
  <c r="V78" i="87"/>
  <c r="AK78" i="87"/>
  <c r="AM78" i="87"/>
  <c r="V79" i="87"/>
  <c r="V80" i="87"/>
  <c r="V81" i="87"/>
  <c r="AK81" i="87"/>
  <c r="AM81" i="87"/>
  <c r="V82" i="87"/>
  <c r="V83" i="87"/>
  <c r="AK83" i="87"/>
  <c r="AM83" i="87"/>
  <c r="V84" i="87"/>
  <c r="AK84" i="87"/>
  <c r="AM84" i="87"/>
  <c r="V85" i="87"/>
  <c r="AK85" i="87"/>
  <c r="AM85" i="87"/>
  <c r="V86" i="87"/>
  <c r="V87" i="87"/>
  <c r="AK87" i="87"/>
  <c r="AM87" i="87"/>
  <c r="Y151" i="87"/>
  <c r="AK256" i="174"/>
  <c r="V256" i="174"/>
  <c r="AK255" i="174"/>
  <c r="V255" i="174"/>
  <c r="AK254" i="174"/>
  <c r="V254" i="174"/>
  <c r="AK253" i="174"/>
  <c r="V253" i="174"/>
  <c r="AK252" i="174"/>
  <c r="V252" i="174"/>
  <c r="AF250" i="174"/>
  <c r="AC250" i="174"/>
  <c r="V251" i="174"/>
  <c r="AE250" i="174"/>
  <c r="AD250" i="174"/>
  <c r="AB250" i="174"/>
  <c r="AA250" i="174"/>
  <c r="Z250" i="174"/>
  <c r="V250" i="174"/>
  <c r="U250" i="174"/>
  <c r="T250" i="174"/>
  <c r="S250" i="174"/>
  <c r="R250" i="174"/>
  <c r="Q250" i="174"/>
  <c r="P250" i="174"/>
  <c r="O250" i="174"/>
  <c r="N250" i="174"/>
  <c r="M250" i="174"/>
  <c r="L250" i="174"/>
  <c r="K250" i="174"/>
  <c r="J250" i="174"/>
  <c r="AK249" i="174"/>
  <c r="V249" i="174"/>
  <c r="AK248" i="174"/>
  <c r="V248" i="174"/>
  <c r="AK247" i="174"/>
  <c r="V247" i="174"/>
  <c r="AK246" i="174"/>
  <c r="V246" i="174"/>
  <c r="AK245" i="174"/>
  <c r="V245" i="174"/>
  <c r="AK244" i="174"/>
  <c r="V244" i="174"/>
  <c r="AK243" i="174"/>
  <c r="V243" i="174"/>
  <c r="AK242" i="174"/>
  <c r="V242" i="174"/>
  <c r="AI240" i="174"/>
  <c r="AD240" i="174"/>
  <c r="AA240" i="174"/>
  <c r="AK241" i="174"/>
  <c r="V241" i="174"/>
  <c r="AJ240" i="174"/>
  <c r="AC240" i="174"/>
  <c r="AB240" i="174"/>
  <c r="Z240" i="174"/>
  <c r="Y240" i="174"/>
  <c r="V240" i="174"/>
  <c r="U240" i="174"/>
  <c r="T240" i="174"/>
  <c r="S240" i="174"/>
  <c r="R240" i="174"/>
  <c r="Q240" i="174"/>
  <c r="P240" i="174"/>
  <c r="O240" i="174"/>
  <c r="N240" i="174"/>
  <c r="M240" i="174"/>
  <c r="L240" i="174"/>
  <c r="K240" i="174"/>
  <c r="J240" i="174"/>
  <c r="V239" i="174"/>
  <c r="V238" i="174"/>
  <c r="V237" i="174"/>
  <c r="V236" i="174"/>
  <c r="AJ235" i="174"/>
  <c r="AI235" i="174"/>
  <c r="AH235" i="174"/>
  <c r="AG235" i="174"/>
  <c r="AF235" i="174"/>
  <c r="AE235" i="174"/>
  <c r="AD235" i="174"/>
  <c r="AC235" i="174"/>
  <c r="AB235" i="174"/>
  <c r="AA235" i="174"/>
  <c r="Z235" i="174"/>
  <c r="Y235" i="174"/>
  <c r="V235" i="174"/>
  <c r="U235" i="174"/>
  <c r="T235" i="174"/>
  <c r="S235" i="174"/>
  <c r="R235" i="174"/>
  <c r="Q235" i="174"/>
  <c r="P235" i="174"/>
  <c r="O235" i="174"/>
  <c r="N235" i="174"/>
  <c r="M235" i="174"/>
  <c r="L235" i="174"/>
  <c r="K235" i="174"/>
  <c r="J235" i="174"/>
  <c r="V234" i="174"/>
  <c r="V233" i="174"/>
  <c r="V232" i="174"/>
  <c r="V231" i="174"/>
  <c r="V229" i="174"/>
  <c r="V228" i="174"/>
  <c r="V227" i="174"/>
  <c r="V226" i="174"/>
  <c r="V225" i="174"/>
  <c r="V224" i="174"/>
  <c r="V223" i="174"/>
  <c r="V222" i="174"/>
  <c r="V221" i="174"/>
  <c r="V220" i="174"/>
  <c r="V219" i="174"/>
  <c r="AJ218" i="174"/>
  <c r="AI218" i="174"/>
  <c r="AH218" i="174"/>
  <c r="AG218" i="174"/>
  <c r="AF218" i="174"/>
  <c r="AE218" i="174"/>
  <c r="AD218" i="174"/>
  <c r="AC218" i="174"/>
  <c r="AB218" i="174"/>
  <c r="AA218" i="174"/>
  <c r="Z218" i="174"/>
  <c r="Y218" i="174"/>
  <c r="V218" i="174"/>
  <c r="U218" i="174"/>
  <c r="T218" i="174"/>
  <c r="S218" i="174"/>
  <c r="R218" i="174"/>
  <c r="Q218" i="174"/>
  <c r="P218" i="174"/>
  <c r="O218" i="174"/>
  <c r="N218" i="174"/>
  <c r="M218" i="174"/>
  <c r="L218" i="174"/>
  <c r="K218" i="174"/>
  <c r="J218" i="174"/>
  <c r="V217" i="174"/>
  <c r="V216" i="174"/>
  <c r="V215" i="174"/>
  <c r="V214" i="174"/>
  <c r="V213" i="174"/>
  <c r="V212" i="174"/>
  <c r="V211" i="174"/>
  <c r="V210" i="174"/>
  <c r="V209" i="174"/>
  <c r="V208" i="174"/>
  <c r="V207" i="174"/>
  <c r="V206" i="174"/>
  <c r="V205" i="174"/>
  <c r="V204" i="174"/>
  <c r="V203" i="174"/>
  <c r="V202" i="174"/>
  <c r="V201" i="174"/>
  <c r="V200" i="174"/>
  <c r="V199" i="174"/>
  <c r="V198" i="174"/>
  <c r="V197" i="174"/>
  <c r="V196" i="174"/>
  <c r="V195" i="174"/>
  <c r="V194" i="174"/>
  <c r="V193" i="174"/>
  <c r="V192" i="174"/>
  <c r="V191" i="174"/>
  <c r="V190" i="174"/>
  <c r="V189" i="174"/>
  <c r="V188" i="174"/>
  <c r="V187" i="174"/>
  <c r="V186" i="174"/>
  <c r="V185" i="174"/>
  <c r="V184" i="174"/>
  <c r="V183" i="174"/>
  <c r="V182" i="174"/>
  <c r="V181" i="174"/>
  <c r="V180" i="174"/>
  <c r="V179" i="174"/>
  <c r="V178" i="174"/>
  <c r="V177" i="174"/>
  <c r="V176" i="174"/>
  <c r="V175" i="174"/>
  <c r="V174" i="174"/>
  <c r="V173" i="174"/>
  <c r="V172" i="174"/>
  <c r="V171" i="174"/>
  <c r="V170" i="174"/>
  <c r="V169" i="174"/>
  <c r="V168" i="174" s="1"/>
  <c r="U168" i="174"/>
  <c r="U257" i="174" s="1"/>
  <c r="T168" i="174"/>
  <c r="T257" i="174" s="1"/>
  <c r="S168" i="174"/>
  <c r="S257" i="174" s="1"/>
  <c r="R168" i="174"/>
  <c r="R257" i="174" s="1"/>
  <c r="Q168" i="174"/>
  <c r="Q257" i="174" s="1"/>
  <c r="P168" i="174"/>
  <c r="P257" i="174" s="1"/>
  <c r="O168" i="174"/>
  <c r="O257" i="174" s="1"/>
  <c r="N168" i="174"/>
  <c r="N257" i="174" s="1"/>
  <c r="M168" i="174"/>
  <c r="M257" i="174" s="1"/>
  <c r="L168" i="174"/>
  <c r="L257" i="174" s="1"/>
  <c r="K168" i="174"/>
  <c r="K257" i="174" s="1"/>
  <c r="J168" i="174"/>
  <c r="AK352" i="173"/>
  <c r="V352" i="173"/>
  <c r="AK328" i="173"/>
  <c r="V328" i="173"/>
  <c r="AK327" i="173"/>
  <c r="V327" i="173"/>
  <c r="AK326" i="173"/>
  <c r="V326" i="173"/>
  <c r="AK325" i="173"/>
  <c r="V325" i="173"/>
  <c r="AK324" i="173"/>
  <c r="V324" i="173"/>
  <c r="AK323" i="173"/>
  <c r="V323" i="173"/>
  <c r="AK322" i="173"/>
  <c r="V322" i="173"/>
  <c r="AK321" i="173"/>
  <c r="V321" i="173"/>
  <c r="AK320" i="173"/>
  <c r="V320" i="173"/>
  <c r="AK319" i="173"/>
  <c r="AJ319" i="173"/>
  <c r="AI319" i="173"/>
  <c r="AH319" i="173"/>
  <c r="AG319" i="173"/>
  <c r="AF319" i="173"/>
  <c r="AE319" i="173"/>
  <c r="AD319" i="173"/>
  <c r="AC319" i="173"/>
  <c r="AB319" i="173"/>
  <c r="AA319" i="173"/>
  <c r="Z319" i="173"/>
  <c r="Y319" i="173"/>
  <c r="V319" i="173"/>
  <c r="AK311" i="173"/>
  <c r="V311" i="173"/>
  <c r="AK310" i="173"/>
  <c r="V310" i="173"/>
  <c r="AK309" i="173"/>
  <c r="V309" i="173"/>
  <c r="AK308" i="173"/>
  <c r="V308" i="173"/>
  <c r="AK307" i="173"/>
  <c r="V307" i="173"/>
  <c r="AK306" i="173"/>
  <c r="V306" i="173"/>
  <c r="AK305" i="173"/>
  <c r="V305" i="173"/>
  <c r="AK304" i="173"/>
  <c r="V304" i="173"/>
  <c r="AK303" i="173"/>
  <c r="V303" i="173"/>
  <c r="AK302" i="173"/>
  <c r="V302" i="173"/>
  <c r="AK301" i="173"/>
  <c r="V301" i="173"/>
  <c r="AK300" i="173"/>
  <c r="V300" i="173"/>
  <c r="AK299" i="173"/>
  <c r="V299" i="173"/>
  <c r="AK298" i="173"/>
  <c r="V298" i="173"/>
  <c r="AK297" i="173"/>
  <c r="V297" i="173"/>
  <c r="AK296" i="173"/>
  <c r="V296" i="173"/>
  <c r="AK295" i="173"/>
  <c r="V295" i="173"/>
  <c r="AK294" i="173"/>
  <c r="V294" i="173"/>
  <c r="AK293" i="173"/>
  <c r="V293" i="173"/>
  <c r="AK292" i="173"/>
  <c r="AJ292" i="173"/>
  <c r="AI292" i="173"/>
  <c r="AH292" i="173"/>
  <c r="AG292" i="173"/>
  <c r="AF292" i="173"/>
  <c r="AE292" i="173"/>
  <c r="AD292" i="173"/>
  <c r="AC292" i="173"/>
  <c r="AB292" i="173"/>
  <c r="AA292" i="173"/>
  <c r="Z292" i="173"/>
  <c r="Y292" i="173"/>
  <c r="V292" i="173"/>
  <c r="AK286" i="173"/>
  <c r="V286" i="173"/>
  <c r="AK285" i="173"/>
  <c r="V285" i="173"/>
  <c r="AK284" i="173"/>
  <c r="V284" i="173"/>
  <c r="AK283" i="173"/>
  <c r="V283" i="173"/>
  <c r="AK282" i="173"/>
  <c r="V282" i="173"/>
  <c r="AK281" i="173"/>
  <c r="V281" i="173"/>
  <c r="AK280" i="173"/>
  <c r="AJ280" i="173"/>
  <c r="AI280" i="173"/>
  <c r="AH280" i="173"/>
  <c r="AG280" i="173"/>
  <c r="AF280" i="173"/>
  <c r="AE280" i="173"/>
  <c r="AD280" i="173"/>
  <c r="AC280" i="173"/>
  <c r="AB280" i="173"/>
  <c r="AA280" i="173"/>
  <c r="Z280" i="173"/>
  <c r="Y280" i="173"/>
  <c r="V280" i="173"/>
  <c r="AK278" i="173"/>
  <c r="V278" i="173"/>
  <c r="AK276" i="173"/>
  <c r="V276" i="173"/>
  <c r="AK275" i="173"/>
  <c r="V275" i="173"/>
  <c r="AK274" i="173"/>
  <c r="V274" i="173"/>
  <c r="AK273" i="173"/>
  <c r="AJ273" i="173"/>
  <c r="AI273" i="173"/>
  <c r="AH273" i="173"/>
  <c r="AG273" i="173"/>
  <c r="AF273" i="173"/>
  <c r="AE273" i="173"/>
  <c r="AD273" i="173"/>
  <c r="AC273" i="173"/>
  <c r="AB273" i="173"/>
  <c r="AA273" i="173"/>
  <c r="Z273" i="173"/>
  <c r="Y273" i="173"/>
  <c r="V273" i="173"/>
  <c r="AK265" i="173"/>
  <c r="V265" i="173"/>
  <c r="AK263" i="173"/>
  <c r="V263" i="173"/>
  <c r="AK259" i="173"/>
  <c r="V259" i="173"/>
  <c r="AK258" i="173"/>
  <c r="AJ258" i="173"/>
  <c r="AI258" i="173"/>
  <c r="AH258" i="173"/>
  <c r="AG258" i="173"/>
  <c r="AF258" i="173"/>
  <c r="AE258" i="173"/>
  <c r="AD258" i="173"/>
  <c r="AC258" i="173"/>
  <c r="AB258" i="173"/>
  <c r="AA258" i="173"/>
  <c r="Z258" i="173"/>
  <c r="Y258" i="173"/>
  <c r="V258" i="173"/>
  <c r="AJ254" i="173"/>
  <c r="AI254" i="173"/>
  <c r="AH254" i="173"/>
  <c r="AG254" i="173"/>
  <c r="AF254" i="173"/>
  <c r="AE254" i="173"/>
  <c r="AD254" i="173"/>
  <c r="AC254" i="173"/>
  <c r="AB254" i="173"/>
  <c r="AA254" i="173"/>
  <c r="Z254" i="173"/>
  <c r="Y254" i="173"/>
  <c r="AK247" i="173"/>
  <c r="V247" i="173"/>
  <c r="AK246" i="173"/>
  <c r="V246" i="173"/>
  <c r="AK245" i="173"/>
  <c r="V245" i="173"/>
  <c r="AK244" i="173"/>
  <c r="V244" i="173"/>
  <c r="AK243" i="173"/>
  <c r="V243" i="173"/>
  <c r="AK242" i="173"/>
  <c r="V242" i="173"/>
  <c r="AK241" i="173"/>
  <c r="AJ241" i="173"/>
  <c r="AI241" i="173"/>
  <c r="AH241" i="173"/>
  <c r="AG241" i="173"/>
  <c r="AF241" i="173"/>
  <c r="AE241" i="173"/>
  <c r="AD241" i="173"/>
  <c r="AC241" i="173"/>
  <c r="AB241" i="173"/>
  <c r="AA241" i="173"/>
  <c r="Z241" i="173"/>
  <c r="Y241" i="173"/>
  <c r="V241" i="173"/>
  <c r="AK240" i="173"/>
  <c r="V240" i="173"/>
  <c r="AK239" i="173"/>
  <c r="V239" i="173"/>
  <c r="AK238" i="173"/>
  <c r="V238" i="173"/>
  <c r="AK237" i="173"/>
  <c r="V237" i="173"/>
  <c r="AK236" i="173"/>
  <c r="V236" i="173"/>
  <c r="AK235" i="173"/>
  <c r="V235" i="173"/>
  <c r="AK234" i="173"/>
  <c r="V234" i="173"/>
  <c r="AK233" i="173"/>
  <c r="V233" i="173"/>
  <c r="AK232" i="173"/>
  <c r="V232" i="173"/>
  <c r="AK231" i="173"/>
  <c r="AJ231" i="173"/>
  <c r="AI231" i="173"/>
  <c r="AH231" i="173"/>
  <c r="AG231" i="173"/>
  <c r="AF231" i="173"/>
  <c r="AE231" i="173"/>
  <c r="AD231" i="173"/>
  <c r="AC231" i="173"/>
  <c r="AB231" i="173"/>
  <c r="AA231" i="173"/>
  <c r="Z231" i="173"/>
  <c r="Y231" i="173"/>
  <c r="V231" i="173"/>
  <c r="AK230" i="173"/>
  <c r="V230" i="173"/>
  <c r="AK229" i="173"/>
  <c r="V229" i="173"/>
  <c r="AK228" i="173"/>
  <c r="V228" i="173"/>
  <c r="AK227" i="173"/>
  <c r="V227" i="173"/>
  <c r="AK226" i="173"/>
  <c r="AJ226" i="173"/>
  <c r="AI226" i="173"/>
  <c r="AH226" i="173"/>
  <c r="AG226" i="173"/>
  <c r="AF226" i="173"/>
  <c r="AE226" i="173"/>
  <c r="AD226" i="173"/>
  <c r="AC226" i="173"/>
  <c r="AB226" i="173"/>
  <c r="AA226" i="173"/>
  <c r="Z226" i="173"/>
  <c r="Y226" i="173"/>
  <c r="V226" i="173"/>
  <c r="AK225" i="173"/>
  <c r="V225" i="173"/>
  <c r="AK224" i="173"/>
  <c r="V224" i="173"/>
  <c r="AK223" i="173"/>
  <c r="V223" i="173"/>
  <c r="AK222" i="173"/>
  <c r="V222" i="173"/>
  <c r="AK221" i="173"/>
  <c r="V221" i="173"/>
  <c r="AK220" i="173"/>
  <c r="V220" i="173"/>
  <c r="AK219" i="173"/>
  <c r="V219" i="173"/>
  <c r="AK218" i="173"/>
  <c r="V218" i="173"/>
  <c r="AK217" i="173"/>
  <c r="V217" i="173"/>
  <c r="AK216" i="173"/>
  <c r="V216" i="173"/>
  <c r="AK215" i="173"/>
  <c r="V215" i="173"/>
  <c r="AK214" i="173"/>
  <c r="V214" i="173"/>
  <c r="AK213" i="173"/>
  <c r="V213" i="173"/>
  <c r="AK212" i="173"/>
  <c r="V212" i="173"/>
  <c r="AK211" i="173"/>
  <c r="V211" i="173"/>
  <c r="AK210" i="173"/>
  <c r="V210" i="173"/>
  <c r="AK209" i="173"/>
  <c r="AJ209" i="173"/>
  <c r="AI209" i="173"/>
  <c r="AH209" i="173"/>
  <c r="AG209" i="173"/>
  <c r="AF209" i="173"/>
  <c r="AE209" i="173"/>
  <c r="AD209" i="173"/>
  <c r="AC209" i="173"/>
  <c r="AB209" i="173"/>
  <c r="AA209" i="173"/>
  <c r="Z209" i="173"/>
  <c r="Y209" i="173"/>
  <c r="V209" i="173"/>
  <c r="AK208" i="173"/>
  <c r="V208" i="173"/>
  <c r="AK207" i="173"/>
  <c r="V207" i="173"/>
  <c r="AK206" i="173"/>
  <c r="V206" i="173"/>
  <c r="AK205" i="173"/>
  <c r="V205" i="173"/>
  <c r="AK204" i="173"/>
  <c r="V204" i="173"/>
  <c r="AK203" i="173"/>
  <c r="V203" i="173"/>
  <c r="AK202" i="173"/>
  <c r="V202" i="173"/>
  <c r="AK201" i="173"/>
  <c r="V201" i="173"/>
  <c r="AK200" i="173"/>
  <c r="V200" i="173"/>
  <c r="AK199" i="173"/>
  <c r="V199" i="173"/>
  <c r="AK198" i="173"/>
  <c r="V198" i="173"/>
  <c r="AK197" i="173"/>
  <c r="V197" i="173"/>
  <c r="AK196" i="173"/>
  <c r="V196" i="173"/>
  <c r="AK195" i="173"/>
  <c r="V195" i="173"/>
  <c r="AK194" i="173"/>
  <c r="V194" i="173"/>
  <c r="AK193" i="173"/>
  <c r="V193" i="173"/>
  <c r="AK192" i="173"/>
  <c r="V192" i="173"/>
  <c r="AK191" i="173"/>
  <c r="V191" i="173"/>
  <c r="AK190" i="173"/>
  <c r="V190" i="173"/>
  <c r="AK189" i="173"/>
  <c r="V189" i="173"/>
  <c r="AK188" i="173"/>
  <c r="V188" i="173"/>
  <c r="AK187" i="173"/>
  <c r="V187" i="173"/>
  <c r="AK186" i="173"/>
  <c r="V186" i="173"/>
  <c r="AK185" i="173"/>
  <c r="V185" i="173"/>
  <c r="AK184" i="173"/>
  <c r="V184" i="173"/>
  <c r="AK183" i="173"/>
  <c r="V183" i="173"/>
  <c r="AK182" i="173"/>
  <c r="V182" i="173"/>
  <c r="AK181" i="173"/>
  <c r="V181" i="173"/>
  <c r="AK180" i="173"/>
  <c r="V180" i="173"/>
  <c r="AK179" i="173"/>
  <c r="V179" i="173"/>
  <c r="AK178" i="173"/>
  <c r="V178" i="173"/>
  <c r="AK177" i="173"/>
  <c r="V177" i="173"/>
  <c r="AK176" i="173"/>
  <c r="V176" i="173"/>
  <c r="AK175" i="173"/>
  <c r="V175" i="173"/>
  <c r="AK174" i="173"/>
  <c r="V174" i="173"/>
  <c r="AK173" i="173"/>
  <c r="V173" i="173"/>
  <c r="AK172" i="173"/>
  <c r="V172" i="173"/>
  <c r="AK171" i="173"/>
  <c r="V171" i="173"/>
  <c r="AK170" i="173"/>
  <c r="V170" i="173"/>
  <c r="AK169" i="173"/>
  <c r="V169" i="173"/>
  <c r="AK168" i="173"/>
  <c r="V168" i="173"/>
  <c r="AK167" i="173"/>
  <c r="V167" i="173"/>
  <c r="AK166" i="173"/>
  <c r="V166" i="173"/>
  <c r="AK165" i="173"/>
  <c r="V165" i="173"/>
  <c r="AK164" i="173"/>
  <c r="V164" i="173"/>
  <c r="AK163" i="173"/>
  <c r="V163" i="173"/>
  <c r="AK162" i="173"/>
  <c r="V162" i="173"/>
  <c r="AK161" i="173"/>
  <c r="V161" i="173"/>
  <c r="V160" i="173"/>
  <c r="V159" i="173"/>
  <c r="AJ153" i="173"/>
  <c r="AI153" i="173"/>
  <c r="AH153" i="173"/>
  <c r="AG153" i="173"/>
  <c r="AF153" i="173"/>
  <c r="AE153" i="173"/>
  <c r="AD153" i="173"/>
  <c r="AC153" i="173"/>
  <c r="AB153" i="173"/>
  <c r="AA153" i="173"/>
  <c r="Z153" i="173"/>
  <c r="Y153" i="173"/>
  <c r="AK151" i="173"/>
  <c r="V151" i="173"/>
  <c r="AK150" i="173"/>
  <c r="V150" i="173"/>
  <c r="AK149" i="173"/>
  <c r="V149" i="173"/>
  <c r="AK148" i="173"/>
  <c r="V148" i="173"/>
  <c r="AK147" i="173"/>
  <c r="V147" i="173"/>
  <c r="AK146" i="173"/>
  <c r="V146" i="173"/>
  <c r="AK145" i="173"/>
  <c r="V145" i="173"/>
  <c r="AK144" i="173"/>
  <c r="AJ144" i="173"/>
  <c r="AI144" i="173"/>
  <c r="AH144" i="173"/>
  <c r="AG144" i="173"/>
  <c r="AF144" i="173"/>
  <c r="AE144" i="173"/>
  <c r="AD144" i="173"/>
  <c r="AC144" i="173"/>
  <c r="AB144" i="173"/>
  <c r="AA144" i="173"/>
  <c r="Z144" i="173"/>
  <c r="Y144" i="173"/>
  <c r="V144" i="173"/>
  <c r="AK112" i="173"/>
  <c r="V112" i="173"/>
  <c r="AK111" i="173"/>
  <c r="V111" i="173"/>
  <c r="AK110" i="173"/>
  <c r="V110" i="173"/>
  <c r="AK109" i="173"/>
  <c r="AJ109" i="173"/>
  <c r="AI109" i="173"/>
  <c r="AH109" i="173"/>
  <c r="AG109" i="173"/>
  <c r="AF109" i="173"/>
  <c r="AE109" i="173"/>
  <c r="AD109" i="173"/>
  <c r="AC109" i="173"/>
  <c r="AB109" i="173"/>
  <c r="AA109" i="173"/>
  <c r="Z109" i="173"/>
  <c r="Y109" i="173"/>
  <c r="V109" i="173"/>
  <c r="AK108" i="173"/>
  <c r="V108" i="173"/>
  <c r="AK107" i="173"/>
  <c r="V107" i="173"/>
  <c r="AK106" i="173"/>
  <c r="V106" i="173"/>
  <c r="AK105" i="173"/>
  <c r="V105" i="173"/>
  <c r="AK104" i="173"/>
  <c r="AJ104" i="173"/>
  <c r="AI104" i="173"/>
  <c r="AH104" i="173"/>
  <c r="AG104" i="173"/>
  <c r="AF104" i="173"/>
  <c r="AE104" i="173"/>
  <c r="AD104" i="173"/>
  <c r="AC104" i="173"/>
  <c r="AB104" i="173"/>
  <c r="AA104" i="173"/>
  <c r="Z104" i="173"/>
  <c r="Y104" i="173"/>
  <c r="V104" i="173"/>
  <c r="AK103" i="173"/>
  <c r="V103" i="173"/>
  <c r="AK102" i="173"/>
  <c r="V102" i="173"/>
  <c r="AK101" i="173"/>
  <c r="V101" i="173"/>
  <c r="AK100" i="173"/>
  <c r="V100" i="173"/>
  <c r="AK99" i="173"/>
  <c r="V99" i="173"/>
  <c r="AK98" i="173"/>
  <c r="V98" i="173"/>
  <c r="AK97" i="173"/>
  <c r="V97" i="173"/>
  <c r="AK96" i="173"/>
  <c r="V96" i="173"/>
  <c r="AK95" i="173"/>
  <c r="V95" i="173"/>
  <c r="AK94" i="173"/>
  <c r="V94" i="173"/>
  <c r="AK93" i="173"/>
  <c r="V93" i="173"/>
  <c r="AK92" i="173"/>
  <c r="V92" i="173"/>
  <c r="AK91" i="173"/>
  <c r="V91" i="173"/>
  <c r="AK90" i="173"/>
  <c r="V90" i="173"/>
  <c r="AK89" i="173"/>
  <c r="V89" i="173"/>
  <c r="AK88" i="173"/>
  <c r="AJ88" i="173"/>
  <c r="AI88" i="173"/>
  <c r="AH88" i="173"/>
  <c r="AG88" i="173"/>
  <c r="AF88" i="173"/>
  <c r="AE88" i="173"/>
  <c r="AD88" i="173"/>
  <c r="AC88" i="173"/>
  <c r="AB88" i="173"/>
  <c r="AA88" i="173"/>
  <c r="Z88" i="173"/>
  <c r="Y88" i="173"/>
  <c r="V88" i="173"/>
  <c r="AK72" i="173"/>
  <c r="V72" i="173"/>
  <c r="AK71" i="173"/>
  <c r="V71" i="173"/>
  <c r="AK70" i="173"/>
  <c r="V70" i="173"/>
  <c r="AK69" i="173"/>
  <c r="V69" i="173"/>
  <c r="AK68" i="173"/>
  <c r="V68" i="173"/>
  <c r="AK67" i="173"/>
  <c r="V67" i="173"/>
  <c r="AK66" i="173"/>
  <c r="V66" i="173"/>
  <c r="AK65" i="173"/>
  <c r="V65" i="173"/>
  <c r="AK64" i="173"/>
  <c r="V64" i="173"/>
  <c r="AK63" i="173"/>
  <c r="V63" i="173"/>
  <c r="AK62" i="173"/>
  <c r="V62" i="173"/>
  <c r="AK61" i="173"/>
  <c r="V61" i="173"/>
  <c r="AK60" i="173"/>
  <c r="V60" i="173"/>
  <c r="AK59" i="173"/>
  <c r="V59" i="173"/>
  <c r="AK58" i="173"/>
  <c r="V58" i="173"/>
  <c r="AK57" i="173"/>
  <c r="V57" i="173"/>
  <c r="AK56" i="173"/>
  <c r="V56" i="173"/>
  <c r="AK55" i="173"/>
  <c r="V55" i="173"/>
  <c r="AK54" i="173"/>
  <c r="V54" i="173"/>
  <c r="AK53" i="173"/>
  <c r="V53" i="173"/>
  <c r="AK52" i="173"/>
  <c r="V52" i="173"/>
  <c r="AK51" i="173"/>
  <c r="V51" i="173"/>
  <c r="AK50" i="173"/>
  <c r="V50" i="173"/>
  <c r="AK49" i="173"/>
  <c r="AJ49" i="173"/>
  <c r="AJ152" i="173" s="1"/>
  <c r="AI49" i="173"/>
  <c r="AI152" i="173" s="1"/>
  <c r="AH49" i="173"/>
  <c r="AH152" i="173" s="1"/>
  <c r="AG49" i="173"/>
  <c r="AG152" i="173" s="1"/>
  <c r="AF49" i="173"/>
  <c r="AF152" i="173" s="1"/>
  <c r="AE49" i="173"/>
  <c r="AE152" i="173" s="1"/>
  <c r="AD49" i="173"/>
  <c r="AD152" i="173" s="1"/>
  <c r="AC49" i="173"/>
  <c r="AC152" i="173" s="1"/>
  <c r="AB49" i="173"/>
  <c r="AB152" i="173" s="1"/>
  <c r="AA49" i="173"/>
  <c r="AA152" i="173" s="1"/>
  <c r="Z49" i="173"/>
  <c r="Z152" i="173" s="1"/>
  <c r="Y49" i="173"/>
  <c r="Y152" i="173" s="1"/>
  <c r="V49" i="173"/>
  <c r="AJ45" i="173"/>
  <c r="AI45" i="173"/>
  <c r="AH45" i="173"/>
  <c r="AG45" i="173"/>
  <c r="AF45" i="173"/>
  <c r="AE45" i="173"/>
  <c r="AD45" i="173"/>
  <c r="AC45" i="173"/>
  <c r="AB45" i="173"/>
  <c r="AA45" i="173"/>
  <c r="Z45" i="173"/>
  <c r="Y45" i="173"/>
  <c r="AJ44" i="173"/>
  <c r="AI44" i="173"/>
  <c r="AH44" i="173"/>
  <c r="AG44" i="173"/>
  <c r="AF44" i="173"/>
  <c r="AE44" i="173"/>
  <c r="AD44" i="173"/>
  <c r="AC44" i="173"/>
  <c r="AB44" i="173"/>
  <c r="AA44" i="173"/>
  <c r="Z44" i="173"/>
  <c r="Y44" i="173"/>
  <c r="AJ43" i="173"/>
  <c r="AI43" i="173"/>
  <c r="AH43" i="173"/>
  <c r="AG43" i="173"/>
  <c r="AF43" i="173"/>
  <c r="AE43" i="173"/>
  <c r="AD43" i="173"/>
  <c r="AC43" i="173"/>
  <c r="AB43" i="173"/>
  <c r="AA43" i="173"/>
  <c r="Z43" i="173"/>
  <c r="Y43" i="173"/>
  <c r="V42" i="173"/>
  <c r="AK41" i="173"/>
  <c r="V41" i="173"/>
  <c r="AK40" i="173"/>
  <c r="V40" i="173"/>
  <c r="AK39" i="173"/>
  <c r="V39" i="173"/>
  <c r="AJ38" i="173"/>
  <c r="AI38" i="173"/>
  <c r="AH38" i="173"/>
  <c r="AG38" i="173"/>
  <c r="AF38" i="173"/>
  <c r="AE38" i="173"/>
  <c r="AD38" i="173"/>
  <c r="AC38" i="173"/>
  <c r="AB38" i="173"/>
  <c r="AA38" i="173"/>
  <c r="Z38" i="173"/>
  <c r="Y38" i="173"/>
  <c r="AK38" i="173" s="1"/>
  <c r="V38" i="173"/>
  <c r="W38" i="173" s="1"/>
  <c r="AJ35" i="173"/>
  <c r="AI35" i="173"/>
  <c r="AH35" i="173"/>
  <c r="AG35" i="173"/>
  <c r="AF35" i="173"/>
  <c r="AE35" i="173"/>
  <c r="AD35" i="173"/>
  <c r="AC35" i="173"/>
  <c r="AB35" i="173"/>
  <c r="AA35" i="173"/>
  <c r="Z35" i="173"/>
  <c r="Y35" i="173"/>
  <c r="AK35" i="173" s="1"/>
  <c r="V35" i="173"/>
  <c r="AJ34" i="173"/>
  <c r="AI34" i="173"/>
  <c r="AH34" i="173"/>
  <c r="AG34" i="173"/>
  <c r="AF34" i="173"/>
  <c r="AE34" i="173"/>
  <c r="AD34" i="173"/>
  <c r="AC34" i="173"/>
  <c r="AB34" i="173"/>
  <c r="AA34" i="173"/>
  <c r="Z34" i="173"/>
  <c r="Y34" i="173"/>
  <c r="AK34" i="173" s="1"/>
  <c r="V34" i="173"/>
  <c r="AJ33" i="173"/>
  <c r="AI33" i="173"/>
  <c r="AH33" i="173"/>
  <c r="AG33" i="173"/>
  <c r="AF33" i="173"/>
  <c r="AE33" i="173"/>
  <c r="AD33" i="173"/>
  <c r="AC33" i="173"/>
  <c r="AB33" i="173"/>
  <c r="AA33" i="173"/>
  <c r="Z33" i="173"/>
  <c r="Y33" i="173"/>
  <c r="AK33" i="173" s="1"/>
  <c r="V33" i="173"/>
  <c r="AK31" i="173"/>
  <c r="V31" i="173"/>
  <c r="AK28" i="173"/>
  <c r="V28" i="173"/>
  <c r="AK27" i="173"/>
  <c r="V27" i="173"/>
  <c r="AK26" i="173"/>
  <c r="V26" i="173"/>
  <c r="AK25" i="173"/>
  <c r="V25" i="173"/>
  <c r="AK24" i="173"/>
  <c r="V24" i="173"/>
  <c r="AK23" i="173"/>
  <c r="V23" i="173"/>
  <c r="AK22" i="173"/>
  <c r="V22" i="173"/>
  <c r="AK21" i="173"/>
  <c r="V21" i="173"/>
  <c r="AK20" i="173"/>
  <c r="V20" i="173"/>
  <c r="AK19" i="173"/>
  <c r="V19" i="173"/>
  <c r="AK18" i="173"/>
  <c r="V18" i="173"/>
  <c r="AK17" i="173"/>
  <c r="V17" i="173"/>
  <c r="AK16" i="173"/>
  <c r="V16" i="173"/>
  <c r="AJ15" i="173"/>
  <c r="AI15" i="173"/>
  <c r="AH15" i="173"/>
  <c r="AG15" i="173"/>
  <c r="AF15" i="173"/>
  <c r="AE15" i="173"/>
  <c r="AD15" i="173"/>
  <c r="AC15" i="173"/>
  <c r="AB15" i="173"/>
  <c r="AA15" i="173"/>
  <c r="Z15" i="173"/>
  <c r="Y15" i="173"/>
  <c r="AK15" i="173" s="1"/>
  <c r="V15" i="173"/>
  <c r="AK11" i="173"/>
  <c r="V11" i="173"/>
  <c r="AK10" i="173"/>
  <c r="V10" i="173"/>
  <c r="AK9" i="173"/>
  <c r="V9" i="173"/>
  <c r="AK8" i="173"/>
  <c r="V8" i="173"/>
  <c r="AK7" i="173"/>
  <c r="V7" i="173"/>
  <c r="AJ6" i="173"/>
  <c r="AJ32" i="173" s="1"/>
  <c r="AI6" i="173"/>
  <c r="AI32" i="173" s="1"/>
  <c r="AH6" i="173"/>
  <c r="AH32" i="173" s="1"/>
  <c r="AG6" i="173"/>
  <c r="AG32" i="173" s="1"/>
  <c r="AF6" i="173"/>
  <c r="AF32" i="173" s="1"/>
  <c r="AE6" i="173"/>
  <c r="AE32" i="173" s="1"/>
  <c r="AD6" i="173"/>
  <c r="AD32" i="173" s="1"/>
  <c r="AC6" i="173"/>
  <c r="AC32" i="173" s="1"/>
  <c r="AB6" i="173"/>
  <c r="AB32" i="173" s="1"/>
  <c r="AA6" i="173"/>
  <c r="AA32" i="173" s="1"/>
  <c r="Z6" i="173"/>
  <c r="Z32" i="173" s="1"/>
  <c r="Y6" i="173"/>
  <c r="V6" i="173"/>
  <c r="AK147" i="87"/>
  <c r="AK146" i="87"/>
  <c r="AK143" i="87"/>
  <c r="AK139" i="87"/>
  <c r="AK138" i="87"/>
  <c r="AK136" i="87"/>
  <c r="AK124" i="87"/>
  <c r="AK122" i="87"/>
  <c r="AK120" i="87"/>
  <c r="AK117" i="87"/>
  <c r="AK116" i="87"/>
  <c r="AK63" i="87"/>
  <c r="AK62" i="87"/>
  <c r="AK59" i="87"/>
  <c r="AK53" i="87"/>
  <c r="V157" i="87"/>
  <c r="V155" i="87"/>
  <c r="V153" i="87"/>
  <c r="V152" i="87"/>
  <c r="V150" i="87"/>
  <c r="V148" i="87"/>
  <c r="V147" i="87"/>
  <c r="V146" i="87"/>
  <c r="V145" i="87"/>
  <c r="V144" i="87"/>
  <c r="V143" i="87"/>
  <c r="V142" i="87"/>
  <c r="V141" i="87"/>
  <c r="V140" i="87"/>
  <c r="V139" i="87"/>
  <c r="V138" i="87"/>
  <c r="V137" i="87"/>
  <c r="V124" i="87"/>
  <c r="V123" i="87"/>
  <c r="V122" i="87"/>
  <c r="V121" i="87"/>
  <c r="V120" i="87"/>
  <c r="V119" i="87"/>
  <c r="V118" i="87"/>
  <c r="V117" i="87"/>
  <c r="V116" i="87"/>
  <c r="V115" i="87"/>
  <c r="V114" i="87"/>
  <c r="V104" i="87"/>
  <c r="V63" i="87"/>
  <c r="V62" i="87"/>
  <c r="V60" i="87"/>
  <c r="V59" i="87"/>
  <c r="V58" i="87"/>
  <c r="V57" i="87"/>
  <c r="V55" i="87"/>
  <c r="V53" i="87"/>
  <c r="W39" i="87"/>
  <c r="V13" i="87"/>
  <c r="V10" i="87"/>
  <c r="V9" i="87"/>
  <c r="V8" i="87"/>
  <c r="V7" i="87"/>
  <c r="V6" i="87"/>
  <c r="W160" i="83" l="1"/>
  <c r="V159" i="83"/>
  <c r="W160" i="74"/>
  <c r="V159" i="74"/>
  <c r="W160" i="84"/>
  <c r="V159" i="84"/>
  <c r="W160" i="85"/>
  <c r="W160" i="87"/>
  <c r="Y160" i="124"/>
  <c r="Y159" i="86"/>
  <c r="J160" i="174"/>
  <c r="J159" i="124"/>
  <c r="J159" i="174" s="1"/>
  <c r="K160" i="174"/>
  <c r="K159" i="124"/>
  <c r="K159" i="174" s="1"/>
  <c r="L160" i="174"/>
  <c r="L159" i="124"/>
  <c r="L159" i="174" s="1"/>
  <c r="M160" i="174"/>
  <c r="M159" i="124"/>
  <c r="M159" i="174" s="1"/>
  <c r="N160" i="174"/>
  <c r="N159" i="124"/>
  <c r="N159" i="174" s="1"/>
  <c r="O160" i="174"/>
  <c r="O159" i="124"/>
  <c r="O159" i="174" s="1"/>
  <c r="P160" i="174"/>
  <c r="P159" i="124"/>
  <c r="P159" i="174" s="1"/>
  <c r="Q160" i="174"/>
  <c r="Q159" i="124"/>
  <c r="Q159" i="174" s="1"/>
  <c r="R160" i="174"/>
  <c r="R159" i="124"/>
  <c r="R159" i="174" s="1"/>
  <c r="S160" i="174"/>
  <c r="S159" i="124"/>
  <c r="S159" i="174" s="1"/>
  <c r="T160" i="174"/>
  <c r="T159" i="124"/>
  <c r="T159" i="174" s="1"/>
  <c r="U160" i="174"/>
  <c r="U159" i="124"/>
  <c r="U159" i="174" s="1"/>
  <c r="Y160" i="174"/>
  <c r="Y159" i="124"/>
  <c r="Y159" i="174" s="1"/>
  <c r="V160" i="174"/>
  <c r="V159" i="124"/>
  <c r="W160" i="86"/>
  <c r="V159" i="86"/>
  <c r="W159" i="86" s="1"/>
  <c r="Y159" i="85"/>
  <c r="Y159" i="84"/>
  <c r="W159" i="85"/>
  <c r="Y159" i="74"/>
  <c r="W159" i="84"/>
  <c r="Y159" i="83"/>
  <c r="W159" i="74"/>
  <c r="Y159" i="68"/>
  <c r="W159" i="83"/>
  <c r="W159" i="68"/>
  <c r="W159" i="87"/>
  <c r="Y82" i="87"/>
  <c r="Z82" i="87" s="1"/>
  <c r="AA82" i="87" s="1"/>
  <c r="AB82" i="87" s="1"/>
  <c r="AC82" i="87" s="1"/>
  <c r="AD82" i="87" s="1"/>
  <c r="AE82" i="87" s="1"/>
  <c r="AF82" i="87" s="1"/>
  <c r="AG82" i="87" s="1"/>
  <c r="AH82" i="87" s="1"/>
  <c r="AI82" i="87" s="1"/>
  <c r="AJ82" i="87" s="1"/>
  <c r="Y82" i="83"/>
  <c r="Z82" i="83" s="1"/>
  <c r="AA82" i="83" s="1"/>
  <c r="AB82" i="83" s="1"/>
  <c r="AC82" i="83" s="1"/>
  <c r="AD82" i="83" s="1"/>
  <c r="AE82" i="83" s="1"/>
  <c r="AF82" i="83" s="1"/>
  <c r="AG82" i="83" s="1"/>
  <c r="AH82" i="83" s="1"/>
  <c r="AI82" i="83" s="1"/>
  <c r="AJ82" i="83" s="1"/>
  <c r="Y108" i="124"/>
  <c r="Y107" i="124"/>
  <c r="Y106" i="124"/>
  <c r="Y104" i="124"/>
  <c r="Y103" i="124"/>
  <c r="Y102" i="124"/>
  <c r="Y101" i="124"/>
  <c r="Y100" i="124"/>
  <c r="Y99" i="124"/>
  <c r="Y98" i="124"/>
  <c r="Y97" i="124"/>
  <c r="Y96" i="124"/>
  <c r="Y95" i="124"/>
  <c r="Y94" i="124"/>
  <c r="Y93" i="124"/>
  <c r="Y92" i="124"/>
  <c r="Y92" i="174" s="1"/>
  <c r="U374" i="174"/>
  <c r="AI374" i="174"/>
  <c r="U366" i="174"/>
  <c r="AI366" i="174"/>
  <c r="U361" i="174"/>
  <c r="AI361" i="174"/>
  <c r="V55" i="124"/>
  <c r="Y60" i="174"/>
  <c r="Y55" i="124"/>
  <c r="AI379" i="174"/>
  <c r="U379" i="174"/>
  <c r="T156" i="74"/>
  <c r="AH156" i="74"/>
  <c r="Y82" i="74"/>
  <c r="Z82" i="74" s="1"/>
  <c r="AA82" i="74" s="1"/>
  <c r="AB82" i="74" s="1"/>
  <c r="AC82" i="74" s="1"/>
  <c r="AD82" i="74" s="1"/>
  <c r="AE82" i="74" s="1"/>
  <c r="AF82" i="74" s="1"/>
  <c r="AG82" i="74" s="1"/>
  <c r="AH82" i="74" s="1"/>
  <c r="AI82" i="74" s="1"/>
  <c r="AJ82" i="74" s="1"/>
  <c r="Y82" i="85"/>
  <c r="Z82" i="85" s="1"/>
  <c r="AA82" i="85" s="1"/>
  <c r="AB82" i="85" s="1"/>
  <c r="AC82" i="85" s="1"/>
  <c r="AD82" i="85" s="1"/>
  <c r="AE82" i="85" s="1"/>
  <c r="AF82" i="85" s="1"/>
  <c r="AG82" i="85" s="1"/>
  <c r="AH82" i="85" s="1"/>
  <c r="AI82" i="85" s="1"/>
  <c r="AJ82" i="85" s="1"/>
  <c r="AK84" i="174"/>
  <c r="Y82" i="84"/>
  <c r="Z82" i="84" s="1"/>
  <c r="AA82" i="84" s="1"/>
  <c r="AB82" i="84" s="1"/>
  <c r="AC82" i="84" s="1"/>
  <c r="AD82" i="84" s="1"/>
  <c r="AE82" i="84" s="1"/>
  <c r="AF82" i="84" s="1"/>
  <c r="AG82" i="84" s="1"/>
  <c r="AH82" i="84" s="1"/>
  <c r="AI82" i="84" s="1"/>
  <c r="AJ82" i="84" s="1"/>
  <c r="W150" i="84"/>
  <c r="W149" i="84"/>
  <c r="J55" i="174"/>
  <c r="Y113" i="124"/>
  <c r="Y112" i="124"/>
  <c r="Y111" i="124"/>
  <c r="Y110" i="124"/>
  <c r="Y109" i="124" s="1"/>
  <c r="Y109" i="174" s="1"/>
  <c r="T156" i="68"/>
  <c r="T156" i="85"/>
  <c r="AI156" i="85" s="1"/>
  <c r="U156" i="85"/>
  <c r="AJ156" i="85" s="1"/>
  <c r="Y79" i="124"/>
  <c r="Y77" i="124"/>
  <c r="Y82" i="124"/>
  <c r="Y76" i="124"/>
  <c r="Y86" i="124"/>
  <c r="Y88" i="124"/>
  <c r="Y118" i="124"/>
  <c r="Y119" i="124"/>
  <c r="Y123" i="124"/>
  <c r="Y125" i="124"/>
  <c r="Y126" i="124"/>
  <c r="Y129" i="124"/>
  <c r="Y131" i="124"/>
  <c r="Y137" i="124"/>
  <c r="Y140" i="124"/>
  <c r="Y141" i="124"/>
  <c r="Y142" i="124"/>
  <c r="Y144" i="124"/>
  <c r="Y145" i="124"/>
  <c r="Y148" i="124"/>
  <c r="Y64" i="124"/>
  <c r="Y115" i="124"/>
  <c r="Y67" i="124"/>
  <c r="Y128" i="124"/>
  <c r="Y135" i="124"/>
  <c r="Y89" i="124"/>
  <c r="Y89" i="174" s="1"/>
  <c r="Y80" i="124"/>
  <c r="Y158" i="124"/>
  <c r="Y66" i="124"/>
  <c r="Y66" i="174" s="1"/>
  <c r="Y70" i="124"/>
  <c r="Y91" i="124"/>
  <c r="Y121" i="124"/>
  <c r="Y127" i="124"/>
  <c r="Y154" i="124"/>
  <c r="Y156" i="124"/>
  <c r="Y155" i="124"/>
  <c r="R109" i="175"/>
  <c r="R108" i="175" s="1"/>
  <c r="R92" i="175"/>
  <c r="R91" i="175" s="1"/>
  <c r="Q38" i="174"/>
  <c r="O38" i="174"/>
  <c r="R38" i="124"/>
  <c r="S38" i="124"/>
  <c r="R165" i="68"/>
  <c r="R165" i="84"/>
  <c r="R165" i="86"/>
  <c r="R165" i="85"/>
  <c r="R165" i="87"/>
  <c r="T35" i="68"/>
  <c r="T44" i="68" s="1"/>
  <c r="S36" i="74"/>
  <c r="S37" i="74"/>
  <c r="S38" i="74"/>
  <c r="S154" i="74"/>
  <c r="S151" i="74" s="1"/>
  <c r="S110" i="74"/>
  <c r="S111" i="74"/>
  <c r="S112" i="74"/>
  <c r="S113" i="74"/>
  <c r="S93" i="74"/>
  <c r="S94" i="74"/>
  <c r="S95" i="74"/>
  <c r="S96" i="74"/>
  <c r="S97" i="74"/>
  <c r="S98" i="74"/>
  <c r="S99" i="74"/>
  <c r="S100" i="74"/>
  <c r="S101" i="74"/>
  <c r="S102" i="74"/>
  <c r="S103" i="74"/>
  <c r="S105" i="74"/>
  <c r="S106" i="74"/>
  <c r="S107" i="74"/>
  <c r="S108" i="74"/>
  <c r="S77" i="74"/>
  <c r="AH77" i="74" s="1"/>
  <c r="S76" i="74"/>
  <c r="S72" i="74"/>
  <c r="S70" i="74"/>
  <c r="S67" i="74"/>
  <c r="S64" i="74"/>
  <c r="S56" i="74"/>
  <c r="S54" i="74"/>
  <c r="S51" i="74"/>
  <c r="S35" i="74"/>
  <c r="Y61" i="174"/>
  <c r="W149" i="87"/>
  <c r="W61" i="87"/>
  <c r="AM61" i="87"/>
  <c r="W61" i="68"/>
  <c r="AM61" i="68"/>
  <c r="W61" i="83"/>
  <c r="AM61" i="83"/>
  <c r="W61" i="74"/>
  <c r="AM61" i="74"/>
  <c r="W61" i="84"/>
  <c r="AM61" i="84"/>
  <c r="Y104" i="175"/>
  <c r="Y67" i="175"/>
  <c r="Y70" i="175"/>
  <c r="Y77" i="175"/>
  <c r="Y82" i="175"/>
  <c r="Y86" i="175"/>
  <c r="Y89" i="175"/>
  <c r="Y119" i="175"/>
  <c r="Y121" i="175"/>
  <c r="Y123" i="175"/>
  <c r="Y129" i="175"/>
  <c r="Y131" i="175"/>
  <c r="Y135" i="175"/>
  <c r="Y137" i="175"/>
  <c r="Y142" i="175"/>
  <c r="Y145" i="175"/>
  <c r="Y64" i="175"/>
  <c r="Y115" i="175"/>
  <c r="Y80" i="175"/>
  <c r="W61" i="86"/>
  <c r="AM61" i="86"/>
  <c r="Y157" i="174"/>
  <c r="W149" i="85"/>
  <c r="Y79" i="175"/>
  <c r="W61" i="85"/>
  <c r="AM61" i="85"/>
  <c r="AM383" i="174"/>
  <c r="AM384" i="174"/>
  <c r="AM385" i="174"/>
  <c r="AM386" i="174"/>
  <c r="AM387" i="174"/>
  <c r="AM388" i="174"/>
  <c r="AM381" i="174"/>
  <c r="AM382" i="174"/>
  <c r="AM375" i="174"/>
  <c r="AM376" i="174"/>
  <c r="AM377" i="174"/>
  <c r="AM378" i="174"/>
  <c r="AM359" i="174"/>
  <c r="AM360" i="174"/>
  <c r="AM362" i="174"/>
  <c r="AM363" i="174"/>
  <c r="AM364" i="174"/>
  <c r="AM365" i="174"/>
  <c r="AM367" i="174"/>
  <c r="AM368" i="174"/>
  <c r="AM369" i="174"/>
  <c r="AM370" i="174"/>
  <c r="AM371" i="174"/>
  <c r="AM358" i="174"/>
  <c r="K351" i="174"/>
  <c r="L351" i="174"/>
  <c r="M351" i="174"/>
  <c r="N351" i="174"/>
  <c r="O351" i="174"/>
  <c r="P351" i="174"/>
  <c r="Q351" i="174"/>
  <c r="R351" i="174"/>
  <c r="S351" i="174"/>
  <c r="T351" i="174"/>
  <c r="U351" i="174"/>
  <c r="J257" i="174"/>
  <c r="J348" i="174"/>
  <c r="K348" i="174"/>
  <c r="L348" i="174"/>
  <c r="M348" i="174"/>
  <c r="N348" i="174"/>
  <c r="O348" i="174"/>
  <c r="P348" i="174"/>
  <c r="Q348" i="174"/>
  <c r="R348" i="174"/>
  <c r="S348" i="174"/>
  <c r="T348" i="174"/>
  <c r="U348" i="174"/>
  <c r="AK341" i="174"/>
  <c r="AM343" i="174"/>
  <c r="Y158" i="174"/>
  <c r="Y154" i="174"/>
  <c r="Y156" i="174"/>
  <c r="Y155" i="174"/>
  <c r="AK266" i="174"/>
  <c r="Y261" i="174"/>
  <c r="AJ348" i="174"/>
  <c r="AI348" i="174"/>
  <c r="AH348" i="174"/>
  <c r="AG348" i="174"/>
  <c r="AF348" i="174"/>
  <c r="AE348" i="174"/>
  <c r="AD348" i="174"/>
  <c r="AC348" i="174"/>
  <c r="AB348" i="174"/>
  <c r="AA348" i="174"/>
  <c r="Z348" i="174"/>
  <c r="Y348" i="174"/>
  <c r="V39" i="175"/>
  <c r="W39" i="175" s="1"/>
  <c r="Y10" i="175"/>
  <c r="Y78" i="175"/>
  <c r="Y51" i="175"/>
  <c r="Y76" i="175"/>
  <c r="Y81" i="175"/>
  <c r="Y75" i="175"/>
  <c r="Y57" i="175"/>
  <c r="Y107" i="175"/>
  <c r="Y106" i="175"/>
  <c r="Y105" i="175"/>
  <c r="Y101" i="175"/>
  <c r="Y100" i="175"/>
  <c r="Y99" i="175"/>
  <c r="Y98" i="175"/>
  <c r="Y97" i="175"/>
  <c r="Y96" i="175"/>
  <c r="Y95" i="175"/>
  <c r="Y94" i="175"/>
  <c r="Y93" i="175"/>
  <c r="Y109" i="86"/>
  <c r="Y112" i="175"/>
  <c r="Y111" i="175"/>
  <c r="Y110" i="175"/>
  <c r="Y103" i="175"/>
  <c r="Y102" i="175"/>
  <c r="Y54" i="175"/>
  <c r="Y85" i="175"/>
  <c r="Y87" i="175"/>
  <c r="Y117" i="175"/>
  <c r="Y118" i="175"/>
  <c r="Y122" i="175"/>
  <c r="Y124" i="175"/>
  <c r="Y125" i="175"/>
  <c r="Y128" i="175"/>
  <c r="Y130" i="175"/>
  <c r="Y136" i="175"/>
  <c r="Y139" i="175"/>
  <c r="Y140" i="175"/>
  <c r="Y141" i="175"/>
  <c r="Y143" i="175"/>
  <c r="Y144" i="175"/>
  <c r="Y147" i="175"/>
  <c r="Y66" i="175"/>
  <c r="Y127" i="175"/>
  <c r="Y134" i="175"/>
  <c r="Y55" i="175"/>
  <c r="Y65" i="175"/>
  <c r="Y69" i="175"/>
  <c r="Y71" i="175"/>
  <c r="Y90" i="175"/>
  <c r="Y120" i="175"/>
  <c r="Y126" i="175"/>
  <c r="Y88" i="175"/>
  <c r="Y58" i="175"/>
  <c r="J160" i="175"/>
  <c r="J43" i="175"/>
  <c r="K160" i="175"/>
  <c r="K43" i="175"/>
  <c r="L160" i="175"/>
  <c r="L43" i="175"/>
  <c r="M160" i="175"/>
  <c r="M43" i="175"/>
  <c r="N160" i="175"/>
  <c r="N43" i="175"/>
  <c r="O160" i="175"/>
  <c r="O43" i="175"/>
  <c r="P160" i="175"/>
  <c r="P43" i="175"/>
  <c r="Q160" i="175"/>
  <c r="Q43" i="175"/>
  <c r="J44" i="175"/>
  <c r="V7" i="175"/>
  <c r="J45" i="175"/>
  <c r="V8" i="175"/>
  <c r="J46" i="175"/>
  <c r="V9" i="175"/>
  <c r="AM11" i="175"/>
  <c r="AM12" i="175"/>
  <c r="AM17" i="175"/>
  <c r="AM18" i="175"/>
  <c r="AM19" i="175"/>
  <c r="AM20" i="175"/>
  <c r="AM21" i="175"/>
  <c r="AM22" i="175"/>
  <c r="AM31" i="175"/>
  <c r="AM32" i="175"/>
  <c r="AM33" i="175"/>
  <c r="W40" i="175"/>
  <c r="W41" i="175"/>
  <c r="W42" i="175"/>
  <c r="J159" i="175"/>
  <c r="J158" i="175"/>
  <c r="K159" i="175"/>
  <c r="K158" i="175"/>
  <c r="L159" i="175"/>
  <c r="L158" i="175"/>
  <c r="M159" i="175"/>
  <c r="M158" i="175"/>
  <c r="N159" i="175"/>
  <c r="N158" i="175"/>
  <c r="O159" i="175"/>
  <c r="O158" i="175"/>
  <c r="P159" i="175"/>
  <c r="P158" i="175"/>
  <c r="Q159" i="175"/>
  <c r="Q158" i="175"/>
  <c r="AM53" i="175"/>
  <c r="AM59" i="175"/>
  <c r="AM61" i="175"/>
  <c r="AM62" i="175"/>
  <c r="AM68" i="175"/>
  <c r="AM73" i="175"/>
  <c r="AM74" i="175"/>
  <c r="AM83" i="175"/>
  <c r="AM84" i="175"/>
  <c r="AM116" i="175"/>
  <c r="AM132" i="175"/>
  <c r="AM133" i="175"/>
  <c r="AM138" i="175"/>
  <c r="AM146" i="175"/>
  <c r="AN152" i="175"/>
  <c r="AM152" i="175"/>
  <c r="AM153" i="175"/>
  <c r="AM155" i="175"/>
  <c r="V32" i="124"/>
  <c r="V32" i="174" s="1"/>
  <c r="J32" i="174"/>
  <c r="V31" i="124"/>
  <c r="V31" i="174" s="1"/>
  <c r="J31" i="174"/>
  <c r="J30" i="174"/>
  <c r="V29" i="124"/>
  <c r="V29" i="174" s="1"/>
  <c r="J29" i="174"/>
  <c r="V28" i="124"/>
  <c r="V28" i="174" s="1"/>
  <c r="J28" i="174"/>
  <c r="V27" i="124"/>
  <c r="V27" i="174" s="1"/>
  <c r="J27" i="174"/>
  <c r="V26" i="124"/>
  <c r="V26" i="174" s="1"/>
  <c r="J26" i="174"/>
  <c r="V25" i="124"/>
  <c r="V25" i="174" s="1"/>
  <c r="J25" i="174"/>
  <c r="V24" i="124"/>
  <c r="V24" i="174" s="1"/>
  <c r="J24" i="174"/>
  <c r="V23" i="124"/>
  <c r="V23" i="174" s="1"/>
  <c r="J23" i="174"/>
  <c r="V22" i="124"/>
  <c r="V22" i="174" s="1"/>
  <c r="J22" i="174"/>
  <c r="V21" i="124"/>
  <c r="V21" i="174" s="1"/>
  <c r="J21" i="174"/>
  <c r="V20" i="124"/>
  <c r="V20" i="174" s="1"/>
  <c r="J20" i="174"/>
  <c r="AK32" i="124"/>
  <c r="AK32" i="174" s="1"/>
  <c r="Y32" i="174"/>
  <c r="AK31" i="124"/>
  <c r="AK31" i="174" s="1"/>
  <c r="Y31" i="174"/>
  <c r="AK21" i="124"/>
  <c r="AK21" i="174" s="1"/>
  <c r="Y21" i="174"/>
  <c r="AK20" i="124"/>
  <c r="AK20" i="174" s="1"/>
  <c r="Y20" i="174"/>
  <c r="AK19" i="124"/>
  <c r="AK19" i="174" s="1"/>
  <c r="Y19" i="174"/>
  <c r="AK18" i="124"/>
  <c r="AK18" i="174" s="1"/>
  <c r="Y18" i="174"/>
  <c r="AK17" i="124"/>
  <c r="AK17" i="174" s="1"/>
  <c r="Y17" i="174"/>
  <c r="W150" i="87"/>
  <c r="AM12" i="87"/>
  <c r="W12" i="87"/>
  <c r="AM11" i="87"/>
  <c r="W11" i="87"/>
  <c r="W125" i="68"/>
  <c r="W126" i="68"/>
  <c r="W127" i="68"/>
  <c r="W128" i="68"/>
  <c r="W129" i="68"/>
  <c r="W130" i="68"/>
  <c r="W131" i="68"/>
  <c r="W132" i="68"/>
  <c r="W133" i="68"/>
  <c r="W134" i="68"/>
  <c r="W135" i="68"/>
  <c r="W136" i="68"/>
  <c r="W88" i="68"/>
  <c r="W89" i="68"/>
  <c r="W90" i="68"/>
  <c r="W91" i="68"/>
  <c r="W104" i="83"/>
  <c r="W125" i="83"/>
  <c r="W126" i="83"/>
  <c r="W127" i="83"/>
  <c r="W128" i="83"/>
  <c r="W129" i="83"/>
  <c r="W130" i="83"/>
  <c r="W131" i="83"/>
  <c r="W132" i="83"/>
  <c r="W133" i="83"/>
  <c r="W134" i="83"/>
  <c r="W135" i="83"/>
  <c r="W88" i="83"/>
  <c r="W89" i="83"/>
  <c r="W90" i="83"/>
  <c r="W91" i="83"/>
  <c r="W125" i="74"/>
  <c r="W126" i="74"/>
  <c r="W127" i="74"/>
  <c r="W128" i="74"/>
  <c r="W129" i="74"/>
  <c r="W130" i="74"/>
  <c r="W131" i="74"/>
  <c r="W132" i="74"/>
  <c r="W133" i="74"/>
  <c r="W134" i="74"/>
  <c r="W135" i="74"/>
  <c r="W88" i="74"/>
  <c r="W89" i="74"/>
  <c r="W90" i="74"/>
  <c r="W91" i="74"/>
  <c r="W125" i="84"/>
  <c r="W126" i="84"/>
  <c r="W127" i="84"/>
  <c r="W128" i="84"/>
  <c r="W129" i="84"/>
  <c r="W130" i="84"/>
  <c r="W131" i="84"/>
  <c r="W132" i="84"/>
  <c r="W133" i="84"/>
  <c r="W134" i="84"/>
  <c r="W135" i="84"/>
  <c r="W125" i="85"/>
  <c r="W126" i="85"/>
  <c r="W127" i="85"/>
  <c r="W128" i="85"/>
  <c r="W129" i="85"/>
  <c r="W130" i="85"/>
  <c r="W131" i="85"/>
  <c r="W132" i="85"/>
  <c r="W133" i="85"/>
  <c r="W134" i="85"/>
  <c r="W135" i="85"/>
  <c r="W136" i="85"/>
  <c r="W88" i="85"/>
  <c r="W89" i="85"/>
  <c r="W90" i="85"/>
  <c r="W91" i="85"/>
  <c r="W150" i="85"/>
  <c r="W104" i="86"/>
  <c r="W125" i="86"/>
  <c r="W126" i="86"/>
  <c r="W127" i="86"/>
  <c r="W128" i="86"/>
  <c r="W129" i="86"/>
  <c r="W130" i="86"/>
  <c r="W131" i="86"/>
  <c r="W132" i="86"/>
  <c r="W133" i="86"/>
  <c r="W134" i="86"/>
  <c r="W135" i="86"/>
  <c r="R91" i="174"/>
  <c r="V91" i="124"/>
  <c r="V91" i="174" s="1"/>
  <c r="R90" i="174"/>
  <c r="V90" i="124"/>
  <c r="R89" i="174"/>
  <c r="V89" i="124"/>
  <c r="V89" i="174" s="1"/>
  <c r="AR89" i="174" s="1"/>
  <c r="R88" i="174"/>
  <c r="V88" i="124"/>
  <c r="V88" i="174" s="1"/>
  <c r="R87" i="174"/>
  <c r="V87" i="124"/>
  <c r="V87" i="174" s="1"/>
  <c r="R86" i="174"/>
  <c r="V86" i="124"/>
  <c r="V86" i="174" s="1"/>
  <c r="R85" i="174"/>
  <c r="V85" i="124"/>
  <c r="V85" i="174" s="1"/>
  <c r="R84" i="174"/>
  <c r="V84" i="124"/>
  <c r="R83" i="174"/>
  <c r="V83" i="124"/>
  <c r="V83" i="174" s="1"/>
  <c r="R82" i="174"/>
  <c r="V82" i="124"/>
  <c r="V82" i="174" s="1"/>
  <c r="R81" i="174"/>
  <c r="V81" i="124"/>
  <c r="V81" i="174" s="1"/>
  <c r="R80" i="174"/>
  <c r="V80" i="124"/>
  <c r="V80" i="174" s="1"/>
  <c r="R79" i="174"/>
  <c r="V79" i="124"/>
  <c r="V79" i="174" s="1"/>
  <c r="R78" i="174"/>
  <c r="V78" i="124"/>
  <c r="V78" i="174" s="1"/>
  <c r="R77" i="174"/>
  <c r="R76" i="174"/>
  <c r="R75" i="174"/>
  <c r="V75" i="124"/>
  <c r="V75" i="174" s="1"/>
  <c r="R74" i="174"/>
  <c r="V74" i="124"/>
  <c r="R73" i="174"/>
  <c r="V73" i="124"/>
  <c r="V73" i="174" s="1"/>
  <c r="R72" i="174"/>
  <c r="R71" i="174"/>
  <c r="V71" i="124"/>
  <c r="V71" i="174" s="1"/>
  <c r="R70" i="174"/>
  <c r="R69" i="174"/>
  <c r="V69" i="124"/>
  <c r="V69" i="174" s="1"/>
  <c r="R68" i="174"/>
  <c r="V68" i="124"/>
  <c r="V68" i="174" s="1"/>
  <c r="R67" i="174"/>
  <c r="R66" i="174"/>
  <c r="R65" i="174"/>
  <c r="V65" i="124"/>
  <c r="V65" i="174" s="1"/>
  <c r="R64" i="174"/>
  <c r="R63" i="174"/>
  <c r="V63" i="124"/>
  <c r="V63" i="174" s="1"/>
  <c r="R62" i="174"/>
  <c r="V62" i="124"/>
  <c r="V62" i="174" s="1"/>
  <c r="V60" i="124"/>
  <c r="V59" i="124"/>
  <c r="V59" i="174" s="1"/>
  <c r="R58" i="174"/>
  <c r="V58" i="124"/>
  <c r="V58" i="174" s="1"/>
  <c r="R57" i="174"/>
  <c r="V57" i="124"/>
  <c r="V57" i="174" s="1"/>
  <c r="R56" i="174"/>
  <c r="R55" i="174"/>
  <c r="V55" i="174"/>
  <c r="R54" i="174"/>
  <c r="R53" i="174"/>
  <c r="V53" i="124"/>
  <c r="V53" i="174" s="1"/>
  <c r="R52" i="174"/>
  <c r="R105" i="174"/>
  <c r="R150" i="174"/>
  <c r="V150" i="124"/>
  <c r="V150" i="174" s="1"/>
  <c r="R147" i="174"/>
  <c r="V147" i="124"/>
  <c r="V147" i="174" s="1"/>
  <c r="R146" i="174"/>
  <c r="V146" i="124"/>
  <c r="V146" i="174" s="1"/>
  <c r="R145" i="174"/>
  <c r="V145" i="124"/>
  <c r="V145" i="174" s="1"/>
  <c r="R144" i="174"/>
  <c r="V144" i="124"/>
  <c r="V144" i="174" s="1"/>
  <c r="R143" i="174"/>
  <c r="V143" i="124"/>
  <c r="V143" i="174" s="1"/>
  <c r="R142" i="174"/>
  <c r="V142" i="124"/>
  <c r="V142" i="174" s="1"/>
  <c r="R141" i="174"/>
  <c r="V141" i="124"/>
  <c r="V141" i="174" s="1"/>
  <c r="R140" i="174"/>
  <c r="V140" i="124"/>
  <c r="V140" i="174" s="1"/>
  <c r="R139" i="174"/>
  <c r="V139" i="124"/>
  <c r="V139" i="174" s="1"/>
  <c r="R138" i="174"/>
  <c r="V138" i="124"/>
  <c r="V138" i="174" s="1"/>
  <c r="R137" i="174"/>
  <c r="V137" i="124"/>
  <c r="V137" i="174" s="1"/>
  <c r="R136" i="174"/>
  <c r="V136" i="124"/>
  <c r="V136" i="174" s="1"/>
  <c r="R135" i="174"/>
  <c r="V135" i="124"/>
  <c r="V135" i="174" s="1"/>
  <c r="R134" i="174"/>
  <c r="V134" i="124"/>
  <c r="V134" i="174" s="1"/>
  <c r="R133" i="174"/>
  <c r="V133" i="124"/>
  <c r="V133" i="174" s="1"/>
  <c r="R132" i="174"/>
  <c r="V132" i="124"/>
  <c r="V132" i="174" s="1"/>
  <c r="R131" i="174"/>
  <c r="V131" i="124"/>
  <c r="V131" i="174" s="1"/>
  <c r="R130" i="174"/>
  <c r="V130" i="124"/>
  <c r="V130" i="174" s="1"/>
  <c r="R129" i="174"/>
  <c r="V129" i="124"/>
  <c r="V129" i="174" s="1"/>
  <c r="R128" i="174"/>
  <c r="V128" i="124"/>
  <c r="V128" i="174" s="1"/>
  <c r="R127" i="174"/>
  <c r="V127" i="124"/>
  <c r="V127" i="174" s="1"/>
  <c r="R126" i="174"/>
  <c r="V126" i="124"/>
  <c r="V126" i="174" s="1"/>
  <c r="R125" i="174"/>
  <c r="V125" i="124"/>
  <c r="V125" i="174" s="1"/>
  <c r="R124" i="174"/>
  <c r="V124" i="124"/>
  <c r="V124" i="174" s="1"/>
  <c r="R123" i="174"/>
  <c r="V123" i="124"/>
  <c r="V123" i="174" s="1"/>
  <c r="R122" i="174"/>
  <c r="V122" i="124"/>
  <c r="V122" i="174" s="1"/>
  <c r="R121" i="174"/>
  <c r="V121" i="124"/>
  <c r="V121" i="174" s="1"/>
  <c r="R120" i="174"/>
  <c r="V120" i="124"/>
  <c r="V120" i="174" s="1"/>
  <c r="R119" i="174"/>
  <c r="V119" i="124"/>
  <c r="V119" i="174" s="1"/>
  <c r="R118" i="174"/>
  <c r="V118" i="124"/>
  <c r="V118" i="174" s="1"/>
  <c r="R117" i="174"/>
  <c r="V117" i="124"/>
  <c r="V117" i="174" s="1"/>
  <c r="R116" i="174"/>
  <c r="V116" i="124"/>
  <c r="V116" i="174" s="1"/>
  <c r="W91" i="87"/>
  <c r="W125" i="87"/>
  <c r="W126" i="87"/>
  <c r="W127" i="87"/>
  <c r="W128" i="87"/>
  <c r="W129" i="87"/>
  <c r="W130" i="87"/>
  <c r="W131" i="87"/>
  <c r="W132" i="87"/>
  <c r="W133" i="87"/>
  <c r="W134" i="87"/>
  <c r="W135" i="87"/>
  <c r="W136" i="87"/>
  <c r="AM217" i="174"/>
  <c r="AM216" i="174"/>
  <c r="AM215" i="174"/>
  <c r="AM214" i="174"/>
  <c r="AM213" i="174"/>
  <c r="AM212" i="174"/>
  <c r="AM211" i="174"/>
  <c r="AM210" i="174"/>
  <c r="AM209" i="174"/>
  <c r="AM208" i="174"/>
  <c r="AM207" i="174"/>
  <c r="AM206" i="174"/>
  <c r="AM205" i="174"/>
  <c r="AM204" i="174"/>
  <c r="AM203" i="174"/>
  <c r="AM202" i="174"/>
  <c r="AM201" i="174"/>
  <c r="AM200" i="174"/>
  <c r="AM199" i="174"/>
  <c r="AM198" i="174"/>
  <c r="AM197" i="174"/>
  <c r="AM196" i="174"/>
  <c r="AM195" i="174"/>
  <c r="AM194" i="174"/>
  <c r="AM193" i="174"/>
  <c r="AM192" i="174"/>
  <c r="AM191" i="174"/>
  <c r="AM190" i="174"/>
  <c r="AM189" i="174"/>
  <c r="AM188" i="174"/>
  <c r="AM187" i="174"/>
  <c r="AM186" i="174"/>
  <c r="AM185" i="174"/>
  <c r="AM184" i="174"/>
  <c r="AM183" i="174"/>
  <c r="AM182" i="174"/>
  <c r="AM181" i="174"/>
  <c r="AM180" i="174"/>
  <c r="AM179" i="174"/>
  <c r="AM178" i="174"/>
  <c r="AM177" i="174"/>
  <c r="AM176" i="174"/>
  <c r="AM175" i="174"/>
  <c r="AM174" i="174"/>
  <c r="AM173" i="174"/>
  <c r="AM172" i="174"/>
  <c r="AM171" i="174"/>
  <c r="AM170" i="174"/>
  <c r="AM219" i="174"/>
  <c r="AK218" i="174"/>
  <c r="AM218" i="174" s="1"/>
  <c r="AM234" i="174"/>
  <c r="AM233" i="174"/>
  <c r="AM232" i="174"/>
  <c r="AM231" i="174"/>
  <c r="AM229" i="174"/>
  <c r="AM228" i="174"/>
  <c r="AM227" i="174"/>
  <c r="AM226" i="174"/>
  <c r="AM225" i="174"/>
  <c r="AM224" i="174"/>
  <c r="AM223" i="174"/>
  <c r="AM222" i="174"/>
  <c r="AM221" i="174"/>
  <c r="AM220" i="174"/>
  <c r="AM236" i="174"/>
  <c r="AK235" i="174"/>
  <c r="AM235" i="174" s="1"/>
  <c r="AM239" i="174"/>
  <c r="AM238" i="174"/>
  <c r="AM237" i="174"/>
  <c r="AM241" i="174"/>
  <c r="AK240" i="174"/>
  <c r="AM240" i="174" s="1"/>
  <c r="AM242" i="174"/>
  <c r="AM243" i="174"/>
  <c r="AM244" i="174"/>
  <c r="AM245" i="174"/>
  <c r="AM246" i="174"/>
  <c r="AM247" i="174"/>
  <c r="AM248" i="174"/>
  <c r="AM249" i="174"/>
  <c r="Y250" i="174"/>
  <c r="AK251" i="174"/>
  <c r="AM252" i="174"/>
  <c r="AM253" i="174"/>
  <c r="AM254" i="174"/>
  <c r="AM255" i="174"/>
  <c r="AM256" i="174"/>
  <c r="W88" i="84"/>
  <c r="W89" i="84"/>
  <c r="W90" i="84"/>
  <c r="W91" i="84"/>
  <c r="W88" i="86"/>
  <c r="W89" i="86"/>
  <c r="W90" i="86"/>
  <c r="W91" i="86"/>
  <c r="Y28" i="85"/>
  <c r="Y29" i="85"/>
  <c r="Y151" i="85"/>
  <c r="Y109" i="85"/>
  <c r="Y92" i="85"/>
  <c r="Y27" i="85"/>
  <c r="Y24" i="85"/>
  <c r="Y26" i="85"/>
  <c r="Y23" i="85"/>
  <c r="Y25" i="85"/>
  <c r="Y35" i="85"/>
  <c r="Y39" i="85"/>
  <c r="Y109" i="74"/>
  <c r="AH240" i="174"/>
  <c r="AG240" i="174"/>
  <c r="AF240" i="174"/>
  <c r="AE240" i="174"/>
  <c r="AJ250" i="174"/>
  <c r="AI250" i="174"/>
  <c r="AH250" i="174"/>
  <c r="AG250" i="174"/>
  <c r="Y90" i="174"/>
  <c r="Y92" i="86"/>
  <c r="Y92" i="68"/>
  <c r="Y92" i="87"/>
  <c r="Y109" i="68"/>
  <c r="Y56" i="124"/>
  <c r="Y56" i="174" s="1"/>
  <c r="Y92" i="84"/>
  <c r="Y92" i="83"/>
  <c r="Y91" i="174"/>
  <c r="Y82" i="174"/>
  <c r="Y92" i="74"/>
  <c r="Y76" i="174"/>
  <c r="Y109" i="87"/>
  <c r="Y109" i="83"/>
  <c r="Y64" i="174"/>
  <c r="Y54" i="124"/>
  <c r="Y54" i="174" s="1"/>
  <c r="Y58" i="124"/>
  <c r="Y58" i="174" s="1"/>
  <c r="Y88" i="174"/>
  <c r="Y57" i="124"/>
  <c r="Y57" i="174" s="1"/>
  <c r="Y70" i="174"/>
  <c r="Y67" i="174"/>
  <c r="Y79" i="174"/>
  <c r="Y86" i="174"/>
  <c r="Y77" i="174"/>
  <c r="Y52" i="124"/>
  <c r="Y52" i="174" s="1"/>
  <c r="Y80" i="174"/>
  <c r="W39" i="86"/>
  <c r="V39" i="124"/>
  <c r="V39" i="174" s="1"/>
  <c r="Y110" i="174"/>
  <c r="Y113" i="174"/>
  <c r="Y112" i="174"/>
  <c r="Y111" i="174"/>
  <c r="Y148" i="174"/>
  <c r="Y145" i="174"/>
  <c r="Y144" i="174"/>
  <c r="Y142" i="174"/>
  <c r="Y141" i="174"/>
  <c r="Y140" i="174"/>
  <c r="Y137" i="174"/>
  <c r="Y131" i="174"/>
  <c r="Y129" i="174"/>
  <c r="Y126" i="174"/>
  <c r="Y125" i="174"/>
  <c r="Y123" i="174"/>
  <c r="Y119" i="174"/>
  <c r="Y118" i="174"/>
  <c r="Y135" i="174"/>
  <c r="Y128" i="174"/>
  <c r="Y121" i="174"/>
  <c r="Y127" i="174"/>
  <c r="Y153" i="174"/>
  <c r="J36" i="124"/>
  <c r="J36" i="174" s="1"/>
  <c r="K36" i="124"/>
  <c r="K36" i="174" s="1"/>
  <c r="L36" i="124"/>
  <c r="L36" i="174" s="1"/>
  <c r="M36" i="124"/>
  <c r="M36" i="174" s="1"/>
  <c r="N36" i="124"/>
  <c r="N36" i="174" s="1"/>
  <c r="O36" i="124"/>
  <c r="P36" i="124"/>
  <c r="Q36" i="124"/>
  <c r="Q36" i="174" s="1"/>
  <c r="J37" i="124"/>
  <c r="J37" i="174" s="1"/>
  <c r="K37" i="124"/>
  <c r="K37" i="174" s="1"/>
  <c r="L37" i="124"/>
  <c r="L37" i="174" s="1"/>
  <c r="M37" i="124"/>
  <c r="M37" i="174" s="1"/>
  <c r="N37" i="124"/>
  <c r="N37" i="174" s="1"/>
  <c r="O37" i="124"/>
  <c r="P37" i="124"/>
  <c r="Q37" i="124"/>
  <c r="Q37" i="174" s="1"/>
  <c r="W88" i="87"/>
  <c r="W89" i="87"/>
  <c r="W90" i="87"/>
  <c r="Y51" i="124"/>
  <c r="AM32" i="124"/>
  <c r="AM32" i="174" s="1"/>
  <c r="AM31" i="124"/>
  <c r="AM31" i="174" s="1"/>
  <c r="AM21" i="124"/>
  <c r="AM21" i="174" s="1"/>
  <c r="AM20" i="124"/>
  <c r="AM20" i="174" s="1"/>
  <c r="W6" i="83"/>
  <c r="W7" i="83"/>
  <c r="W8" i="83"/>
  <c r="W9" i="83"/>
  <c r="W10" i="83"/>
  <c r="Y30" i="83"/>
  <c r="Y38" i="83" s="1"/>
  <c r="W11" i="83"/>
  <c r="AM11" i="83"/>
  <c r="W12" i="83"/>
  <c r="AM12" i="83"/>
  <c r="W13" i="83"/>
  <c r="W14" i="83"/>
  <c r="W15" i="83"/>
  <c r="W16" i="83"/>
  <c r="W17" i="83"/>
  <c r="AM17" i="83"/>
  <c r="W18" i="83"/>
  <c r="AM18" i="83"/>
  <c r="W19" i="83"/>
  <c r="AM19" i="83"/>
  <c r="W20" i="83"/>
  <c r="AM20" i="83"/>
  <c r="W21" i="83"/>
  <c r="AM21" i="83"/>
  <c r="W22" i="83"/>
  <c r="AM22" i="83"/>
  <c r="W23" i="83"/>
  <c r="W24" i="83"/>
  <c r="W25" i="83"/>
  <c r="W26" i="83"/>
  <c r="W27" i="83"/>
  <c r="W28" i="83"/>
  <c r="W29" i="83"/>
  <c r="W30" i="83"/>
  <c r="W31" i="83"/>
  <c r="AM31" i="83"/>
  <c r="W32" i="83"/>
  <c r="AM32" i="83"/>
  <c r="W33" i="83"/>
  <c r="AM33" i="83"/>
  <c r="W40" i="83"/>
  <c r="W41" i="83"/>
  <c r="W42" i="83"/>
  <c r="W53" i="83"/>
  <c r="AM53" i="83"/>
  <c r="W55" i="83"/>
  <c r="W57" i="83"/>
  <c r="W58" i="83"/>
  <c r="W59" i="83"/>
  <c r="AM59" i="83"/>
  <c r="W60" i="83"/>
  <c r="AM60" i="83"/>
  <c r="W62" i="83"/>
  <c r="AM62" i="83"/>
  <c r="W63" i="83"/>
  <c r="AM63" i="83"/>
  <c r="W65" i="83"/>
  <c r="AM65" i="83"/>
  <c r="W66" i="83"/>
  <c r="W68" i="83"/>
  <c r="AM68" i="83"/>
  <c r="W69" i="83"/>
  <c r="AM69" i="83"/>
  <c r="W71" i="83"/>
  <c r="AM71" i="83"/>
  <c r="W73" i="83"/>
  <c r="AM73" i="83"/>
  <c r="W74" i="83"/>
  <c r="AM74" i="83"/>
  <c r="W75" i="83"/>
  <c r="AM75" i="83"/>
  <c r="W78" i="83"/>
  <c r="AM78" i="83"/>
  <c r="W79" i="83"/>
  <c r="W80" i="83"/>
  <c r="W81" i="83"/>
  <c r="AM81" i="83"/>
  <c r="W82" i="83"/>
  <c r="W83" i="83"/>
  <c r="AM83" i="83"/>
  <c r="W84" i="83"/>
  <c r="AM84" i="83"/>
  <c r="W85" i="83"/>
  <c r="AM85" i="83"/>
  <c r="W86" i="83"/>
  <c r="W87" i="83"/>
  <c r="AM87" i="83"/>
  <c r="W114" i="83"/>
  <c r="W115" i="83"/>
  <c r="W116" i="83"/>
  <c r="AM116" i="83"/>
  <c r="W117" i="83"/>
  <c r="AM117" i="83"/>
  <c r="W118" i="83"/>
  <c r="W119" i="83"/>
  <c r="W120" i="83"/>
  <c r="AM120" i="83"/>
  <c r="W121" i="83"/>
  <c r="W122" i="83"/>
  <c r="AM122" i="83"/>
  <c r="W123" i="83"/>
  <c r="W124" i="83"/>
  <c r="AM124" i="83"/>
  <c r="AM130" i="83"/>
  <c r="AM132" i="83"/>
  <c r="AM133" i="83"/>
  <c r="AM134" i="83"/>
  <c r="W136" i="83"/>
  <c r="AM136" i="83"/>
  <c r="W137" i="83"/>
  <c r="W138" i="83"/>
  <c r="AM138" i="83"/>
  <c r="W139" i="83"/>
  <c r="AM139" i="83"/>
  <c r="W140" i="83"/>
  <c r="W141" i="83"/>
  <c r="W142" i="83"/>
  <c r="W143" i="83"/>
  <c r="AM143" i="83"/>
  <c r="W144" i="83"/>
  <c r="W145" i="83"/>
  <c r="W146" i="83"/>
  <c r="AM146" i="83"/>
  <c r="W147" i="83"/>
  <c r="AM147" i="83"/>
  <c r="W148" i="83"/>
  <c r="W152" i="83"/>
  <c r="W153" i="83"/>
  <c r="W155" i="83"/>
  <c r="W157" i="83"/>
  <c r="W6" i="74"/>
  <c r="W7" i="74"/>
  <c r="W8" i="74"/>
  <c r="W9" i="74"/>
  <c r="W10" i="74"/>
  <c r="Y30" i="74"/>
  <c r="Y38" i="74" s="1"/>
  <c r="W11" i="74"/>
  <c r="AM11" i="74"/>
  <c r="W12" i="74"/>
  <c r="AM12" i="74"/>
  <c r="W13" i="74"/>
  <c r="W14" i="74"/>
  <c r="W15" i="74"/>
  <c r="W16" i="74"/>
  <c r="W17" i="74"/>
  <c r="AM17" i="74"/>
  <c r="W18" i="74"/>
  <c r="AM18" i="74"/>
  <c r="W19" i="74"/>
  <c r="AM19" i="74"/>
  <c r="W20" i="74"/>
  <c r="AM20" i="74"/>
  <c r="W21" i="74"/>
  <c r="AM21" i="74"/>
  <c r="W22" i="74"/>
  <c r="AM22" i="74"/>
  <c r="W23" i="74"/>
  <c r="W24" i="74"/>
  <c r="W25" i="74"/>
  <c r="W26" i="74"/>
  <c r="W27" i="74"/>
  <c r="W28" i="74"/>
  <c r="W29" i="74"/>
  <c r="W30" i="74"/>
  <c r="W31" i="74"/>
  <c r="AM31" i="74"/>
  <c r="W32" i="74"/>
  <c r="AM32" i="74"/>
  <c r="W33" i="74"/>
  <c r="AM33" i="74"/>
  <c r="W40" i="74"/>
  <c r="W41" i="74"/>
  <c r="W42" i="74"/>
  <c r="W45" i="74"/>
  <c r="W53" i="74"/>
  <c r="AM53" i="74"/>
  <c r="W55" i="74"/>
  <c r="W57" i="74"/>
  <c r="W58" i="74"/>
  <c r="W59" i="74"/>
  <c r="AM59" i="74"/>
  <c r="W60" i="74"/>
  <c r="AM60" i="74"/>
  <c r="W62" i="74"/>
  <c r="AM62" i="74"/>
  <c r="W63" i="74"/>
  <c r="AM63" i="74"/>
  <c r="W65" i="74"/>
  <c r="AM65" i="74"/>
  <c r="W66" i="74"/>
  <c r="W68" i="74"/>
  <c r="AM68" i="74"/>
  <c r="W69" i="74"/>
  <c r="AM69" i="74"/>
  <c r="W71" i="74"/>
  <c r="AM71" i="74"/>
  <c r="W73" i="74"/>
  <c r="AM73" i="74"/>
  <c r="W74" i="74"/>
  <c r="AM74" i="74"/>
  <c r="W75" i="74"/>
  <c r="AM75" i="74"/>
  <c r="W78" i="74"/>
  <c r="AM78" i="74"/>
  <c r="W79" i="74"/>
  <c r="W80" i="74"/>
  <c r="W81" i="74"/>
  <c r="AM81" i="74"/>
  <c r="W82" i="74"/>
  <c r="W83" i="74"/>
  <c r="AM83" i="74"/>
  <c r="W84" i="74"/>
  <c r="AM84" i="74"/>
  <c r="W85" i="74"/>
  <c r="AM85" i="74"/>
  <c r="W86" i="74"/>
  <c r="W87" i="74"/>
  <c r="AM87" i="74"/>
  <c r="W104" i="74"/>
  <c r="W114" i="74"/>
  <c r="W115" i="74"/>
  <c r="W116" i="74"/>
  <c r="AM116" i="74"/>
  <c r="W117" i="74"/>
  <c r="AM117" i="74"/>
  <c r="W118" i="74"/>
  <c r="W119" i="74"/>
  <c r="W120" i="74"/>
  <c r="AM120" i="74"/>
  <c r="W121" i="74"/>
  <c r="W122" i="74"/>
  <c r="AM122" i="74"/>
  <c r="W123" i="74"/>
  <c r="W124" i="74"/>
  <c r="AM124" i="74"/>
  <c r="AM130" i="74"/>
  <c r="AM132" i="74"/>
  <c r="AM133" i="74"/>
  <c r="AM134" i="74"/>
  <c r="W136" i="74"/>
  <c r="AM136" i="74"/>
  <c r="W137" i="74"/>
  <c r="W138" i="74"/>
  <c r="AM138" i="74"/>
  <c r="W139" i="74"/>
  <c r="AM139" i="74"/>
  <c r="W140" i="74"/>
  <c r="W141" i="74"/>
  <c r="W142" i="74"/>
  <c r="W143" i="74"/>
  <c r="AM143" i="74"/>
  <c r="W144" i="74"/>
  <c r="W145" i="74"/>
  <c r="W146" i="74"/>
  <c r="AM146" i="74"/>
  <c r="W147" i="74"/>
  <c r="AM147" i="74"/>
  <c r="W148" i="74"/>
  <c r="W152" i="74"/>
  <c r="W153" i="74"/>
  <c r="W155" i="74"/>
  <c r="W157" i="74"/>
  <c r="W6" i="84"/>
  <c r="W7" i="84"/>
  <c r="W8" i="84"/>
  <c r="W9" i="84"/>
  <c r="W10" i="84"/>
  <c r="Y30" i="84"/>
  <c r="Y38" i="84" s="1"/>
  <c r="W11" i="84"/>
  <c r="AM11" i="84"/>
  <c r="W12" i="84"/>
  <c r="AM12" i="84"/>
  <c r="W13" i="84"/>
  <c r="W14" i="84"/>
  <c r="W15" i="84"/>
  <c r="W16" i="84"/>
  <c r="W17" i="84"/>
  <c r="AM17" i="84"/>
  <c r="W18" i="84"/>
  <c r="AM18" i="84"/>
  <c r="W19" i="84"/>
  <c r="AM19" i="84"/>
  <c r="W20" i="84"/>
  <c r="AM20" i="84"/>
  <c r="W21" i="84"/>
  <c r="AM21" i="84"/>
  <c r="W22" i="84"/>
  <c r="AM22" i="84"/>
  <c r="W23" i="84"/>
  <c r="W24" i="84"/>
  <c r="W25" i="84"/>
  <c r="W26" i="84"/>
  <c r="W27" i="84"/>
  <c r="W28" i="84"/>
  <c r="W29" i="84"/>
  <c r="W30" i="84"/>
  <c r="W31" i="84"/>
  <c r="AM31" i="84"/>
  <c r="W32" i="84"/>
  <c r="AM32" i="84"/>
  <c r="W33" i="84"/>
  <c r="AM33" i="84"/>
  <c r="W40" i="84"/>
  <c r="W41" i="84"/>
  <c r="W42" i="84"/>
  <c r="W53" i="84"/>
  <c r="AM53" i="84"/>
  <c r="W55" i="84"/>
  <c r="W57" i="84"/>
  <c r="W58" i="84"/>
  <c r="W59" i="84"/>
  <c r="AM59" i="84"/>
  <c r="W60" i="84"/>
  <c r="AM60" i="84"/>
  <c r="W62" i="84"/>
  <c r="AM62" i="84"/>
  <c r="W63" i="84"/>
  <c r="AM63" i="84"/>
  <c r="W65" i="84"/>
  <c r="AM65" i="84"/>
  <c r="W66" i="84"/>
  <c r="W68" i="84"/>
  <c r="AM68" i="84"/>
  <c r="W69" i="84"/>
  <c r="AM69" i="84"/>
  <c r="W71" i="84"/>
  <c r="AM71" i="84"/>
  <c r="W73" i="84"/>
  <c r="AM73" i="84"/>
  <c r="W74" i="84"/>
  <c r="AM74" i="84"/>
  <c r="W75" i="84"/>
  <c r="AM75" i="84"/>
  <c r="W78" i="84"/>
  <c r="AM78" i="84"/>
  <c r="W79" i="84"/>
  <c r="W80" i="84"/>
  <c r="W81" i="84"/>
  <c r="AM81" i="84"/>
  <c r="W82" i="84"/>
  <c r="W83" i="84"/>
  <c r="AM83" i="84"/>
  <c r="W84" i="84"/>
  <c r="AM84" i="84"/>
  <c r="W85" i="84"/>
  <c r="AM85" i="84"/>
  <c r="W86" i="84"/>
  <c r="W87" i="84"/>
  <c r="AM87" i="84"/>
  <c r="W104" i="84"/>
  <c r="W114" i="84"/>
  <c r="W115" i="84"/>
  <c r="W116" i="84"/>
  <c r="AM116" i="84"/>
  <c r="W117" i="84"/>
  <c r="AM117" i="84"/>
  <c r="W118" i="84"/>
  <c r="W119" i="84"/>
  <c r="W120" i="84"/>
  <c r="AM120" i="84"/>
  <c r="W121" i="84"/>
  <c r="W122" i="84"/>
  <c r="AM122" i="84"/>
  <c r="W123" i="84"/>
  <c r="W124" i="84"/>
  <c r="AM124" i="84"/>
  <c r="AM130" i="84"/>
  <c r="AM132" i="84"/>
  <c r="AM133" i="84"/>
  <c r="AM134" i="84"/>
  <c r="W136" i="84"/>
  <c r="AM136" i="84"/>
  <c r="W137" i="84"/>
  <c r="W138" i="84"/>
  <c r="AM138" i="84"/>
  <c r="W139" i="84"/>
  <c r="AM139" i="84"/>
  <c r="W140" i="84"/>
  <c r="W141" i="84"/>
  <c r="W142" i="84"/>
  <c r="W143" i="84"/>
  <c r="AM143" i="84"/>
  <c r="W144" i="84"/>
  <c r="W145" i="84"/>
  <c r="W146" i="84"/>
  <c r="AM146" i="84"/>
  <c r="W147" i="84"/>
  <c r="AM147" i="84"/>
  <c r="W148" i="84"/>
  <c r="W152" i="84"/>
  <c r="W153" i="84"/>
  <c r="W155" i="84"/>
  <c r="W157" i="84"/>
  <c r="W6" i="85"/>
  <c r="W7" i="85"/>
  <c r="W8" i="85"/>
  <c r="W9" i="85"/>
  <c r="W10" i="85"/>
  <c r="W11" i="85"/>
  <c r="AM11" i="85"/>
  <c r="W12" i="85"/>
  <c r="AM12" i="85"/>
  <c r="W15" i="85"/>
  <c r="W16" i="85"/>
  <c r="W17" i="85"/>
  <c r="AM17" i="85"/>
  <c r="W18" i="85"/>
  <c r="AM18" i="85"/>
  <c r="W19" i="85"/>
  <c r="AM19" i="85"/>
  <c r="W20" i="85"/>
  <c r="AM20" i="85"/>
  <c r="W21" i="85"/>
  <c r="AM21" i="85"/>
  <c r="W22" i="85"/>
  <c r="AM22" i="85"/>
  <c r="W23" i="85"/>
  <c r="W24" i="85"/>
  <c r="W25" i="85"/>
  <c r="W26" i="85"/>
  <c r="W27" i="85"/>
  <c r="W28" i="85"/>
  <c r="W29" i="85"/>
  <c r="W31" i="85"/>
  <c r="AM31" i="85"/>
  <c r="W32" i="85"/>
  <c r="AM32" i="85"/>
  <c r="W33" i="85"/>
  <c r="AM33" i="85"/>
  <c r="W40" i="85"/>
  <c r="W41" i="85"/>
  <c r="W42" i="85"/>
  <c r="W53" i="85"/>
  <c r="AM53" i="85"/>
  <c r="W55" i="85"/>
  <c r="W57" i="85"/>
  <c r="W58" i="85"/>
  <c r="W59" i="85"/>
  <c r="AM59" i="85"/>
  <c r="W60" i="85"/>
  <c r="W62" i="85"/>
  <c r="AM62" i="85"/>
  <c r="W63" i="85"/>
  <c r="AM63" i="85"/>
  <c r="W65" i="85"/>
  <c r="AM65" i="85"/>
  <c r="W68" i="85"/>
  <c r="AM68" i="85"/>
  <c r="W69" i="85"/>
  <c r="AM69" i="85"/>
  <c r="W71" i="85"/>
  <c r="AM71" i="85"/>
  <c r="W73" i="85"/>
  <c r="AM73" i="85"/>
  <c r="W74" i="85"/>
  <c r="AM74" i="85"/>
  <c r="W75" i="85"/>
  <c r="AM75" i="85"/>
  <c r="W78" i="85"/>
  <c r="AM78" i="85"/>
  <c r="W79" i="85"/>
  <c r="W80" i="85"/>
  <c r="W81" i="85"/>
  <c r="AM81" i="85"/>
  <c r="W82" i="85"/>
  <c r="W83" i="85"/>
  <c r="AM83" i="85"/>
  <c r="W84" i="85"/>
  <c r="AM84" i="85"/>
  <c r="W85" i="85"/>
  <c r="AM85" i="85"/>
  <c r="W86" i="85"/>
  <c r="W87" i="85"/>
  <c r="AM87" i="85"/>
  <c r="W104" i="85"/>
  <c r="W115" i="85"/>
  <c r="W116" i="85"/>
  <c r="AM116" i="85"/>
  <c r="W117" i="85"/>
  <c r="AM117" i="85"/>
  <c r="W118" i="85"/>
  <c r="W119" i="85"/>
  <c r="W120" i="85"/>
  <c r="AM120" i="85"/>
  <c r="W121" i="85"/>
  <c r="W122" i="85"/>
  <c r="AM122" i="85"/>
  <c r="W123" i="85"/>
  <c r="W124" i="85"/>
  <c r="AM124" i="85"/>
  <c r="AM130" i="85"/>
  <c r="AM132" i="85"/>
  <c r="AM133" i="85"/>
  <c r="AM134" i="85"/>
  <c r="AM136" i="85"/>
  <c r="W137" i="85"/>
  <c r="W138" i="85"/>
  <c r="AM138" i="85"/>
  <c r="W139" i="85"/>
  <c r="AM139" i="85"/>
  <c r="W140" i="85"/>
  <c r="W141" i="85"/>
  <c r="W142" i="85"/>
  <c r="W143" i="85"/>
  <c r="AM143" i="85"/>
  <c r="W144" i="85"/>
  <c r="W145" i="85"/>
  <c r="W146" i="85"/>
  <c r="AM146" i="85"/>
  <c r="W147" i="85"/>
  <c r="AM147" i="85"/>
  <c r="W152" i="85"/>
  <c r="W153" i="85"/>
  <c r="W155" i="85"/>
  <c r="W157" i="85"/>
  <c r="W6" i="86"/>
  <c r="W7" i="86"/>
  <c r="W8" i="86"/>
  <c r="W9" i="86"/>
  <c r="W10" i="86"/>
  <c r="Y30" i="86"/>
  <c r="W11" i="86"/>
  <c r="AM11" i="86"/>
  <c r="W12" i="86"/>
  <c r="AM12" i="86"/>
  <c r="W13" i="86"/>
  <c r="W14" i="86"/>
  <c r="W15" i="86"/>
  <c r="W16" i="86"/>
  <c r="W17" i="86"/>
  <c r="AM17" i="86"/>
  <c r="W18" i="86"/>
  <c r="AM18" i="86"/>
  <c r="W19" i="86"/>
  <c r="AM19" i="86"/>
  <c r="W20" i="86"/>
  <c r="AM20" i="86"/>
  <c r="W21" i="86"/>
  <c r="AM21" i="86"/>
  <c r="W22" i="86"/>
  <c r="AM22" i="86"/>
  <c r="W23" i="86"/>
  <c r="W24" i="86"/>
  <c r="W25" i="86"/>
  <c r="W26" i="86"/>
  <c r="W27" i="86"/>
  <c r="W28" i="86"/>
  <c r="W29" i="86"/>
  <c r="W30" i="86"/>
  <c r="W31" i="86"/>
  <c r="AM31" i="86"/>
  <c r="W32" i="86"/>
  <c r="AM32" i="86"/>
  <c r="W33" i="86"/>
  <c r="AM33" i="86"/>
  <c r="W40" i="86"/>
  <c r="W41" i="86"/>
  <c r="W42" i="86"/>
  <c r="W53" i="86"/>
  <c r="AM53" i="86"/>
  <c r="W55" i="86"/>
  <c r="W57" i="86"/>
  <c r="W58" i="86"/>
  <c r="W59" i="86"/>
  <c r="AM59" i="86"/>
  <c r="W60" i="86"/>
  <c r="W62" i="86"/>
  <c r="AM62" i="86"/>
  <c r="W63" i="86"/>
  <c r="AM63" i="86"/>
  <c r="W65" i="86"/>
  <c r="AM65" i="86"/>
  <c r="W66" i="86"/>
  <c r="W68" i="86"/>
  <c r="AM68" i="86"/>
  <c r="W69" i="86"/>
  <c r="AM69" i="86"/>
  <c r="W71" i="86"/>
  <c r="AM71" i="86"/>
  <c r="W73" i="86"/>
  <c r="AM73" i="86"/>
  <c r="W74" i="86"/>
  <c r="AM74" i="86"/>
  <c r="W75" i="86"/>
  <c r="AM75" i="86"/>
  <c r="W78" i="86"/>
  <c r="AM78" i="86"/>
  <c r="W79" i="86"/>
  <c r="W80" i="86"/>
  <c r="W81" i="86"/>
  <c r="AM81" i="86"/>
  <c r="W82" i="86"/>
  <c r="W83" i="86"/>
  <c r="AM83" i="86"/>
  <c r="W84" i="86"/>
  <c r="AM84" i="86"/>
  <c r="W85" i="86"/>
  <c r="AM85" i="86"/>
  <c r="W86" i="86"/>
  <c r="W87" i="86"/>
  <c r="AM87" i="86"/>
  <c r="W114" i="86"/>
  <c r="W115" i="86"/>
  <c r="W116" i="86"/>
  <c r="AM116" i="86"/>
  <c r="W117" i="86"/>
  <c r="AM117" i="86"/>
  <c r="W118" i="86"/>
  <c r="W119" i="86"/>
  <c r="W120" i="86"/>
  <c r="AM120" i="86"/>
  <c r="W121" i="86"/>
  <c r="W122" i="86"/>
  <c r="AM122" i="86"/>
  <c r="W123" i="86"/>
  <c r="W124" i="86"/>
  <c r="AM124" i="86"/>
  <c r="AM130" i="86"/>
  <c r="AM132" i="86"/>
  <c r="AM133" i="86"/>
  <c r="AM134" i="86"/>
  <c r="W136" i="86"/>
  <c r="AM136" i="86"/>
  <c r="W137" i="86"/>
  <c r="W138" i="86"/>
  <c r="AM138" i="86"/>
  <c r="W139" i="86"/>
  <c r="AM139" i="86"/>
  <c r="W140" i="86"/>
  <c r="W141" i="86"/>
  <c r="W142" i="86"/>
  <c r="W143" i="86"/>
  <c r="AM143" i="86"/>
  <c r="W144" i="86"/>
  <c r="W145" i="86"/>
  <c r="W146" i="86"/>
  <c r="AM146" i="86"/>
  <c r="W147" i="86"/>
  <c r="AM147" i="86"/>
  <c r="W148" i="86"/>
  <c r="W152" i="86"/>
  <c r="W153" i="86"/>
  <c r="W155" i="86"/>
  <c r="W157" i="86"/>
  <c r="W6" i="68"/>
  <c r="W7" i="68"/>
  <c r="W8" i="68"/>
  <c r="W9" i="68"/>
  <c r="W10" i="68"/>
  <c r="Y30" i="68"/>
  <c r="Y38" i="68" s="1"/>
  <c r="W11" i="68"/>
  <c r="AM11" i="68"/>
  <c r="W12" i="68"/>
  <c r="AM12" i="68"/>
  <c r="W13" i="68"/>
  <c r="W14" i="68"/>
  <c r="W15" i="68"/>
  <c r="W16" i="68"/>
  <c r="W17" i="68"/>
  <c r="AM17" i="68"/>
  <c r="W18" i="68"/>
  <c r="AM18" i="68"/>
  <c r="W19" i="68"/>
  <c r="AM19" i="68"/>
  <c r="W20" i="68"/>
  <c r="AM20" i="68"/>
  <c r="W21" i="68"/>
  <c r="AM21" i="68"/>
  <c r="W22" i="68"/>
  <c r="AM22" i="68"/>
  <c r="W23" i="68"/>
  <c r="W24" i="68"/>
  <c r="W25" i="68"/>
  <c r="W26" i="68"/>
  <c r="W27" i="68"/>
  <c r="W28" i="68"/>
  <c r="W29" i="68"/>
  <c r="W30" i="68"/>
  <c r="W31" i="68"/>
  <c r="AM31" i="68"/>
  <c r="W32" i="68"/>
  <c r="AM32" i="68"/>
  <c r="W33" i="68"/>
  <c r="AM33" i="68"/>
  <c r="W40" i="68"/>
  <c r="W41" i="68"/>
  <c r="W42" i="68"/>
  <c r="W53" i="68"/>
  <c r="AM53" i="68"/>
  <c r="W55" i="68"/>
  <c r="W57" i="68"/>
  <c r="W58" i="68"/>
  <c r="W59" i="68"/>
  <c r="AM59" i="68"/>
  <c r="W60" i="68"/>
  <c r="AM60" i="68"/>
  <c r="W62" i="68"/>
  <c r="AM62" i="68"/>
  <c r="W63" i="68"/>
  <c r="AM63" i="68"/>
  <c r="W65" i="68"/>
  <c r="AM65" i="68"/>
  <c r="W66" i="68"/>
  <c r="W68" i="68"/>
  <c r="AM68" i="68"/>
  <c r="W69" i="68"/>
  <c r="AM69" i="68"/>
  <c r="W71" i="68"/>
  <c r="AM71" i="68"/>
  <c r="W73" i="68"/>
  <c r="AM73" i="68"/>
  <c r="W74" i="68"/>
  <c r="AM74" i="68"/>
  <c r="W75" i="68"/>
  <c r="AM75" i="68"/>
  <c r="W78" i="68"/>
  <c r="AM78" i="68"/>
  <c r="W79" i="68"/>
  <c r="W80" i="68"/>
  <c r="W81" i="68"/>
  <c r="AM81" i="68"/>
  <c r="W82" i="68"/>
  <c r="W83" i="68"/>
  <c r="AM83" i="68"/>
  <c r="W84" i="68"/>
  <c r="AM84" i="68"/>
  <c r="W85" i="68"/>
  <c r="AM85" i="68"/>
  <c r="W86" i="68"/>
  <c r="W87" i="68"/>
  <c r="AM87" i="68"/>
  <c r="W104" i="68"/>
  <c r="W114" i="68"/>
  <c r="W115" i="68"/>
  <c r="W116" i="68"/>
  <c r="AM116" i="68"/>
  <c r="W117" i="68"/>
  <c r="AM117" i="68"/>
  <c r="W118" i="68"/>
  <c r="W119" i="68"/>
  <c r="W120" i="68"/>
  <c r="AM120" i="68"/>
  <c r="W121" i="68"/>
  <c r="W122" i="68"/>
  <c r="AM122" i="68"/>
  <c r="W123" i="68"/>
  <c r="W124" i="68"/>
  <c r="AM124" i="68"/>
  <c r="AM130" i="68"/>
  <c r="AM132" i="68"/>
  <c r="AM133" i="68"/>
  <c r="AM134" i="68"/>
  <c r="AM136" i="68"/>
  <c r="W137" i="68"/>
  <c r="W138" i="68"/>
  <c r="AM138" i="68"/>
  <c r="W139" i="68"/>
  <c r="AM139" i="68"/>
  <c r="W140" i="68"/>
  <c r="W141" i="68"/>
  <c r="W142" i="68"/>
  <c r="W143" i="68"/>
  <c r="AM143" i="68"/>
  <c r="W144" i="68"/>
  <c r="W145" i="68"/>
  <c r="W146" i="68"/>
  <c r="AM146" i="68"/>
  <c r="W147" i="68"/>
  <c r="AM147" i="68"/>
  <c r="W148" i="68"/>
  <c r="W152" i="68"/>
  <c r="W153" i="68"/>
  <c r="W155" i="68"/>
  <c r="W20" i="87"/>
  <c r="W21" i="87"/>
  <c r="W22" i="87"/>
  <c r="W23" i="87"/>
  <c r="W24" i="87"/>
  <c r="W25" i="87"/>
  <c r="W26" i="87"/>
  <c r="W27" i="87"/>
  <c r="W28" i="87"/>
  <c r="W29" i="87"/>
  <c r="W30" i="87"/>
  <c r="W31" i="87"/>
  <c r="W32" i="87"/>
  <c r="W33" i="87"/>
  <c r="W65" i="87"/>
  <c r="W66" i="87"/>
  <c r="W68" i="87"/>
  <c r="W69" i="87"/>
  <c r="W71" i="87"/>
  <c r="W73" i="87"/>
  <c r="W74" i="87"/>
  <c r="W75" i="87"/>
  <c r="W78" i="87"/>
  <c r="W79" i="87"/>
  <c r="W80" i="87"/>
  <c r="W81" i="87"/>
  <c r="W82" i="87"/>
  <c r="W83" i="87"/>
  <c r="W84" i="87"/>
  <c r="W85" i="87"/>
  <c r="W86" i="87"/>
  <c r="W87" i="87"/>
  <c r="V32" i="173"/>
  <c r="W6" i="173"/>
  <c r="Y32" i="173"/>
  <c r="AK6" i="173"/>
  <c r="Z155" i="173"/>
  <c r="Z42" i="173"/>
  <c r="AA155" i="173"/>
  <c r="AA42" i="173"/>
  <c r="AB155" i="173"/>
  <c r="AB42" i="173"/>
  <c r="AC155" i="173"/>
  <c r="AC42" i="173"/>
  <c r="AD155" i="173"/>
  <c r="AD42" i="173"/>
  <c r="AE155" i="173"/>
  <c r="AE42" i="173"/>
  <c r="AF155" i="173"/>
  <c r="AF42" i="173"/>
  <c r="AG155" i="173"/>
  <c r="AG42" i="173"/>
  <c r="AH155" i="173"/>
  <c r="AH42" i="173"/>
  <c r="AI155" i="173"/>
  <c r="AI42" i="173"/>
  <c r="AJ155" i="173"/>
  <c r="AJ42" i="173"/>
  <c r="V43" i="173"/>
  <c r="W7" i="173"/>
  <c r="AK43" i="173"/>
  <c r="AM43" i="173" s="1"/>
  <c r="AM7" i="173"/>
  <c r="AL7" i="173"/>
  <c r="V44" i="173"/>
  <c r="W8" i="173"/>
  <c r="AK44" i="173"/>
  <c r="AM44" i="173" s="1"/>
  <c r="AM8" i="173"/>
  <c r="AL8" i="173"/>
  <c r="V45" i="173"/>
  <c r="W9" i="173"/>
  <c r="AK45" i="173"/>
  <c r="AM45" i="173" s="1"/>
  <c r="AM9" i="173"/>
  <c r="AL9" i="173"/>
  <c r="W10" i="173"/>
  <c r="AM10" i="173"/>
  <c r="AL10" i="173"/>
  <c r="W11" i="173"/>
  <c r="AM11" i="173"/>
  <c r="AL11" i="173"/>
  <c r="W15" i="173"/>
  <c r="AM15" i="173"/>
  <c r="AL15" i="173"/>
  <c r="W16" i="173"/>
  <c r="AM16" i="173"/>
  <c r="AL16" i="173"/>
  <c r="W17" i="173"/>
  <c r="AM17" i="173"/>
  <c r="AL17" i="173"/>
  <c r="W18" i="173"/>
  <c r="AM18" i="173"/>
  <c r="AL18" i="173"/>
  <c r="W19" i="173"/>
  <c r="AM19" i="173"/>
  <c r="AL19" i="173"/>
  <c r="W20" i="173"/>
  <c r="AM20" i="173"/>
  <c r="AL20" i="173"/>
  <c r="W21" i="173"/>
  <c r="AM21" i="173"/>
  <c r="AL21" i="173"/>
  <c r="W22" i="173"/>
  <c r="AM22" i="173"/>
  <c r="AL22" i="173"/>
  <c r="W23" i="173"/>
  <c r="AM23" i="173"/>
  <c r="AL23" i="173"/>
  <c r="W24" i="173"/>
  <c r="AM24" i="173"/>
  <c r="AL24" i="173"/>
  <c r="W25" i="173"/>
  <c r="AM25" i="173"/>
  <c r="AL25" i="173"/>
  <c r="W26" i="173"/>
  <c r="AM26" i="173"/>
  <c r="AL26" i="173"/>
  <c r="W27" i="173"/>
  <c r="AM27" i="173"/>
  <c r="AL27" i="173"/>
  <c r="W28" i="173"/>
  <c r="AM28" i="173"/>
  <c r="AL28" i="173"/>
  <c r="W31" i="173"/>
  <c r="AM31" i="173"/>
  <c r="AL31" i="173"/>
  <c r="AM33" i="173"/>
  <c r="AM34" i="173"/>
  <c r="AM35" i="173"/>
  <c r="AM38" i="173"/>
  <c r="AL38" i="173"/>
  <c r="W39" i="173"/>
  <c r="AM39" i="173"/>
  <c r="AL39" i="173"/>
  <c r="W40" i="173"/>
  <c r="AM40" i="173"/>
  <c r="AL40" i="173"/>
  <c r="W41" i="173"/>
  <c r="AM41" i="173"/>
  <c r="AL41" i="173"/>
  <c r="V152" i="173"/>
  <c r="W49" i="173"/>
  <c r="Y154" i="173"/>
  <c r="Z154" i="173"/>
  <c r="AA154" i="173"/>
  <c r="AB154" i="173"/>
  <c r="AC154" i="173"/>
  <c r="AD154" i="173"/>
  <c r="AE154" i="173"/>
  <c r="AF154" i="173"/>
  <c r="AG154" i="173"/>
  <c r="AH154" i="173"/>
  <c r="AI154" i="173"/>
  <c r="AJ154" i="173"/>
  <c r="AK152" i="173"/>
  <c r="AM49" i="173"/>
  <c r="AL49" i="173"/>
  <c r="W50" i="173"/>
  <c r="AM50" i="173"/>
  <c r="AL50" i="173"/>
  <c r="W51" i="173"/>
  <c r="AM51" i="173"/>
  <c r="AL51" i="173"/>
  <c r="W52" i="173"/>
  <c r="AM52" i="173"/>
  <c r="AL52" i="173"/>
  <c r="W53" i="173"/>
  <c r="AM53" i="173"/>
  <c r="AL53" i="173"/>
  <c r="W54" i="173"/>
  <c r="AM54" i="173"/>
  <c r="AL54" i="173"/>
  <c r="W55" i="173"/>
  <c r="AM55" i="173"/>
  <c r="AL55" i="173"/>
  <c r="W56" i="173"/>
  <c r="AM56" i="173"/>
  <c r="AL56" i="173"/>
  <c r="W57" i="173"/>
  <c r="AM57" i="173"/>
  <c r="AL57" i="173"/>
  <c r="W58" i="173"/>
  <c r="AM58" i="173"/>
  <c r="AL58" i="173"/>
  <c r="W59" i="173"/>
  <c r="AM59" i="173"/>
  <c r="AL59" i="173"/>
  <c r="W60" i="173"/>
  <c r="AM60" i="173"/>
  <c r="AL60" i="173"/>
  <c r="W61" i="173"/>
  <c r="AM61" i="173"/>
  <c r="AL61" i="173"/>
  <c r="W62" i="173"/>
  <c r="AM62" i="173"/>
  <c r="AL62" i="173"/>
  <c r="W63" i="173"/>
  <c r="AM63" i="173"/>
  <c r="AL63" i="173"/>
  <c r="W64" i="173"/>
  <c r="AM64" i="173"/>
  <c r="AL64" i="173"/>
  <c r="W65" i="173"/>
  <c r="AM65" i="173"/>
  <c r="AL65" i="173"/>
  <c r="W66" i="173"/>
  <c r="AM66" i="173"/>
  <c r="AL66" i="173"/>
  <c r="W67" i="173"/>
  <c r="AM67" i="173"/>
  <c r="AL67" i="173"/>
  <c r="W68" i="173"/>
  <c r="AM68" i="173"/>
  <c r="AL68" i="173"/>
  <c r="W69" i="173"/>
  <c r="AM69" i="173"/>
  <c r="AL69" i="173"/>
  <c r="W70" i="173"/>
  <c r="AM70" i="173"/>
  <c r="AL70" i="173"/>
  <c r="W71" i="173"/>
  <c r="AM71" i="173"/>
  <c r="AL71" i="173"/>
  <c r="W72" i="173"/>
  <c r="AM72" i="173"/>
  <c r="AL72" i="173"/>
  <c r="W88" i="173"/>
  <c r="AM88" i="173"/>
  <c r="AL88" i="173"/>
  <c r="W89" i="173"/>
  <c r="AM89" i="173"/>
  <c r="AL89" i="173"/>
  <c r="W90" i="173"/>
  <c r="AM90" i="173"/>
  <c r="AL90" i="173"/>
  <c r="W91" i="173"/>
  <c r="AM91" i="173"/>
  <c r="AL91" i="173"/>
  <c r="W92" i="173"/>
  <c r="AM92" i="173"/>
  <c r="AL92" i="173"/>
  <c r="W93" i="173"/>
  <c r="AM93" i="173"/>
  <c r="AL93" i="173"/>
  <c r="W94" i="173"/>
  <c r="AM94" i="173"/>
  <c r="AL94" i="173"/>
  <c r="W95" i="173"/>
  <c r="AM95" i="173"/>
  <c r="AL95" i="173"/>
  <c r="W96" i="173"/>
  <c r="AM96" i="173"/>
  <c r="AL96" i="173"/>
  <c r="W97" i="173"/>
  <c r="AM97" i="173"/>
  <c r="AL97" i="173"/>
  <c r="W98" i="173"/>
  <c r="AM98" i="173"/>
  <c r="AL98" i="173"/>
  <c r="W99" i="173"/>
  <c r="AM99" i="173"/>
  <c r="AL99" i="173"/>
  <c r="W100" i="173"/>
  <c r="AM100" i="173"/>
  <c r="AL100" i="173"/>
  <c r="W101" i="173"/>
  <c r="AM101" i="173"/>
  <c r="AL101" i="173"/>
  <c r="W102" i="173"/>
  <c r="AM102" i="173"/>
  <c r="AL102" i="173"/>
  <c r="W103" i="173"/>
  <c r="AM103" i="173"/>
  <c r="AL103" i="173"/>
  <c r="W104" i="173"/>
  <c r="AM104" i="173"/>
  <c r="AL104" i="173"/>
  <c r="W105" i="173"/>
  <c r="AM105" i="173"/>
  <c r="AL105" i="173"/>
  <c r="W106" i="173"/>
  <c r="AM106" i="173"/>
  <c r="AL106" i="173"/>
  <c r="W107" i="173"/>
  <c r="AM107" i="173"/>
  <c r="AL107" i="173"/>
  <c r="W108" i="173"/>
  <c r="AM108" i="173"/>
  <c r="AL108" i="173"/>
  <c r="W109" i="173"/>
  <c r="AM109" i="173"/>
  <c r="AL109" i="173"/>
  <c r="W110" i="173"/>
  <c r="AM110" i="173"/>
  <c r="AL110" i="173"/>
  <c r="W111" i="173"/>
  <c r="AM111" i="173"/>
  <c r="AL111" i="173"/>
  <c r="W112" i="173"/>
  <c r="AM112" i="173"/>
  <c r="AL112" i="173"/>
  <c r="W144" i="173"/>
  <c r="AM144" i="173"/>
  <c r="AL144" i="173"/>
  <c r="W145" i="173"/>
  <c r="AM145" i="173"/>
  <c r="AL145" i="173"/>
  <c r="W146" i="173"/>
  <c r="AM146" i="173"/>
  <c r="AL146" i="173"/>
  <c r="W147" i="173"/>
  <c r="AM147" i="173"/>
  <c r="AL147" i="173"/>
  <c r="W148" i="173"/>
  <c r="AM148" i="173"/>
  <c r="AL148" i="173"/>
  <c r="W149" i="173"/>
  <c r="AM149" i="173"/>
  <c r="AL149" i="173"/>
  <c r="W150" i="173"/>
  <c r="AM150" i="173"/>
  <c r="AL150" i="173"/>
  <c r="V153" i="173"/>
  <c r="W153" i="173" s="1"/>
  <c r="W151" i="173"/>
  <c r="AK153" i="173"/>
  <c r="AM151" i="173"/>
  <c r="AL151" i="173"/>
  <c r="V248" i="173"/>
  <c r="W159" i="173"/>
  <c r="W160" i="173"/>
  <c r="W161" i="173"/>
  <c r="AM161" i="173"/>
  <c r="AL161" i="173"/>
  <c r="W162" i="173"/>
  <c r="AM162" i="173"/>
  <c r="AL162" i="173"/>
  <c r="W163" i="173"/>
  <c r="AM163" i="173"/>
  <c r="AL163" i="173"/>
  <c r="W164" i="173"/>
  <c r="AM164" i="173"/>
  <c r="AL164" i="173"/>
  <c r="W165" i="173"/>
  <c r="AM165" i="173"/>
  <c r="AL165" i="173"/>
  <c r="W166" i="173"/>
  <c r="AM166" i="173"/>
  <c r="AL166" i="173"/>
  <c r="W167" i="173"/>
  <c r="AM167" i="173"/>
  <c r="AL167" i="173"/>
  <c r="W168" i="173"/>
  <c r="AM168" i="173"/>
  <c r="AL168" i="173"/>
  <c r="W169" i="173"/>
  <c r="AM169" i="173"/>
  <c r="AL169" i="173"/>
  <c r="W170" i="173"/>
  <c r="AM170" i="173"/>
  <c r="AL170" i="173"/>
  <c r="W171" i="173"/>
  <c r="AM171" i="173"/>
  <c r="AL171" i="173"/>
  <c r="W172" i="173"/>
  <c r="AM172" i="173"/>
  <c r="AL172" i="173"/>
  <c r="W173" i="173"/>
  <c r="AM173" i="173"/>
  <c r="AL173" i="173"/>
  <c r="W174" i="173"/>
  <c r="AM174" i="173"/>
  <c r="AL174" i="173"/>
  <c r="W175" i="173"/>
  <c r="AM175" i="173"/>
  <c r="AL175" i="173"/>
  <c r="W176" i="173"/>
  <c r="AM176" i="173"/>
  <c r="AL176" i="173"/>
  <c r="W177" i="173"/>
  <c r="AM177" i="173"/>
  <c r="AL177" i="173"/>
  <c r="W178" i="173"/>
  <c r="AM178" i="173"/>
  <c r="AL178" i="173"/>
  <c r="W179" i="173"/>
  <c r="AM179" i="173"/>
  <c r="AL179" i="173"/>
  <c r="W180" i="173"/>
  <c r="AM180" i="173"/>
  <c r="AL180" i="173"/>
  <c r="W181" i="173"/>
  <c r="AM181" i="173"/>
  <c r="AL181" i="173"/>
  <c r="W182" i="173"/>
  <c r="AM182" i="173"/>
  <c r="AL182" i="173"/>
  <c r="W183" i="173"/>
  <c r="AM183" i="173"/>
  <c r="AL183" i="173"/>
  <c r="W184" i="173"/>
  <c r="AM184" i="173"/>
  <c r="AL184" i="173"/>
  <c r="W185" i="173"/>
  <c r="AM185" i="173"/>
  <c r="AL185" i="173"/>
  <c r="W186" i="173"/>
  <c r="AM186" i="173"/>
  <c r="AL186" i="173"/>
  <c r="W187" i="173"/>
  <c r="AM187" i="173"/>
  <c r="AL187" i="173"/>
  <c r="W188" i="173"/>
  <c r="AM188" i="173"/>
  <c r="AL188" i="173"/>
  <c r="W189" i="173"/>
  <c r="AM189" i="173"/>
  <c r="AL189" i="173"/>
  <c r="W190" i="173"/>
  <c r="AM190" i="173"/>
  <c r="AL190" i="173"/>
  <c r="W191" i="173"/>
  <c r="AM191" i="173"/>
  <c r="AL191" i="173"/>
  <c r="W192" i="173"/>
  <c r="AM192" i="173"/>
  <c r="AL192" i="173"/>
  <c r="W193" i="173"/>
  <c r="AM193" i="173"/>
  <c r="AL193" i="173"/>
  <c r="W194" i="173"/>
  <c r="AM194" i="173"/>
  <c r="AL194" i="173"/>
  <c r="W195" i="173"/>
  <c r="AM195" i="173"/>
  <c r="AL195" i="173"/>
  <c r="W196" i="173"/>
  <c r="AM196" i="173"/>
  <c r="AL196" i="173"/>
  <c r="W197" i="173"/>
  <c r="AM197" i="173"/>
  <c r="AL197" i="173"/>
  <c r="W198" i="173"/>
  <c r="AM198" i="173"/>
  <c r="AL198" i="173"/>
  <c r="W199" i="173"/>
  <c r="AM199" i="173"/>
  <c r="AL199" i="173"/>
  <c r="W200" i="173"/>
  <c r="AM200" i="173"/>
  <c r="AL200" i="173"/>
  <c r="W201" i="173"/>
  <c r="AM201" i="173"/>
  <c r="AL201" i="173"/>
  <c r="W202" i="173"/>
  <c r="AM202" i="173"/>
  <c r="AL202" i="173"/>
  <c r="W203" i="173"/>
  <c r="AM203" i="173"/>
  <c r="AL203" i="173"/>
  <c r="W204" i="173"/>
  <c r="AM204" i="173"/>
  <c r="AL204" i="173"/>
  <c r="W205" i="173"/>
  <c r="AM205" i="173"/>
  <c r="AL205" i="173"/>
  <c r="W206" i="173"/>
  <c r="AM206" i="173"/>
  <c r="AL206" i="173"/>
  <c r="W207" i="173"/>
  <c r="AM207" i="173"/>
  <c r="AL207" i="173"/>
  <c r="W208" i="173"/>
  <c r="AM208" i="173"/>
  <c r="AL208" i="173"/>
  <c r="W209" i="173"/>
  <c r="AM209" i="173"/>
  <c r="AL209" i="173"/>
  <c r="W210" i="173"/>
  <c r="AM210" i="173"/>
  <c r="AL210" i="173"/>
  <c r="W211" i="173"/>
  <c r="AM211" i="173"/>
  <c r="AL211" i="173"/>
  <c r="W212" i="173"/>
  <c r="AM212" i="173"/>
  <c r="AL212" i="173"/>
  <c r="W213" i="173"/>
  <c r="AM213" i="173"/>
  <c r="AL213" i="173"/>
  <c r="W214" i="173"/>
  <c r="AM214" i="173"/>
  <c r="AL214" i="173"/>
  <c r="W215" i="173"/>
  <c r="AM215" i="173"/>
  <c r="AL215" i="173"/>
  <c r="W216" i="173"/>
  <c r="AM216" i="173"/>
  <c r="AL216" i="173"/>
  <c r="W217" i="173"/>
  <c r="AM217" i="173"/>
  <c r="AL217" i="173"/>
  <c r="W218" i="173"/>
  <c r="AM218" i="173"/>
  <c r="AL218" i="173"/>
  <c r="W219" i="173"/>
  <c r="AM219" i="173"/>
  <c r="AL219" i="173"/>
  <c r="W220" i="173"/>
  <c r="AM220" i="173"/>
  <c r="AL220" i="173"/>
  <c r="W221" i="173"/>
  <c r="AM221" i="173"/>
  <c r="AL221" i="173"/>
  <c r="W222" i="173"/>
  <c r="AM222" i="173"/>
  <c r="AL222" i="173"/>
  <c r="W223" i="173"/>
  <c r="AM223" i="173"/>
  <c r="AL223" i="173"/>
  <c r="W224" i="173"/>
  <c r="AM224" i="173"/>
  <c r="AL224" i="173"/>
  <c r="W225" i="173"/>
  <c r="AM225" i="173"/>
  <c r="AL225" i="173"/>
  <c r="W226" i="173"/>
  <c r="AM226" i="173"/>
  <c r="AL226" i="173"/>
  <c r="W227" i="173"/>
  <c r="AM227" i="173"/>
  <c r="AL227" i="173"/>
  <c r="W228" i="173"/>
  <c r="AM228" i="173"/>
  <c r="AL228" i="173"/>
  <c r="W229" i="173"/>
  <c r="AM229" i="173"/>
  <c r="AL229" i="173"/>
  <c r="W230" i="173"/>
  <c r="AM230" i="173"/>
  <c r="AL230" i="173"/>
  <c r="W231" i="173"/>
  <c r="AM231" i="173"/>
  <c r="AL231" i="173"/>
  <c r="W232" i="173"/>
  <c r="AM232" i="173"/>
  <c r="AL232" i="173"/>
  <c r="W233" i="173"/>
  <c r="AM233" i="173"/>
  <c r="AL233" i="173"/>
  <c r="W234" i="173"/>
  <c r="AM234" i="173"/>
  <c r="AL234" i="173"/>
  <c r="W235" i="173"/>
  <c r="AM235" i="173"/>
  <c r="AL235" i="173"/>
  <c r="W236" i="173"/>
  <c r="AM236" i="173"/>
  <c r="AL236" i="173"/>
  <c r="W237" i="173"/>
  <c r="AM237" i="173"/>
  <c r="AL237" i="173"/>
  <c r="W238" i="173"/>
  <c r="AM238" i="173"/>
  <c r="AL238" i="173"/>
  <c r="W239" i="173"/>
  <c r="AM239" i="173"/>
  <c r="AL239" i="173"/>
  <c r="W240" i="173"/>
  <c r="AM240" i="173"/>
  <c r="AL240" i="173"/>
  <c r="W241" i="173"/>
  <c r="AM241" i="173"/>
  <c r="AL241" i="173"/>
  <c r="W242" i="173"/>
  <c r="AM242" i="173"/>
  <c r="AL242" i="173"/>
  <c r="W243" i="173"/>
  <c r="AM243" i="173"/>
  <c r="AL243" i="173"/>
  <c r="W244" i="173"/>
  <c r="AM244" i="173"/>
  <c r="AL244" i="173"/>
  <c r="W245" i="173"/>
  <c r="AM245" i="173"/>
  <c r="AL245" i="173"/>
  <c r="W246" i="173"/>
  <c r="AM246" i="173"/>
  <c r="AL246" i="173"/>
  <c r="W247" i="173"/>
  <c r="AM247" i="173"/>
  <c r="AL247" i="173"/>
  <c r="W258" i="173"/>
  <c r="AM258" i="173"/>
  <c r="AL258" i="173"/>
  <c r="W259" i="173"/>
  <c r="AM259" i="173"/>
  <c r="AL259" i="173"/>
  <c r="W263" i="173"/>
  <c r="AM263" i="173"/>
  <c r="AL263" i="173"/>
  <c r="W265" i="173"/>
  <c r="AM265" i="173"/>
  <c r="AL265" i="173"/>
  <c r="W273" i="173"/>
  <c r="AM273" i="173"/>
  <c r="AL273" i="173"/>
  <c r="W274" i="173"/>
  <c r="AM274" i="173"/>
  <c r="AL274" i="173"/>
  <c r="W275" i="173"/>
  <c r="AM275" i="173"/>
  <c r="AL275" i="173"/>
  <c r="W276" i="173"/>
  <c r="AM276" i="173"/>
  <c r="AL276" i="173"/>
  <c r="W278" i="173"/>
  <c r="AM278" i="173"/>
  <c r="AL278" i="173"/>
  <c r="W280" i="173"/>
  <c r="AM280" i="173"/>
  <c r="AL280" i="173"/>
  <c r="W281" i="173"/>
  <c r="AM281" i="173"/>
  <c r="AL281" i="173"/>
  <c r="W282" i="173"/>
  <c r="AM282" i="173"/>
  <c r="AL282" i="173"/>
  <c r="W283" i="173"/>
  <c r="AM283" i="173"/>
  <c r="AL283" i="173"/>
  <c r="W284" i="173"/>
  <c r="AM284" i="173"/>
  <c r="AL284" i="173"/>
  <c r="W285" i="173"/>
  <c r="AM285" i="173"/>
  <c r="AL285" i="173"/>
  <c r="W286" i="173"/>
  <c r="AM286" i="173"/>
  <c r="AL286" i="173"/>
  <c r="W292" i="173"/>
  <c r="AM292" i="173"/>
  <c r="AL292" i="173"/>
  <c r="W293" i="173"/>
  <c r="AM293" i="173"/>
  <c r="AL293" i="173"/>
  <c r="W294" i="173"/>
  <c r="AM294" i="173"/>
  <c r="AL294" i="173"/>
  <c r="W295" i="173"/>
  <c r="AM295" i="173"/>
  <c r="AL295" i="173"/>
  <c r="W296" i="173"/>
  <c r="AM296" i="173"/>
  <c r="AL296" i="173"/>
  <c r="W297" i="173"/>
  <c r="AM297" i="173"/>
  <c r="AL297" i="173"/>
  <c r="W298" i="173"/>
  <c r="AM298" i="173"/>
  <c r="AL298" i="173"/>
  <c r="W299" i="173"/>
  <c r="AM299" i="173"/>
  <c r="AL299" i="173"/>
  <c r="W300" i="173"/>
  <c r="AM300" i="173"/>
  <c r="AL300" i="173"/>
  <c r="W301" i="173"/>
  <c r="AM301" i="173"/>
  <c r="AL301" i="173"/>
  <c r="W302" i="173"/>
  <c r="AM302" i="173"/>
  <c r="AL302" i="173"/>
  <c r="W303" i="173"/>
  <c r="AM303" i="173"/>
  <c r="AL303" i="173"/>
  <c r="W304" i="173"/>
  <c r="AM304" i="173"/>
  <c r="AL304" i="173"/>
  <c r="W305" i="173"/>
  <c r="AM305" i="173"/>
  <c r="AL305" i="173"/>
  <c r="W306" i="173"/>
  <c r="AM306" i="173"/>
  <c r="AL306" i="173"/>
  <c r="W307" i="173"/>
  <c r="AM307" i="173"/>
  <c r="AL307" i="173"/>
  <c r="W308" i="173"/>
  <c r="AM308" i="173"/>
  <c r="AL308" i="173"/>
  <c r="W309" i="173"/>
  <c r="AM309" i="173"/>
  <c r="AL309" i="173"/>
  <c r="W310" i="173"/>
  <c r="AM310" i="173"/>
  <c r="AL310" i="173"/>
  <c r="W311" i="173"/>
  <c r="AM311" i="173"/>
  <c r="AL311" i="173"/>
  <c r="W319" i="173"/>
  <c r="AM319" i="173"/>
  <c r="AL319" i="173"/>
  <c r="W320" i="173"/>
  <c r="AM320" i="173"/>
  <c r="AL320" i="173"/>
  <c r="W321" i="173"/>
  <c r="AM321" i="173"/>
  <c r="AL321" i="173"/>
  <c r="W322" i="173"/>
  <c r="AM322" i="173"/>
  <c r="AL322" i="173"/>
  <c r="W323" i="173"/>
  <c r="AM323" i="173"/>
  <c r="AL323" i="173"/>
  <c r="W324" i="173"/>
  <c r="AM324" i="173"/>
  <c r="AL324" i="173"/>
  <c r="W325" i="173"/>
  <c r="AM325" i="173"/>
  <c r="AL325" i="173"/>
  <c r="W326" i="173"/>
  <c r="AM326" i="173"/>
  <c r="AL326" i="173"/>
  <c r="W327" i="173"/>
  <c r="AM327" i="173"/>
  <c r="AL327" i="173"/>
  <c r="W328" i="173"/>
  <c r="AM328" i="173"/>
  <c r="AL328" i="173"/>
  <c r="W352" i="173"/>
  <c r="AM352" i="173"/>
  <c r="AL352" i="173"/>
  <c r="AM53" i="87"/>
  <c r="AM59" i="87"/>
  <c r="AM62" i="87"/>
  <c r="AM63" i="87"/>
  <c r="AM116" i="87"/>
  <c r="AM117" i="87"/>
  <c r="AM120" i="87"/>
  <c r="AM122" i="87"/>
  <c r="AM124" i="87"/>
  <c r="AM136" i="87"/>
  <c r="AM138" i="87"/>
  <c r="AM139" i="87"/>
  <c r="AM143" i="87"/>
  <c r="AM146" i="87"/>
  <c r="AM147" i="87"/>
  <c r="W6" i="87"/>
  <c r="W7" i="87"/>
  <c r="W8" i="87"/>
  <c r="W9" i="87"/>
  <c r="W10" i="87"/>
  <c r="W13" i="87"/>
  <c r="W14" i="87"/>
  <c r="W15" i="87"/>
  <c r="W16" i="87"/>
  <c r="W17" i="87"/>
  <c r="W18" i="87"/>
  <c r="W19" i="87"/>
  <c r="W40" i="87"/>
  <c r="W41" i="87"/>
  <c r="W42" i="87"/>
  <c r="W53" i="87"/>
  <c r="W55" i="87"/>
  <c r="W57" i="87"/>
  <c r="W58" i="87"/>
  <c r="W59" i="87"/>
  <c r="W60" i="87"/>
  <c r="W62" i="87"/>
  <c r="W63" i="87"/>
  <c r="W104" i="87"/>
  <c r="W114" i="87"/>
  <c r="W115" i="87"/>
  <c r="W116" i="87"/>
  <c r="W117" i="87"/>
  <c r="W118" i="87"/>
  <c r="W119" i="87"/>
  <c r="W120" i="87"/>
  <c r="W121" i="87"/>
  <c r="W122" i="87"/>
  <c r="W123" i="87"/>
  <c r="W124" i="87"/>
  <c r="W137" i="87"/>
  <c r="W138" i="87"/>
  <c r="W139" i="87"/>
  <c r="W140" i="87"/>
  <c r="W141" i="87"/>
  <c r="W142" i="87"/>
  <c r="W143" i="87"/>
  <c r="W144" i="87"/>
  <c r="W145" i="87"/>
  <c r="W146" i="87"/>
  <c r="W147" i="87"/>
  <c r="W148" i="87"/>
  <c r="W152" i="87"/>
  <c r="W153" i="87"/>
  <c r="W155" i="87"/>
  <c r="W157" i="87"/>
  <c r="V159" i="174" l="1"/>
  <c r="U156" i="68"/>
  <c r="AJ156" i="68" s="1"/>
  <c r="AI156" i="68"/>
  <c r="Y93" i="174"/>
  <c r="Y94" i="174"/>
  <c r="Y95" i="174"/>
  <c r="Y96" i="174"/>
  <c r="Y97" i="174"/>
  <c r="Y98" i="174"/>
  <c r="Y99" i="174"/>
  <c r="Y100" i="174"/>
  <c r="Y101" i="174"/>
  <c r="Y102" i="174"/>
  <c r="Y103" i="174"/>
  <c r="Y104" i="174"/>
  <c r="Y106" i="174"/>
  <c r="Y107" i="174"/>
  <c r="Y108" i="174"/>
  <c r="AI357" i="174"/>
  <c r="AJ361" i="174"/>
  <c r="U357" i="174"/>
  <c r="V361" i="174"/>
  <c r="AJ366" i="174"/>
  <c r="AK366" i="174" s="1"/>
  <c r="V366" i="174"/>
  <c r="AJ374" i="174"/>
  <c r="AK374" i="174" s="1"/>
  <c r="V374" i="174"/>
  <c r="Y55" i="174"/>
  <c r="V60" i="174"/>
  <c r="V74" i="174"/>
  <c r="AJ379" i="174"/>
  <c r="AJ373" i="174" s="1"/>
  <c r="V379" i="174"/>
  <c r="V373" i="174" s="1"/>
  <c r="U373" i="174"/>
  <c r="AK379" i="174"/>
  <c r="AI373" i="174"/>
  <c r="AI156" i="74"/>
  <c r="U156" i="74"/>
  <c r="AJ156" i="74" s="1"/>
  <c r="V84" i="174"/>
  <c r="AO84" i="174" s="1"/>
  <c r="AM84" i="124"/>
  <c r="AM84" i="174" s="1"/>
  <c r="AK61" i="174"/>
  <c r="AO61" i="174" s="1"/>
  <c r="AM61" i="124"/>
  <c r="AM61" i="174" s="1"/>
  <c r="V90" i="174"/>
  <c r="P37" i="174"/>
  <c r="O37" i="174"/>
  <c r="R37" i="124"/>
  <c r="P36" i="174"/>
  <c r="O36" i="174"/>
  <c r="R36" i="124"/>
  <c r="T38" i="124"/>
  <c r="U38" i="124"/>
  <c r="R165" i="83"/>
  <c r="T36" i="85"/>
  <c r="T45" i="85" s="1"/>
  <c r="S44" i="74"/>
  <c r="S34" i="74"/>
  <c r="S92" i="74"/>
  <c r="S109" i="74"/>
  <c r="S151" i="175"/>
  <c r="R165" i="74"/>
  <c r="S92" i="175"/>
  <c r="S109" i="175"/>
  <c r="T158" i="87"/>
  <c r="T156" i="87"/>
  <c r="AI156" i="87" s="1"/>
  <c r="T154" i="87"/>
  <c r="T151" i="87" s="1"/>
  <c r="T113" i="87"/>
  <c r="T112" i="87"/>
  <c r="T111" i="87"/>
  <c r="T110" i="87"/>
  <c r="T109" i="87" s="1"/>
  <c r="T106" i="87"/>
  <c r="U106" i="87" s="1"/>
  <c r="T108" i="87"/>
  <c r="T107" i="87"/>
  <c r="T105" i="87"/>
  <c r="T103" i="87"/>
  <c r="T102" i="87"/>
  <c r="T101" i="87"/>
  <c r="T100" i="87"/>
  <c r="T99" i="87"/>
  <c r="T98" i="87"/>
  <c r="T97" i="87"/>
  <c r="T96" i="87"/>
  <c r="T95" i="87"/>
  <c r="T94" i="87"/>
  <c r="T93" i="87"/>
  <c r="T92" i="87" s="1"/>
  <c r="T77" i="87"/>
  <c r="AI77" i="87" s="1"/>
  <c r="T76" i="87"/>
  <c r="T72" i="87"/>
  <c r="T70" i="87"/>
  <c r="T67" i="87"/>
  <c r="T64" i="87"/>
  <c r="T56" i="87"/>
  <c r="T54" i="87"/>
  <c r="T51" i="87"/>
  <c r="T38" i="87"/>
  <c r="T37" i="87"/>
  <c r="T46" i="87" s="1"/>
  <c r="T36" i="87"/>
  <c r="T45" i="87" s="1"/>
  <c r="T35" i="87"/>
  <c r="T44" i="87" s="1"/>
  <c r="T154" i="68"/>
  <c r="T113" i="68"/>
  <c r="T112" i="68"/>
  <c r="T111" i="68"/>
  <c r="T110" i="68"/>
  <c r="T109" i="68" s="1"/>
  <c r="T108" i="68"/>
  <c r="T107" i="68"/>
  <c r="T106" i="68"/>
  <c r="T105" i="68"/>
  <c r="T103" i="68"/>
  <c r="T102" i="68"/>
  <c r="T101" i="68"/>
  <c r="T100" i="68"/>
  <c r="T99" i="68"/>
  <c r="T98" i="68"/>
  <c r="T97" i="68"/>
  <c r="T96" i="68"/>
  <c r="T95" i="68"/>
  <c r="T94" i="68"/>
  <c r="T93" i="68"/>
  <c r="T92" i="68" s="1"/>
  <c r="T77" i="68"/>
  <c r="AI77" i="68" s="1"/>
  <c r="T76" i="68"/>
  <c r="T72" i="68"/>
  <c r="T70" i="68"/>
  <c r="T67" i="68"/>
  <c r="T64" i="68"/>
  <c r="T56" i="68"/>
  <c r="T54" i="68"/>
  <c r="T51" i="68"/>
  <c r="T50" i="68" s="1"/>
  <c r="T161" i="68" s="1"/>
  <c r="T38" i="68"/>
  <c r="T37" i="68"/>
  <c r="T46" i="68" s="1"/>
  <c r="T36" i="68"/>
  <c r="T45" i="68" s="1"/>
  <c r="T34" i="68"/>
  <c r="U35" i="68"/>
  <c r="U44" i="68" s="1"/>
  <c r="T158" i="83"/>
  <c r="T156" i="83"/>
  <c r="AI156" i="83" s="1"/>
  <c r="T154" i="83"/>
  <c r="T151" i="83" s="1"/>
  <c r="T113" i="83"/>
  <c r="T112" i="83"/>
  <c r="U112" i="83" s="1"/>
  <c r="T111" i="83"/>
  <c r="U111" i="83" s="1"/>
  <c r="T110" i="83"/>
  <c r="T108" i="83"/>
  <c r="T107" i="83"/>
  <c r="T106" i="83"/>
  <c r="T105" i="83"/>
  <c r="T103" i="83"/>
  <c r="T102" i="83"/>
  <c r="T101" i="83"/>
  <c r="T100" i="83"/>
  <c r="T99" i="83"/>
  <c r="T98" i="83"/>
  <c r="T97" i="83"/>
  <c r="T96" i="83"/>
  <c r="T95" i="83"/>
  <c r="T94" i="83"/>
  <c r="T93" i="83"/>
  <c r="T92" i="83" s="1"/>
  <c r="T77" i="83"/>
  <c r="AI77" i="83" s="1"/>
  <c r="T76" i="83"/>
  <c r="T72" i="83"/>
  <c r="T70" i="83"/>
  <c r="T67" i="83"/>
  <c r="T64" i="83"/>
  <c r="T56" i="83"/>
  <c r="T54" i="83"/>
  <c r="T51" i="83"/>
  <c r="T50" i="83" s="1"/>
  <c r="T38" i="83"/>
  <c r="T37" i="83"/>
  <c r="T46" i="83" s="1"/>
  <c r="T36" i="83"/>
  <c r="T45" i="83" s="1"/>
  <c r="T35" i="83"/>
  <c r="T44" i="83" s="1"/>
  <c r="T38" i="74"/>
  <c r="U38" i="74" s="1"/>
  <c r="T37" i="74"/>
  <c r="U37" i="74" s="1"/>
  <c r="T36" i="74"/>
  <c r="U36" i="74" s="1"/>
  <c r="S46" i="74"/>
  <c r="T154" i="74"/>
  <c r="T151" i="74" s="1"/>
  <c r="T113" i="74"/>
  <c r="T112" i="74"/>
  <c r="T111" i="74"/>
  <c r="T110" i="74"/>
  <c r="T109" i="74" s="1"/>
  <c r="T108" i="74"/>
  <c r="T107" i="74"/>
  <c r="T106" i="74"/>
  <c r="T105" i="74"/>
  <c r="T103" i="74"/>
  <c r="T102" i="74"/>
  <c r="T101" i="74"/>
  <c r="T100" i="74"/>
  <c r="T99" i="74"/>
  <c r="T98" i="74"/>
  <c r="T97" i="74"/>
  <c r="T96" i="74"/>
  <c r="T95" i="74"/>
  <c r="T94" i="74"/>
  <c r="T93" i="74"/>
  <c r="T92" i="74" s="1"/>
  <c r="T77" i="74"/>
  <c r="AI77" i="74" s="1"/>
  <c r="T76" i="74"/>
  <c r="T72" i="74"/>
  <c r="T70" i="74"/>
  <c r="T67" i="74"/>
  <c r="T64" i="74"/>
  <c r="T56" i="74"/>
  <c r="T54" i="74"/>
  <c r="S50" i="74"/>
  <c r="S161" i="74" s="1"/>
  <c r="T51" i="74"/>
  <c r="T35" i="74"/>
  <c r="T34" i="74" s="1"/>
  <c r="T158" i="84"/>
  <c r="T156" i="84"/>
  <c r="AI156" i="84" s="1"/>
  <c r="T154" i="84"/>
  <c r="T151" i="84" s="1"/>
  <c r="T113" i="84"/>
  <c r="T112" i="84"/>
  <c r="T111" i="84"/>
  <c r="T110" i="84"/>
  <c r="T109" i="84" s="1"/>
  <c r="T108" i="84"/>
  <c r="T107" i="84"/>
  <c r="T106" i="84"/>
  <c r="T105" i="84"/>
  <c r="T103" i="84"/>
  <c r="T102" i="84"/>
  <c r="T101" i="84"/>
  <c r="T100" i="84"/>
  <c r="T99" i="84"/>
  <c r="T98" i="84"/>
  <c r="T97" i="84"/>
  <c r="T96" i="84"/>
  <c r="T95" i="84"/>
  <c r="T94" i="84"/>
  <c r="T93" i="84"/>
  <c r="T92" i="84" s="1"/>
  <c r="T77" i="84"/>
  <c r="AI77" i="84" s="1"/>
  <c r="T76" i="84"/>
  <c r="T72" i="84"/>
  <c r="T70" i="84"/>
  <c r="T67" i="84"/>
  <c r="T64" i="84"/>
  <c r="T56" i="84"/>
  <c r="T54" i="84"/>
  <c r="T51" i="84"/>
  <c r="T50" i="84" s="1"/>
  <c r="T161" i="84" s="1"/>
  <c r="T38" i="84"/>
  <c r="T37" i="84"/>
  <c r="T46" i="84" s="1"/>
  <c r="T36" i="84"/>
  <c r="T45" i="84" s="1"/>
  <c r="T35" i="84"/>
  <c r="T44" i="84" s="1"/>
  <c r="T158" i="86"/>
  <c r="T156" i="86"/>
  <c r="AI156" i="86" s="1"/>
  <c r="T154" i="86"/>
  <c r="T151" i="86" s="1"/>
  <c r="T113" i="86"/>
  <c r="T112" i="86"/>
  <c r="T111" i="86"/>
  <c r="T110" i="86"/>
  <c r="T109" i="86" s="1"/>
  <c r="T108" i="86"/>
  <c r="T107" i="86"/>
  <c r="T106" i="86"/>
  <c r="T105" i="86"/>
  <c r="T103" i="86"/>
  <c r="T102" i="86"/>
  <c r="T101" i="86"/>
  <c r="T100" i="86"/>
  <c r="T99" i="86"/>
  <c r="T98" i="86"/>
  <c r="T97" i="86"/>
  <c r="T96" i="86"/>
  <c r="T95" i="86"/>
  <c r="T94" i="86"/>
  <c r="T93" i="86"/>
  <c r="T77" i="86"/>
  <c r="AI77" i="86" s="1"/>
  <c r="T76" i="86"/>
  <c r="T72" i="86"/>
  <c r="T70" i="86"/>
  <c r="T67" i="86"/>
  <c r="T64" i="86"/>
  <c r="T56" i="86"/>
  <c r="T54" i="86"/>
  <c r="T51" i="86"/>
  <c r="T38" i="86"/>
  <c r="T37" i="86"/>
  <c r="T46" i="86" s="1"/>
  <c r="T36" i="86"/>
  <c r="T45" i="86" s="1"/>
  <c r="T35" i="86"/>
  <c r="T44" i="86" s="1"/>
  <c r="T158" i="85"/>
  <c r="U158" i="85" s="1"/>
  <c r="S156" i="124"/>
  <c r="S156" i="174" s="1"/>
  <c r="S156" i="175"/>
  <c r="S154" i="124"/>
  <c r="S154" i="174" s="1"/>
  <c r="S154" i="175"/>
  <c r="T154" i="85"/>
  <c r="T151" i="85" s="1"/>
  <c r="T113" i="85"/>
  <c r="U113" i="85" s="1"/>
  <c r="T112" i="85"/>
  <c r="U112" i="85" s="1"/>
  <c r="T111" i="85"/>
  <c r="U111" i="85" s="1"/>
  <c r="T110" i="85"/>
  <c r="S113" i="124"/>
  <c r="S113" i="174" s="1"/>
  <c r="S112" i="124"/>
  <c r="S112" i="174" s="1"/>
  <c r="S112" i="175"/>
  <c r="S111" i="124"/>
  <c r="S111" i="174" s="1"/>
  <c r="S111" i="175"/>
  <c r="S110" i="124"/>
  <c r="S110" i="174" s="1"/>
  <c r="S110" i="175"/>
  <c r="S108" i="124"/>
  <c r="T108" i="85"/>
  <c r="S107" i="124"/>
  <c r="S107" i="175"/>
  <c r="T107" i="85"/>
  <c r="S106" i="124"/>
  <c r="S106" i="175"/>
  <c r="T106" i="85"/>
  <c r="S105" i="124"/>
  <c r="S105" i="175"/>
  <c r="T105" i="85"/>
  <c r="S104" i="124"/>
  <c r="S104" i="175"/>
  <c r="T104" i="124"/>
  <c r="T104" i="174" s="1"/>
  <c r="T104" i="175"/>
  <c r="U104" i="124"/>
  <c r="U104" i="174" s="1"/>
  <c r="U104" i="175"/>
  <c r="S103" i="124"/>
  <c r="S103" i="175"/>
  <c r="T103" i="85"/>
  <c r="S102" i="124"/>
  <c r="S102" i="175"/>
  <c r="T102" i="85"/>
  <c r="S101" i="124"/>
  <c r="S101" i="175"/>
  <c r="T101" i="85"/>
  <c r="S100" i="124"/>
  <c r="S100" i="175"/>
  <c r="T100" i="85"/>
  <c r="S99" i="124"/>
  <c r="S99" i="175"/>
  <c r="T99" i="85"/>
  <c r="S98" i="124"/>
  <c r="S98" i="175"/>
  <c r="T98" i="85"/>
  <c r="S97" i="124"/>
  <c r="S97" i="175"/>
  <c r="T97" i="85"/>
  <c r="S96" i="124"/>
  <c r="S96" i="175"/>
  <c r="T96" i="85"/>
  <c r="S95" i="124"/>
  <c r="S95" i="175"/>
  <c r="T95" i="85"/>
  <c r="S94" i="124"/>
  <c r="S94" i="175"/>
  <c r="T94" i="85"/>
  <c r="S93" i="124"/>
  <c r="S93" i="175"/>
  <c r="T93" i="85"/>
  <c r="T92" i="85" s="1"/>
  <c r="S77" i="124"/>
  <c r="S77" i="175"/>
  <c r="T77" i="85"/>
  <c r="AI77" i="85" s="1"/>
  <c r="S76" i="124"/>
  <c r="S76" i="175"/>
  <c r="T76" i="85"/>
  <c r="S72" i="124"/>
  <c r="S72" i="175"/>
  <c r="T72" i="85"/>
  <c r="S70" i="124"/>
  <c r="S70" i="174" s="1"/>
  <c r="S70" i="175"/>
  <c r="T70" i="85"/>
  <c r="S67" i="124"/>
  <c r="S67" i="175"/>
  <c r="T67" i="85"/>
  <c r="S66" i="124"/>
  <c r="S66" i="175"/>
  <c r="S64" i="124"/>
  <c r="S64" i="175"/>
  <c r="T64" i="85"/>
  <c r="S56" i="175"/>
  <c r="S56" i="124"/>
  <c r="T56" i="85"/>
  <c r="S54" i="175"/>
  <c r="S54" i="124"/>
  <c r="T54" i="85"/>
  <c r="T51" i="85"/>
  <c r="U51" i="85" s="1"/>
  <c r="S52" i="175"/>
  <c r="S52" i="124"/>
  <c r="S51" i="175"/>
  <c r="S51" i="124"/>
  <c r="S51" i="174" s="1"/>
  <c r="T38" i="85"/>
  <c r="T37" i="85"/>
  <c r="T46" i="85" s="1"/>
  <c r="T35" i="85"/>
  <c r="T44" i="85" s="1"/>
  <c r="S37" i="175"/>
  <c r="S36" i="175"/>
  <c r="S35" i="175"/>
  <c r="T158" i="124"/>
  <c r="S158" i="124"/>
  <c r="R158" i="124"/>
  <c r="V158" i="85"/>
  <c r="U148" i="124"/>
  <c r="U148" i="174" s="1"/>
  <c r="U148" i="175"/>
  <c r="U113" i="175" s="1"/>
  <c r="T148" i="124"/>
  <c r="T148" i="174" s="1"/>
  <c r="T148" i="175"/>
  <c r="T113" i="175" s="1"/>
  <c r="S148" i="124"/>
  <c r="S148" i="174" s="1"/>
  <c r="S148" i="175"/>
  <c r="S113" i="175" s="1"/>
  <c r="U30" i="175"/>
  <c r="U13" i="175" s="1"/>
  <c r="U34" i="175" s="1"/>
  <c r="U30" i="124"/>
  <c r="U30" i="174" s="1"/>
  <c r="T30" i="175"/>
  <c r="T13" i="175" s="1"/>
  <c r="T34" i="175" s="1"/>
  <c r="T30" i="124"/>
  <c r="T30" i="174" s="1"/>
  <c r="S30" i="175"/>
  <c r="S13" i="175" s="1"/>
  <c r="S34" i="175" s="1"/>
  <c r="S30" i="124"/>
  <c r="S30" i="174" s="1"/>
  <c r="R30" i="175"/>
  <c r="V30" i="175" s="1"/>
  <c r="R30" i="124"/>
  <c r="V30" i="85"/>
  <c r="W30" i="85" s="1"/>
  <c r="R14" i="175"/>
  <c r="R14" i="124"/>
  <c r="R14" i="174" s="1"/>
  <c r="V14" i="85"/>
  <c r="R148" i="124"/>
  <c r="R148" i="175"/>
  <c r="V148" i="85"/>
  <c r="Y109" i="175"/>
  <c r="Y92" i="175"/>
  <c r="Y151" i="175"/>
  <c r="J351" i="174"/>
  <c r="AM341" i="174"/>
  <c r="V348" i="174"/>
  <c r="AK261" i="174"/>
  <c r="AM266" i="174"/>
  <c r="Y38" i="86"/>
  <c r="Y108" i="175"/>
  <c r="Y91" i="175"/>
  <c r="V6" i="175"/>
  <c r="J151" i="124"/>
  <c r="J151" i="174" s="1"/>
  <c r="J158" i="174"/>
  <c r="K151" i="124"/>
  <c r="K151" i="174" s="1"/>
  <c r="K158" i="174"/>
  <c r="L151" i="124"/>
  <c r="L151" i="174" s="1"/>
  <c r="L158" i="174"/>
  <c r="M151" i="124"/>
  <c r="M151" i="174" s="1"/>
  <c r="M158" i="174"/>
  <c r="N151" i="124"/>
  <c r="N151" i="174" s="1"/>
  <c r="N158" i="174"/>
  <c r="O151" i="124"/>
  <c r="O151" i="174" s="1"/>
  <c r="O158" i="174"/>
  <c r="P151" i="124"/>
  <c r="P151" i="174" s="1"/>
  <c r="P158" i="174"/>
  <c r="Q151" i="124"/>
  <c r="Q151" i="174" s="1"/>
  <c r="Q158" i="174"/>
  <c r="S151" i="124"/>
  <c r="S151" i="174" s="1"/>
  <c r="S158" i="174"/>
  <c r="T158" i="174"/>
  <c r="Y51" i="174"/>
  <c r="R151" i="124"/>
  <c r="R151" i="174" s="1"/>
  <c r="R158" i="174"/>
  <c r="AM251" i="174"/>
  <c r="AK250" i="174"/>
  <c r="AM250" i="174" s="1"/>
  <c r="Y6" i="85"/>
  <c r="Y14" i="85"/>
  <c r="J42" i="124"/>
  <c r="J42" i="174" s="1"/>
  <c r="K42" i="124"/>
  <c r="K42" i="174" s="1"/>
  <c r="L42" i="124"/>
  <c r="L42" i="174" s="1"/>
  <c r="M42" i="124"/>
  <c r="M42" i="174" s="1"/>
  <c r="N42" i="124"/>
  <c r="N42" i="174" s="1"/>
  <c r="O42" i="124"/>
  <c r="O42" i="174" s="1"/>
  <c r="P42" i="124"/>
  <c r="P42" i="174" s="1"/>
  <c r="Q42" i="124"/>
  <c r="Q42" i="174" s="1"/>
  <c r="R42" i="124"/>
  <c r="R42" i="174" s="1"/>
  <c r="S42" i="124"/>
  <c r="S42" i="174" s="1"/>
  <c r="T42" i="124"/>
  <c r="T42" i="174" s="1"/>
  <c r="U42" i="124"/>
  <c r="U42" i="174" s="1"/>
  <c r="U33" i="124"/>
  <c r="T33" i="124"/>
  <c r="S33" i="124"/>
  <c r="R33" i="124"/>
  <c r="Q33" i="124"/>
  <c r="P33" i="124"/>
  <c r="O33" i="124"/>
  <c r="N33" i="124"/>
  <c r="M33" i="124"/>
  <c r="L33" i="124"/>
  <c r="K33" i="124"/>
  <c r="J33" i="124"/>
  <c r="J35" i="124"/>
  <c r="J35" i="174" s="1"/>
  <c r="K35" i="124"/>
  <c r="K35" i="174" s="1"/>
  <c r="L35" i="124"/>
  <c r="L35" i="174" s="1"/>
  <c r="M35" i="124"/>
  <c r="M35" i="174" s="1"/>
  <c r="N35" i="124"/>
  <c r="N35" i="174" s="1"/>
  <c r="O35" i="124"/>
  <c r="P35" i="124"/>
  <c r="Q35" i="124"/>
  <c r="V250" i="173"/>
  <c r="W250" i="173" s="1"/>
  <c r="W248" i="173"/>
  <c r="AM153" i="173"/>
  <c r="AL153" i="173"/>
  <c r="AK154" i="173"/>
  <c r="AM152" i="173"/>
  <c r="AL152" i="173"/>
  <c r="V154" i="173"/>
  <c r="W152" i="173"/>
  <c r="AK32" i="173"/>
  <c r="AM6" i="173"/>
  <c r="AL6" i="173"/>
  <c r="Y155" i="173"/>
  <c r="Y42" i="173"/>
  <c r="AK42" i="173" s="1"/>
  <c r="AM42" i="173" s="1"/>
  <c r="V155" i="173"/>
  <c r="W32" i="173"/>
  <c r="V104" i="124" l="1"/>
  <c r="AM374" i="174"/>
  <c r="AM366" i="174"/>
  <c r="V357" i="174"/>
  <c r="AJ357" i="174"/>
  <c r="AK361" i="174"/>
  <c r="S93" i="174"/>
  <c r="S94" i="174"/>
  <c r="S95" i="174"/>
  <c r="S96" i="174"/>
  <c r="S97" i="174"/>
  <c r="S98" i="174"/>
  <c r="S99" i="174"/>
  <c r="S100" i="174"/>
  <c r="S101" i="174"/>
  <c r="S102" i="174"/>
  <c r="S103" i="174"/>
  <c r="S104" i="174"/>
  <c r="S106" i="174"/>
  <c r="S107" i="174"/>
  <c r="S108" i="174"/>
  <c r="AK373" i="174"/>
  <c r="AM379" i="174"/>
  <c r="Q35" i="174"/>
  <c r="P35" i="174"/>
  <c r="O35" i="174"/>
  <c r="R35" i="124"/>
  <c r="R45" i="124"/>
  <c r="R36" i="174"/>
  <c r="S36" i="124"/>
  <c r="R46" i="124"/>
  <c r="R37" i="174"/>
  <c r="S37" i="124"/>
  <c r="T164" i="68"/>
  <c r="T165" i="68" s="1"/>
  <c r="T43" i="68"/>
  <c r="S165" i="68"/>
  <c r="T34" i="83"/>
  <c r="T43" i="83" s="1"/>
  <c r="U110" i="83"/>
  <c r="T109" i="83"/>
  <c r="T161" i="83" s="1"/>
  <c r="S165" i="83"/>
  <c r="S165" i="84"/>
  <c r="S165" i="86"/>
  <c r="U93" i="86"/>
  <c r="T92" i="86"/>
  <c r="S165" i="85"/>
  <c r="U110" i="85"/>
  <c r="U109" i="85" s="1"/>
  <c r="T109" i="85"/>
  <c r="T43" i="74"/>
  <c r="T92" i="175"/>
  <c r="T109" i="175"/>
  <c r="T151" i="175"/>
  <c r="S164" i="74"/>
  <c r="S165" i="74" s="1"/>
  <c r="S43" i="74"/>
  <c r="S165" i="87"/>
  <c r="U158" i="87"/>
  <c r="V158" i="87" s="1"/>
  <c r="W158" i="87" s="1"/>
  <c r="U156" i="87"/>
  <c r="U154" i="87"/>
  <c r="U110" i="87"/>
  <c r="U111" i="87"/>
  <c r="V111" i="87" s="1"/>
  <c r="W111" i="87" s="1"/>
  <c r="U112" i="87"/>
  <c r="V112" i="87" s="1"/>
  <c r="W112" i="87" s="1"/>
  <c r="U113" i="87"/>
  <c r="V113" i="87" s="1"/>
  <c r="W113" i="87" s="1"/>
  <c r="U93" i="87"/>
  <c r="U94" i="87"/>
  <c r="V94" i="87" s="1"/>
  <c r="W94" i="87" s="1"/>
  <c r="U95" i="87"/>
  <c r="V95" i="87" s="1"/>
  <c r="W95" i="87" s="1"/>
  <c r="U96" i="87"/>
  <c r="V96" i="87" s="1"/>
  <c r="W96" i="87" s="1"/>
  <c r="U97" i="87"/>
  <c r="V97" i="87" s="1"/>
  <c r="W97" i="87" s="1"/>
  <c r="U98" i="87"/>
  <c r="V98" i="87" s="1"/>
  <c r="W98" i="87" s="1"/>
  <c r="U99" i="87"/>
  <c r="V99" i="87" s="1"/>
  <c r="W99" i="87" s="1"/>
  <c r="U100" i="87"/>
  <c r="V100" i="87" s="1"/>
  <c r="W100" i="87" s="1"/>
  <c r="U101" i="87"/>
  <c r="V101" i="87" s="1"/>
  <c r="W101" i="87" s="1"/>
  <c r="U102" i="87"/>
  <c r="V102" i="87" s="1"/>
  <c r="W102" i="87" s="1"/>
  <c r="U103" i="87"/>
  <c r="V103" i="87" s="1"/>
  <c r="U105" i="87"/>
  <c r="V105" i="87" s="1"/>
  <c r="W105" i="87" s="1"/>
  <c r="V106" i="87"/>
  <c r="W106" i="87" s="1"/>
  <c r="U107" i="87"/>
  <c r="V107" i="87" s="1"/>
  <c r="W107" i="87" s="1"/>
  <c r="U108" i="87"/>
  <c r="V108" i="87" s="1"/>
  <c r="W108" i="87" s="1"/>
  <c r="U77" i="87"/>
  <c r="U76" i="87"/>
  <c r="V76" i="87" s="1"/>
  <c r="W76" i="87" s="1"/>
  <c r="U72" i="87"/>
  <c r="U70" i="87"/>
  <c r="V70" i="87" s="1"/>
  <c r="W70" i="87" s="1"/>
  <c r="U67" i="87"/>
  <c r="V67" i="87" s="1"/>
  <c r="W67" i="87" s="1"/>
  <c r="U64" i="87"/>
  <c r="V64" i="87" s="1"/>
  <c r="W64" i="87" s="1"/>
  <c r="U56" i="87"/>
  <c r="V56" i="87" s="1"/>
  <c r="W56" i="87" s="1"/>
  <c r="U54" i="87"/>
  <c r="V54" i="87" s="1"/>
  <c r="W54" i="87" s="1"/>
  <c r="V52" i="87"/>
  <c r="W52" i="87" s="1"/>
  <c r="T50" i="87"/>
  <c r="T161" i="87" s="1"/>
  <c r="U51" i="87"/>
  <c r="T34" i="87"/>
  <c r="U35" i="87"/>
  <c r="U44" i="87" s="1"/>
  <c r="U36" i="87"/>
  <c r="U37" i="87"/>
  <c r="U38" i="87"/>
  <c r="V38" i="87" s="1"/>
  <c r="W38" i="87" s="1"/>
  <c r="V158" i="68"/>
  <c r="W158" i="68" s="1"/>
  <c r="V156" i="68"/>
  <c r="W156" i="68" s="1"/>
  <c r="U154" i="68"/>
  <c r="V154" i="68" s="1"/>
  <c r="U110" i="68"/>
  <c r="U111" i="68"/>
  <c r="V111" i="68" s="1"/>
  <c r="W111" i="68" s="1"/>
  <c r="U112" i="68"/>
  <c r="V112" i="68" s="1"/>
  <c r="W112" i="68" s="1"/>
  <c r="U113" i="68"/>
  <c r="V113" i="68" s="1"/>
  <c r="W113" i="68" s="1"/>
  <c r="U93" i="68"/>
  <c r="U94" i="68"/>
  <c r="V94" i="68" s="1"/>
  <c r="W94" i="68" s="1"/>
  <c r="U95" i="68"/>
  <c r="V95" i="68" s="1"/>
  <c r="W95" i="68" s="1"/>
  <c r="U96" i="68"/>
  <c r="V96" i="68" s="1"/>
  <c r="W96" i="68" s="1"/>
  <c r="U97" i="68"/>
  <c r="V97" i="68" s="1"/>
  <c r="W97" i="68" s="1"/>
  <c r="U98" i="68"/>
  <c r="V98" i="68" s="1"/>
  <c r="W98" i="68" s="1"/>
  <c r="U99" i="68"/>
  <c r="V99" i="68" s="1"/>
  <c r="W99" i="68" s="1"/>
  <c r="U100" i="68"/>
  <c r="V100" i="68" s="1"/>
  <c r="W100" i="68" s="1"/>
  <c r="U101" i="68"/>
  <c r="V101" i="68" s="1"/>
  <c r="W101" i="68" s="1"/>
  <c r="U102" i="68"/>
  <c r="V102" i="68" s="1"/>
  <c r="W102" i="68" s="1"/>
  <c r="U103" i="68"/>
  <c r="V103" i="68" s="1"/>
  <c r="W103" i="68" s="1"/>
  <c r="U105" i="68"/>
  <c r="V105" i="68" s="1"/>
  <c r="W105" i="68" s="1"/>
  <c r="U106" i="68"/>
  <c r="V106" i="68" s="1"/>
  <c r="W106" i="68" s="1"/>
  <c r="U107" i="68"/>
  <c r="V107" i="68" s="1"/>
  <c r="W107" i="68" s="1"/>
  <c r="U108" i="68"/>
  <c r="V108" i="68" s="1"/>
  <c r="W108" i="68" s="1"/>
  <c r="U76" i="68"/>
  <c r="V76" i="68" s="1"/>
  <c r="W76" i="68" s="1"/>
  <c r="U77" i="68"/>
  <c r="U72" i="68"/>
  <c r="U70" i="68"/>
  <c r="V70" i="68" s="1"/>
  <c r="W70" i="68" s="1"/>
  <c r="U67" i="68"/>
  <c r="V67" i="68" s="1"/>
  <c r="W67" i="68" s="1"/>
  <c r="U64" i="68"/>
  <c r="V64" i="68" s="1"/>
  <c r="W64" i="68" s="1"/>
  <c r="U56" i="68"/>
  <c r="V56" i="68" s="1"/>
  <c r="W56" i="68" s="1"/>
  <c r="U54" i="68"/>
  <c r="V54" i="68" s="1"/>
  <c r="W54" i="68" s="1"/>
  <c r="V52" i="68"/>
  <c r="W52" i="68" s="1"/>
  <c r="U51" i="68"/>
  <c r="U50" i="68" s="1"/>
  <c r="V35" i="68"/>
  <c r="U36" i="68"/>
  <c r="U45" i="68" s="1"/>
  <c r="U37" i="68"/>
  <c r="U38" i="68"/>
  <c r="V38" i="68" s="1"/>
  <c r="W38" i="68" s="1"/>
  <c r="U158" i="83"/>
  <c r="V158" i="83" s="1"/>
  <c r="W158" i="83" s="1"/>
  <c r="U156" i="83"/>
  <c r="U154" i="83"/>
  <c r="U113" i="83"/>
  <c r="V113" i="83" s="1"/>
  <c r="W113" i="83" s="1"/>
  <c r="V110" i="83"/>
  <c r="V111" i="83"/>
  <c r="W111" i="83" s="1"/>
  <c r="V112" i="83"/>
  <c r="W112" i="83" s="1"/>
  <c r="U93" i="83"/>
  <c r="U94" i="83"/>
  <c r="V94" i="83" s="1"/>
  <c r="W94" i="83" s="1"/>
  <c r="U95" i="83"/>
  <c r="V95" i="83" s="1"/>
  <c r="W95" i="83" s="1"/>
  <c r="U96" i="83"/>
  <c r="V96" i="83" s="1"/>
  <c r="W96" i="83" s="1"/>
  <c r="U97" i="83"/>
  <c r="V97" i="83" s="1"/>
  <c r="W97" i="83" s="1"/>
  <c r="U98" i="83"/>
  <c r="V98" i="83" s="1"/>
  <c r="W98" i="83" s="1"/>
  <c r="U99" i="83"/>
  <c r="V99" i="83" s="1"/>
  <c r="W99" i="83" s="1"/>
  <c r="U100" i="83"/>
  <c r="V100" i="83" s="1"/>
  <c r="W100" i="83" s="1"/>
  <c r="U101" i="83"/>
  <c r="V101" i="83" s="1"/>
  <c r="W101" i="83" s="1"/>
  <c r="U102" i="83"/>
  <c r="V102" i="83" s="1"/>
  <c r="W102" i="83" s="1"/>
  <c r="U103" i="83"/>
  <c r="V103" i="83" s="1"/>
  <c r="W103" i="83" s="1"/>
  <c r="U105" i="83"/>
  <c r="V105" i="83" s="1"/>
  <c r="U106" i="83"/>
  <c r="V106" i="83" s="1"/>
  <c r="W106" i="83" s="1"/>
  <c r="U107" i="83"/>
  <c r="V107" i="83" s="1"/>
  <c r="W107" i="83" s="1"/>
  <c r="U108" i="83"/>
  <c r="V108" i="83" s="1"/>
  <c r="W108" i="83" s="1"/>
  <c r="U77" i="83"/>
  <c r="U76" i="83"/>
  <c r="V76" i="83" s="1"/>
  <c r="W76" i="83" s="1"/>
  <c r="U72" i="83"/>
  <c r="U70" i="83"/>
  <c r="V70" i="83" s="1"/>
  <c r="W70" i="83" s="1"/>
  <c r="U67" i="83"/>
  <c r="V67" i="83" s="1"/>
  <c r="W67" i="83" s="1"/>
  <c r="U64" i="83"/>
  <c r="V64" i="83" s="1"/>
  <c r="W64" i="83" s="1"/>
  <c r="U56" i="83"/>
  <c r="V56" i="83" s="1"/>
  <c r="W56" i="83" s="1"/>
  <c r="U54" i="83"/>
  <c r="V54" i="83" s="1"/>
  <c r="W54" i="83" s="1"/>
  <c r="U51" i="83"/>
  <c r="U35" i="83"/>
  <c r="U44" i="83" s="1"/>
  <c r="U36" i="83"/>
  <c r="U45" i="83" s="1"/>
  <c r="U37" i="83"/>
  <c r="U46" i="83" s="1"/>
  <c r="U38" i="83"/>
  <c r="V38" i="83" s="1"/>
  <c r="W38" i="83" s="1"/>
  <c r="U35" i="74"/>
  <c r="T44" i="74"/>
  <c r="T46" i="74"/>
  <c r="U46" i="74"/>
  <c r="V158" i="74"/>
  <c r="W158" i="74" s="1"/>
  <c r="V156" i="74"/>
  <c r="W156" i="74" s="1"/>
  <c r="U154" i="74"/>
  <c r="U110" i="74"/>
  <c r="U111" i="74"/>
  <c r="V111" i="74" s="1"/>
  <c r="W111" i="74" s="1"/>
  <c r="U112" i="74"/>
  <c r="V112" i="74" s="1"/>
  <c r="W112" i="74" s="1"/>
  <c r="U113" i="74"/>
  <c r="V113" i="74" s="1"/>
  <c r="W113" i="74" s="1"/>
  <c r="U93" i="74"/>
  <c r="U94" i="74"/>
  <c r="V94" i="74" s="1"/>
  <c r="W94" i="74" s="1"/>
  <c r="U95" i="74"/>
  <c r="V95" i="74" s="1"/>
  <c r="W95" i="74" s="1"/>
  <c r="U96" i="74"/>
  <c r="V96" i="74" s="1"/>
  <c r="W96" i="74" s="1"/>
  <c r="U97" i="74"/>
  <c r="V97" i="74" s="1"/>
  <c r="W97" i="74" s="1"/>
  <c r="U98" i="74"/>
  <c r="V98" i="74" s="1"/>
  <c r="W98" i="74" s="1"/>
  <c r="U99" i="74"/>
  <c r="V99" i="74" s="1"/>
  <c r="W99" i="74" s="1"/>
  <c r="U100" i="74"/>
  <c r="V100" i="74" s="1"/>
  <c r="W100" i="74" s="1"/>
  <c r="U101" i="74"/>
  <c r="V101" i="74" s="1"/>
  <c r="W101" i="74" s="1"/>
  <c r="U102" i="74"/>
  <c r="V102" i="74" s="1"/>
  <c r="W102" i="74" s="1"/>
  <c r="U103" i="74"/>
  <c r="V103" i="74" s="1"/>
  <c r="W103" i="74" s="1"/>
  <c r="U105" i="74"/>
  <c r="V105" i="74" s="1"/>
  <c r="W105" i="74" s="1"/>
  <c r="U106" i="74"/>
  <c r="V106" i="74" s="1"/>
  <c r="W106" i="74" s="1"/>
  <c r="U107" i="74"/>
  <c r="V107" i="74" s="1"/>
  <c r="W107" i="74" s="1"/>
  <c r="U108" i="74"/>
  <c r="V108" i="74" s="1"/>
  <c r="W108" i="74" s="1"/>
  <c r="U77" i="74"/>
  <c r="U76" i="74"/>
  <c r="V76" i="74" s="1"/>
  <c r="W76" i="74" s="1"/>
  <c r="U72" i="74"/>
  <c r="Y72" i="74" s="1"/>
  <c r="Z72" i="74" s="1"/>
  <c r="AA72" i="74" s="1"/>
  <c r="AB72" i="74" s="1"/>
  <c r="AC72" i="74" s="1"/>
  <c r="AD72" i="74" s="1"/>
  <c r="AE72" i="74" s="1"/>
  <c r="AF72" i="74" s="1"/>
  <c r="AG72" i="74" s="1"/>
  <c r="AH72" i="74" s="1"/>
  <c r="AI72" i="74" s="1"/>
  <c r="AJ72" i="74" s="1"/>
  <c r="U70" i="74"/>
  <c r="V70" i="74" s="1"/>
  <c r="W70" i="74" s="1"/>
  <c r="U67" i="74"/>
  <c r="V67" i="74" s="1"/>
  <c r="W67" i="74" s="1"/>
  <c r="U64" i="74"/>
  <c r="V64" i="74" s="1"/>
  <c r="W64" i="74" s="1"/>
  <c r="U56" i="74"/>
  <c r="V56" i="74" s="1"/>
  <c r="W56" i="74" s="1"/>
  <c r="U54" i="74"/>
  <c r="V54" i="74" s="1"/>
  <c r="W54" i="74" s="1"/>
  <c r="T50" i="74"/>
  <c r="T161" i="74" s="1"/>
  <c r="T164" i="74" s="1"/>
  <c r="T165" i="74" s="1"/>
  <c r="U51" i="74"/>
  <c r="V52" i="74"/>
  <c r="W52" i="74" s="1"/>
  <c r="V35" i="74"/>
  <c r="V36" i="74"/>
  <c r="W36" i="74" s="1"/>
  <c r="V37" i="74"/>
  <c r="V38" i="74"/>
  <c r="W38" i="74" s="1"/>
  <c r="U158" i="84"/>
  <c r="V158" i="84" s="1"/>
  <c r="W158" i="84" s="1"/>
  <c r="U156" i="84"/>
  <c r="U154" i="84"/>
  <c r="U110" i="84"/>
  <c r="U111" i="84"/>
  <c r="V111" i="84" s="1"/>
  <c r="W111" i="84" s="1"/>
  <c r="U112" i="84"/>
  <c r="V112" i="84" s="1"/>
  <c r="W112" i="84" s="1"/>
  <c r="U113" i="84"/>
  <c r="V113" i="84" s="1"/>
  <c r="W113" i="84" s="1"/>
  <c r="U93" i="84"/>
  <c r="U94" i="84"/>
  <c r="V94" i="84" s="1"/>
  <c r="W94" i="84" s="1"/>
  <c r="U95" i="84"/>
  <c r="V95" i="84" s="1"/>
  <c r="W95" i="84" s="1"/>
  <c r="U96" i="84"/>
  <c r="V96" i="84" s="1"/>
  <c r="W96" i="84" s="1"/>
  <c r="U97" i="84"/>
  <c r="V97" i="84" s="1"/>
  <c r="W97" i="84" s="1"/>
  <c r="U98" i="84"/>
  <c r="V98" i="84" s="1"/>
  <c r="W98" i="84" s="1"/>
  <c r="U99" i="84"/>
  <c r="V99" i="84" s="1"/>
  <c r="W99" i="84" s="1"/>
  <c r="U100" i="84"/>
  <c r="V100" i="84" s="1"/>
  <c r="W100" i="84" s="1"/>
  <c r="U101" i="84"/>
  <c r="V101" i="84" s="1"/>
  <c r="W101" i="84" s="1"/>
  <c r="U102" i="84"/>
  <c r="V102" i="84" s="1"/>
  <c r="W102" i="84" s="1"/>
  <c r="U103" i="84"/>
  <c r="V103" i="84" s="1"/>
  <c r="W103" i="84" s="1"/>
  <c r="U105" i="84"/>
  <c r="V105" i="84" s="1"/>
  <c r="W105" i="84" s="1"/>
  <c r="U106" i="84"/>
  <c r="V106" i="84" s="1"/>
  <c r="W106" i="84" s="1"/>
  <c r="U107" i="84"/>
  <c r="V107" i="84" s="1"/>
  <c r="W107" i="84" s="1"/>
  <c r="U108" i="84"/>
  <c r="V108" i="84" s="1"/>
  <c r="W108" i="84" s="1"/>
  <c r="U77" i="84"/>
  <c r="U76" i="84"/>
  <c r="V76" i="84" s="1"/>
  <c r="W76" i="84" s="1"/>
  <c r="U72" i="84"/>
  <c r="Y72" i="84" s="1"/>
  <c r="Z72" i="84" s="1"/>
  <c r="AA72" i="84" s="1"/>
  <c r="AB72" i="84" s="1"/>
  <c r="AC72" i="84" s="1"/>
  <c r="AD72" i="84" s="1"/>
  <c r="AE72" i="84" s="1"/>
  <c r="AF72" i="84" s="1"/>
  <c r="AG72" i="84" s="1"/>
  <c r="AH72" i="84" s="1"/>
  <c r="AI72" i="84" s="1"/>
  <c r="AJ72" i="84" s="1"/>
  <c r="U70" i="84"/>
  <c r="V70" i="84" s="1"/>
  <c r="W70" i="84" s="1"/>
  <c r="U67" i="84"/>
  <c r="V67" i="84" s="1"/>
  <c r="W67" i="84" s="1"/>
  <c r="U64" i="84"/>
  <c r="V64" i="84" s="1"/>
  <c r="W64" i="84" s="1"/>
  <c r="U56" i="84"/>
  <c r="V56" i="84" s="1"/>
  <c r="W56" i="84" s="1"/>
  <c r="U54" i="84"/>
  <c r="V54" i="84" s="1"/>
  <c r="W54" i="84" s="1"/>
  <c r="U51" i="84"/>
  <c r="T34" i="84"/>
  <c r="U35" i="84"/>
  <c r="U44" i="84" s="1"/>
  <c r="U36" i="84"/>
  <c r="U37" i="84"/>
  <c r="U38" i="84"/>
  <c r="V38" i="84" s="1"/>
  <c r="W38" i="84" s="1"/>
  <c r="U158" i="86"/>
  <c r="U156" i="86"/>
  <c r="U154" i="86"/>
  <c r="U110" i="86"/>
  <c r="U111" i="86"/>
  <c r="V111" i="86" s="1"/>
  <c r="W111" i="86" s="1"/>
  <c r="U112" i="86"/>
  <c r="V112" i="86" s="1"/>
  <c r="W112" i="86" s="1"/>
  <c r="U113" i="86"/>
  <c r="V113" i="86" s="1"/>
  <c r="W113" i="86" s="1"/>
  <c r="U94" i="86"/>
  <c r="V94" i="86" s="1"/>
  <c r="W94" i="86" s="1"/>
  <c r="U95" i="86"/>
  <c r="V95" i="86" s="1"/>
  <c r="W95" i="86" s="1"/>
  <c r="U96" i="86"/>
  <c r="V96" i="86" s="1"/>
  <c r="W96" i="86" s="1"/>
  <c r="U97" i="86"/>
  <c r="V97" i="86" s="1"/>
  <c r="W97" i="86" s="1"/>
  <c r="U98" i="86"/>
  <c r="V98" i="86" s="1"/>
  <c r="W98" i="86" s="1"/>
  <c r="U99" i="86"/>
  <c r="V99" i="86" s="1"/>
  <c r="W99" i="86" s="1"/>
  <c r="U100" i="86"/>
  <c r="V100" i="86" s="1"/>
  <c r="W100" i="86" s="1"/>
  <c r="U101" i="86"/>
  <c r="V101" i="86" s="1"/>
  <c r="W101" i="86" s="1"/>
  <c r="U102" i="86"/>
  <c r="V102" i="86" s="1"/>
  <c r="W102" i="86" s="1"/>
  <c r="U103" i="86"/>
  <c r="V103" i="86" s="1"/>
  <c r="W103" i="86" s="1"/>
  <c r="U105" i="86"/>
  <c r="V105" i="86" s="1"/>
  <c r="W105" i="86" s="1"/>
  <c r="U106" i="86"/>
  <c r="V106" i="86" s="1"/>
  <c r="W106" i="86" s="1"/>
  <c r="U107" i="86"/>
  <c r="V107" i="86" s="1"/>
  <c r="W107" i="86" s="1"/>
  <c r="U108" i="86"/>
  <c r="V108" i="86" s="1"/>
  <c r="W108" i="86" s="1"/>
  <c r="V93" i="86"/>
  <c r="U77" i="86"/>
  <c r="U76" i="86"/>
  <c r="V76" i="86" s="1"/>
  <c r="W76" i="86" s="1"/>
  <c r="U72" i="86"/>
  <c r="U70" i="86"/>
  <c r="V70" i="86" s="1"/>
  <c r="W70" i="86" s="1"/>
  <c r="U67" i="86"/>
  <c r="V67" i="86" s="1"/>
  <c r="W67" i="86" s="1"/>
  <c r="U64" i="86"/>
  <c r="V64" i="86" s="1"/>
  <c r="W64" i="86" s="1"/>
  <c r="U56" i="86"/>
  <c r="V56" i="86" s="1"/>
  <c r="W56" i="86" s="1"/>
  <c r="U54" i="86"/>
  <c r="V54" i="86" s="1"/>
  <c r="W54" i="86" s="1"/>
  <c r="T50" i="86"/>
  <c r="T161" i="86" s="1"/>
  <c r="U51" i="86"/>
  <c r="V52" i="86"/>
  <c r="W52" i="86" s="1"/>
  <c r="T34" i="86"/>
  <c r="U35" i="86"/>
  <c r="U44" i="86" s="1"/>
  <c r="U36" i="86"/>
  <c r="U37" i="86"/>
  <c r="U38" i="86"/>
  <c r="V38" i="86" s="1"/>
  <c r="W38" i="86"/>
  <c r="T156" i="124"/>
  <c r="T156" i="174" s="1"/>
  <c r="T156" i="175"/>
  <c r="T154" i="124"/>
  <c r="T154" i="175"/>
  <c r="T149" i="175" s="1"/>
  <c r="U154" i="85"/>
  <c r="U151" i="85" s="1"/>
  <c r="S149" i="175"/>
  <c r="T110" i="124"/>
  <c r="T110" i="174" s="1"/>
  <c r="T110" i="175"/>
  <c r="S108" i="175"/>
  <c r="T111" i="124"/>
  <c r="T111" i="174" s="1"/>
  <c r="T111" i="175"/>
  <c r="T112" i="124"/>
  <c r="T112" i="174" s="1"/>
  <c r="T112" i="175"/>
  <c r="T113" i="124"/>
  <c r="T113" i="174" s="1"/>
  <c r="V104" i="175"/>
  <c r="T93" i="124"/>
  <c r="T93" i="175"/>
  <c r="U93" i="85"/>
  <c r="S91" i="175"/>
  <c r="T94" i="124"/>
  <c r="T94" i="175"/>
  <c r="U94" i="85"/>
  <c r="T95" i="124"/>
  <c r="T95" i="175"/>
  <c r="U95" i="85"/>
  <c r="T96" i="124"/>
  <c r="T96" i="175"/>
  <c r="U96" i="85"/>
  <c r="T97" i="124"/>
  <c r="T97" i="175"/>
  <c r="U97" i="85"/>
  <c r="T98" i="124"/>
  <c r="T98" i="175"/>
  <c r="U98" i="85"/>
  <c r="T99" i="124"/>
  <c r="T99" i="175"/>
  <c r="U99" i="85"/>
  <c r="T100" i="124"/>
  <c r="T100" i="175"/>
  <c r="U100" i="85"/>
  <c r="T101" i="124"/>
  <c r="T101" i="175"/>
  <c r="U101" i="85"/>
  <c r="T102" i="124"/>
  <c r="T102" i="175"/>
  <c r="U102" i="85"/>
  <c r="T103" i="124"/>
  <c r="T103" i="175"/>
  <c r="U103" i="85"/>
  <c r="T105" i="124"/>
  <c r="T105" i="175"/>
  <c r="U105" i="85"/>
  <c r="S105" i="174"/>
  <c r="T106" i="124"/>
  <c r="T106" i="175"/>
  <c r="U106" i="85"/>
  <c r="T107" i="124"/>
  <c r="T107" i="175"/>
  <c r="U107" i="85"/>
  <c r="T108" i="124"/>
  <c r="U108" i="85"/>
  <c r="T77" i="124"/>
  <c r="T77" i="174" s="1"/>
  <c r="T77" i="175"/>
  <c r="U77" i="85"/>
  <c r="AJ77" i="85" s="1"/>
  <c r="S77" i="174"/>
  <c r="T76" i="124"/>
  <c r="T76" i="174" s="1"/>
  <c r="T76" i="175"/>
  <c r="U76" i="85"/>
  <c r="S76" i="174"/>
  <c r="T72" i="124"/>
  <c r="T72" i="174" s="1"/>
  <c r="T72" i="175"/>
  <c r="U72" i="85"/>
  <c r="Y72" i="85" s="1"/>
  <c r="Z72" i="85" s="1"/>
  <c r="AA72" i="85" s="1"/>
  <c r="AB72" i="85" s="1"/>
  <c r="AC72" i="85" s="1"/>
  <c r="AD72" i="85" s="1"/>
  <c r="AE72" i="85" s="1"/>
  <c r="AF72" i="85" s="1"/>
  <c r="AG72" i="85" s="1"/>
  <c r="AH72" i="85" s="1"/>
  <c r="AI72" i="85" s="1"/>
  <c r="AJ72" i="85" s="1"/>
  <c r="S72" i="174"/>
  <c r="T70" i="124"/>
  <c r="T70" i="174" s="1"/>
  <c r="T70" i="175"/>
  <c r="U70" i="85"/>
  <c r="T67" i="124"/>
  <c r="T67" i="174" s="1"/>
  <c r="T67" i="175"/>
  <c r="U67" i="85"/>
  <c r="S67" i="174"/>
  <c r="T66" i="124"/>
  <c r="T66" i="174" s="1"/>
  <c r="T66" i="175"/>
  <c r="S66" i="174"/>
  <c r="T64" i="124"/>
  <c r="T64" i="174" s="1"/>
  <c r="T64" i="175"/>
  <c r="U64" i="85"/>
  <c r="S64" i="174"/>
  <c r="T56" i="175"/>
  <c r="T56" i="124"/>
  <c r="T56" i="174" s="1"/>
  <c r="U56" i="85"/>
  <c r="S56" i="174"/>
  <c r="T54" i="175"/>
  <c r="T54" i="124"/>
  <c r="T54" i="174" s="1"/>
  <c r="U54" i="85"/>
  <c r="S54" i="174"/>
  <c r="T50" i="85"/>
  <c r="T161" i="85" s="1"/>
  <c r="U50" i="85"/>
  <c r="T51" i="175"/>
  <c r="T51" i="124"/>
  <c r="T51" i="174" s="1"/>
  <c r="S50" i="175"/>
  <c r="S157" i="175" s="1"/>
  <c r="T52" i="175"/>
  <c r="T52" i="124"/>
  <c r="T52" i="174" s="1"/>
  <c r="S52" i="174"/>
  <c r="T34" i="85"/>
  <c r="U35" i="85"/>
  <c r="U44" i="85" s="1"/>
  <c r="U36" i="85"/>
  <c r="U37" i="85"/>
  <c r="U38" i="85"/>
  <c r="V38" i="85" s="1"/>
  <c r="T35" i="175"/>
  <c r="T36" i="175"/>
  <c r="T37" i="175"/>
  <c r="W148" i="85"/>
  <c r="V114" i="85"/>
  <c r="V148" i="175"/>
  <c r="V113" i="175" s="1"/>
  <c r="R113" i="175"/>
  <c r="R157" i="175" s="1"/>
  <c r="S160" i="175"/>
  <c r="S43" i="175"/>
  <c r="T43" i="175"/>
  <c r="U43" i="175"/>
  <c r="S159" i="175"/>
  <c r="S158" i="175"/>
  <c r="W158" i="85"/>
  <c r="R148" i="174"/>
  <c r="V148" i="124"/>
  <c r="V148" i="174" s="1"/>
  <c r="V13" i="85"/>
  <c r="W14" i="85"/>
  <c r="R13" i="175"/>
  <c r="R34" i="175" s="1"/>
  <c r="R44" i="175"/>
  <c r="V14" i="175"/>
  <c r="V13" i="175" s="1"/>
  <c r="R38" i="175"/>
  <c r="W38" i="85"/>
  <c r="R38" i="174"/>
  <c r="R30" i="174"/>
  <c r="V30" i="124"/>
  <c r="V30" i="174" s="1"/>
  <c r="S38" i="175"/>
  <c r="S38" i="174"/>
  <c r="T38" i="175"/>
  <c r="T38" i="174"/>
  <c r="U38" i="175"/>
  <c r="U38" i="174"/>
  <c r="AM373" i="174"/>
  <c r="AM261" i="174"/>
  <c r="AK348" i="174"/>
  <c r="V34" i="175"/>
  <c r="W6" i="175"/>
  <c r="W10" i="175"/>
  <c r="W11" i="175"/>
  <c r="W12" i="175"/>
  <c r="W13" i="175"/>
  <c r="W14" i="175"/>
  <c r="W15" i="175"/>
  <c r="W16" i="175"/>
  <c r="W17" i="175"/>
  <c r="W18" i="175"/>
  <c r="W19" i="175"/>
  <c r="W20" i="175"/>
  <c r="W21" i="175"/>
  <c r="W22" i="175"/>
  <c r="W23" i="175"/>
  <c r="W24" i="175"/>
  <c r="W25" i="175"/>
  <c r="W26" i="175"/>
  <c r="W27" i="175"/>
  <c r="W28" i="175"/>
  <c r="W29" i="175"/>
  <c r="W30" i="175"/>
  <c r="W31" i="175"/>
  <c r="W32" i="175"/>
  <c r="W33" i="175"/>
  <c r="W53" i="175"/>
  <c r="W55" i="175"/>
  <c r="W57" i="175"/>
  <c r="W58" i="175"/>
  <c r="W59" i="175"/>
  <c r="W60" i="175"/>
  <c r="W61" i="175"/>
  <c r="W62" i="175"/>
  <c r="W63" i="175"/>
  <c r="W65" i="175"/>
  <c r="W68" i="175"/>
  <c r="W69" i="175"/>
  <c r="W71" i="175"/>
  <c r="W73" i="175"/>
  <c r="W74" i="175"/>
  <c r="W75" i="175"/>
  <c r="W78" i="175"/>
  <c r="W79" i="175"/>
  <c r="W80" i="175"/>
  <c r="W81" i="175"/>
  <c r="W82" i="175"/>
  <c r="W83" i="175"/>
  <c r="W84" i="175"/>
  <c r="W85" i="175"/>
  <c r="W86" i="175"/>
  <c r="W87" i="175"/>
  <c r="W88" i="175"/>
  <c r="W89" i="175"/>
  <c r="W90" i="175"/>
  <c r="W104" i="175"/>
  <c r="W113" i="175"/>
  <c r="W114" i="175"/>
  <c r="W115" i="175"/>
  <c r="W116" i="175"/>
  <c r="W117" i="175"/>
  <c r="W118" i="175"/>
  <c r="W119" i="175"/>
  <c r="W120" i="175"/>
  <c r="W121" i="175"/>
  <c r="W122" i="175"/>
  <c r="W123" i="175"/>
  <c r="W124" i="175"/>
  <c r="W125" i="175"/>
  <c r="W126" i="175"/>
  <c r="W127" i="175"/>
  <c r="W128" i="175"/>
  <c r="W129" i="175"/>
  <c r="W130" i="175"/>
  <c r="W131" i="175"/>
  <c r="W132" i="175"/>
  <c r="W133" i="175"/>
  <c r="W134" i="175"/>
  <c r="W135" i="175"/>
  <c r="W136" i="175"/>
  <c r="W137" i="175"/>
  <c r="W138" i="175"/>
  <c r="W139" i="175"/>
  <c r="W140" i="175"/>
  <c r="W141" i="175"/>
  <c r="W142" i="175"/>
  <c r="W143" i="175"/>
  <c r="W144" i="175"/>
  <c r="W145" i="175"/>
  <c r="W146" i="175"/>
  <c r="W147" i="175"/>
  <c r="W148" i="175"/>
  <c r="W150" i="175"/>
  <c r="W152" i="175"/>
  <c r="W153" i="175"/>
  <c r="W155" i="175"/>
  <c r="W9" i="175"/>
  <c r="W8" i="175"/>
  <c r="W7" i="175"/>
  <c r="V33" i="124"/>
  <c r="V33" i="174" s="1"/>
  <c r="J33" i="174"/>
  <c r="K13" i="124"/>
  <c r="K13" i="174" s="1"/>
  <c r="K33" i="174"/>
  <c r="L13" i="124"/>
  <c r="L13" i="174" s="1"/>
  <c r="L33" i="174"/>
  <c r="M13" i="124"/>
  <c r="M13" i="174" s="1"/>
  <c r="M33" i="174"/>
  <c r="N13" i="124"/>
  <c r="N13" i="174" s="1"/>
  <c r="N33" i="174"/>
  <c r="O13" i="124"/>
  <c r="O13" i="174" s="1"/>
  <c r="O33" i="174"/>
  <c r="P13" i="124"/>
  <c r="P13" i="174" s="1"/>
  <c r="P33" i="174"/>
  <c r="Q13" i="124"/>
  <c r="Q13" i="174" s="1"/>
  <c r="Q33" i="174"/>
  <c r="S13" i="124"/>
  <c r="S13" i="174" s="1"/>
  <c r="S33" i="174"/>
  <c r="T13" i="124"/>
  <c r="T13" i="174" s="1"/>
  <c r="T33" i="174"/>
  <c r="U13" i="124"/>
  <c r="U13" i="174" s="1"/>
  <c r="U33" i="174"/>
  <c r="R13" i="124"/>
  <c r="R13" i="174" s="1"/>
  <c r="R33" i="174"/>
  <c r="V251" i="173"/>
  <c r="W155" i="173"/>
  <c r="AK155" i="173"/>
  <c r="AM32" i="173"/>
  <c r="AL32" i="173"/>
  <c r="V252" i="173"/>
  <c r="W154" i="173"/>
  <c r="AM154" i="173"/>
  <c r="AL154" i="173"/>
  <c r="V72" i="87" l="1"/>
  <c r="W72" i="87" s="1"/>
  <c r="Y72" i="87"/>
  <c r="V77" i="87"/>
  <c r="W77" i="87" s="1"/>
  <c r="AJ77" i="87"/>
  <c r="V156" i="87"/>
  <c r="W156" i="87" s="1"/>
  <c r="AJ156" i="87"/>
  <c r="V72" i="68"/>
  <c r="W72" i="68" s="1"/>
  <c r="Y72" i="68"/>
  <c r="V77" i="68"/>
  <c r="W77" i="68" s="1"/>
  <c r="AJ77" i="68"/>
  <c r="V72" i="83"/>
  <c r="W72" i="83" s="1"/>
  <c r="Y72" i="83"/>
  <c r="V77" i="83"/>
  <c r="W77" i="83" s="1"/>
  <c r="AJ77" i="83"/>
  <c r="V156" i="83"/>
  <c r="W156" i="83" s="1"/>
  <c r="AJ156" i="83"/>
  <c r="V104" i="174"/>
  <c r="AK357" i="174"/>
  <c r="AM357" i="174" s="1"/>
  <c r="AM361" i="174"/>
  <c r="T108" i="174"/>
  <c r="T107" i="174"/>
  <c r="T106" i="174"/>
  <c r="T105" i="174"/>
  <c r="T103" i="174"/>
  <c r="T102" i="174"/>
  <c r="T101" i="174"/>
  <c r="T100" i="174"/>
  <c r="T99" i="174"/>
  <c r="T98" i="174"/>
  <c r="T97" i="174"/>
  <c r="T96" i="174"/>
  <c r="T95" i="174"/>
  <c r="T94" i="174"/>
  <c r="T93" i="174"/>
  <c r="V72" i="74"/>
  <c r="W72" i="74" s="1"/>
  <c r="V77" i="74"/>
  <c r="W77" i="74" s="1"/>
  <c r="AJ77" i="74"/>
  <c r="V72" i="84"/>
  <c r="W72" i="84" s="1"/>
  <c r="V77" i="84"/>
  <c r="W77" i="84" s="1"/>
  <c r="AJ77" i="84"/>
  <c r="Y50" i="85"/>
  <c r="V72" i="86"/>
  <c r="W72" i="86" s="1"/>
  <c r="Y72" i="86"/>
  <c r="V77" i="86"/>
  <c r="W77" i="86" s="1"/>
  <c r="AJ77" i="86"/>
  <c r="V156" i="86"/>
  <c r="W156" i="86" s="1"/>
  <c r="AJ156" i="86"/>
  <c r="V156" i="84"/>
  <c r="W156" i="84" s="1"/>
  <c r="AJ156" i="84"/>
  <c r="S46" i="124"/>
  <c r="S37" i="174"/>
  <c r="T37" i="124"/>
  <c r="S45" i="124"/>
  <c r="S36" i="174"/>
  <c r="T36" i="124"/>
  <c r="R44" i="124"/>
  <c r="R34" i="124"/>
  <c r="R43" i="124" s="1"/>
  <c r="R35" i="174"/>
  <c r="S35" i="124"/>
  <c r="V37" i="68"/>
  <c r="U46" i="68"/>
  <c r="V93" i="68"/>
  <c r="U92" i="68"/>
  <c r="V110" i="68"/>
  <c r="U109" i="68"/>
  <c r="V37" i="83"/>
  <c r="V46" i="83" s="1"/>
  <c r="V36" i="83"/>
  <c r="V45" i="83" s="1"/>
  <c r="V35" i="83"/>
  <c r="U34" i="83"/>
  <c r="U43" i="83" s="1"/>
  <c r="V51" i="83"/>
  <c r="U50" i="83"/>
  <c r="V93" i="83"/>
  <c r="U92" i="83"/>
  <c r="V154" i="83"/>
  <c r="U151" i="83"/>
  <c r="U109" i="83"/>
  <c r="T164" i="83"/>
  <c r="T165" i="83" s="1"/>
  <c r="V37" i="84"/>
  <c r="U46" i="84"/>
  <c r="V36" i="84"/>
  <c r="U45" i="84"/>
  <c r="T164" i="84"/>
  <c r="T165" i="84" s="1"/>
  <c r="T43" i="84"/>
  <c r="V51" i="84"/>
  <c r="U50" i="84"/>
  <c r="V93" i="84"/>
  <c r="U92" i="84"/>
  <c r="V110" i="84"/>
  <c r="U109" i="84"/>
  <c r="V154" i="84"/>
  <c r="U151" i="84"/>
  <c r="V37" i="86"/>
  <c r="U46" i="86"/>
  <c r="V36" i="86"/>
  <c r="U45" i="86"/>
  <c r="T164" i="86"/>
  <c r="T165" i="86" s="1"/>
  <c r="T43" i="86"/>
  <c r="V110" i="86"/>
  <c r="U109" i="86"/>
  <c r="V154" i="86"/>
  <c r="U151" i="86"/>
  <c r="U92" i="86"/>
  <c r="V37" i="85"/>
  <c r="U46" i="85"/>
  <c r="V36" i="85"/>
  <c r="U45" i="85"/>
  <c r="T164" i="85"/>
  <c r="T165" i="85" s="1"/>
  <c r="T43" i="85"/>
  <c r="U92" i="85"/>
  <c r="U161" i="85" s="1"/>
  <c r="V34" i="74"/>
  <c r="V93" i="74"/>
  <c r="U92" i="74"/>
  <c r="V110" i="74"/>
  <c r="U109" i="74"/>
  <c r="V154" i="74"/>
  <c r="U151" i="74"/>
  <c r="U44" i="74"/>
  <c r="U34" i="74"/>
  <c r="V37" i="87"/>
  <c r="U46" i="87"/>
  <c r="V36" i="87"/>
  <c r="U45" i="87"/>
  <c r="T164" i="87"/>
  <c r="T165" i="87" s="1"/>
  <c r="T43" i="87"/>
  <c r="V93" i="87"/>
  <c r="U92" i="87"/>
  <c r="U92" i="175" s="1"/>
  <c r="V92" i="175" s="1"/>
  <c r="W92" i="175" s="1"/>
  <c r="V110" i="87"/>
  <c r="U109" i="87"/>
  <c r="U109" i="175" s="1"/>
  <c r="V109" i="175" s="1"/>
  <c r="W109" i="175" s="1"/>
  <c r="V154" i="87"/>
  <c r="U151" i="87"/>
  <c r="U151" i="175" s="1"/>
  <c r="V151" i="175" s="1"/>
  <c r="W151" i="175" s="1"/>
  <c r="V151" i="87"/>
  <c r="W151" i="87" s="1"/>
  <c r="W154" i="87"/>
  <c r="V109" i="87"/>
  <c r="W109" i="87" s="1"/>
  <c r="W110" i="87"/>
  <c r="AM103" i="87"/>
  <c r="W103" i="87"/>
  <c r="V92" i="87"/>
  <c r="W92" i="87" s="1"/>
  <c r="W93" i="87"/>
  <c r="U50" i="87"/>
  <c r="U161" i="87" s="1"/>
  <c r="V51" i="87"/>
  <c r="V46" i="87"/>
  <c r="W46" i="87" s="1"/>
  <c r="W37" i="87"/>
  <c r="V45" i="87"/>
  <c r="W45" i="87" s="1"/>
  <c r="W36" i="87"/>
  <c r="U34" i="87"/>
  <c r="V35" i="87"/>
  <c r="V151" i="68"/>
  <c r="W151" i="68" s="1"/>
  <c r="W154" i="68"/>
  <c r="V109" i="68"/>
  <c r="W109" i="68" s="1"/>
  <c r="W110" i="68"/>
  <c r="V92" i="68"/>
  <c r="W92" i="68" s="1"/>
  <c r="W93" i="68"/>
  <c r="V51" i="68"/>
  <c r="V46" i="68"/>
  <c r="W46" i="68" s="1"/>
  <c r="W37" i="68"/>
  <c r="U34" i="68"/>
  <c r="V36" i="68"/>
  <c r="V44" i="68"/>
  <c r="W44" i="68" s="1"/>
  <c r="V34" i="68"/>
  <c r="W35" i="68"/>
  <c r="V151" i="83"/>
  <c r="W151" i="83" s="1"/>
  <c r="W154" i="83"/>
  <c r="V109" i="83"/>
  <c r="W109" i="83" s="1"/>
  <c r="W110" i="83"/>
  <c r="AM105" i="83"/>
  <c r="W105" i="83"/>
  <c r="V92" i="83"/>
  <c r="W92" i="83" s="1"/>
  <c r="W93" i="83"/>
  <c r="V52" i="83"/>
  <c r="W52" i="83" s="1"/>
  <c r="V50" i="83"/>
  <c r="W51" i="83"/>
  <c r="W46" i="83"/>
  <c r="W37" i="83"/>
  <c r="W45" i="83"/>
  <c r="W36" i="83"/>
  <c r="W35" i="83"/>
  <c r="V151" i="74"/>
  <c r="W151" i="74" s="1"/>
  <c r="W154" i="74"/>
  <c r="V109" i="74"/>
  <c r="W109" i="74" s="1"/>
  <c r="W110" i="74"/>
  <c r="V92" i="74"/>
  <c r="W92" i="74" s="1"/>
  <c r="W93" i="74"/>
  <c r="U50" i="74"/>
  <c r="U161" i="74" s="1"/>
  <c r="V51" i="74"/>
  <c r="V46" i="74"/>
  <c r="W46" i="74" s="1"/>
  <c r="W37" i="74"/>
  <c r="V44" i="74"/>
  <c r="W44" i="74" s="1"/>
  <c r="W35" i="74"/>
  <c r="V151" i="84"/>
  <c r="W151" i="84" s="1"/>
  <c r="W154" i="84"/>
  <c r="V109" i="84"/>
  <c r="W109" i="84" s="1"/>
  <c r="W110" i="84"/>
  <c r="V92" i="84"/>
  <c r="W92" i="84" s="1"/>
  <c r="W93" i="84"/>
  <c r="V52" i="84"/>
  <c r="W52" i="84" s="1"/>
  <c r="V50" i="84"/>
  <c r="W51" i="84"/>
  <c r="V46" i="84"/>
  <c r="W46" i="84" s="1"/>
  <c r="W37" i="84"/>
  <c r="V45" i="84"/>
  <c r="W45" i="84" s="1"/>
  <c r="W36" i="84"/>
  <c r="U34" i="84"/>
  <c r="V35" i="84"/>
  <c r="U158" i="124"/>
  <c r="U158" i="174" s="1"/>
  <c r="V158" i="86"/>
  <c r="W158" i="86" s="1"/>
  <c r="V151" i="86"/>
  <c r="W151" i="86" s="1"/>
  <c r="W154" i="86"/>
  <c r="V109" i="86"/>
  <c r="W109" i="86" s="1"/>
  <c r="W110" i="86"/>
  <c r="V92" i="86"/>
  <c r="W92" i="86" s="1"/>
  <c r="W93" i="86"/>
  <c r="U50" i="86"/>
  <c r="U161" i="86" s="1"/>
  <c r="V51" i="86"/>
  <c r="U34" i="86"/>
  <c r="V35" i="86"/>
  <c r="V34" i="86" s="1"/>
  <c r="V46" i="86"/>
  <c r="W46" i="86" s="1"/>
  <c r="W37" i="86"/>
  <c r="V45" i="86"/>
  <c r="W45" i="86" s="1"/>
  <c r="W36" i="86"/>
  <c r="U156" i="124"/>
  <c r="U156" i="174" s="1"/>
  <c r="U156" i="175"/>
  <c r="V156" i="175" s="1"/>
  <c r="V156" i="85"/>
  <c r="W156" i="85" s="1"/>
  <c r="U154" i="124"/>
  <c r="U154" i="175"/>
  <c r="V154" i="85"/>
  <c r="T154" i="174"/>
  <c r="T151" i="124"/>
  <c r="T151" i="174" s="1"/>
  <c r="U113" i="124"/>
  <c r="U113" i="174" s="1"/>
  <c r="V113" i="85"/>
  <c r="W113" i="85" s="1"/>
  <c r="U112" i="124"/>
  <c r="U112" i="174" s="1"/>
  <c r="U112" i="175"/>
  <c r="V112" i="175" s="1"/>
  <c r="W112" i="175" s="1"/>
  <c r="V112" i="85"/>
  <c r="W112" i="85" s="1"/>
  <c r="U111" i="124"/>
  <c r="U111" i="174" s="1"/>
  <c r="U111" i="175"/>
  <c r="V111" i="175" s="1"/>
  <c r="W111" i="175" s="1"/>
  <c r="V111" i="85"/>
  <c r="W111" i="85" s="1"/>
  <c r="U110" i="124"/>
  <c r="U110" i="174" s="1"/>
  <c r="U110" i="175"/>
  <c r="V110" i="85"/>
  <c r="T108" i="175"/>
  <c r="U108" i="124"/>
  <c r="V108" i="124" s="1"/>
  <c r="V108" i="85"/>
  <c r="W108" i="85" s="1"/>
  <c r="U107" i="124"/>
  <c r="V107" i="124" s="1"/>
  <c r="U107" i="175"/>
  <c r="V107" i="175" s="1"/>
  <c r="W107" i="175" s="1"/>
  <c r="V107" i="85"/>
  <c r="W107" i="85" s="1"/>
  <c r="U106" i="124"/>
  <c r="V106" i="124" s="1"/>
  <c r="U106" i="175"/>
  <c r="V106" i="175" s="1"/>
  <c r="W106" i="175" s="1"/>
  <c r="V106" i="85"/>
  <c r="W106" i="85" s="1"/>
  <c r="U105" i="124"/>
  <c r="V105" i="124" s="1"/>
  <c r="U105" i="175"/>
  <c r="V105" i="175" s="1"/>
  <c r="W105" i="175" s="1"/>
  <c r="V105" i="85"/>
  <c r="U103" i="124"/>
  <c r="V103" i="124" s="1"/>
  <c r="U103" i="175"/>
  <c r="V103" i="175" s="1"/>
  <c r="W103" i="175" s="1"/>
  <c r="V103" i="85"/>
  <c r="W103" i="85" s="1"/>
  <c r="U102" i="124"/>
  <c r="V102" i="124" s="1"/>
  <c r="U102" i="175"/>
  <c r="V102" i="175" s="1"/>
  <c r="W102" i="175" s="1"/>
  <c r="V102" i="85"/>
  <c r="W102" i="85" s="1"/>
  <c r="U101" i="124"/>
  <c r="V101" i="124" s="1"/>
  <c r="U101" i="175"/>
  <c r="V101" i="175" s="1"/>
  <c r="W101" i="175" s="1"/>
  <c r="V101" i="85"/>
  <c r="W101" i="85" s="1"/>
  <c r="U100" i="124"/>
  <c r="V100" i="124" s="1"/>
  <c r="U100" i="175"/>
  <c r="V100" i="175" s="1"/>
  <c r="W100" i="175" s="1"/>
  <c r="V100" i="85"/>
  <c r="W100" i="85" s="1"/>
  <c r="U99" i="124"/>
  <c r="V99" i="124" s="1"/>
  <c r="U99" i="175"/>
  <c r="V99" i="175" s="1"/>
  <c r="W99" i="175" s="1"/>
  <c r="V99" i="85"/>
  <c r="W99" i="85" s="1"/>
  <c r="U98" i="124"/>
  <c r="V98" i="124" s="1"/>
  <c r="U98" i="175"/>
  <c r="V98" i="175" s="1"/>
  <c r="W98" i="175" s="1"/>
  <c r="V98" i="85"/>
  <c r="W98" i="85" s="1"/>
  <c r="U97" i="124"/>
  <c r="V97" i="124" s="1"/>
  <c r="U97" i="175"/>
  <c r="V97" i="175" s="1"/>
  <c r="W97" i="175" s="1"/>
  <c r="V97" i="85"/>
  <c r="W97" i="85" s="1"/>
  <c r="U96" i="124"/>
  <c r="V96" i="124" s="1"/>
  <c r="U96" i="175"/>
  <c r="V96" i="175" s="1"/>
  <c r="W96" i="175" s="1"/>
  <c r="V96" i="85"/>
  <c r="W96" i="85" s="1"/>
  <c r="U95" i="124"/>
  <c r="V95" i="124" s="1"/>
  <c r="U95" i="175"/>
  <c r="V95" i="175" s="1"/>
  <c r="W95" i="175" s="1"/>
  <c r="V95" i="85"/>
  <c r="W95" i="85" s="1"/>
  <c r="U94" i="124"/>
  <c r="V94" i="124" s="1"/>
  <c r="U94" i="175"/>
  <c r="V94" i="175" s="1"/>
  <c r="W94" i="175" s="1"/>
  <c r="V94" i="85"/>
  <c r="W94" i="85" s="1"/>
  <c r="U93" i="124"/>
  <c r="V93" i="124" s="1"/>
  <c r="U93" i="175"/>
  <c r="V93" i="85"/>
  <c r="T91" i="175"/>
  <c r="U77" i="124"/>
  <c r="U77" i="175"/>
  <c r="V77" i="175" s="1"/>
  <c r="W77" i="175" s="1"/>
  <c r="V77" i="85"/>
  <c r="W77" i="85" s="1"/>
  <c r="U76" i="124"/>
  <c r="U76" i="175"/>
  <c r="V76" i="175" s="1"/>
  <c r="W76" i="175" s="1"/>
  <c r="V76" i="85"/>
  <c r="W76" i="85" s="1"/>
  <c r="U72" i="124"/>
  <c r="U72" i="175"/>
  <c r="V72" i="175" s="1"/>
  <c r="W72" i="175" s="1"/>
  <c r="V72" i="85"/>
  <c r="W72" i="85" s="1"/>
  <c r="U70" i="124"/>
  <c r="U70" i="174" s="1"/>
  <c r="U70" i="175"/>
  <c r="V70" i="175" s="1"/>
  <c r="W70" i="175" s="1"/>
  <c r="V70" i="85"/>
  <c r="W70" i="85" s="1"/>
  <c r="U67" i="124"/>
  <c r="U67" i="175"/>
  <c r="V67" i="175" s="1"/>
  <c r="W67" i="175" s="1"/>
  <c r="V67" i="85"/>
  <c r="W67" i="85" s="1"/>
  <c r="U66" i="124"/>
  <c r="U66" i="175"/>
  <c r="V66" i="175" s="1"/>
  <c r="W66" i="175" s="1"/>
  <c r="V66" i="85"/>
  <c r="W66" i="85" s="1"/>
  <c r="U64" i="124"/>
  <c r="U64" i="175"/>
  <c r="V64" i="175" s="1"/>
  <c r="W64" i="175" s="1"/>
  <c r="V64" i="85"/>
  <c r="W64" i="85" s="1"/>
  <c r="U56" i="175"/>
  <c r="V56" i="175" s="1"/>
  <c r="U56" i="124"/>
  <c r="V56" i="85"/>
  <c r="W56" i="85" s="1"/>
  <c r="U54" i="175"/>
  <c r="V54" i="175" s="1"/>
  <c r="W54" i="175" s="1"/>
  <c r="U54" i="124"/>
  <c r="V54" i="85"/>
  <c r="W54" i="85" s="1"/>
  <c r="U52" i="175"/>
  <c r="V52" i="175" s="1"/>
  <c r="W52" i="175" s="1"/>
  <c r="U52" i="124"/>
  <c r="V52" i="85"/>
  <c r="W52" i="85" s="1"/>
  <c r="U51" i="175"/>
  <c r="U51" i="124"/>
  <c r="U51" i="174" s="1"/>
  <c r="V51" i="85"/>
  <c r="T50" i="175"/>
  <c r="T157" i="175" s="1"/>
  <c r="U34" i="85"/>
  <c r="V35" i="85"/>
  <c r="V34" i="85" s="1"/>
  <c r="U37" i="175"/>
  <c r="V37" i="175" s="1"/>
  <c r="U36" i="175"/>
  <c r="V36" i="175" s="1"/>
  <c r="U35" i="175"/>
  <c r="V35" i="175" s="1"/>
  <c r="V38" i="175"/>
  <c r="W38" i="175" s="1"/>
  <c r="R159" i="175"/>
  <c r="R158" i="175"/>
  <c r="W114" i="85"/>
  <c r="R160" i="175"/>
  <c r="R43" i="175"/>
  <c r="W13" i="85"/>
  <c r="AM348" i="174"/>
  <c r="V43" i="175"/>
  <c r="W43" i="175" s="1"/>
  <c r="W34" i="175"/>
  <c r="V254" i="173"/>
  <c r="W252" i="173"/>
  <c r="AM155" i="173"/>
  <c r="AL155" i="173"/>
  <c r="V288" i="173"/>
  <c r="V253" i="173"/>
  <c r="W251" i="173"/>
  <c r="Z72" i="87" l="1"/>
  <c r="AA72" i="87" s="1"/>
  <c r="AB72" i="87" s="1"/>
  <c r="AC72" i="87" s="1"/>
  <c r="AD72" i="87" s="1"/>
  <c r="AE72" i="87" s="1"/>
  <c r="AF72" i="87" s="1"/>
  <c r="AG72" i="87" s="1"/>
  <c r="AH72" i="87" s="1"/>
  <c r="AI72" i="87" s="1"/>
  <c r="AJ72" i="87" s="1"/>
  <c r="Y50" i="87"/>
  <c r="Z72" i="68"/>
  <c r="AA72" i="68" s="1"/>
  <c r="AB72" i="68" s="1"/>
  <c r="AC72" i="68" s="1"/>
  <c r="AD72" i="68" s="1"/>
  <c r="AE72" i="68" s="1"/>
  <c r="AF72" i="68" s="1"/>
  <c r="AG72" i="68" s="1"/>
  <c r="AH72" i="68" s="1"/>
  <c r="AI72" i="68" s="1"/>
  <c r="AJ72" i="68" s="1"/>
  <c r="Y50" i="68"/>
  <c r="Z72" i="83"/>
  <c r="AA72" i="83" s="1"/>
  <c r="AB72" i="83" s="1"/>
  <c r="AC72" i="83" s="1"/>
  <c r="AD72" i="83" s="1"/>
  <c r="AE72" i="83" s="1"/>
  <c r="AF72" i="83" s="1"/>
  <c r="AG72" i="83" s="1"/>
  <c r="AH72" i="83" s="1"/>
  <c r="AI72" i="83" s="1"/>
  <c r="AJ72" i="83" s="1"/>
  <c r="Y50" i="83"/>
  <c r="V93" i="174"/>
  <c r="V92" i="124"/>
  <c r="V94" i="174"/>
  <c r="V95" i="174"/>
  <c r="V96" i="174"/>
  <c r="V97" i="174"/>
  <c r="V98" i="174"/>
  <c r="V99" i="174"/>
  <c r="V100" i="174"/>
  <c r="V101" i="174"/>
  <c r="V102" i="174"/>
  <c r="V103" i="174"/>
  <c r="AM105" i="124"/>
  <c r="V105" i="174"/>
  <c r="V106" i="174"/>
  <c r="V107" i="174"/>
  <c r="V108" i="174"/>
  <c r="U93" i="174"/>
  <c r="U94" i="174"/>
  <c r="U95" i="174"/>
  <c r="U96" i="174"/>
  <c r="U97" i="174"/>
  <c r="U98" i="174"/>
  <c r="U99" i="174"/>
  <c r="U100" i="174"/>
  <c r="U101" i="174"/>
  <c r="U102" i="174"/>
  <c r="U103" i="174"/>
  <c r="U106" i="174"/>
  <c r="U107" i="174"/>
  <c r="U108" i="174"/>
  <c r="Y50" i="74"/>
  <c r="Y50" i="84"/>
  <c r="Z72" i="86"/>
  <c r="AA72" i="86" s="1"/>
  <c r="AB72" i="86" s="1"/>
  <c r="AC72" i="86" s="1"/>
  <c r="AD72" i="86" s="1"/>
  <c r="AE72" i="86" s="1"/>
  <c r="AF72" i="86" s="1"/>
  <c r="AG72" i="86" s="1"/>
  <c r="AH72" i="86" s="1"/>
  <c r="AI72" i="86" s="1"/>
  <c r="AJ72" i="86" s="1"/>
  <c r="Y72" i="124"/>
  <c r="Y72" i="174" s="1"/>
  <c r="Y72" i="175"/>
  <c r="Y50" i="175" s="1"/>
  <c r="Y50" i="86"/>
  <c r="S44" i="124"/>
  <c r="S34" i="124"/>
  <c r="S43" i="124" s="1"/>
  <c r="S35" i="174"/>
  <c r="T35" i="124"/>
  <c r="U36" i="124"/>
  <c r="T45" i="124"/>
  <c r="T45" i="174" s="1"/>
  <c r="T36" i="174"/>
  <c r="U37" i="124"/>
  <c r="T46" i="124"/>
  <c r="T46" i="174" s="1"/>
  <c r="T37" i="174"/>
  <c r="U43" i="68"/>
  <c r="U161" i="68"/>
  <c r="U164" i="68" s="1"/>
  <c r="U165" i="68" s="1"/>
  <c r="V34" i="83"/>
  <c r="V43" i="83" s="1"/>
  <c r="V44" i="83"/>
  <c r="W44" i="83" s="1"/>
  <c r="U161" i="83"/>
  <c r="U164" i="83"/>
  <c r="U165" i="83" s="1"/>
  <c r="W43" i="83"/>
  <c r="W34" i="83"/>
  <c r="U43" i="84"/>
  <c r="U161" i="84"/>
  <c r="U164" i="84" s="1"/>
  <c r="U165" i="84" s="1"/>
  <c r="U164" i="86"/>
  <c r="U165" i="86" s="1"/>
  <c r="U43" i="86"/>
  <c r="U164" i="85"/>
  <c r="U165" i="85" s="1"/>
  <c r="U43" i="85"/>
  <c r="U164" i="74"/>
  <c r="U165" i="74" s="1"/>
  <c r="U43" i="74"/>
  <c r="V43" i="74"/>
  <c r="W43" i="74" s="1"/>
  <c r="W34" i="74"/>
  <c r="U164" i="87"/>
  <c r="U165" i="87" s="1"/>
  <c r="U43" i="87"/>
  <c r="V50" i="87"/>
  <c r="W51" i="87"/>
  <c r="V34" i="87"/>
  <c r="V44" i="87"/>
  <c r="W44" i="87" s="1"/>
  <c r="W35" i="87"/>
  <c r="V50" i="68"/>
  <c r="W51" i="68"/>
  <c r="V43" i="68"/>
  <c r="W43" i="68" s="1"/>
  <c r="W34" i="68"/>
  <c r="V45" i="68"/>
  <c r="W45" i="68" s="1"/>
  <c r="W36" i="68"/>
  <c r="V161" i="83"/>
  <c r="W50" i="83"/>
  <c r="V50" i="74"/>
  <c r="W51" i="74"/>
  <c r="V161" i="84"/>
  <c r="W50" i="84"/>
  <c r="V34" i="84"/>
  <c r="V44" i="84"/>
  <c r="W44" i="84" s="1"/>
  <c r="W35" i="84"/>
  <c r="V50" i="86"/>
  <c r="W51" i="86"/>
  <c r="V44" i="86"/>
  <c r="W44" i="86" s="1"/>
  <c r="W35" i="86"/>
  <c r="AM156" i="175"/>
  <c r="W156" i="175"/>
  <c r="W154" i="85"/>
  <c r="V151" i="85"/>
  <c r="W151" i="85" s="1"/>
  <c r="U149" i="175"/>
  <c r="V154" i="175"/>
  <c r="U154" i="174"/>
  <c r="U151" i="124"/>
  <c r="U151" i="174" s="1"/>
  <c r="V109" i="85"/>
  <c r="W109" i="85" s="1"/>
  <c r="W110" i="85"/>
  <c r="U108" i="175"/>
  <c r="V110" i="175"/>
  <c r="V92" i="85"/>
  <c r="W92" i="85" s="1"/>
  <c r="W93" i="85"/>
  <c r="U91" i="175"/>
  <c r="V93" i="175"/>
  <c r="AM105" i="85"/>
  <c r="W105" i="85"/>
  <c r="U105" i="174"/>
  <c r="U77" i="174"/>
  <c r="V77" i="124"/>
  <c r="V77" i="174" s="1"/>
  <c r="U76" i="174"/>
  <c r="V76" i="124"/>
  <c r="V76" i="174" s="1"/>
  <c r="U72" i="174"/>
  <c r="V72" i="124"/>
  <c r="V72" i="174" s="1"/>
  <c r="V70" i="124"/>
  <c r="V70" i="174" s="1"/>
  <c r="U67" i="174"/>
  <c r="V67" i="124"/>
  <c r="V67" i="174" s="1"/>
  <c r="U66" i="174"/>
  <c r="V66" i="124"/>
  <c r="V66" i="174" s="1"/>
  <c r="U64" i="174"/>
  <c r="V64" i="124"/>
  <c r="V64" i="174" s="1"/>
  <c r="U56" i="174"/>
  <c r="V56" i="124"/>
  <c r="V56" i="174" s="1"/>
  <c r="AP56" i="175"/>
  <c r="AQ56" i="175" s="1"/>
  <c r="W56" i="175"/>
  <c r="U54" i="174"/>
  <c r="V54" i="124"/>
  <c r="V54" i="174" s="1"/>
  <c r="T160" i="175"/>
  <c r="T159" i="175"/>
  <c r="T158" i="175"/>
  <c r="V50" i="85"/>
  <c r="W51" i="85"/>
  <c r="U50" i="175"/>
  <c r="U157" i="175" s="1"/>
  <c r="V51" i="175"/>
  <c r="U52" i="174"/>
  <c r="V52" i="124"/>
  <c r="V52" i="174" s="1"/>
  <c r="AP52" i="174" s="1"/>
  <c r="V44" i="85"/>
  <c r="W44" i="85" s="1"/>
  <c r="W35" i="85"/>
  <c r="V44" i="175"/>
  <c r="W44" i="175" s="1"/>
  <c r="W35" i="175"/>
  <c r="V45" i="85"/>
  <c r="W45" i="85" s="1"/>
  <c r="W36" i="85"/>
  <c r="V45" i="175"/>
  <c r="W45" i="175" s="1"/>
  <c r="W36" i="175"/>
  <c r="V46" i="85"/>
  <c r="W46" i="85" s="1"/>
  <c r="W37" i="85"/>
  <c r="V46" i="175"/>
  <c r="W46" i="175" s="1"/>
  <c r="W37" i="175"/>
  <c r="V43" i="85"/>
  <c r="W43" i="85" s="1"/>
  <c r="W34" i="85"/>
  <c r="V255" i="173"/>
  <c r="W255" i="173" s="1"/>
  <c r="W253" i="173"/>
  <c r="V350" i="173"/>
  <c r="W288" i="173"/>
  <c r="V256" i="173"/>
  <c r="W256" i="173" s="1"/>
  <c r="W254" i="173"/>
  <c r="V92" i="174" l="1"/>
  <c r="U46" i="124"/>
  <c r="U46" i="174" s="1"/>
  <c r="U37" i="174"/>
  <c r="U45" i="124"/>
  <c r="U45" i="174" s="1"/>
  <c r="U36" i="174"/>
  <c r="U35" i="124"/>
  <c r="T44" i="124"/>
  <c r="T44" i="174" s="1"/>
  <c r="T34" i="124"/>
  <c r="T43" i="124" s="1"/>
  <c r="T35" i="174"/>
  <c r="V161" i="87"/>
  <c r="W50" i="87"/>
  <c r="V43" i="87"/>
  <c r="W43" i="87" s="1"/>
  <c r="V164" i="87"/>
  <c r="W34" i="87"/>
  <c r="V161" i="68"/>
  <c r="W50" i="68"/>
  <c r="V163" i="83"/>
  <c r="W163" i="83" s="1"/>
  <c r="V162" i="83"/>
  <c r="W162" i="83" s="1"/>
  <c r="W161" i="83"/>
  <c r="V164" i="83"/>
  <c r="V161" i="74"/>
  <c r="W50" i="74"/>
  <c r="V163" i="84"/>
  <c r="W163" i="84" s="1"/>
  <c r="V162" i="84"/>
  <c r="W162" i="84" s="1"/>
  <c r="W161" i="84"/>
  <c r="V43" i="84"/>
  <c r="W43" i="84" s="1"/>
  <c r="V164" i="84"/>
  <c r="W34" i="84"/>
  <c r="V161" i="86"/>
  <c r="W50" i="86"/>
  <c r="V164" i="86"/>
  <c r="V43" i="86"/>
  <c r="W43" i="86" s="1"/>
  <c r="W34" i="86"/>
  <c r="V149" i="175"/>
  <c r="W149" i="175" s="1"/>
  <c r="AM154" i="175"/>
  <c r="W154" i="175"/>
  <c r="V108" i="175"/>
  <c r="W108" i="175" s="1"/>
  <c r="W110" i="175"/>
  <c r="V91" i="175"/>
  <c r="W91" i="175" s="1"/>
  <c r="W93" i="175"/>
  <c r="V50" i="175"/>
  <c r="W51" i="175"/>
  <c r="U160" i="175"/>
  <c r="U159" i="175"/>
  <c r="U158" i="175"/>
  <c r="W50" i="85"/>
  <c r="V161" i="85"/>
  <c r="V353" i="173"/>
  <c r="W353" i="173" s="1"/>
  <c r="W350" i="173"/>
  <c r="U44" i="124" l="1"/>
  <c r="U44" i="174" s="1"/>
  <c r="U34" i="124"/>
  <c r="U43" i="124" s="1"/>
  <c r="U35" i="174"/>
  <c r="V163" i="87"/>
  <c r="W163" i="87" s="1"/>
  <c r="V162" i="87"/>
  <c r="W162" i="87" s="1"/>
  <c r="W161" i="87"/>
  <c r="V165" i="87"/>
  <c r="W165" i="87" s="1"/>
  <c r="W164" i="87"/>
  <c r="V163" i="68"/>
  <c r="W163" i="68" s="1"/>
  <c r="V162" i="68"/>
  <c r="W162" i="68" s="1"/>
  <c r="W161" i="68"/>
  <c r="V164" i="68"/>
  <c r="V165" i="83"/>
  <c r="W165" i="83" s="1"/>
  <c r="W164" i="83"/>
  <c r="V163" i="74"/>
  <c r="W163" i="74" s="1"/>
  <c r="V162" i="74"/>
  <c r="W162" i="74" s="1"/>
  <c r="W161" i="74"/>
  <c r="V164" i="74"/>
  <c r="V165" i="84"/>
  <c r="W165" i="84" s="1"/>
  <c r="W164" i="84"/>
  <c r="V163" i="86"/>
  <c r="W163" i="86" s="1"/>
  <c r="V162" i="86"/>
  <c r="W162" i="86" s="1"/>
  <c r="W161" i="86"/>
  <c r="V165" i="86"/>
  <c r="W165" i="86" s="1"/>
  <c r="W164" i="86"/>
  <c r="V163" i="85"/>
  <c r="W163" i="85" s="1"/>
  <c r="V162" i="85"/>
  <c r="W162" i="85" s="1"/>
  <c r="W161" i="85"/>
  <c r="V164" i="85"/>
  <c r="W50" i="175"/>
  <c r="V157" i="175"/>
  <c r="U114" i="124"/>
  <c r="U114" i="174" s="1"/>
  <c r="V165" i="68" l="1"/>
  <c r="W165" i="68" s="1"/>
  <c r="W164" i="68"/>
  <c r="V165" i="74"/>
  <c r="W165" i="74" s="1"/>
  <c r="W164" i="74"/>
  <c r="W157" i="175"/>
  <c r="V159" i="175"/>
  <c r="W159" i="175" s="1"/>
  <c r="V158" i="175"/>
  <c r="W158" i="175" s="1"/>
  <c r="V160" i="175"/>
  <c r="V165" i="85"/>
  <c r="W165" i="85" s="1"/>
  <c r="W164" i="85"/>
  <c r="Z11" i="124"/>
  <c r="Z11" i="174" s="1"/>
  <c r="AA11" i="124"/>
  <c r="AA11" i="174" s="1"/>
  <c r="AB11" i="124"/>
  <c r="AB11" i="174" s="1"/>
  <c r="AC11" i="124"/>
  <c r="AC11" i="174" s="1"/>
  <c r="AD11" i="124"/>
  <c r="AD11" i="174" s="1"/>
  <c r="AE11" i="124"/>
  <c r="AE11" i="174" s="1"/>
  <c r="AF11" i="124"/>
  <c r="AF11" i="174" s="1"/>
  <c r="AG11" i="124"/>
  <c r="AG11" i="174" s="1"/>
  <c r="AH11" i="124"/>
  <c r="AH11" i="174" s="1"/>
  <c r="AI11" i="124"/>
  <c r="AI11" i="174" s="1"/>
  <c r="AJ11" i="124"/>
  <c r="AJ11" i="174" s="1"/>
  <c r="Y10" i="124"/>
  <c r="Y10" i="174" s="1"/>
  <c r="Y11" i="124"/>
  <c r="Y11" i="174" s="1"/>
  <c r="V350" i="175" l="1"/>
  <c r="W350" i="175" s="1"/>
  <c r="W160" i="175"/>
  <c r="P56" i="38"/>
  <c r="P50" i="38"/>
  <c r="P44" i="38"/>
  <c r="P38" i="38"/>
  <c r="P31" i="38"/>
  <c r="P32" i="38"/>
  <c r="P55" i="38"/>
  <c r="P49" i="38"/>
  <c r="P43" i="38"/>
  <c r="P37" i="38"/>
  <c r="P30" i="38"/>
  <c r="P42" i="38"/>
  <c r="P48" i="38"/>
  <c r="P54" i="38"/>
  <c r="P36" i="38"/>
  <c r="Y30" i="87" l="1"/>
  <c r="Z1" i="87"/>
  <c r="Z160" i="87" s="1"/>
  <c r="Z1" i="68"/>
  <c r="Z160" i="68" s="1"/>
  <c r="Z1" i="86"/>
  <c r="Z160" i="86" s="1"/>
  <c r="Z1" i="85"/>
  <c r="Z160" i="85" s="1"/>
  <c r="Z1" i="84"/>
  <c r="Z160" i="84" s="1"/>
  <c r="Z1" i="83"/>
  <c r="Z160" i="83" s="1"/>
  <c r="Z159" i="83" l="1"/>
  <c r="Z159" i="84"/>
  <c r="Z159" i="85"/>
  <c r="Z159" i="86"/>
  <c r="Z159" i="87"/>
  <c r="Z159" i="68"/>
  <c r="Z51" i="86"/>
  <c r="Z70" i="87"/>
  <c r="Z66" i="87"/>
  <c r="Z67" i="87"/>
  <c r="Z64" i="87"/>
  <c r="Z51" i="87"/>
  <c r="Z70" i="68"/>
  <c r="Z66" i="68"/>
  <c r="Z67" i="68"/>
  <c r="Z64" i="68"/>
  <c r="Z51" i="68"/>
  <c r="Z70" i="83"/>
  <c r="Z66" i="83"/>
  <c r="Z67" i="83"/>
  <c r="Z64" i="83"/>
  <c r="Z51" i="83"/>
  <c r="Z51" i="84"/>
  <c r="Z70" i="84"/>
  <c r="Z66" i="84"/>
  <c r="Z67" i="84"/>
  <c r="Z64" i="84"/>
  <c r="Z51" i="85"/>
  <c r="Z64" i="85"/>
  <c r="Z66" i="85"/>
  <c r="Z67" i="85"/>
  <c r="Z70" i="85"/>
  <c r="Z149" i="87"/>
  <c r="Z115" i="87"/>
  <c r="Z93" i="87"/>
  <c r="Z94" i="87"/>
  <c r="Z95" i="87"/>
  <c r="Z96" i="87"/>
  <c r="Z97" i="87"/>
  <c r="Z98" i="87"/>
  <c r="Z99" i="87"/>
  <c r="Z100" i="87"/>
  <c r="Z101" i="87"/>
  <c r="Z102" i="87"/>
  <c r="Z104" i="87"/>
  <c r="Z106" i="87"/>
  <c r="Z107" i="87"/>
  <c r="Z108" i="87"/>
  <c r="Z110" i="87"/>
  <c r="Z111" i="87"/>
  <c r="Z112" i="87"/>
  <c r="Z113" i="87"/>
  <c r="Z149" i="68"/>
  <c r="Z115" i="68"/>
  <c r="Z93" i="68"/>
  <c r="Z94" i="68"/>
  <c r="Z95" i="68"/>
  <c r="Z96" i="68"/>
  <c r="Z97" i="68"/>
  <c r="Z98" i="68"/>
  <c r="Z99" i="68"/>
  <c r="Z100" i="68"/>
  <c r="Z101" i="68"/>
  <c r="Z102" i="68"/>
  <c r="Z103" i="68"/>
  <c r="Z104" i="68"/>
  <c r="Z106" i="68"/>
  <c r="Z107" i="68"/>
  <c r="Z108" i="68"/>
  <c r="Z110" i="68"/>
  <c r="Z111" i="68"/>
  <c r="Z112" i="68"/>
  <c r="Z113" i="68"/>
  <c r="Z149" i="83"/>
  <c r="Z93" i="83"/>
  <c r="Z94" i="83"/>
  <c r="Z95" i="83"/>
  <c r="Z96" i="83"/>
  <c r="Z97" i="83"/>
  <c r="Z98" i="83"/>
  <c r="Z99" i="83"/>
  <c r="Z100" i="83"/>
  <c r="Z101" i="83"/>
  <c r="Z102" i="83"/>
  <c r="Z103" i="83"/>
  <c r="Z104" i="83"/>
  <c r="Z106" i="83"/>
  <c r="Z107" i="83"/>
  <c r="Z108" i="83"/>
  <c r="Z110" i="83"/>
  <c r="Z111" i="83"/>
  <c r="Z112" i="83"/>
  <c r="Z113" i="83"/>
  <c r="Z149" i="84"/>
  <c r="Z115" i="84"/>
  <c r="Z93" i="84"/>
  <c r="Z94" i="84"/>
  <c r="Z95" i="84"/>
  <c r="Z96" i="84"/>
  <c r="Z97" i="84"/>
  <c r="Z98" i="84"/>
  <c r="Z99" i="84"/>
  <c r="Z100" i="84"/>
  <c r="Z101" i="84"/>
  <c r="Z102" i="84"/>
  <c r="Z103" i="84"/>
  <c r="Z104" i="84"/>
  <c r="Z106" i="84"/>
  <c r="Z107" i="84"/>
  <c r="Z108" i="84"/>
  <c r="Z110" i="84"/>
  <c r="Z111" i="84"/>
  <c r="Z112" i="84"/>
  <c r="Z113" i="84"/>
  <c r="Z149" i="85"/>
  <c r="Z115" i="85"/>
  <c r="Z93" i="85"/>
  <c r="Z94" i="85"/>
  <c r="Z95" i="85"/>
  <c r="Z96" i="85"/>
  <c r="Z97" i="85"/>
  <c r="Z98" i="85"/>
  <c r="Z99" i="85"/>
  <c r="Z100" i="85"/>
  <c r="Z101" i="85"/>
  <c r="Z102" i="85"/>
  <c r="Z103" i="85"/>
  <c r="Z104" i="85"/>
  <c r="Z106" i="85"/>
  <c r="Z107" i="85"/>
  <c r="Z108" i="85"/>
  <c r="Z110" i="85"/>
  <c r="Z111" i="85"/>
  <c r="Z112" i="85"/>
  <c r="Z113" i="85"/>
  <c r="Z149" i="86"/>
  <c r="Z115" i="86"/>
  <c r="Z93" i="86"/>
  <c r="Z94" i="86"/>
  <c r="Z95" i="86"/>
  <c r="Z96" i="86"/>
  <c r="Z97" i="86"/>
  <c r="Z98" i="86"/>
  <c r="Z99" i="86"/>
  <c r="Z100" i="86"/>
  <c r="Z101" i="86"/>
  <c r="Z102" i="86"/>
  <c r="Z103" i="86"/>
  <c r="Z104" i="86"/>
  <c r="Z106" i="86"/>
  <c r="Z107" i="86"/>
  <c r="Z108" i="86"/>
  <c r="Z110" i="86"/>
  <c r="Z111" i="86"/>
  <c r="Z112" i="86"/>
  <c r="Z113" i="86"/>
  <c r="Z52" i="83"/>
  <c r="Z90" i="83"/>
  <c r="Z52" i="87"/>
  <c r="Z80" i="68"/>
  <c r="Z52" i="68"/>
  <c r="Z52" i="84"/>
  <c r="Z52" i="86"/>
  <c r="Z80" i="87"/>
  <c r="Z80" i="85"/>
  <c r="Z80" i="86"/>
  <c r="Z56" i="83"/>
  <c r="Z80" i="83"/>
  <c r="Z80" i="84"/>
  <c r="Z79" i="84"/>
  <c r="Y38" i="87"/>
  <c r="Y38" i="175" s="1"/>
  <c r="Y30" i="175"/>
  <c r="Z56" i="87"/>
  <c r="Z154" i="87"/>
  <c r="Z126" i="87"/>
  <c r="Z127" i="87"/>
  <c r="Z91" i="87"/>
  <c r="Z155" i="87"/>
  <c r="Z56" i="68"/>
  <c r="Z158" i="68"/>
  <c r="Z155" i="68"/>
  <c r="Z154" i="68"/>
  <c r="Z148" i="68"/>
  <c r="Z145" i="68"/>
  <c r="Z144" i="68"/>
  <c r="Z142" i="68"/>
  <c r="Z141" i="68"/>
  <c r="Z140" i="68"/>
  <c r="Z137" i="68"/>
  <c r="Z135" i="68"/>
  <c r="Z131" i="68"/>
  <c r="Z129" i="68"/>
  <c r="Z128" i="68"/>
  <c r="Z127" i="68"/>
  <c r="Z126" i="68"/>
  <c r="Z125" i="68"/>
  <c r="Z123" i="68"/>
  <c r="Z121" i="68"/>
  <c r="Z119" i="68"/>
  <c r="Z118" i="68"/>
  <c r="Z91" i="68"/>
  <c r="Z89" i="68"/>
  <c r="Z88" i="68"/>
  <c r="Z86" i="68"/>
  <c r="Z79" i="68"/>
  <c r="Z76" i="68"/>
  <c r="Z58" i="68"/>
  <c r="Z57" i="68"/>
  <c r="Z55" i="68"/>
  <c r="Z54" i="68"/>
  <c r="Z115" i="83"/>
  <c r="Z158" i="83"/>
  <c r="Z155" i="83"/>
  <c r="Z154" i="83"/>
  <c r="Z148" i="83"/>
  <c r="Z145" i="83"/>
  <c r="Z144" i="83"/>
  <c r="Z142" i="83"/>
  <c r="Z141" i="83"/>
  <c r="Z140" i="83"/>
  <c r="Z137" i="83"/>
  <c r="Z135" i="83"/>
  <c r="Z131" i="83"/>
  <c r="Z129" i="83"/>
  <c r="Z128" i="83"/>
  <c r="Z127" i="83"/>
  <c r="Z126" i="83"/>
  <c r="Z125" i="83"/>
  <c r="Z123" i="83"/>
  <c r="Z121" i="83"/>
  <c r="Z119" i="83"/>
  <c r="Z118" i="83"/>
  <c r="Z91" i="83"/>
  <c r="Z89" i="83"/>
  <c r="Z88" i="83"/>
  <c r="Z86" i="83"/>
  <c r="Z79" i="83"/>
  <c r="Z76" i="83"/>
  <c r="Z58" i="83"/>
  <c r="Z57" i="83"/>
  <c r="Z55" i="83"/>
  <c r="Z54" i="83"/>
  <c r="Z56" i="84"/>
  <c r="Z158" i="84"/>
  <c r="Z155" i="84"/>
  <c r="Z154" i="84"/>
  <c r="Z148" i="84"/>
  <c r="Z145" i="84"/>
  <c r="Z144" i="84"/>
  <c r="Z142" i="84"/>
  <c r="Z141" i="84"/>
  <c r="Z140" i="84"/>
  <c r="Z137" i="84"/>
  <c r="Z135" i="84"/>
  <c r="Z131" i="84"/>
  <c r="Z129" i="84"/>
  <c r="Z128" i="84"/>
  <c r="Z127" i="84"/>
  <c r="Z126" i="84"/>
  <c r="Z125" i="84"/>
  <c r="Z123" i="84"/>
  <c r="Z121" i="84"/>
  <c r="Z119" i="84"/>
  <c r="Z118" i="84"/>
  <c r="Z89" i="84"/>
  <c r="Z88" i="84"/>
  <c r="Z86" i="84"/>
  <c r="Z76" i="84"/>
  <c r="Z58" i="84"/>
  <c r="Z57" i="84"/>
  <c r="Z55" i="84"/>
  <c r="Z54" i="84"/>
  <c r="Z64" i="86"/>
  <c r="Z56" i="86"/>
  <c r="Z158" i="86"/>
  <c r="Z155" i="86"/>
  <c r="Z154" i="86"/>
  <c r="Z148" i="86"/>
  <c r="Z145" i="86"/>
  <c r="Z144" i="86"/>
  <c r="Z142" i="86"/>
  <c r="Z141" i="86"/>
  <c r="Z140" i="86"/>
  <c r="Z137" i="86"/>
  <c r="Z135" i="86"/>
  <c r="Z131" i="86"/>
  <c r="Z129" i="86"/>
  <c r="Z128" i="86"/>
  <c r="Z127" i="86"/>
  <c r="Z126" i="86"/>
  <c r="Z125" i="86"/>
  <c r="Z123" i="86"/>
  <c r="Z121" i="86"/>
  <c r="Z119" i="86"/>
  <c r="Z118" i="86"/>
  <c r="Z91" i="86"/>
  <c r="Z89" i="86"/>
  <c r="Z88" i="86"/>
  <c r="Z86" i="86"/>
  <c r="Z79" i="86"/>
  <c r="Z76" i="86"/>
  <c r="Z70" i="86"/>
  <c r="Z67" i="86"/>
  <c r="Z66" i="86"/>
  <c r="Z58" i="86"/>
  <c r="Z57" i="86"/>
  <c r="Z55" i="86"/>
  <c r="Z54" i="86"/>
  <c r="Z56" i="85"/>
  <c r="Z158" i="85"/>
  <c r="Z155" i="85"/>
  <c r="Z154" i="85"/>
  <c r="Z148" i="85"/>
  <c r="Z145" i="85"/>
  <c r="Z144" i="85"/>
  <c r="Z142" i="85"/>
  <c r="Z141" i="85"/>
  <c r="Z140" i="85"/>
  <c r="Z137" i="85"/>
  <c r="Z135" i="85"/>
  <c r="Z131" i="85"/>
  <c r="Z129" i="85"/>
  <c r="Z128" i="85"/>
  <c r="Z127" i="85"/>
  <c r="Z126" i="85"/>
  <c r="Z125" i="85"/>
  <c r="Z123" i="85"/>
  <c r="Z121" i="85"/>
  <c r="Z119" i="85"/>
  <c r="Z118" i="85"/>
  <c r="Z91" i="85"/>
  <c r="Z89" i="85"/>
  <c r="Z88" i="85"/>
  <c r="Z86" i="85"/>
  <c r="Z79" i="85"/>
  <c r="Z76" i="85"/>
  <c r="Z58" i="85"/>
  <c r="Z57" i="85"/>
  <c r="Z55" i="85"/>
  <c r="Z54" i="85"/>
  <c r="Z10" i="85"/>
  <c r="Z40" i="85"/>
  <c r="Z7" i="85" s="1"/>
  <c r="Z41" i="85"/>
  <c r="Z8" i="85" s="1"/>
  <c r="Z42" i="85"/>
  <c r="Z9" i="85" s="1"/>
  <c r="Z10" i="83"/>
  <c r="Z10" i="84"/>
  <c r="Z10" i="86"/>
  <c r="Z10" i="68"/>
  <c r="Z158" i="87"/>
  <c r="Z76" i="87"/>
  <c r="Z57" i="87"/>
  <c r="Z54" i="87"/>
  <c r="Z88" i="87"/>
  <c r="Z118" i="87"/>
  <c r="Z119" i="87"/>
  <c r="Z123" i="87"/>
  <c r="Z125" i="87"/>
  <c r="Z128" i="87"/>
  <c r="Z129" i="87"/>
  <c r="Z131" i="87"/>
  <c r="Z135" i="87"/>
  <c r="Z137" i="87"/>
  <c r="Z140" i="87"/>
  <c r="Z141" i="87"/>
  <c r="Z142" i="87"/>
  <c r="Z144" i="87"/>
  <c r="Z145" i="87"/>
  <c r="Z86" i="87"/>
  <c r="Z148" i="87"/>
  <c r="Z79" i="87"/>
  <c r="Z89" i="87"/>
  <c r="Z58" i="87"/>
  <c r="Z121" i="87"/>
  <c r="Y22" i="124"/>
  <c r="Y22" i="174" s="1"/>
  <c r="Y38" i="124"/>
  <c r="Y38" i="174" s="1"/>
  <c r="Y30" i="124"/>
  <c r="Y30" i="174" s="1"/>
  <c r="Z10" i="87"/>
  <c r="AA1" i="84"/>
  <c r="AA160" i="84" s="1"/>
  <c r="AA1" i="83"/>
  <c r="AA160" i="83" s="1"/>
  <c r="AA1" i="85"/>
  <c r="AA160" i="85" s="1"/>
  <c r="AA1" i="86"/>
  <c r="AA160" i="86" s="1"/>
  <c r="AA1" i="68"/>
  <c r="AA160" i="68" s="1"/>
  <c r="AA1" i="87"/>
  <c r="AA160" i="87" s="1"/>
  <c r="AB1" i="68"/>
  <c r="AB160" i="68" s="1"/>
  <c r="AA159" i="83" l="1"/>
  <c r="AA159" i="84"/>
  <c r="AA159" i="85"/>
  <c r="AA159" i="86"/>
  <c r="AA159" i="87"/>
  <c r="AB159" i="68"/>
  <c r="AA159" i="68"/>
  <c r="AA51" i="86"/>
  <c r="AA70" i="87"/>
  <c r="AA66" i="87"/>
  <c r="AA67" i="87"/>
  <c r="AA64" i="87"/>
  <c r="AA51" i="87"/>
  <c r="AB70" i="68"/>
  <c r="AB66" i="68"/>
  <c r="AB67" i="68"/>
  <c r="AB64" i="68"/>
  <c r="AB51" i="68"/>
  <c r="AA70" i="68"/>
  <c r="AA66" i="68"/>
  <c r="AA67" i="68"/>
  <c r="AA64" i="68"/>
  <c r="AA51" i="68"/>
  <c r="AA70" i="83"/>
  <c r="AA66" i="83"/>
  <c r="AA67" i="83"/>
  <c r="AA64" i="83"/>
  <c r="AA51" i="83"/>
  <c r="AA51" i="84"/>
  <c r="AA70" i="84"/>
  <c r="AA66" i="84"/>
  <c r="AA67" i="84"/>
  <c r="AA64" i="84"/>
  <c r="AA51" i="85"/>
  <c r="AA64" i="85"/>
  <c r="AA66" i="85"/>
  <c r="AA67" i="85"/>
  <c r="AA70" i="85"/>
  <c r="AA149" i="87"/>
  <c r="AA115" i="87"/>
  <c r="AA93" i="87"/>
  <c r="AA94" i="87"/>
  <c r="AA95" i="87"/>
  <c r="AA96" i="87"/>
  <c r="AA97" i="87"/>
  <c r="AA98" i="87"/>
  <c r="AA99" i="87"/>
  <c r="AA100" i="87"/>
  <c r="AA101" i="87"/>
  <c r="AA102" i="87"/>
  <c r="AA104" i="87"/>
  <c r="AA106" i="87"/>
  <c r="AA107" i="87"/>
  <c r="AA108" i="87"/>
  <c r="AA110" i="87"/>
  <c r="AA111" i="87"/>
  <c r="AA112" i="87"/>
  <c r="AA113" i="87"/>
  <c r="AB149" i="68"/>
  <c r="AB115" i="68"/>
  <c r="AB93" i="68"/>
  <c r="AB94" i="68"/>
  <c r="AB95" i="68"/>
  <c r="AB96" i="68"/>
  <c r="AB97" i="68"/>
  <c r="AB98" i="68"/>
  <c r="AB99" i="68"/>
  <c r="AB100" i="68"/>
  <c r="AB101" i="68"/>
  <c r="AB102" i="68"/>
  <c r="AB103" i="68"/>
  <c r="AB104" i="68"/>
  <c r="AB106" i="68"/>
  <c r="AB107" i="68"/>
  <c r="AB108" i="68"/>
  <c r="AB110" i="68"/>
  <c r="AB111" i="68"/>
  <c r="AB112" i="68"/>
  <c r="AB113" i="68"/>
  <c r="AA149" i="68"/>
  <c r="AA115" i="68"/>
  <c r="AA93" i="68"/>
  <c r="AA94" i="68"/>
  <c r="AA95" i="68"/>
  <c r="AA96" i="68"/>
  <c r="AA97" i="68"/>
  <c r="AA98" i="68"/>
  <c r="AA99" i="68"/>
  <c r="AA100" i="68"/>
  <c r="AA101" i="68"/>
  <c r="AA102" i="68"/>
  <c r="AA103" i="68"/>
  <c r="AA104" i="68"/>
  <c r="AA106" i="68"/>
  <c r="AA107" i="68"/>
  <c r="AA108" i="68"/>
  <c r="AA110" i="68"/>
  <c r="AA111" i="68"/>
  <c r="AA112" i="68"/>
  <c r="AA113" i="68"/>
  <c r="AA149" i="83"/>
  <c r="AA93" i="83"/>
  <c r="AA94" i="83"/>
  <c r="AA95" i="83"/>
  <c r="AA96" i="83"/>
  <c r="AA97" i="83"/>
  <c r="AA98" i="83"/>
  <c r="AA99" i="83"/>
  <c r="AA100" i="83"/>
  <c r="AA101" i="83"/>
  <c r="AA102" i="83"/>
  <c r="AA103" i="83"/>
  <c r="AA104" i="83"/>
  <c r="AA106" i="83"/>
  <c r="AA107" i="83"/>
  <c r="AA108" i="83"/>
  <c r="AA110" i="83"/>
  <c r="AA111" i="83"/>
  <c r="AA112" i="83"/>
  <c r="AA113" i="83"/>
  <c r="AA149" i="84"/>
  <c r="AA115" i="84"/>
  <c r="AA93" i="84"/>
  <c r="AA94" i="84"/>
  <c r="AA95" i="84"/>
  <c r="AA96" i="84"/>
  <c r="AA97" i="84"/>
  <c r="AA98" i="84"/>
  <c r="AA99" i="84"/>
  <c r="AA100" i="84"/>
  <c r="AA101" i="84"/>
  <c r="AA102" i="84"/>
  <c r="AA103" i="84"/>
  <c r="AA104" i="84"/>
  <c r="AA106" i="84"/>
  <c r="AA107" i="84"/>
  <c r="AA108" i="84"/>
  <c r="AA110" i="84"/>
  <c r="AA111" i="84"/>
  <c r="AA112" i="84"/>
  <c r="AA113" i="84"/>
  <c r="Z52" i="85"/>
  <c r="AA149" i="85"/>
  <c r="AA115" i="85"/>
  <c r="AA93" i="85"/>
  <c r="AA94" i="85"/>
  <c r="AA95" i="85"/>
  <c r="AA96" i="85"/>
  <c r="AA97" i="85"/>
  <c r="AA98" i="85"/>
  <c r="AA99" i="85"/>
  <c r="AA100" i="85"/>
  <c r="AA101" i="85"/>
  <c r="AA102" i="85"/>
  <c r="AA103" i="85"/>
  <c r="AA104" i="85"/>
  <c r="AA106" i="85"/>
  <c r="AA107" i="85"/>
  <c r="AA108" i="85"/>
  <c r="AA110" i="85"/>
  <c r="AA111" i="85"/>
  <c r="AA112" i="85"/>
  <c r="AA113" i="85"/>
  <c r="AA149" i="86"/>
  <c r="AA115" i="86"/>
  <c r="AA93" i="86"/>
  <c r="AA94" i="86"/>
  <c r="AA95" i="86"/>
  <c r="AA96" i="86"/>
  <c r="AA97" i="86"/>
  <c r="AA98" i="86"/>
  <c r="AA99" i="86"/>
  <c r="AA100" i="86"/>
  <c r="AA101" i="86"/>
  <c r="AA102" i="86"/>
  <c r="AA103" i="86"/>
  <c r="AA104" i="86"/>
  <c r="AA106" i="86"/>
  <c r="AA107" i="86"/>
  <c r="AA108" i="86"/>
  <c r="AA110" i="86"/>
  <c r="AA111" i="86"/>
  <c r="AA112" i="86"/>
  <c r="AA113" i="86"/>
  <c r="AA52" i="83"/>
  <c r="AA90" i="83"/>
  <c r="AA52" i="87"/>
  <c r="AB80" i="68"/>
  <c r="AB52" i="68"/>
  <c r="AA52" i="68"/>
  <c r="AA52" i="84"/>
  <c r="AA52" i="86"/>
  <c r="AA52" i="85"/>
  <c r="Z50" i="85"/>
  <c r="Z150" i="85"/>
  <c r="Z45" i="85"/>
  <c r="AA45" i="85"/>
  <c r="AB45" i="85"/>
  <c r="AC45" i="85"/>
  <c r="AD45" i="85"/>
  <c r="AE45" i="85"/>
  <c r="AF45" i="85"/>
  <c r="AG45" i="85"/>
  <c r="AH45" i="85"/>
  <c r="AI45" i="85"/>
  <c r="AJ45" i="85"/>
  <c r="Y45" i="85"/>
  <c r="AA80" i="85"/>
  <c r="AA60" i="175"/>
  <c r="AA60" i="124"/>
  <c r="AA60" i="174" s="1"/>
  <c r="Z60" i="175"/>
  <c r="Z60" i="124"/>
  <c r="Z45" i="87"/>
  <c r="AA45" i="87"/>
  <c r="AB45" i="87"/>
  <c r="AC45" i="87"/>
  <c r="AD45" i="87"/>
  <c r="AE45" i="87"/>
  <c r="AF45" i="87"/>
  <c r="AG45" i="87"/>
  <c r="AH45" i="87"/>
  <c r="AI45" i="87"/>
  <c r="AJ45" i="87"/>
  <c r="Y45" i="87"/>
  <c r="AA80" i="87"/>
  <c r="Z45" i="68"/>
  <c r="AA45" i="68"/>
  <c r="AB45" i="68"/>
  <c r="AC45" i="68"/>
  <c r="AD45" i="68"/>
  <c r="AE45" i="68"/>
  <c r="AF45" i="68"/>
  <c r="AG45" i="68"/>
  <c r="AH45" i="68"/>
  <c r="AI45" i="68"/>
  <c r="AJ45" i="68"/>
  <c r="Y45" i="68"/>
  <c r="AA80" i="68"/>
  <c r="Z45" i="83"/>
  <c r="AA45" i="83"/>
  <c r="AB45" i="83"/>
  <c r="AC45" i="83"/>
  <c r="AD45" i="83"/>
  <c r="AE45" i="83"/>
  <c r="AF45" i="83"/>
  <c r="AG45" i="83"/>
  <c r="AH45" i="83"/>
  <c r="AI45" i="83"/>
  <c r="AJ45" i="83"/>
  <c r="Y45" i="83"/>
  <c r="AA56" i="83"/>
  <c r="AA80" i="83"/>
  <c r="Z45" i="84"/>
  <c r="AA45" i="84"/>
  <c r="AB45" i="84"/>
  <c r="AC45" i="84"/>
  <c r="AD45" i="84"/>
  <c r="AE45" i="84"/>
  <c r="AF45" i="84"/>
  <c r="AG45" i="84"/>
  <c r="AH45" i="84"/>
  <c r="AI45" i="84"/>
  <c r="AJ45" i="84"/>
  <c r="Y45" i="84"/>
  <c r="AA80" i="84"/>
  <c r="AA79" i="84"/>
  <c r="Z45" i="86"/>
  <c r="AA45" i="86"/>
  <c r="AB45" i="86"/>
  <c r="AC45" i="86"/>
  <c r="AD45" i="86"/>
  <c r="AE45" i="86"/>
  <c r="AF45" i="86"/>
  <c r="AG45" i="86"/>
  <c r="AH45" i="86"/>
  <c r="AI45" i="86"/>
  <c r="AJ45" i="86"/>
  <c r="Y45" i="86"/>
  <c r="AA80" i="86"/>
  <c r="AA56" i="87"/>
  <c r="AA154" i="87"/>
  <c r="AA126" i="87"/>
  <c r="AA127" i="87"/>
  <c r="AA91" i="87"/>
  <c r="AA155" i="87"/>
  <c r="AB56" i="68"/>
  <c r="AB158" i="68"/>
  <c r="AB155" i="68"/>
  <c r="AB154" i="68"/>
  <c r="AB148" i="68"/>
  <c r="AB145" i="68"/>
  <c r="AB144" i="68"/>
  <c r="AB142" i="68"/>
  <c r="AB141" i="68"/>
  <c r="AB140" i="68"/>
  <c r="AB137" i="68"/>
  <c r="AB135" i="68"/>
  <c r="AB131" i="68"/>
  <c r="AB129" i="68"/>
  <c r="AB128" i="68"/>
  <c r="AB127" i="68"/>
  <c r="AB126" i="68"/>
  <c r="AB125" i="68"/>
  <c r="AB123" i="68"/>
  <c r="AB121" i="68"/>
  <c r="AB119" i="68"/>
  <c r="AB118" i="68"/>
  <c r="AB91" i="68"/>
  <c r="AB89" i="68"/>
  <c r="AB88" i="68"/>
  <c r="AB86" i="68"/>
  <c r="AB79" i="68"/>
  <c r="AB76" i="68"/>
  <c r="AB58" i="68"/>
  <c r="AB57" i="68"/>
  <c r="AB55" i="68"/>
  <c r="AB54" i="68"/>
  <c r="AA56" i="68"/>
  <c r="AA158" i="68"/>
  <c r="AA155" i="68"/>
  <c r="AA154" i="68"/>
  <c r="AA148" i="68"/>
  <c r="AA145" i="68"/>
  <c r="AA144" i="68"/>
  <c r="AA142" i="68"/>
  <c r="AA141" i="68"/>
  <c r="AA140" i="68"/>
  <c r="AA137" i="68"/>
  <c r="AA135" i="68"/>
  <c r="AA131" i="68"/>
  <c r="AA129" i="68"/>
  <c r="AA128" i="68"/>
  <c r="AA127" i="68"/>
  <c r="AA126" i="68"/>
  <c r="AA125" i="68"/>
  <c r="AA123" i="68"/>
  <c r="AA121" i="68"/>
  <c r="AA119" i="68"/>
  <c r="AA118" i="68"/>
  <c r="AA91" i="68"/>
  <c r="AA89" i="68"/>
  <c r="AA88" i="68"/>
  <c r="AA86" i="68"/>
  <c r="AA79" i="68"/>
  <c r="AA76" i="68"/>
  <c r="AA58" i="68"/>
  <c r="AA57" i="68"/>
  <c r="AA55" i="68"/>
  <c r="AA54" i="68"/>
  <c r="AA115" i="83"/>
  <c r="AA158" i="83"/>
  <c r="AA155" i="83"/>
  <c r="AA154" i="83"/>
  <c r="AA148" i="83"/>
  <c r="AA145" i="83"/>
  <c r="AA144" i="83"/>
  <c r="AA142" i="83"/>
  <c r="AA141" i="83"/>
  <c r="AA140" i="83"/>
  <c r="AA137" i="83"/>
  <c r="AA135" i="83"/>
  <c r="AA131" i="83"/>
  <c r="AA129" i="83"/>
  <c r="AA128" i="83"/>
  <c r="AA127" i="83"/>
  <c r="AA126" i="83"/>
  <c r="AA125" i="83"/>
  <c r="AA123" i="83"/>
  <c r="AA121" i="83"/>
  <c r="AA119" i="83"/>
  <c r="AA118" i="83"/>
  <c r="AA91" i="83"/>
  <c r="AA89" i="83"/>
  <c r="AA88" i="83"/>
  <c r="AA86" i="83"/>
  <c r="AA79" i="83"/>
  <c r="AA76" i="83"/>
  <c r="AA58" i="83"/>
  <c r="AA57" i="83"/>
  <c r="AA55" i="83"/>
  <c r="AA54" i="83"/>
  <c r="AA56" i="84"/>
  <c r="AA158" i="84"/>
  <c r="AA155" i="84"/>
  <c r="AA154" i="84"/>
  <c r="AA148" i="84"/>
  <c r="AA145" i="84"/>
  <c r="AA144" i="84"/>
  <c r="AA142" i="84"/>
  <c r="AA141" i="84"/>
  <c r="AA140" i="84"/>
  <c r="AA137" i="84"/>
  <c r="AA135" i="84"/>
  <c r="AA131" i="84"/>
  <c r="AA129" i="84"/>
  <c r="AA128" i="84"/>
  <c r="AA127" i="84"/>
  <c r="AA126" i="84"/>
  <c r="AA125" i="84"/>
  <c r="AA123" i="84"/>
  <c r="AA121" i="84"/>
  <c r="AA119" i="84"/>
  <c r="AA118" i="84"/>
  <c r="AA89" i="84"/>
  <c r="AA88" i="84"/>
  <c r="AA86" i="84"/>
  <c r="AA76" i="84"/>
  <c r="AA58" i="84"/>
  <c r="AA57" i="84"/>
  <c r="AA55" i="84"/>
  <c r="AA54" i="84"/>
  <c r="AA64" i="86"/>
  <c r="AA56" i="86"/>
  <c r="AA158" i="86"/>
  <c r="AA155" i="86"/>
  <c r="AA154" i="86"/>
  <c r="AA148" i="86"/>
  <c r="AA145" i="86"/>
  <c r="AA144" i="86"/>
  <c r="AA142" i="86"/>
  <c r="AA141" i="86"/>
  <c r="AA140" i="86"/>
  <c r="AA137" i="86"/>
  <c r="AA135" i="86"/>
  <c r="AA131" i="86"/>
  <c r="AA129" i="86"/>
  <c r="AA128" i="86"/>
  <c r="AA127" i="86"/>
  <c r="AA126" i="86"/>
  <c r="AA125" i="86"/>
  <c r="AA123" i="86"/>
  <c r="AA121" i="86"/>
  <c r="AA119" i="86"/>
  <c r="AA118" i="86"/>
  <c r="AA91" i="86"/>
  <c r="AA89" i="86"/>
  <c r="AA88" i="86"/>
  <c r="AA86" i="86"/>
  <c r="AA79" i="86"/>
  <c r="AA76" i="86"/>
  <c r="AA70" i="86"/>
  <c r="AA67" i="86"/>
  <c r="AA66" i="86"/>
  <c r="AA58" i="86"/>
  <c r="AA57" i="86"/>
  <c r="AA55" i="86"/>
  <c r="AA54" i="86"/>
  <c r="AA56" i="85"/>
  <c r="Y36" i="85"/>
  <c r="Y15" i="85" s="1"/>
  <c r="AA158" i="85"/>
  <c r="AA155" i="85"/>
  <c r="AA154" i="85"/>
  <c r="AA148" i="85"/>
  <c r="AA145" i="85"/>
  <c r="AA144" i="85"/>
  <c r="AA142" i="85"/>
  <c r="AA141" i="85"/>
  <c r="AA140" i="85"/>
  <c r="AA137" i="85"/>
  <c r="AA135" i="85"/>
  <c r="AA131" i="85"/>
  <c r="AA129" i="85"/>
  <c r="AA128" i="85"/>
  <c r="AA127" i="85"/>
  <c r="AA126" i="85"/>
  <c r="AA125" i="85"/>
  <c r="AA123" i="85"/>
  <c r="AA121" i="85"/>
  <c r="AA119" i="85"/>
  <c r="AA118" i="85"/>
  <c r="AA91" i="85"/>
  <c r="AA89" i="85"/>
  <c r="AA88" i="85"/>
  <c r="AA86" i="85"/>
  <c r="AA79" i="85"/>
  <c r="AA76" i="85"/>
  <c r="AA58" i="85"/>
  <c r="AA57" i="85"/>
  <c r="AA55" i="85"/>
  <c r="AA54" i="85"/>
  <c r="AA50" i="85"/>
  <c r="AA10" i="85"/>
  <c r="AA40" i="85"/>
  <c r="AA7" i="85" s="1"/>
  <c r="AA41" i="85"/>
  <c r="AA8" i="85" s="1"/>
  <c r="AA42" i="85"/>
  <c r="AA9" i="85" s="1"/>
  <c r="Z109" i="85"/>
  <c r="Z92" i="85"/>
  <c r="Z27" i="85"/>
  <c r="Z29" i="85"/>
  <c r="Z24" i="85"/>
  <c r="Z26" i="85"/>
  <c r="Z36" i="85"/>
  <c r="Z28" i="85"/>
  <c r="Z23" i="85"/>
  <c r="Z25" i="85"/>
  <c r="Z35" i="85"/>
  <c r="Z39" i="85"/>
  <c r="Z30" i="85"/>
  <c r="Z38" i="85"/>
  <c r="Z151" i="85"/>
  <c r="AA151" i="83"/>
  <c r="AA10" i="83"/>
  <c r="Z30" i="83"/>
  <c r="Z38" i="83" s="1"/>
  <c r="Z92" i="83"/>
  <c r="Z109" i="83"/>
  <c r="Z50" i="83"/>
  <c r="Z151" i="83"/>
  <c r="AA151" i="84"/>
  <c r="AA10" i="84"/>
  <c r="Z30" i="84"/>
  <c r="Z38" i="84" s="1"/>
  <c r="Z92" i="84"/>
  <c r="Z109" i="84"/>
  <c r="Z50" i="84"/>
  <c r="Z151" i="84"/>
  <c r="AA151" i="86"/>
  <c r="AA10" i="86"/>
  <c r="Z30" i="86"/>
  <c r="Z92" i="86"/>
  <c r="Z109" i="86"/>
  <c r="Z50" i="86"/>
  <c r="Z151" i="86"/>
  <c r="AB151" i="68"/>
  <c r="AB10" i="68"/>
  <c r="AA151" i="68"/>
  <c r="AA10" i="68"/>
  <c r="Z30" i="68"/>
  <c r="Z38" i="68" s="1"/>
  <c r="Z92" i="68"/>
  <c r="Z109" i="68"/>
  <c r="Z50" i="68"/>
  <c r="Z151" i="68"/>
  <c r="AA158" i="87"/>
  <c r="AA76" i="87"/>
  <c r="AA57" i="87"/>
  <c r="AA54" i="87"/>
  <c r="AA88" i="87"/>
  <c r="AA118" i="87"/>
  <c r="AA119" i="87"/>
  <c r="AA123" i="87"/>
  <c r="AA125" i="87"/>
  <c r="AA128" i="87"/>
  <c r="AA129" i="87"/>
  <c r="AA131" i="87"/>
  <c r="AA135" i="87"/>
  <c r="AA137" i="87"/>
  <c r="AA140" i="87"/>
  <c r="AA141" i="87"/>
  <c r="AA142" i="87"/>
  <c r="AA144" i="87"/>
  <c r="AA145" i="87"/>
  <c r="AA86" i="87"/>
  <c r="AA148" i="87"/>
  <c r="AA79" i="87"/>
  <c r="AA89" i="87"/>
  <c r="AA58" i="87"/>
  <c r="AA121" i="87"/>
  <c r="Z50" i="87"/>
  <c r="AA10" i="87"/>
  <c r="Z92" i="87"/>
  <c r="Z109" i="87"/>
  <c r="Z151" i="87"/>
  <c r="Z30" i="87"/>
  <c r="Z38" i="87" s="1"/>
  <c r="AB1" i="87"/>
  <c r="AB160" i="87" s="1"/>
  <c r="AB1" i="83"/>
  <c r="AB160" i="83" s="1"/>
  <c r="AB1" i="84"/>
  <c r="AB160" i="84" s="1"/>
  <c r="AB1" i="85"/>
  <c r="AB160" i="85" s="1"/>
  <c r="AB1" i="86"/>
  <c r="AB160" i="86" s="1"/>
  <c r="AC1" i="87"/>
  <c r="AC160" i="87" s="1"/>
  <c r="AC159" i="87" s="1"/>
  <c r="AC1" i="68"/>
  <c r="AC160" i="68" s="1"/>
  <c r="AC1" i="86"/>
  <c r="AC160" i="86" s="1"/>
  <c r="AC159" i="86" s="1"/>
  <c r="AC1" i="85"/>
  <c r="AC160" i="85" s="1"/>
  <c r="AC159" i="85" s="1"/>
  <c r="AC1" i="83"/>
  <c r="AC160" i="83" s="1"/>
  <c r="AC159" i="83" s="1"/>
  <c r="AB159" i="83" l="1"/>
  <c r="AB159" i="84"/>
  <c r="AB159" i="85"/>
  <c r="AB159" i="86"/>
  <c r="AB159" i="87"/>
  <c r="AC159" i="68"/>
  <c r="AC51" i="86"/>
  <c r="AC70" i="87"/>
  <c r="AC66" i="87"/>
  <c r="AC67" i="87"/>
  <c r="AC64" i="87"/>
  <c r="AC51" i="87"/>
  <c r="AB70" i="87"/>
  <c r="AB66" i="87"/>
  <c r="AB67" i="87"/>
  <c r="AB64" i="87"/>
  <c r="AB51" i="87"/>
  <c r="AC70" i="68"/>
  <c r="AC66" i="68"/>
  <c r="AC67" i="68"/>
  <c r="AC64" i="68"/>
  <c r="AC51" i="68"/>
  <c r="AC70" i="83"/>
  <c r="AC66" i="83"/>
  <c r="AC67" i="83"/>
  <c r="AC64" i="83"/>
  <c r="AC51" i="83"/>
  <c r="AB70" i="83"/>
  <c r="AB66" i="83"/>
  <c r="AB67" i="83"/>
  <c r="AB64" i="83"/>
  <c r="AB51" i="83"/>
  <c r="AB51" i="84"/>
  <c r="AB70" i="84"/>
  <c r="AB66" i="84"/>
  <c r="AB67" i="84"/>
  <c r="AB64" i="84"/>
  <c r="AC51" i="85"/>
  <c r="AC64" i="85"/>
  <c r="AC66" i="85"/>
  <c r="AC67" i="85"/>
  <c r="AC70" i="85"/>
  <c r="AB51" i="85"/>
  <c r="AB64" i="85"/>
  <c r="AB66" i="85"/>
  <c r="AB67" i="85"/>
  <c r="AB70" i="85"/>
  <c r="AB51" i="86"/>
  <c r="AB52" i="86"/>
  <c r="Z60" i="174"/>
  <c r="AC149" i="87"/>
  <c r="AC115" i="87"/>
  <c r="AC93" i="87"/>
  <c r="AC94" i="87"/>
  <c r="AC95" i="87"/>
  <c r="AC96" i="87"/>
  <c r="AC97" i="87"/>
  <c r="AC98" i="87"/>
  <c r="AC99" i="87"/>
  <c r="AC100" i="87"/>
  <c r="AC101" i="87"/>
  <c r="AC102" i="87"/>
  <c r="AC104" i="87"/>
  <c r="AC106" i="87"/>
  <c r="AC107" i="87"/>
  <c r="AC108" i="87"/>
  <c r="AC110" i="87"/>
  <c r="AC111" i="87"/>
  <c r="AC112" i="87"/>
  <c r="AC113" i="87"/>
  <c r="AB149" i="87"/>
  <c r="AB115" i="87"/>
  <c r="AB93" i="87"/>
  <c r="AB94" i="87"/>
  <c r="AB95" i="87"/>
  <c r="AB96" i="87"/>
  <c r="AB97" i="87"/>
  <c r="AB98" i="87"/>
  <c r="AB99" i="87"/>
  <c r="AB100" i="87"/>
  <c r="AB101" i="87"/>
  <c r="AB102" i="87"/>
  <c r="AB104" i="87"/>
  <c r="AB106" i="87"/>
  <c r="AB107" i="87"/>
  <c r="AB108" i="87"/>
  <c r="AB110" i="87"/>
  <c r="AB111" i="87"/>
  <c r="AB112" i="87"/>
  <c r="AB113" i="87"/>
  <c r="AC149" i="68"/>
  <c r="AC115" i="68"/>
  <c r="AC93" i="68"/>
  <c r="AC94" i="68"/>
  <c r="AC95" i="68"/>
  <c r="AC96" i="68"/>
  <c r="AC97" i="68"/>
  <c r="AC98" i="68"/>
  <c r="AC99" i="68"/>
  <c r="AC100" i="68"/>
  <c r="AC101" i="68"/>
  <c r="AC102" i="68"/>
  <c r="AC103" i="68"/>
  <c r="AC104" i="68"/>
  <c r="AC106" i="68"/>
  <c r="AC107" i="68"/>
  <c r="AC108" i="68"/>
  <c r="AC110" i="68"/>
  <c r="AC111" i="68"/>
  <c r="AC112" i="68"/>
  <c r="AC113" i="68"/>
  <c r="AC149" i="83"/>
  <c r="AC93" i="83"/>
  <c r="AC94" i="83"/>
  <c r="AC95" i="83"/>
  <c r="AC96" i="83"/>
  <c r="AC97" i="83"/>
  <c r="AC98" i="83"/>
  <c r="AC99" i="83"/>
  <c r="AC100" i="83"/>
  <c r="AC101" i="83"/>
  <c r="AC102" i="83"/>
  <c r="AC103" i="83"/>
  <c r="AC104" i="83"/>
  <c r="AC106" i="83"/>
  <c r="AC107" i="83"/>
  <c r="AC108" i="83"/>
  <c r="AC110" i="83"/>
  <c r="AC111" i="83"/>
  <c r="AC112" i="83"/>
  <c r="AC113" i="83"/>
  <c r="AB149" i="83"/>
  <c r="AB93" i="83"/>
  <c r="AB94" i="83"/>
  <c r="AB95" i="83"/>
  <c r="AB96" i="83"/>
  <c r="AB97" i="83"/>
  <c r="AB98" i="83"/>
  <c r="AB99" i="83"/>
  <c r="AB100" i="83"/>
  <c r="AB101" i="83"/>
  <c r="AB102" i="83"/>
  <c r="AB103" i="83"/>
  <c r="AB104" i="83"/>
  <c r="AB106" i="83"/>
  <c r="AB107" i="83"/>
  <c r="AB108" i="83"/>
  <c r="AB110" i="83"/>
  <c r="AB111" i="83"/>
  <c r="AB112" i="83"/>
  <c r="AB113" i="83"/>
  <c r="AB149" i="84"/>
  <c r="AB115" i="84"/>
  <c r="AB93" i="84"/>
  <c r="AB94" i="84"/>
  <c r="AB95" i="84"/>
  <c r="AB96" i="84"/>
  <c r="AB97" i="84"/>
  <c r="AB98" i="84"/>
  <c r="AB99" i="84"/>
  <c r="AB100" i="84"/>
  <c r="AB101" i="84"/>
  <c r="AB102" i="84"/>
  <c r="AB103" i="84"/>
  <c r="AB104" i="84"/>
  <c r="AB106" i="84"/>
  <c r="AB107" i="84"/>
  <c r="AB108" i="84"/>
  <c r="AB110" i="84"/>
  <c r="AB111" i="84"/>
  <c r="AB112" i="84"/>
  <c r="AB113" i="84"/>
  <c r="AC149" i="85"/>
  <c r="AC115" i="85"/>
  <c r="AC93" i="85"/>
  <c r="AC94" i="85"/>
  <c r="AC95" i="85"/>
  <c r="AC96" i="85"/>
  <c r="AC97" i="85"/>
  <c r="AC98" i="85"/>
  <c r="AC99" i="85"/>
  <c r="AC100" i="85"/>
  <c r="AC101" i="85"/>
  <c r="AC102" i="85"/>
  <c r="AC103" i="85"/>
  <c r="AC104" i="85"/>
  <c r="AC106" i="85"/>
  <c r="AC107" i="85"/>
  <c r="AC108" i="85"/>
  <c r="AC110" i="85"/>
  <c r="AC111" i="85"/>
  <c r="AC112" i="85"/>
  <c r="AC113" i="85"/>
  <c r="AB149" i="85"/>
  <c r="AB115" i="85"/>
  <c r="AB93" i="85"/>
  <c r="AB94" i="85"/>
  <c r="AB95" i="85"/>
  <c r="AB96" i="85"/>
  <c r="AB97" i="85"/>
  <c r="AB98" i="85"/>
  <c r="AB99" i="85"/>
  <c r="AB100" i="85"/>
  <c r="AB101" i="85"/>
  <c r="AB102" i="85"/>
  <c r="AB103" i="85"/>
  <c r="AB104" i="85"/>
  <c r="AB106" i="85"/>
  <c r="AB107" i="85"/>
  <c r="AB108" i="85"/>
  <c r="AB110" i="85"/>
  <c r="AB111" i="85"/>
  <c r="AB112" i="85"/>
  <c r="AB113" i="85"/>
  <c r="AC149" i="86"/>
  <c r="AC115" i="86"/>
  <c r="AC93" i="86"/>
  <c r="AC94" i="86"/>
  <c r="AC95" i="86"/>
  <c r="AC96" i="86"/>
  <c r="AC97" i="86"/>
  <c r="AC98" i="86"/>
  <c r="AC99" i="86"/>
  <c r="AC100" i="86"/>
  <c r="AC101" i="86"/>
  <c r="AC102" i="86"/>
  <c r="AC103" i="86"/>
  <c r="AC104" i="86"/>
  <c r="AC106" i="86"/>
  <c r="AC107" i="86"/>
  <c r="AC108" i="86"/>
  <c r="AC110" i="86"/>
  <c r="AC111" i="86"/>
  <c r="AC112" i="86"/>
  <c r="AC113" i="86"/>
  <c r="AB149" i="86"/>
  <c r="AB115" i="86"/>
  <c r="AB93" i="86"/>
  <c r="AB94" i="86"/>
  <c r="AB95" i="86"/>
  <c r="AB96" i="86"/>
  <c r="AB97" i="86"/>
  <c r="AB98" i="86"/>
  <c r="AB99" i="86"/>
  <c r="AB100" i="86"/>
  <c r="AB101" i="86"/>
  <c r="AB102" i="86"/>
  <c r="AB103" i="86"/>
  <c r="AB104" i="86"/>
  <c r="AB106" i="86"/>
  <c r="AB107" i="86"/>
  <c r="AB108" i="86"/>
  <c r="AB110" i="86"/>
  <c r="AB111" i="86"/>
  <c r="AB112" i="86"/>
  <c r="AB113" i="86"/>
  <c r="AC52" i="83"/>
  <c r="AC90" i="83"/>
  <c r="AB52" i="83"/>
  <c r="AB90" i="83"/>
  <c r="AC52" i="87"/>
  <c r="AB52" i="87"/>
  <c r="AC52" i="68"/>
  <c r="AB52" i="84"/>
  <c r="AC52" i="86"/>
  <c r="AC52" i="85"/>
  <c r="AB52" i="85"/>
  <c r="AA151" i="85"/>
  <c r="AB80" i="87"/>
  <c r="Z46" i="85"/>
  <c r="AA46" i="85"/>
  <c r="AB46" i="85"/>
  <c r="AC46" i="85"/>
  <c r="AD46" i="85"/>
  <c r="AE46" i="85"/>
  <c r="AF46" i="85"/>
  <c r="AG46" i="85"/>
  <c r="AH46" i="85"/>
  <c r="AI46" i="85"/>
  <c r="AJ46" i="85"/>
  <c r="Y46" i="85"/>
  <c r="AC80" i="85"/>
  <c r="AB80" i="85"/>
  <c r="AC60" i="175"/>
  <c r="AC60" i="124"/>
  <c r="AC60" i="174" s="1"/>
  <c r="AB80" i="86"/>
  <c r="Z46" i="87"/>
  <c r="AA46" i="87"/>
  <c r="AB46" i="87"/>
  <c r="AC46" i="87"/>
  <c r="AD46" i="87"/>
  <c r="AE46" i="87"/>
  <c r="AF46" i="87"/>
  <c r="AG46" i="87"/>
  <c r="AH46" i="87"/>
  <c r="AI46" i="87"/>
  <c r="AJ46" i="87"/>
  <c r="Y46" i="87"/>
  <c r="AC80" i="87"/>
  <c r="Z46" i="68"/>
  <c r="AA46" i="68"/>
  <c r="AB46" i="68"/>
  <c r="AC46" i="68"/>
  <c r="AD46" i="68"/>
  <c r="AE46" i="68"/>
  <c r="AF46" i="68"/>
  <c r="AG46" i="68"/>
  <c r="AH46" i="68"/>
  <c r="AI46" i="68"/>
  <c r="AJ46" i="68"/>
  <c r="Y46" i="68"/>
  <c r="AC80" i="68"/>
  <c r="Z46" i="83"/>
  <c r="AA46" i="83"/>
  <c r="AB46" i="83"/>
  <c r="AC46" i="83"/>
  <c r="AD46" i="83"/>
  <c r="AE46" i="83"/>
  <c r="AF46" i="83"/>
  <c r="AG46" i="83"/>
  <c r="AH46" i="83"/>
  <c r="AI46" i="83"/>
  <c r="AJ46" i="83"/>
  <c r="Y46" i="83"/>
  <c r="AC56" i="83"/>
  <c r="AC80" i="83"/>
  <c r="AB56" i="83"/>
  <c r="AB80" i="83"/>
  <c r="AB80" i="84"/>
  <c r="AB79" i="84"/>
  <c r="Z38" i="86"/>
  <c r="Z46" i="86"/>
  <c r="AA46" i="86"/>
  <c r="AB46" i="86"/>
  <c r="AC46" i="86"/>
  <c r="AD46" i="86"/>
  <c r="AE46" i="86"/>
  <c r="AF46" i="86"/>
  <c r="AG46" i="86"/>
  <c r="AH46" i="86"/>
  <c r="AI46" i="86"/>
  <c r="AJ46" i="86"/>
  <c r="Y46" i="86"/>
  <c r="AC80" i="86"/>
  <c r="AC56" i="87"/>
  <c r="AC154" i="87"/>
  <c r="AC126" i="87"/>
  <c r="AC127" i="87"/>
  <c r="AC91" i="87"/>
  <c r="AC155" i="87"/>
  <c r="AB56" i="87"/>
  <c r="AB154" i="87"/>
  <c r="AB126" i="87"/>
  <c r="AB127" i="87"/>
  <c r="AB91" i="87"/>
  <c r="AB155" i="87"/>
  <c r="AC56" i="68"/>
  <c r="AC158" i="68"/>
  <c r="AC155" i="68"/>
  <c r="AC154" i="68"/>
  <c r="AC148" i="68"/>
  <c r="AC145" i="68"/>
  <c r="AC144" i="68"/>
  <c r="AC142" i="68"/>
  <c r="AC141" i="68"/>
  <c r="AC140" i="68"/>
  <c r="AC137" i="68"/>
  <c r="AC135" i="68"/>
  <c r="AC131" i="68"/>
  <c r="AC129" i="68"/>
  <c r="AC128" i="68"/>
  <c r="AC127" i="68"/>
  <c r="AC126" i="68"/>
  <c r="AC125" i="68"/>
  <c r="AC123" i="68"/>
  <c r="AC121" i="68"/>
  <c r="AC119" i="68"/>
  <c r="AC118" i="68"/>
  <c r="AC91" i="68"/>
  <c r="AC89" i="68"/>
  <c r="AC88" i="68"/>
  <c r="AC86" i="68"/>
  <c r="AC79" i="68"/>
  <c r="AC76" i="68"/>
  <c r="AC58" i="68"/>
  <c r="AC57" i="68"/>
  <c r="AC55" i="68"/>
  <c r="AC54" i="68"/>
  <c r="AC115" i="83"/>
  <c r="AC158" i="83"/>
  <c r="AC155" i="83"/>
  <c r="AC154" i="83"/>
  <c r="AC148" i="83"/>
  <c r="AC145" i="83"/>
  <c r="AC144" i="83"/>
  <c r="AC142" i="83"/>
  <c r="AC141" i="83"/>
  <c r="AC140" i="83"/>
  <c r="AC137" i="83"/>
  <c r="AC135" i="83"/>
  <c r="AC131" i="83"/>
  <c r="AC129" i="83"/>
  <c r="AC128" i="83"/>
  <c r="AC127" i="83"/>
  <c r="AC126" i="83"/>
  <c r="AC125" i="83"/>
  <c r="AC123" i="83"/>
  <c r="AC121" i="83"/>
  <c r="AC119" i="83"/>
  <c r="AC118" i="83"/>
  <c r="AC91" i="83"/>
  <c r="AC89" i="83"/>
  <c r="AC88" i="83"/>
  <c r="AC86" i="83"/>
  <c r="AC79" i="83"/>
  <c r="AC76" i="83"/>
  <c r="AC58" i="83"/>
  <c r="AC57" i="83"/>
  <c r="AC55" i="83"/>
  <c r="AC54" i="83"/>
  <c r="AB115" i="83"/>
  <c r="AB158" i="83"/>
  <c r="AB155" i="83"/>
  <c r="AB154" i="83"/>
  <c r="AB148" i="83"/>
  <c r="AB145" i="83"/>
  <c r="AB144" i="83"/>
  <c r="AB142" i="83"/>
  <c r="AB141" i="83"/>
  <c r="AB140" i="83"/>
  <c r="AB137" i="83"/>
  <c r="AB135" i="83"/>
  <c r="AB131" i="83"/>
  <c r="AB129" i="83"/>
  <c r="AB128" i="83"/>
  <c r="AB127" i="83"/>
  <c r="AB126" i="83"/>
  <c r="AB125" i="83"/>
  <c r="AB123" i="83"/>
  <c r="AB121" i="83"/>
  <c r="AB119" i="83"/>
  <c r="AB118" i="83"/>
  <c r="AB91" i="83"/>
  <c r="AB89" i="83"/>
  <c r="AB88" i="83"/>
  <c r="AB86" i="83"/>
  <c r="AB79" i="83"/>
  <c r="AB76" i="83"/>
  <c r="AB58" i="83"/>
  <c r="AB57" i="83"/>
  <c r="AB55" i="83"/>
  <c r="AB54" i="83"/>
  <c r="AB56" i="84"/>
  <c r="AB158" i="84"/>
  <c r="AB155" i="84"/>
  <c r="AB154" i="84"/>
  <c r="AB148" i="84"/>
  <c r="AB145" i="84"/>
  <c r="AB144" i="84"/>
  <c r="AB142" i="84"/>
  <c r="AB141" i="84"/>
  <c r="AB140" i="84"/>
  <c r="AB137" i="84"/>
  <c r="AB135" i="84"/>
  <c r="AB131" i="84"/>
  <c r="AB129" i="84"/>
  <c r="AB128" i="84"/>
  <c r="AB127" i="84"/>
  <c r="AB126" i="84"/>
  <c r="AB125" i="84"/>
  <c r="AB123" i="84"/>
  <c r="AB121" i="84"/>
  <c r="AB119" i="84"/>
  <c r="AB118" i="84"/>
  <c r="AB89" i="84"/>
  <c r="AB88" i="84"/>
  <c r="AB86" i="84"/>
  <c r="AB76" i="84"/>
  <c r="AB58" i="84"/>
  <c r="AB57" i="84"/>
  <c r="AB55" i="84"/>
  <c r="AB54" i="84"/>
  <c r="AC64" i="86"/>
  <c r="AC56" i="86"/>
  <c r="AC158" i="86"/>
  <c r="AC155" i="86"/>
  <c r="AC154" i="86"/>
  <c r="AC148" i="86"/>
  <c r="AC145" i="86"/>
  <c r="AC144" i="86"/>
  <c r="AC142" i="86"/>
  <c r="AC141" i="86"/>
  <c r="AC140" i="86"/>
  <c r="AC137" i="86"/>
  <c r="AC135" i="86"/>
  <c r="AC131" i="86"/>
  <c r="AC129" i="86"/>
  <c r="AC128" i="86"/>
  <c r="AC127" i="86"/>
  <c r="AC126" i="86"/>
  <c r="AC125" i="86"/>
  <c r="AC123" i="86"/>
  <c r="AC121" i="86"/>
  <c r="AC119" i="86"/>
  <c r="AC118" i="86"/>
  <c r="AC91" i="86"/>
  <c r="AC89" i="86"/>
  <c r="AC88" i="86"/>
  <c r="AC86" i="86"/>
  <c r="AC79" i="86"/>
  <c r="AC76" i="86"/>
  <c r="AC70" i="86"/>
  <c r="AC67" i="86"/>
  <c r="AC66" i="86"/>
  <c r="AC58" i="86"/>
  <c r="AC57" i="86"/>
  <c r="AC55" i="86"/>
  <c r="AC54" i="86"/>
  <c r="AB64" i="86"/>
  <c r="AB56" i="86"/>
  <c r="AB158" i="86"/>
  <c r="AB155" i="86"/>
  <c r="AB154" i="86"/>
  <c r="AB148" i="86"/>
  <c r="AB145" i="86"/>
  <c r="AB144" i="86"/>
  <c r="AB142" i="86"/>
  <c r="AB141" i="86"/>
  <c r="AB140" i="86"/>
  <c r="AB137" i="86"/>
  <c r="AB135" i="86"/>
  <c r="AB131" i="86"/>
  <c r="AB129" i="86"/>
  <c r="AB128" i="86"/>
  <c r="AB127" i="86"/>
  <c r="AB126" i="86"/>
  <c r="AB125" i="86"/>
  <c r="AB123" i="86"/>
  <c r="AB121" i="86"/>
  <c r="AB119" i="86"/>
  <c r="AB118" i="86"/>
  <c r="AB91" i="86"/>
  <c r="AB89" i="86"/>
  <c r="AB88" i="86"/>
  <c r="AB86" i="86"/>
  <c r="AB79" i="86"/>
  <c r="AB76" i="86"/>
  <c r="AB70" i="86"/>
  <c r="AB67" i="86"/>
  <c r="AB66" i="86"/>
  <c r="AB58" i="86"/>
  <c r="AB57" i="86"/>
  <c r="AB55" i="86"/>
  <c r="AB54" i="86"/>
  <c r="AC56" i="85"/>
  <c r="Y37" i="85"/>
  <c r="Y16" i="85" s="1"/>
  <c r="Z37" i="85"/>
  <c r="AC158" i="85"/>
  <c r="AC155" i="85"/>
  <c r="AC154" i="85"/>
  <c r="AC148" i="85"/>
  <c r="AC145" i="85"/>
  <c r="AC144" i="85"/>
  <c r="AC142" i="85"/>
  <c r="AC141" i="85"/>
  <c r="AC140" i="85"/>
  <c r="AC137" i="85"/>
  <c r="AC135" i="85"/>
  <c r="AC131" i="85"/>
  <c r="AC129" i="85"/>
  <c r="AC128" i="85"/>
  <c r="AC127" i="85"/>
  <c r="AC126" i="85"/>
  <c r="AC125" i="85"/>
  <c r="AC123" i="85"/>
  <c r="AC121" i="85"/>
  <c r="AC119" i="85"/>
  <c r="AC118" i="85"/>
  <c r="AC91" i="85"/>
  <c r="AC89" i="85"/>
  <c r="AC88" i="85"/>
  <c r="AC86" i="85"/>
  <c r="AC79" i="85"/>
  <c r="AC76" i="85"/>
  <c r="AC58" i="85"/>
  <c r="AC57" i="85"/>
  <c r="AC55" i="85"/>
  <c r="AC54" i="85"/>
  <c r="AC50" i="85"/>
  <c r="AC10" i="85"/>
  <c r="AC40" i="85"/>
  <c r="AC7" i="85" s="1"/>
  <c r="AC41" i="85"/>
  <c r="AC8" i="85" s="1"/>
  <c r="AC42" i="85"/>
  <c r="AC9" i="85" s="1"/>
  <c r="AB56" i="85"/>
  <c r="AB158" i="85"/>
  <c r="AB155" i="85"/>
  <c r="AB154" i="85"/>
  <c r="AB148" i="85"/>
  <c r="AB145" i="85"/>
  <c r="AB144" i="85"/>
  <c r="AB142" i="85"/>
  <c r="AB141" i="85"/>
  <c r="AB140" i="85"/>
  <c r="AB137" i="85"/>
  <c r="AB135" i="85"/>
  <c r="AB131" i="85"/>
  <c r="AB129" i="85"/>
  <c r="AB128" i="85"/>
  <c r="AB127" i="85"/>
  <c r="AB126" i="85"/>
  <c r="AB125" i="85"/>
  <c r="AB123" i="85"/>
  <c r="AB121" i="85"/>
  <c r="AB119" i="85"/>
  <c r="AB118" i="85"/>
  <c r="AB91" i="85"/>
  <c r="AB89" i="85"/>
  <c r="AB88" i="85"/>
  <c r="AB86" i="85"/>
  <c r="AB79" i="85"/>
  <c r="AB76" i="85"/>
  <c r="AB58" i="85"/>
  <c r="AB57" i="85"/>
  <c r="AB55" i="85"/>
  <c r="AB54" i="85"/>
  <c r="AB50" i="85"/>
  <c r="AB10" i="85"/>
  <c r="AB40" i="85"/>
  <c r="AB7" i="85" s="1"/>
  <c r="AB41" i="85"/>
  <c r="AB8" i="85" s="1"/>
  <c r="AB42" i="85"/>
  <c r="AB9" i="85" s="1"/>
  <c r="Z6" i="85"/>
  <c r="Z14" i="85"/>
  <c r="Z15" i="85"/>
  <c r="Z16" i="85"/>
  <c r="AA109" i="85"/>
  <c r="AA92" i="85"/>
  <c r="AA27" i="85"/>
  <c r="AA37" i="85"/>
  <c r="AA29" i="85"/>
  <c r="AA24" i="85"/>
  <c r="AA26" i="85"/>
  <c r="AA36" i="85"/>
  <c r="AA28" i="85"/>
  <c r="AA23" i="85"/>
  <c r="AA25" i="85"/>
  <c r="AA35" i="85"/>
  <c r="AA39" i="85"/>
  <c r="AA30" i="85"/>
  <c r="AA38" i="85"/>
  <c r="Y13" i="85"/>
  <c r="Y34" i="85" s="1"/>
  <c r="AA30" i="84"/>
  <c r="AA38" i="84" s="1"/>
  <c r="AA30" i="86"/>
  <c r="AA38" i="86"/>
  <c r="AA30" i="83"/>
  <c r="AA38" i="83"/>
  <c r="AA30" i="68"/>
  <c r="AA38" i="68" s="1"/>
  <c r="AB30" i="68"/>
  <c r="AB38" i="68"/>
  <c r="AA50" i="83"/>
  <c r="AA50" i="68"/>
  <c r="AB50" i="68"/>
  <c r="AA50" i="84"/>
  <c r="AA50" i="86"/>
  <c r="AC151" i="83"/>
  <c r="AC10" i="83"/>
  <c r="AB10" i="83"/>
  <c r="AA92" i="83"/>
  <c r="AA109" i="83"/>
  <c r="AB10" i="84"/>
  <c r="AA92" i="84"/>
  <c r="AA109" i="84"/>
  <c r="AC151" i="86"/>
  <c r="AC10" i="86"/>
  <c r="AB10" i="86"/>
  <c r="AA92" i="86"/>
  <c r="AA109" i="86"/>
  <c r="AC10" i="68"/>
  <c r="AA92" i="68"/>
  <c r="AA109" i="68"/>
  <c r="AB92" i="68"/>
  <c r="AB109" i="68"/>
  <c r="AC158" i="87"/>
  <c r="AC76" i="87"/>
  <c r="AC57" i="87"/>
  <c r="AC54" i="87"/>
  <c r="AC88" i="87"/>
  <c r="AC118" i="87"/>
  <c r="AC119" i="87"/>
  <c r="AC123" i="87"/>
  <c r="AC125" i="87"/>
  <c r="AC128" i="87"/>
  <c r="AC129" i="87"/>
  <c r="AC131" i="87"/>
  <c r="AC135" i="87"/>
  <c r="AC137" i="87"/>
  <c r="AC140" i="87"/>
  <c r="AC141" i="87"/>
  <c r="AC142" i="87"/>
  <c r="AC144" i="87"/>
  <c r="AC145" i="87"/>
  <c r="AC86" i="87"/>
  <c r="AC148" i="87"/>
  <c r="AC79" i="87"/>
  <c r="AC89" i="87"/>
  <c r="AC58" i="87"/>
  <c r="AC121" i="87"/>
  <c r="Z22" i="124"/>
  <c r="Z22" i="174" s="1"/>
  <c r="AB158" i="87"/>
  <c r="AB76" i="87"/>
  <c r="AB57" i="87"/>
  <c r="AB54" i="87"/>
  <c r="AB88" i="87"/>
  <c r="AB118" i="87"/>
  <c r="AB119" i="87"/>
  <c r="AB123" i="87"/>
  <c r="AB125" i="87"/>
  <c r="AB128" i="87"/>
  <c r="AB129" i="87"/>
  <c r="AB131" i="87"/>
  <c r="AB135" i="87"/>
  <c r="AB137" i="87"/>
  <c r="AB140" i="87"/>
  <c r="AB141" i="87"/>
  <c r="AB142" i="87"/>
  <c r="AB144" i="87"/>
  <c r="AB145" i="87"/>
  <c r="AB86" i="87"/>
  <c r="AB148" i="87"/>
  <c r="AB79" i="87"/>
  <c r="AB89" i="87"/>
  <c r="AB58" i="87"/>
  <c r="AB121" i="87"/>
  <c r="AA50" i="87"/>
  <c r="AC10" i="87"/>
  <c r="AB10" i="87"/>
  <c r="AA92" i="87"/>
  <c r="AA109" i="87"/>
  <c r="AA151" i="87"/>
  <c r="AA30" i="87"/>
  <c r="AA38" i="87" s="1"/>
  <c r="AC1" i="84"/>
  <c r="AC160" i="84" s="1"/>
  <c r="AD1" i="87"/>
  <c r="AD160" i="87" s="1"/>
  <c r="AD1" i="68"/>
  <c r="AD160" i="68" s="1"/>
  <c r="AD1" i="86"/>
  <c r="AD160" i="86" s="1"/>
  <c r="AD1" i="85"/>
  <c r="AD160" i="85" s="1"/>
  <c r="AD1" i="83"/>
  <c r="AD160" i="83" s="1"/>
  <c r="J14" i="124"/>
  <c r="K7" i="124"/>
  <c r="K7" i="174" s="1"/>
  <c r="L7" i="124"/>
  <c r="L7" i="174" s="1"/>
  <c r="M7" i="124"/>
  <c r="M7" i="174" s="1"/>
  <c r="N7" i="124"/>
  <c r="N7" i="174" s="1"/>
  <c r="O7" i="124"/>
  <c r="O7" i="174" s="1"/>
  <c r="P7" i="124"/>
  <c r="P7" i="174" s="1"/>
  <c r="Q7" i="124"/>
  <c r="Q7" i="174" s="1"/>
  <c r="R7" i="124"/>
  <c r="R7" i="174" s="1"/>
  <c r="S7" i="124"/>
  <c r="S7" i="174" s="1"/>
  <c r="T7" i="124"/>
  <c r="T7" i="174" s="1"/>
  <c r="U7" i="124"/>
  <c r="U7" i="174" s="1"/>
  <c r="K8" i="124"/>
  <c r="K8" i="174" s="1"/>
  <c r="L8" i="124"/>
  <c r="L8" i="174" s="1"/>
  <c r="M8" i="124"/>
  <c r="M8" i="174" s="1"/>
  <c r="N8" i="124"/>
  <c r="N8" i="174" s="1"/>
  <c r="O8" i="124"/>
  <c r="O8" i="174" s="1"/>
  <c r="P8" i="124"/>
  <c r="P8" i="174" s="1"/>
  <c r="Q8" i="124"/>
  <c r="Q8" i="174" s="1"/>
  <c r="R8" i="124"/>
  <c r="R8" i="174" s="1"/>
  <c r="S8" i="124"/>
  <c r="S8" i="174" s="1"/>
  <c r="T8" i="124"/>
  <c r="T8" i="174" s="1"/>
  <c r="U8" i="124"/>
  <c r="U8" i="174" s="1"/>
  <c r="K9" i="124"/>
  <c r="K9" i="174" s="1"/>
  <c r="L9" i="124"/>
  <c r="L9" i="174" s="1"/>
  <c r="M9" i="124"/>
  <c r="M9" i="174" s="1"/>
  <c r="N9" i="124"/>
  <c r="N9" i="174" s="1"/>
  <c r="O9" i="124"/>
  <c r="O9" i="174" s="1"/>
  <c r="P9" i="124"/>
  <c r="P9" i="174" s="1"/>
  <c r="Q9" i="124"/>
  <c r="Q9" i="174" s="1"/>
  <c r="R9" i="124"/>
  <c r="R9" i="174" s="1"/>
  <c r="S9" i="124"/>
  <c r="S9" i="174" s="1"/>
  <c r="T9" i="124"/>
  <c r="T9" i="174" s="1"/>
  <c r="U9" i="124"/>
  <c r="U9" i="174" s="1"/>
  <c r="K10" i="124"/>
  <c r="K10" i="174" s="1"/>
  <c r="L10" i="124"/>
  <c r="L10" i="174" s="1"/>
  <c r="M10" i="124"/>
  <c r="M10" i="174" s="1"/>
  <c r="N10" i="124"/>
  <c r="N10" i="174" s="1"/>
  <c r="O10" i="124"/>
  <c r="O10" i="174" s="1"/>
  <c r="P10" i="124"/>
  <c r="P10" i="174" s="1"/>
  <c r="Q10" i="124"/>
  <c r="Q10" i="174" s="1"/>
  <c r="R10" i="124"/>
  <c r="R10" i="174" s="1"/>
  <c r="S10" i="124"/>
  <c r="S10" i="174" s="1"/>
  <c r="T10" i="124"/>
  <c r="T10" i="174" s="1"/>
  <c r="U10" i="124"/>
  <c r="U10" i="174" s="1"/>
  <c r="K11" i="124"/>
  <c r="K11" i="174" s="1"/>
  <c r="L11" i="124"/>
  <c r="L11" i="174" s="1"/>
  <c r="M11" i="124"/>
  <c r="M11" i="174" s="1"/>
  <c r="N11" i="124"/>
  <c r="N11" i="174" s="1"/>
  <c r="O11" i="124"/>
  <c r="O11" i="174" s="1"/>
  <c r="P11" i="124"/>
  <c r="P11" i="174" s="1"/>
  <c r="Q11" i="124"/>
  <c r="Q11" i="174" s="1"/>
  <c r="R11" i="124"/>
  <c r="R11" i="174" s="1"/>
  <c r="S11" i="124"/>
  <c r="S11" i="174" s="1"/>
  <c r="T11" i="124"/>
  <c r="T11" i="174" s="1"/>
  <c r="U11" i="124"/>
  <c r="U11" i="174" s="1"/>
  <c r="K12" i="124"/>
  <c r="K12" i="174" s="1"/>
  <c r="L12" i="124"/>
  <c r="L12" i="174" s="1"/>
  <c r="M12" i="124"/>
  <c r="M12" i="174" s="1"/>
  <c r="N12" i="124"/>
  <c r="N12" i="174" s="1"/>
  <c r="O12" i="124"/>
  <c r="O12" i="174" s="1"/>
  <c r="P12" i="124"/>
  <c r="P12" i="174" s="1"/>
  <c r="Q12" i="124"/>
  <c r="Q12" i="174" s="1"/>
  <c r="R12" i="124"/>
  <c r="R12" i="174" s="1"/>
  <c r="S12" i="124"/>
  <c r="S12" i="174" s="1"/>
  <c r="T12" i="124"/>
  <c r="T12" i="174" s="1"/>
  <c r="U12" i="124"/>
  <c r="U12" i="174" s="1"/>
  <c r="J8" i="124"/>
  <c r="J8" i="174" s="1"/>
  <c r="J9" i="124"/>
  <c r="J9" i="174" s="1"/>
  <c r="J10" i="124"/>
  <c r="J10" i="174" s="1"/>
  <c r="J11" i="124"/>
  <c r="J11" i="174" s="1"/>
  <c r="J12" i="124"/>
  <c r="J12" i="174" s="1"/>
  <c r="AD159" i="83" l="1"/>
  <c r="AC159" i="84"/>
  <c r="AD159" i="85"/>
  <c r="AD159" i="86"/>
  <c r="AD159" i="87"/>
  <c r="AD159" i="68"/>
  <c r="AD51" i="86"/>
  <c r="AD70" i="87"/>
  <c r="AD66" i="87"/>
  <c r="AD67" i="87"/>
  <c r="AD64" i="87"/>
  <c r="AD51" i="87"/>
  <c r="AD70" i="68"/>
  <c r="AD66" i="68"/>
  <c r="AD67" i="68"/>
  <c r="AD64" i="68"/>
  <c r="AD51" i="68"/>
  <c r="AD70" i="83"/>
  <c r="AD66" i="83"/>
  <c r="AD67" i="83"/>
  <c r="AD64" i="83"/>
  <c r="AD51" i="83"/>
  <c r="AC51" i="84"/>
  <c r="AC70" i="84"/>
  <c r="AC66" i="84"/>
  <c r="AC67" i="84"/>
  <c r="AC64" i="84"/>
  <c r="AD51" i="85"/>
  <c r="AD64" i="85"/>
  <c r="AD66" i="85"/>
  <c r="AD67" i="85"/>
  <c r="AD70" i="85"/>
  <c r="AD149" i="87"/>
  <c r="AD115" i="87"/>
  <c r="AD93" i="87"/>
  <c r="AD94" i="87"/>
  <c r="AD95" i="87"/>
  <c r="AD96" i="87"/>
  <c r="AD97" i="87"/>
  <c r="AD98" i="87"/>
  <c r="AD99" i="87"/>
  <c r="AD100" i="87"/>
  <c r="AD101" i="87"/>
  <c r="AD102" i="87"/>
  <c r="AD104" i="87"/>
  <c r="AD106" i="87"/>
  <c r="AD107" i="87"/>
  <c r="AD108" i="87"/>
  <c r="AD110" i="87"/>
  <c r="AD111" i="87"/>
  <c r="AD112" i="87"/>
  <c r="AD113" i="87"/>
  <c r="AD149" i="68"/>
  <c r="AD115" i="68"/>
  <c r="AD93" i="68"/>
  <c r="AD94" i="68"/>
  <c r="AD95" i="68"/>
  <c r="AD96" i="68"/>
  <c r="AD97" i="68"/>
  <c r="AD98" i="68"/>
  <c r="AD99" i="68"/>
  <c r="AD100" i="68"/>
  <c r="AD101" i="68"/>
  <c r="AD102" i="68"/>
  <c r="AD103" i="68"/>
  <c r="AD104" i="68"/>
  <c r="AD106" i="68"/>
  <c r="AD107" i="68"/>
  <c r="AD108" i="68"/>
  <c r="AD110" i="68"/>
  <c r="AD111" i="68"/>
  <c r="AD112" i="68"/>
  <c r="AD113" i="68"/>
  <c r="AD149" i="83"/>
  <c r="AD93" i="83"/>
  <c r="AD94" i="83"/>
  <c r="AD95" i="83"/>
  <c r="AD96" i="83"/>
  <c r="AD97" i="83"/>
  <c r="AD98" i="83"/>
  <c r="AD99" i="83"/>
  <c r="AD100" i="83"/>
  <c r="AD101" i="83"/>
  <c r="AD102" i="83"/>
  <c r="AD103" i="83"/>
  <c r="AD104" i="83"/>
  <c r="AD106" i="83"/>
  <c r="AD107" i="83"/>
  <c r="AD108" i="83"/>
  <c r="AD110" i="83"/>
  <c r="AD111" i="83"/>
  <c r="AD112" i="83"/>
  <c r="AD113" i="83"/>
  <c r="AC149" i="84"/>
  <c r="AC115" i="84"/>
  <c r="AC93" i="84"/>
  <c r="AC94" i="84"/>
  <c r="AC95" i="84"/>
  <c r="AC96" i="84"/>
  <c r="AC97" i="84"/>
  <c r="AC98" i="84"/>
  <c r="AC99" i="84"/>
  <c r="AC100" i="84"/>
  <c r="AC101" i="84"/>
  <c r="AC102" i="84"/>
  <c r="AC103" i="84"/>
  <c r="AC104" i="84"/>
  <c r="AC106" i="84"/>
  <c r="AC107" i="84"/>
  <c r="AC108" i="84"/>
  <c r="AC110" i="84"/>
  <c r="AC111" i="84"/>
  <c r="AC112" i="84"/>
  <c r="AC113" i="84"/>
  <c r="AD149" i="85"/>
  <c r="AD115" i="85"/>
  <c r="AD93" i="85"/>
  <c r="AD94" i="85"/>
  <c r="AD95" i="85"/>
  <c r="AD96" i="85"/>
  <c r="AD97" i="85"/>
  <c r="AD98" i="85"/>
  <c r="AD99" i="85"/>
  <c r="AD100" i="85"/>
  <c r="AD101" i="85"/>
  <c r="AD102" i="85"/>
  <c r="AD103" i="85"/>
  <c r="AD104" i="85"/>
  <c r="AD106" i="85"/>
  <c r="AD107" i="85"/>
  <c r="AD108" i="85"/>
  <c r="AD110" i="85"/>
  <c r="AD111" i="85"/>
  <c r="AD112" i="85"/>
  <c r="AD113" i="85"/>
  <c r="AD149" i="86"/>
  <c r="AD115" i="86"/>
  <c r="AD93" i="86"/>
  <c r="AD94" i="86"/>
  <c r="AD95" i="86"/>
  <c r="AD96" i="86"/>
  <c r="AD97" i="86"/>
  <c r="AD98" i="86"/>
  <c r="AD99" i="86"/>
  <c r="AD100" i="86"/>
  <c r="AD101" i="86"/>
  <c r="AD102" i="86"/>
  <c r="AD103" i="86"/>
  <c r="AD104" i="86"/>
  <c r="AD106" i="86"/>
  <c r="AD107" i="86"/>
  <c r="AD108" i="86"/>
  <c r="AD110" i="86"/>
  <c r="AD111" i="86"/>
  <c r="AD112" i="86"/>
  <c r="AD113" i="86"/>
  <c r="AD52" i="83"/>
  <c r="AD90" i="83"/>
  <c r="AD52" i="87"/>
  <c r="AD80" i="68"/>
  <c r="AD52" i="68"/>
  <c r="AC52" i="84"/>
  <c r="AD52" i="86"/>
  <c r="AD52" i="85"/>
  <c r="AC151" i="85"/>
  <c r="AD80" i="87"/>
  <c r="AD80" i="85"/>
  <c r="AD80" i="86"/>
  <c r="AB60" i="175"/>
  <c r="AB60" i="124"/>
  <c r="AD56" i="83"/>
  <c r="AD80" i="83"/>
  <c r="Z46" i="84"/>
  <c r="AA46" i="84"/>
  <c r="AB46" i="84"/>
  <c r="AC46" i="84"/>
  <c r="AD46" i="84"/>
  <c r="AE46" i="84"/>
  <c r="AF46" i="84"/>
  <c r="AG46" i="84"/>
  <c r="AH46" i="84"/>
  <c r="AI46" i="84"/>
  <c r="AJ46" i="84"/>
  <c r="Y46" i="84"/>
  <c r="AC80" i="84"/>
  <c r="AC79" i="84"/>
  <c r="J13" i="124"/>
  <c r="J13" i="174" s="1"/>
  <c r="J14" i="174"/>
  <c r="AD56" i="87"/>
  <c r="AD154" i="87"/>
  <c r="AD126" i="87"/>
  <c r="AD127" i="87"/>
  <c r="AD91" i="87"/>
  <c r="AD155" i="87"/>
  <c r="AD56" i="68"/>
  <c r="AD158" i="68"/>
  <c r="AD155" i="68"/>
  <c r="AD154" i="68"/>
  <c r="AD148" i="68"/>
  <c r="AD145" i="68"/>
  <c r="AD144" i="68"/>
  <c r="AD142" i="68"/>
  <c r="AD141" i="68"/>
  <c r="AD140" i="68"/>
  <c r="AD137" i="68"/>
  <c r="AD135" i="68"/>
  <c r="AD131" i="68"/>
  <c r="AD129" i="68"/>
  <c r="AD128" i="68"/>
  <c r="AD127" i="68"/>
  <c r="AD126" i="68"/>
  <c r="AD125" i="68"/>
  <c r="AD123" i="68"/>
  <c r="AD121" i="68"/>
  <c r="AD119" i="68"/>
  <c r="AD118" i="68"/>
  <c r="AD91" i="68"/>
  <c r="AD89" i="68"/>
  <c r="AD88" i="68"/>
  <c r="AD86" i="68"/>
  <c r="AD79" i="68"/>
  <c r="AD76" i="68"/>
  <c r="AD58" i="68"/>
  <c r="AD57" i="68"/>
  <c r="AD55" i="68"/>
  <c r="AD54" i="68"/>
  <c r="AD115" i="83"/>
  <c r="AD158" i="83"/>
  <c r="AD155" i="83"/>
  <c r="AD154" i="83"/>
  <c r="AD148" i="83"/>
  <c r="AD145" i="83"/>
  <c r="AD144" i="83"/>
  <c r="AD142" i="83"/>
  <c r="AD141" i="83"/>
  <c r="AD140" i="83"/>
  <c r="AD137" i="83"/>
  <c r="AD135" i="83"/>
  <c r="AD131" i="83"/>
  <c r="AD129" i="83"/>
  <c r="AD128" i="83"/>
  <c r="AD127" i="83"/>
  <c r="AD126" i="83"/>
  <c r="AD125" i="83"/>
  <c r="AD123" i="83"/>
  <c r="AD121" i="83"/>
  <c r="AD119" i="83"/>
  <c r="AD118" i="83"/>
  <c r="AD91" i="83"/>
  <c r="AD89" i="83"/>
  <c r="AD88" i="83"/>
  <c r="AD86" i="83"/>
  <c r="AD79" i="83"/>
  <c r="AD76" i="83"/>
  <c r="AD58" i="83"/>
  <c r="AD57" i="83"/>
  <c r="AD55" i="83"/>
  <c r="AD54" i="83"/>
  <c r="AC56" i="84"/>
  <c r="AC158" i="84"/>
  <c r="AC155" i="84"/>
  <c r="AC154" i="84"/>
  <c r="AC148" i="84"/>
  <c r="AC145" i="84"/>
  <c r="AC144" i="84"/>
  <c r="AC142" i="84"/>
  <c r="AC141" i="84"/>
  <c r="AC140" i="84"/>
  <c r="AC137" i="84"/>
  <c r="AC135" i="84"/>
  <c r="AC131" i="84"/>
  <c r="AC129" i="84"/>
  <c r="AC128" i="84"/>
  <c r="AC127" i="84"/>
  <c r="AC126" i="84"/>
  <c r="AC125" i="84"/>
  <c r="AC123" i="84"/>
  <c r="AC121" i="84"/>
  <c r="AC119" i="84"/>
  <c r="AC118" i="84"/>
  <c r="AC89" i="84"/>
  <c r="AC88" i="84"/>
  <c r="AC86" i="84"/>
  <c r="AC76" i="84"/>
  <c r="AC58" i="84"/>
  <c r="AC57" i="84"/>
  <c r="AC55" i="84"/>
  <c r="AC54" i="84"/>
  <c r="AD64" i="86"/>
  <c r="AD56" i="86"/>
  <c r="AD158" i="86"/>
  <c r="AD155" i="86"/>
  <c r="AD154" i="86"/>
  <c r="AD148" i="86"/>
  <c r="AD145" i="86"/>
  <c r="AD144" i="86"/>
  <c r="AD142" i="86"/>
  <c r="AD141" i="86"/>
  <c r="AD140" i="86"/>
  <c r="AD137" i="86"/>
  <c r="AD135" i="86"/>
  <c r="AD131" i="86"/>
  <c r="AD129" i="86"/>
  <c r="AD128" i="86"/>
  <c r="AD127" i="86"/>
  <c r="AD126" i="86"/>
  <c r="AD125" i="86"/>
  <c r="AD123" i="86"/>
  <c r="AD121" i="86"/>
  <c r="AD119" i="86"/>
  <c r="AD118" i="86"/>
  <c r="AD91" i="86"/>
  <c r="AD89" i="86"/>
  <c r="AD88" i="86"/>
  <c r="AD86" i="86"/>
  <c r="AD79" i="86"/>
  <c r="AD76" i="86"/>
  <c r="AD70" i="86"/>
  <c r="AD67" i="86"/>
  <c r="AD66" i="86"/>
  <c r="AD58" i="86"/>
  <c r="AD57" i="86"/>
  <c r="AD55" i="86"/>
  <c r="AD54" i="86"/>
  <c r="AD56" i="85"/>
  <c r="AD158" i="85"/>
  <c r="AD155" i="85"/>
  <c r="AD154" i="85"/>
  <c r="AD148" i="85"/>
  <c r="AD145" i="85"/>
  <c r="AD144" i="85"/>
  <c r="AD142" i="85"/>
  <c r="AD141" i="85"/>
  <c r="AD140" i="85"/>
  <c r="AD137" i="85"/>
  <c r="AD135" i="85"/>
  <c r="AD131" i="85"/>
  <c r="AD129" i="85"/>
  <c r="AD128" i="85"/>
  <c r="AD127" i="85"/>
  <c r="AD126" i="85"/>
  <c r="AD125" i="85"/>
  <c r="AD123" i="85"/>
  <c r="AD121" i="85"/>
  <c r="AD119" i="85"/>
  <c r="AD118" i="85"/>
  <c r="AD91" i="85"/>
  <c r="AD89" i="85"/>
  <c r="AD88" i="85"/>
  <c r="AD86" i="85"/>
  <c r="AD79" i="85"/>
  <c r="AD76" i="85"/>
  <c r="AD58" i="85"/>
  <c r="AD57" i="85"/>
  <c r="AD55" i="85"/>
  <c r="AD54" i="85"/>
  <c r="AD50" i="85"/>
  <c r="AD10" i="85"/>
  <c r="AD40" i="85"/>
  <c r="AD7" i="85" s="1"/>
  <c r="AD41" i="85"/>
  <c r="AD8" i="85" s="1"/>
  <c r="AD42" i="85"/>
  <c r="AD9" i="85" s="1"/>
  <c r="Y43" i="85"/>
  <c r="AA6" i="85"/>
  <c r="AA14" i="85"/>
  <c r="AA150" i="85"/>
  <c r="AA15" i="85"/>
  <c r="AA16" i="85"/>
  <c r="Z13" i="85"/>
  <c r="Z34" i="85"/>
  <c r="Y150" i="85"/>
  <c r="Z114" i="85"/>
  <c r="AB109" i="85"/>
  <c r="AB92" i="85"/>
  <c r="AB27" i="85"/>
  <c r="AB37" i="85"/>
  <c r="AB29" i="85"/>
  <c r="AB24" i="85"/>
  <c r="AB26" i="85"/>
  <c r="AB36" i="85"/>
  <c r="AB28" i="85"/>
  <c r="AB23" i="85"/>
  <c r="AB25" i="85"/>
  <c r="AB35" i="85"/>
  <c r="AB39" i="85"/>
  <c r="AB30" i="85"/>
  <c r="AB38" i="85"/>
  <c r="AB151" i="85"/>
  <c r="AC109" i="85"/>
  <c r="AC92" i="85"/>
  <c r="AC27" i="85"/>
  <c r="AC37" i="85"/>
  <c r="AC29" i="85"/>
  <c r="AC24" i="85"/>
  <c r="AC26" i="85"/>
  <c r="AC36" i="85"/>
  <c r="AC28" i="85"/>
  <c r="AC23" i="85"/>
  <c r="AC25" i="85"/>
  <c r="AC35" i="85"/>
  <c r="AC39" i="85"/>
  <c r="AC30" i="85"/>
  <c r="AC38" i="85"/>
  <c r="AC30" i="86"/>
  <c r="AC38" i="86"/>
  <c r="AC30" i="83"/>
  <c r="AC38" i="83"/>
  <c r="AC50" i="86"/>
  <c r="AC50" i="83"/>
  <c r="AD151" i="83"/>
  <c r="AD10" i="83"/>
  <c r="AB30" i="83"/>
  <c r="AB38" i="83" s="1"/>
  <c r="AB92" i="83"/>
  <c r="AB109" i="83"/>
  <c r="AB50" i="83"/>
  <c r="AB151" i="83"/>
  <c r="AC92" i="83"/>
  <c r="AC109" i="83"/>
  <c r="AC10" i="84"/>
  <c r="AB30" i="84"/>
  <c r="AB38" i="84" s="1"/>
  <c r="AB92" i="84"/>
  <c r="AB109" i="84"/>
  <c r="AB50" i="84"/>
  <c r="AB151" i="84"/>
  <c r="AD151" i="86"/>
  <c r="AD10" i="86"/>
  <c r="AB30" i="86"/>
  <c r="AB92" i="86"/>
  <c r="AB109" i="86"/>
  <c r="AB50" i="86"/>
  <c r="AB151" i="86"/>
  <c r="AC92" i="86"/>
  <c r="AC109" i="86"/>
  <c r="AD151" i="68"/>
  <c r="AD10" i="68"/>
  <c r="AC30" i="68"/>
  <c r="AC38" i="68" s="1"/>
  <c r="AC92" i="68"/>
  <c r="AC109" i="68"/>
  <c r="AC50" i="68"/>
  <c r="AC151" i="68"/>
  <c r="AD158" i="87"/>
  <c r="AD76" i="87"/>
  <c r="AD57" i="87"/>
  <c r="AD54" i="87"/>
  <c r="AD88" i="87"/>
  <c r="AD118" i="87"/>
  <c r="AD119" i="87"/>
  <c r="AD123" i="87"/>
  <c r="AD125" i="87"/>
  <c r="AD128" i="87"/>
  <c r="AD129" i="87"/>
  <c r="AD131" i="87"/>
  <c r="AD135" i="87"/>
  <c r="AD137" i="87"/>
  <c r="AD140" i="87"/>
  <c r="AD141" i="87"/>
  <c r="AD142" i="87"/>
  <c r="AD144" i="87"/>
  <c r="AD145" i="87"/>
  <c r="AD86" i="87"/>
  <c r="AD148" i="87"/>
  <c r="AD79" i="87"/>
  <c r="AD89" i="87"/>
  <c r="AD58" i="87"/>
  <c r="AD121" i="87"/>
  <c r="AA22" i="124"/>
  <c r="AA22" i="174" s="1"/>
  <c r="AB22" i="124"/>
  <c r="AB22" i="174" s="1"/>
  <c r="AB50" i="87"/>
  <c r="AC50" i="87"/>
  <c r="AD10" i="87"/>
  <c r="AB92" i="87"/>
  <c r="AB109" i="87"/>
  <c r="AB151" i="87"/>
  <c r="AB30" i="87"/>
  <c r="AB38" i="87" s="1"/>
  <c r="AC92" i="87"/>
  <c r="AC109" i="87"/>
  <c r="AC151" i="87"/>
  <c r="AC30" i="87"/>
  <c r="AC38" i="87" s="1"/>
  <c r="AD1" i="84"/>
  <c r="AD160" i="84" s="1"/>
  <c r="S46" i="174"/>
  <c r="R46" i="174"/>
  <c r="Q46" i="124"/>
  <c r="Q46" i="174" s="1"/>
  <c r="J46" i="124"/>
  <c r="J46" i="174" s="1"/>
  <c r="P46" i="124"/>
  <c r="P46" i="174" s="1"/>
  <c r="O46" i="124"/>
  <c r="O46" i="174" s="1"/>
  <c r="N46" i="124"/>
  <c r="N46" i="174" s="1"/>
  <c r="M46" i="124"/>
  <c r="M46" i="174" s="1"/>
  <c r="L46" i="124"/>
  <c r="L46" i="174" s="1"/>
  <c r="K46" i="124"/>
  <c r="K46" i="174" s="1"/>
  <c r="N44" i="124"/>
  <c r="N44" i="174" s="1"/>
  <c r="M44" i="124"/>
  <c r="M44" i="174" s="1"/>
  <c r="L44" i="124"/>
  <c r="L44" i="174" s="1"/>
  <c r="K44" i="124"/>
  <c r="K44" i="174" s="1"/>
  <c r="P45" i="124"/>
  <c r="P45" i="174" s="1"/>
  <c r="M45" i="124"/>
  <c r="M45" i="174" s="1"/>
  <c r="L45" i="124"/>
  <c r="L45" i="174" s="1"/>
  <c r="R44" i="174"/>
  <c r="S45" i="174"/>
  <c r="O45" i="124"/>
  <c r="O45" i="174" s="1"/>
  <c r="K45" i="124"/>
  <c r="K45" i="174" s="1"/>
  <c r="J45" i="124"/>
  <c r="J45" i="174" s="1"/>
  <c r="Q44" i="124"/>
  <c r="Q44" i="174" s="1"/>
  <c r="R45" i="174"/>
  <c r="S44" i="174"/>
  <c r="P44" i="124"/>
  <c r="P44" i="174" s="1"/>
  <c r="Q45" i="124"/>
  <c r="Q45" i="174" s="1"/>
  <c r="N45" i="124"/>
  <c r="N45" i="174" s="1"/>
  <c r="O44" i="124"/>
  <c r="O44" i="174" s="1"/>
  <c r="U50" i="124"/>
  <c r="U50" i="174" s="1"/>
  <c r="L50" i="124"/>
  <c r="L50" i="174" s="1"/>
  <c r="S50" i="124"/>
  <c r="S50" i="174" s="1"/>
  <c r="K50" i="124"/>
  <c r="K50" i="174" s="1"/>
  <c r="J50" i="124"/>
  <c r="J50" i="174" s="1"/>
  <c r="P50" i="124"/>
  <c r="P50" i="174" s="1"/>
  <c r="T50" i="124"/>
  <c r="T50" i="174" s="1"/>
  <c r="O50" i="124"/>
  <c r="O50" i="174" s="1"/>
  <c r="N50" i="124"/>
  <c r="N50" i="174" s="1"/>
  <c r="M50" i="124"/>
  <c r="M50" i="174" s="1"/>
  <c r="R50" i="124"/>
  <c r="R50" i="174" s="1"/>
  <c r="Q50" i="124"/>
  <c r="Q50" i="174" s="1"/>
  <c r="AE1" i="87"/>
  <c r="AE160" i="87" s="1"/>
  <c r="AE1" i="68"/>
  <c r="AE160" i="68" s="1"/>
  <c r="AE1" i="86"/>
  <c r="AE160" i="86" s="1"/>
  <c r="AE1" i="85"/>
  <c r="AE160" i="85" s="1"/>
  <c r="AE1" i="83"/>
  <c r="AE160" i="83" s="1"/>
  <c r="AE159" i="83" l="1"/>
  <c r="Z161" i="85"/>
  <c r="Z162" i="85" s="1"/>
  <c r="Z163" i="85" s="1"/>
  <c r="AD159" i="84"/>
  <c r="AE159" i="85"/>
  <c r="AE159" i="86"/>
  <c r="AE159" i="87"/>
  <c r="AE159" i="68"/>
  <c r="AE51" i="86"/>
  <c r="AE70" i="87"/>
  <c r="AE66" i="87"/>
  <c r="AE67" i="87"/>
  <c r="AE64" i="87"/>
  <c r="AE51" i="87"/>
  <c r="AE70" i="68"/>
  <c r="AE66" i="68"/>
  <c r="AE67" i="68"/>
  <c r="AE64" i="68"/>
  <c r="AE51" i="68"/>
  <c r="AE70" i="83"/>
  <c r="AE66" i="83"/>
  <c r="AE67" i="83"/>
  <c r="AE64" i="83"/>
  <c r="AE51" i="83"/>
  <c r="AD51" i="84"/>
  <c r="AD70" i="84"/>
  <c r="AD66" i="84"/>
  <c r="AD67" i="84"/>
  <c r="AD64" i="84"/>
  <c r="AE51" i="85"/>
  <c r="AE64" i="85"/>
  <c r="AE66" i="85"/>
  <c r="AE67" i="85"/>
  <c r="AE70" i="85"/>
  <c r="AB60" i="174"/>
  <c r="AE149" i="87"/>
  <c r="AE115" i="87"/>
  <c r="AE93" i="87"/>
  <c r="AE94" i="87"/>
  <c r="AE95" i="87"/>
  <c r="AE96" i="87"/>
  <c r="AE97" i="87"/>
  <c r="AE98" i="87"/>
  <c r="AE99" i="87"/>
  <c r="AE100" i="87"/>
  <c r="AE101" i="87"/>
  <c r="AE102" i="87"/>
  <c r="AE104" i="87"/>
  <c r="AE106" i="87"/>
  <c r="AE107" i="87"/>
  <c r="AE108" i="87"/>
  <c r="AE110" i="87"/>
  <c r="AE111" i="87"/>
  <c r="AE112" i="87"/>
  <c r="AE113" i="87"/>
  <c r="AE149" i="68"/>
  <c r="AE115" i="68"/>
  <c r="AE93" i="68"/>
  <c r="AE94" i="68"/>
  <c r="AE95" i="68"/>
  <c r="AE96" i="68"/>
  <c r="AE97" i="68"/>
  <c r="AE98" i="68"/>
  <c r="AE99" i="68"/>
  <c r="AE100" i="68"/>
  <c r="AE101" i="68"/>
  <c r="AE102" i="68"/>
  <c r="AE103" i="68"/>
  <c r="AE104" i="68"/>
  <c r="AE106" i="68"/>
  <c r="AE107" i="68"/>
  <c r="AE108" i="68"/>
  <c r="AE110" i="68"/>
  <c r="AE111" i="68"/>
  <c r="AE112" i="68"/>
  <c r="AE113" i="68"/>
  <c r="AE149" i="83"/>
  <c r="AE93" i="83"/>
  <c r="AE94" i="83"/>
  <c r="AE95" i="83"/>
  <c r="AE96" i="83"/>
  <c r="AE97" i="83"/>
  <c r="AE98" i="83"/>
  <c r="AE99" i="83"/>
  <c r="AE100" i="83"/>
  <c r="AE101" i="83"/>
  <c r="AE102" i="83"/>
  <c r="AE103" i="83"/>
  <c r="AE104" i="83"/>
  <c r="AE106" i="83"/>
  <c r="AE107" i="83"/>
  <c r="AE108" i="83"/>
  <c r="AE110" i="83"/>
  <c r="AE111" i="83"/>
  <c r="AE112" i="83"/>
  <c r="AE113" i="83"/>
  <c r="AD149" i="84"/>
  <c r="AD115" i="84"/>
  <c r="AD93" i="84"/>
  <c r="AD94" i="84"/>
  <c r="AD95" i="84"/>
  <c r="AD96" i="84"/>
  <c r="AD97" i="84"/>
  <c r="AD98" i="84"/>
  <c r="AD99" i="84"/>
  <c r="AD100" i="84"/>
  <c r="AD101" i="84"/>
  <c r="AD102" i="84"/>
  <c r="AD103" i="84"/>
  <c r="AD104" i="84"/>
  <c r="AD106" i="84"/>
  <c r="AD107" i="84"/>
  <c r="AD108" i="84"/>
  <c r="AD110" i="84"/>
  <c r="AD111" i="84"/>
  <c r="AD112" i="84"/>
  <c r="AD113" i="84"/>
  <c r="AE149" i="85"/>
  <c r="AE115" i="85"/>
  <c r="AE93" i="85"/>
  <c r="AE94" i="85"/>
  <c r="AE95" i="85"/>
  <c r="AE96" i="85"/>
  <c r="AE97" i="85"/>
  <c r="AE98" i="85"/>
  <c r="AE99" i="85"/>
  <c r="AE100" i="85"/>
  <c r="AE101" i="85"/>
  <c r="AE102" i="85"/>
  <c r="AE103" i="85"/>
  <c r="AE104" i="85"/>
  <c r="AE106" i="85"/>
  <c r="AE107" i="85"/>
  <c r="AE108" i="85"/>
  <c r="AE110" i="85"/>
  <c r="AE111" i="85"/>
  <c r="AE112" i="85"/>
  <c r="AE113" i="85"/>
  <c r="AE149" i="86"/>
  <c r="AE115" i="86"/>
  <c r="AE93" i="86"/>
  <c r="AE94" i="86"/>
  <c r="AE95" i="86"/>
  <c r="AE96" i="86"/>
  <c r="AE97" i="86"/>
  <c r="AE98" i="86"/>
  <c r="AE99" i="86"/>
  <c r="AE100" i="86"/>
  <c r="AE101" i="86"/>
  <c r="AE102" i="86"/>
  <c r="AE103" i="86"/>
  <c r="AE104" i="86"/>
  <c r="AE106" i="86"/>
  <c r="AE107" i="86"/>
  <c r="AE108" i="86"/>
  <c r="AE110" i="86"/>
  <c r="AE111" i="86"/>
  <c r="AE112" i="86"/>
  <c r="AE113" i="86"/>
  <c r="Y114" i="85"/>
  <c r="Y161" i="85" s="1"/>
  <c r="AA114" i="85"/>
  <c r="AE52" i="83"/>
  <c r="AE90" i="83"/>
  <c r="AE52" i="87"/>
  <c r="AE80" i="68"/>
  <c r="AE52" i="68"/>
  <c r="AD52" i="84"/>
  <c r="AE52" i="86"/>
  <c r="AE52" i="85"/>
  <c r="AD151" i="85"/>
  <c r="AE80" i="87"/>
  <c r="AE80" i="85"/>
  <c r="AE80" i="86"/>
  <c r="AD60" i="175"/>
  <c r="AD60" i="124"/>
  <c r="AE56" i="83"/>
  <c r="AE80" i="83"/>
  <c r="AD80" i="84"/>
  <c r="AD79" i="84"/>
  <c r="AB38" i="86"/>
  <c r="AE56" i="87"/>
  <c r="AE154" i="87"/>
  <c r="AE126" i="87"/>
  <c r="AE127" i="87"/>
  <c r="AE91" i="87"/>
  <c r="AE155" i="87"/>
  <c r="AE56" i="68"/>
  <c r="AE158" i="68"/>
  <c r="AE155" i="68"/>
  <c r="AE154" i="68"/>
  <c r="AE148" i="68"/>
  <c r="AE145" i="68"/>
  <c r="AE144" i="68"/>
  <c r="AE142" i="68"/>
  <c r="AE141" i="68"/>
  <c r="AE140" i="68"/>
  <c r="AE137" i="68"/>
  <c r="AE135" i="68"/>
  <c r="AE131" i="68"/>
  <c r="AE129" i="68"/>
  <c r="AE128" i="68"/>
  <c r="AE127" i="68"/>
  <c r="AE126" i="68"/>
  <c r="AE125" i="68"/>
  <c r="AE123" i="68"/>
  <c r="AE121" i="68"/>
  <c r="AE119" i="68"/>
  <c r="AE118" i="68"/>
  <c r="AE91" i="68"/>
  <c r="AE89" i="68"/>
  <c r="AE88" i="68"/>
  <c r="AE86" i="68"/>
  <c r="AE79" i="68"/>
  <c r="AE76" i="68"/>
  <c r="AE58" i="68"/>
  <c r="AE57" i="68"/>
  <c r="AE55" i="68"/>
  <c r="AE54" i="68"/>
  <c r="AE115" i="83"/>
  <c r="AE158" i="83"/>
  <c r="AE155" i="83"/>
  <c r="AE154" i="83"/>
  <c r="AE148" i="83"/>
  <c r="AE145" i="83"/>
  <c r="AE144" i="83"/>
  <c r="AE142" i="83"/>
  <c r="AE141" i="83"/>
  <c r="AE140" i="83"/>
  <c r="AE137" i="83"/>
  <c r="AE135" i="83"/>
  <c r="AE131" i="83"/>
  <c r="AE129" i="83"/>
  <c r="AE128" i="83"/>
  <c r="AE127" i="83"/>
  <c r="AE126" i="83"/>
  <c r="AE125" i="83"/>
  <c r="AE123" i="83"/>
  <c r="AE121" i="83"/>
  <c r="AE119" i="83"/>
  <c r="AE118" i="83"/>
  <c r="AE91" i="83"/>
  <c r="AE89" i="83"/>
  <c r="AE88" i="83"/>
  <c r="AE86" i="83"/>
  <c r="AE79" i="83"/>
  <c r="AE76" i="83"/>
  <c r="AE58" i="83"/>
  <c r="AE57" i="83"/>
  <c r="AE55" i="83"/>
  <c r="AE54" i="83"/>
  <c r="AD56" i="84"/>
  <c r="AD158" i="84"/>
  <c r="AD155" i="84"/>
  <c r="AD154" i="84"/>
  <c r="AD148" i="84"/>
  <c r="AD145" i="84"/>
  <c r="AD144" i="84"/>
  <c r="AD142" i="84"/>
  <c r="AD141" i="84"/>
  <c r="AD140" i="84"/>
  <c r="AD137" i="84"/>
  <c r="AD135" i="84"/>
  <c r="AD131" i="84"/>
  <c r="AD129" i="84"/>
  <c r="AD128" i="84"/>
  <c r="AD127" i="84"/>
  <c r="AD126" i="84"/>
  <c r="AD125" i="84"/>
  <c r="AD123" i="84"/>
  <c r="AD121" i="84"/>
  <c r="AD119" i="84"/>
  <c r="AD118" i="84"/>
  <c r="AD89" i="84"/>
  <c r="AD88" i="84"/>
  <c r="AD86" i="84"/>
  <c r="AD76" i="84"/>
  <c r="AD58" i="84"/>
  <c r="AD57" i="84"/>
  <c r="AD55" i="84"/>
  <c r="AD54" i="84"/>
  <c r="AE64" i="86"/>
  <c r="AE56" i="86"/>
  <c r="AE158" i="86"/>
  <c r="AE155" i="86"/>
  <c r="AE154" i="86"/>
  <c r="AE148" i="86"/>
  <c r="AE145" i="86"/>
  <c r="AE144" i="86"/>
  <c r="AE142" i="86"/>
  <c r="AE141" i="86"/>
  <c r="AE140" i="86"/>
  <c r="AE137" i="86"/>
  <c r="AE135" i="86"/>
  <c r="AE131" i="86"/>
  <c r="AE129" i="86"/>
  <c r="AE128" i="86"/>
  <c r="AE127" i="86"/>
  <c r="AE126" i="86"/>
  <c r="AE125" i="86"/>
  <c r="AE123" i="86"/>
  <c r="AE121" i="86"/>
  <c r="AE119" i="86"/>
  <c r="AE118" i="86"/>
  <c r="AE91" i="86"/>
  <c r="AE89" i="86"/>
  <c r="AE88" i="86"/>
  <c r="AE86" i="86"/>
  <c r="AE79" i="86"/>
  <c r="AE76" i="86"/>
  <c r="AE70" i="86"/>
  <c r="AE67" i="86"/>
  <c r="AE66" i="86"/>
  <c r="AE58" i="86"/>
  <c r="AE57" i="86"/>
  <c r="AE55" i="86"/>
  <c r="AE54" i="86"/>
  <c r="AE56" i="85"/>
  <c r="AE158" i="85"/>
  <c r="AE155" i="85"/>
  <c r="AE154" i="85"/>
  <c r="AE148" i="85"/>
  <c r="AE145" i="85"/>
  <c r="AE144" i="85"/>
  <c r="AE142" i="85"/>
  <c r="AE141" i="85"/>
  <c r="AE140" i="85"/>
  <c r="AE137" i="85"/>
  <c r="AE135" i="85"/>
  <c r="AE131" i="85"/>
  <c r="AE129" i="85"/>
  <c r="AE128" i="85"/>
  <c r="AE127" i="85"/>
  <c r="AE126" i="85"/>
  <c r="AE125" i="85"/>
  <c r="AE123" i="85"/>
  <c r="AE121" i="85"/>
  <c r="AE119" i="85"/>
  <c r="AE118" i="85"/>
  <c r="AE91" i="85"/>
  <c r="AE89" i="85"/>
  <c r="AE88" i="85"/>
  <c r="AE86" i="85"/>
  <c r="AE79" i="85"/>
  <c r="AE76" i="85"/>
  <c r="AE58" i="85"/>
  <c r="AE57" i="85"/>
  <c r="AE55" i="85"/>
  <c r="AE54" i="85"/>
  <c r="AE50" i="85"/>
  <c r="AE10" i="85"/>
  <c r="AE40" i="85"/>
  <c r="AE7" i="85" s="1"/>
  <c r="AE41" i="85"/>
  <c r="AE8" i="85" s="1"/>
  <c r="AE42" i="85"/>
  <c r="AE9" i="85" s="1"/>
  <c r="AC6" i="85"/>
  <c r="AC14" i="85"/>
  <c r="AC150" i="85"/>
  <c r="AC15" i="85"/>
  <c r="AC16" i="85"/>
  <c r="AB6" i="85"/>
  <c r="AB14" i="85"/>
  <c r="AB150" i="85"/>
  <c r="AB15" i="85"/>
  <c r="AB16" i="85"/>
  <c r="Y162" i="85"/>
  <c r="Y163" i="85" s="1"/>
  <c r="Y164" i="85"/>
  <c r="Y165" i="85" s="1"/>
  <c r="Z164" i="85"/>
  <c r="Z165" i="85" s="1"/>
  <c r="Z43" i="85"/>
  <c r="AA13" i="85"/>
  <c r="AA34" i="85"/>
  <c r="AD109" i="85"/>
  <c r="AD92" i="85"/>
  <c r="AD27" i="85"/>
  <c r="AD37" i="85"/>
  <c r="AD29" i="85"/>
  <c r="AD24" i="85"/>
  <c r="AD26" i="85"/>
  <c r="AD36" i="85"/>
  <c r="AD28" i="85"/>
  <c r="AD23" i="85"/>
  <c r="AD25" i="85"/>
  <c r="AD35" i="85"/>
  <c r="AD39" i="85"/>
  <c r="AD30" i="85"/>
  <c r="AD38" i="85"/>
  <c r="AD30" i="68"/>
  <c r="AD38" i="68" s="1"/>
  <c r="AC30" i="84"/>
  <c r="AC38" i="84"/>
  <c r="AD30" i="83"/>
  <c r="AD38" i="83" s="1"/>
  <c r="AD30" i="86"/>
  <c r="AD50" i="68"/>
  <c r="AD50" i="83"/>
  <c r="AD50" i="86"/>
  <c r="AC50" i="84"/>
  <c r="AC151" i="84"/>
  <c r="AE10" i="83"/>
  <c r="AD92" i="83"/>
  <c r="AD109" i="83"/>
  <c r="AD10" i="84"/>
  <c r="AC92" i="84"/>
  <c r="AC109" i="84"/>
  <c r="AE10" i="86"/>
  <c r="AD92" i="86"/>
  <c r="AD109" i="86"/>
  <c r="AE10" i="68"/>
  <c r="AD92" i="68"/>
  <c r="AD109" i="68"/>
  <c r="AE158" i="87"/>
  <c r="AE76" i="87"/>
  <c r="AE57" i="87"/>
  <c r="AE54" i="87"/>
  <c r="AE88" i="87"/>
  <c r="AE118" i="87"/>
  <c r="AE119" i="87"/>
  <c r="AE123" i="87"/>
  <c r="AE125" i="87"/>
  <c r="AE128" i="87"/>
  <c r="AE129" i="87"/>
  <c r="AE131" i="87"/>
  <c r="AE135" i="87"/>
  <c r="AE137" i="87"/>
  <c r="AE140" i="87"/>
  <c r="AE141" i="87"/>
  <c r="AE142" i="87"/>
  <c r="AE144" i="87"/>
  <c r="AE145" i="87"/>
  <c r="AE86" i="87"/>
  <c r="AE148" i="87"/>
  <c r="AE79" i="87"/>
  <c r="AE89" i="87"/>
  <c r="AE58" i="87"/>
  <c r="AE121" i="87"/>
  <c r="AC22" i="124"/>
  <c r="AC22" i="174" s="1"/>
  <c r="AD50" i="87"/>
  <c r="AE10" i="87"/>
  <c r="AD92" i="87"/>
  <c r="AD109" i="87"/>
  <c r="AD151" i="87"/>
  <c r="AD30" i="87"/>
  <c r="AD38" i="87" s="1"/>
  <c r="AE1" i="84"/>
  <c r="AE160" i="84" s="1"/>
  <c r="AF1" i="87"/>
  <c r="AF160" i="87" s="1"/>
  <c r="AF1" i="68"/>
  <c r="AF160" i="68" s="1"/>
  <c r="AF1" i="86"/>
  <c r="AF160" i="86" s="1"/>
  <c r="AF1" i="85"/>
  <c r="AF160" i="85" s="1"/>
  <c r="AF1" i="83"/>
  <c r="AF160" i="83" s="1"/>
  <c r="AF159" i="83" l="1"/>
  <c r="AA161" i="85"/>
  <c r="AA162" i="85" s="1"/>
  <c r="AA163" i="85" s="1"/>
  <c r="AE159" i="84"/>
  <c r="AF159" i="85"/>
  <c r="AF159" i="86"/>
  <c r="AF159" i="87"/>
  <c r="AF159" i="68"/>
  <c r="AF51" i="86"/>
  <c r="AF70" i="87"/>
  <c r="AF66" i="87"/>
  <c r="AF67" i="87"/>
  <c r="AF64" i="87"/>
  <c r="AF51" i="87"/>
  <c r="AF70" i="68"/>
  <c r="AF66" i="68"/>
  <c r="AF67" i="68"/>
  <c r="AF64" i="68"/>
  <c r="AF51" i="68"/>
  <c r="AF70" i="83"/>
  <c r="AF66" i="83"/>
  <c r="AF67" i="83"/>
  <c r="AF64" i="83"/>
  <c r="AF51" i="83"/>
  <c r="AE51" i="84"/>
  <c r="AE70" i="84"/>
  <c r="AE66" i="84"/>
  <c r="AE67" i="84"/>
  <c r="AE64" i="84"/>
  <c r="AF51" i="85"/>
  <c r="AF64" i="85"/>
  <c r="AF66" i="85"/>
  <c r="AF67" i="85"/>
  <c r="AF70" i="85"/>
  <c r="AD60" i="174"/>
  <c r="AF149" i="87"/>
  <c r="AF115" i="87"/>
  <c r="AF93" i="87"/>
  <c r="AF94" i="87"/>
  <c r="AF95" i="87"/>
  <c r="AF96" i="87"/>
  <c r="AF97" i="87"/>
  <c r="AF98" i="87"/>
  <c r="AF99" i="87"/>
  <c r="AF100" i="87"/>
  <c r="AF101" i="87"/>
  <c r="AF102" i="87"/>
  <c r="AF104" i="87"/>
  <c r="AF106" i="87"/>
  <c r="AF107" i="87"/>
  <c r="AF108" i="87"/>
  <c r="AF110" i="87"/>
  <c r="AF111" i="87"/>
  <c r="AF112" i="87"/>
  <c r="AF113" i="87"/>
  <c r="AF149" i="68"/>
  <c r="AF115" i="68"/>
  <c r="AF93" i="68"/>
  <c r="AF94" i="68"/>
  <c r="AF95" i="68"/>
  <c r="AF96" i="68"/>
  <c r="AF97" i="68"/>
  <c r="AF98" i="68"/>
  <c r="AF99" i="68"/>
  <c r="AF100" i="68"/>
  <c r="AF101" i="68"/>
  <c r="AF102" i="68"/>
  <c r="AF103" i="68"/>
  <c r="AF104" i="68"/>
  <c r="AF106" i="68"/>
  <c r="AF107" i="68"/>
  <c r="AF108" i="68"/>
  <c r="AF110" i="68"/>
  <c r="AF111" i="68"/>
  <c r="AF112" i="68"/>
  <c r="AF113" i="68"/>
  <c r="AF149" i="83"/>
  <c r="AF93" i="83"/>
  <c r="AF94" i="83"/>
  <c r="AF95" i="83"/>
  <c r="AF96" i="83"/>
  <c r="AF97" i="83"/>
  <c r="AF98" i="83"/>
  <c r="AF99" i="83"/>
  <c r="AF100" i="83"/>
  <c r="AF101" i="83"/>
  <c r="AF102" i="83"/>
  <c r="AF103" i="83"/>
  <c r="AF104" i="83"/>
  <c r="AF106" i="83"/>
  <c r="AF107" i="83"/>
  <c r="AF108" i="83"/>
  <c r="AF110" i="83"/>
  <c r="AF111" i="83"/>
  <c r="AF112" i="83"/>
  <c r="AF113" i="83"/>
  <c r="AE149" i="84"/>
  <c r="AE115" i="84"/>
  <c r="AE93" i="84"/>
  <c r="AE94" i="84"/>
  <c r="AE95" i="84"/>
  <c r="AE96" i="84"/>
  <c r="AE97" i="84"/>
  <c r="AE98" i="84"/>
  <c r="AE99" i="84"/>
  <c r="AE100" i="84"/>
  <c r="AE101" i="84"/>
  <c r="AE102" i="84"/>
  <c r="AE103" i="84"/>
  <c r="AE104" i="84"/>
  <c r="AE106" i="84"/>
  <c r="AE107" i="84"/>
  <c r="AE108" i="84"/>
  <c r="AE110" i="84"/>
  <c r="AE111" i="84"/>
  <c r="AE112" i="84"/>
  <c r="AE113" i="84"/>
  <c r="AF149" i="85"/>
  <c r="AF115" i="85"/>
  <c r="AF93" i="85"/>
  <c r="AF94" i="85"/>
  <c r="AF95" i="85"/>
  <c r="AF96" i="85"/>
  <c r="AF97" i="85"/>
  <c r="AF98" i="85"/>
  <c r="AF99" i="85"/>
  <c r="AF100" i="85"/>
  <c r="AF101" i="85"/>
  <c r="AF102" i="85"/>
  <c r="AF103" i="85"/>
  <c r="AF104" i="85"/>
  <c r="AF106" i="85"/>
  <c r="AF107" i="85"/>
  <c r="AF108" i="85"/>
  <c r="AF110" i="85"/>
  <c r="AF111" i="85"/>
  <c r="AF112" i="85"/>
  <c r="AF113" i="85"/>
  <c r="AF149" i="86"/>
  <c r="AF115" i="86"/>
  <c r="AF93" i="86"/>
  <c r="AF94" i="86"/>
  <c r="AF95" i="86"/>
  <c r="AF96" i="86"/>
  <c r="AF97" i="86"/>
  <c r="AF98" i="86"/>
  <c r="AF99" i="86"/>
  <c r="AF100" i="86"/>
  <c r="AF101" i="86"/>
  <c r="AF102" i="86"/>
  <c r="AF103" i="86"/>
  <c r="AF104" i="86"/>
  <c r="AF106" i="86"/>
  <c r="AF107" i="86"/>
  <c r="AF108" i="86"/>
  <c r="AF110" i="86"/>
  <c r="AF111" i="86"/>
  <c r="AF112" i="86"/>
  <c r="AF113" i="86"/>
  <c r="AB114" i="85"/>
  <c r="AC114" i="85"/>
  <c r="AF52" i="83"/>
  <c r="AF90" i="83"/>
  <c r="AF52" i="87"/>
  <c r="AF80" i="68"/>
  <c r="AF52" i="68"/>
  <c r="AE52" i="84"/>
  <c r="AF52" i="86"/>
  <c r="AF52" i="85"/>
  <c r="AF80" i="87"/>
  <c r="AF80" i="85"/>
  <c r="AF80" i="86"/>
  <c r="AE60" i="175"/>
  <c r="AE60" i="124"/>
  <c r="AF56" i="83"/>
  <c r="AF80" i="83"/>
  <c r="AE80" i="84"/>
  <c r="AE79" i="84"/>
  <c r="AD38" i="86"/>
  <c r="AF56" i="87"/>
  <c r="AF154" i="87"/>
  <c r="AF126" i="87"/>
  <c r="AF127" i="87"/>
  <c r="AF91" i="87"/>
  <c r="AF155" i="87"/>
  <c r="AF56" i="68"/>
  <c r="AF158" i="68"/>
  <c r="AF155" i="68"/>
  <c r="AF154" i="68"/>
  <c r="AF148" i="68"/>
  <c r="AF145" i="68"/>
  <c r="AF144" i="68"/>
  <c r="AF142" i="68"/>
  <c r="AF141" i="68"/>
  <c r="AF140" i="68"/>
  <c r="AF137" i="68"/>
  <c r="AF135" i="68"/>
  <c r="AF131" i="68"/>
  <c r="AF129" i="68"/>
  <c r="AF128" i="68"/>
  <c r="AF127" i="68"/>
  <c r="AF126" i="68"/>
  <c r="AF125" i="68"/>
  <c r="AF123" i="68"/>
  <c r="AF121" i="68"/>
  <c r="AF119" i="68"/>
  <c r="AF118" i="68"/>
  <c r="AF91" i="68"/>
  <c r="AF89" i="68"/>
  <c r="AF88" i="68"/>
  <c r="AF86" i="68"/>
  <c r="AF79" i="68"/>
  <c r="AF76" i="68"/>
  <c r="AF58" i="68"/>
  <c r="AF57" i="68"/>
  <c r="AF55" i="68"/>
  <c r="AF54" i="68"/>
  <c r="AF115" i="83"/>
  <c r="AF158" i="83"/>
  <c r="AF155" i="83"/>
  <c r="AF154" i="83"/>
  <c r="AF148" i="83"/>
  <c r="AF145" i="83"/>
  <c r="AF144" i="83"/>
  <c r="AF142" i="83"/>
  <c r="AF141" i="83"/>
  <c r="AF140" i="83"/>
  <c r="AF137" i="83"/>
  <c r="AF135" i="83"/>
  <c r="AF131" i="83"/>
  <c r="AF129" i="83"/>
  <c r="AF128" i="83"/>
  <c r="AF127" i="83"/>
  <c r="AF126" i="83"/>
  <c r="AF125" i="83"/>
  <c r="AF123" i="83"/>
  <c r="AF121" i="83"/>
  <c r="AF119" i="83"/>
  <c r="AF118" i="83"/>
  <c r="AF91" i="83"/>
  <c r="AF89" i="83"/>
  <c r="AF88" i="83"/>
  <c r="AF86" i="83"/>
  <c r="AF79" i="83"/>
  <c r="AF76" i="83"/>
  <c r="AF58" i="83"/>
  <c r="AF57" i="83"/>
  <c r="AF55" i="83"/>
  <c r="AF54" i="83"/>
  <c r="AE56" i="84"/>
  <c r="AE158" i="84"/>
  <c r="AE155" i="84"/>
  <c r="AE154" i="84"/>
  <c r="AE148" i="84"/>
  <c r="AE145" i="84"/>
  <c r="AE144" i="84"/>
  <c r="AE142" i="84"/>
  <c r="AE141" i="84"/>
  <c r="AE140" i="84"/>
  <c r="AE137" i="84"/>
  <c r="AE135" i="84"/>
  <c r="AE131" i="84"/>
  <c r="AE129" i="84"/>
  <c r="AE128" i="84"/>
  <c r="AE127" i="84"/>
  <c r="AE126" i="84"/>
  <c r="AE125" i="84"/>
  <c r="AE123" i="84"/>
  <c r="AE121" i="84"/>
  <c r="AE119" i="84"/>
  <c r="AE118" i="84"/>
  <c r="AE89" i="84"/>
  <c r="AE88" i="84"/>
  <c r="AE86" i="84"/>
  <c r="AE76" i="84"/>
  <c r="AE58" i="84"/>
  <c r="AE57" i="84"/>
  <c r="AE55" i="84"/>
  <c r="AE54" i="84"/>
  <c r="AF64" i="86"/>
  <c r="AF56" i="86"/>
  <c r="AF158" i="86"/>
  <c r="AF155" i="86"/>
  <c r="AF154" i="86"/>
  <c r="AF148" i="86"/>
  <c r="AF145" i="86"/>
  <c r="AF144" i="86"/>
  <c r="AF142" i="86"/>
  <c r="AF141" i="86"/>
  <c r="AF140" i="86"/>
  <c r="AF137" i="86"/>
  <c r="AF135" i="86"/>
  <c r="AF131" i="86"/>
  <c r="AF129" i="86"/>
  <c r="AF128" i="86"/>
  <c r="AF127" i="86"/>
  <c r="AF126" i="86"/>
  <c r="AF125" i="86"/>
  <c r="AF123" i="86"/>
  <c r="AF121" i="86"/>
  <c r="AF119" i="86"/>
  <c r="AF118" i="86"/>
  <c r="AF91" i="86"/>
  <c r="AF89" i="86"/>
  <c r="AF88" i="86"/>
  <c r="AF86" i="86"/>
  <c r="AF79" i="86"/>
  <c r="AF76" i="86"/>
  <c r="AF70" i="86"/>
  <c r="AF67" i="86"/>
  <c r="AF66" i="86"/>
  <c r="AF58" i="86"/>
  <c r="AF57" i="86"/>
  <c r="AF55" i="86"/>
  <c r="AF54" i="86"/>
  <c r="AF56" i="85"/>
  <c r="AF158" i="85"/>
  <c r="AF155" i="85"/>
  <c r="AF154" i="85"/>
  <c r="AF148" i="85"/>
  <c r="AF145" i="85"/>
  <c r="AF144" i="85"/>
  <c r="AF142" i="85"/>
  <c r="AF141" i="85"/>
  <c r="AF140" i="85"/>
  <c r="AF137" i="85"/>
  <c r="AF135" i="85"/>
  <c r="AF131" i="85"/>
  <c r="AF129" i="85"/>
  <c r="AF128" i="85"/>
  <c r="AF127" i="85"/>
  <c r="AF126" i="85"/>
  <c r="AF125" i="85"/>
  <c r="AF123" i="85"/>
  <c r="AF121" i="85"/>
  <c r="AF119" i="85"/>
  <c r="AF118" i="85"/>
  <c r="AF91" i="85"/>
  <c r="AF89" i="85"/>
  <c r="AF88" i="85"/>
  <c r="AF86" i="85"/>
  <c r="AF79" i="85"/>
  <c r="AF76" i="85"/>
  <c r="AF58" i="85"/>
  <c r="AF57" i="85"/>
  <c r="AF55" i="85"/>
  <c r="AF54" i="85"/>
  <c r="AF50" i="85"/>
  <c r="AF10" i="85"/>
  <c r="AF40" i="85"/>
  <c r="AF7" i="85" s="1"/>
  <c r="AF41" i="85"/>
  <c r="AF8" i="85" s="1"/>
  <c r="AF42" i="85"/>
  <c r="AF9" i="85" s="1"/>
  <c r="AD6" i="85"/>
  <c r="AD14" i="85"/>
  <c r="AD150" i="85"/>
  <c r="AD15" i="85"/>
  <c r="AD16" i="85"/>
  <c r="AA164" i="85"/>
  <c r="AA165" i="85" s="1"/>
  <c r="AA43" i="85"/>
  <c r="AB13" i="85"/>
  <c r="AB34" i="85"/>
  <c r="AC13" i="85"/>
  <c r="AC34" i="85"/>
  <c r="AE109" i="85"/>
  <c r="AE92" i="85"/>
  <c r="AE27" i="85"/>
  <c r="AE37" i="85"/>
  <c r="AE29" i="85"/>
  <c r="AE24" i="85"/>
  <c r="AE26" i="85"/>
  <c r="AE36" i="85"/>
  <c r="AE28" i="85"/>
  <c r="AE23" i="85"/>
  <c r="AE25" i="85"/>
  <c r="AE35" i="85"/>
  <c r="AE39" i="85"/>
  <c r="AE30" i="85"/>
  <c r="AE38" i="85"/>
  <c r="AE151" i="85"/>
  <c r="AF151" i="83"/>
  <c r="AF10" i="83"/>
  <c r="AE30" i="83"/>
  <c r="AE38" i="83" s="1"/>
  <c r="AE92" i="83"/>
  <c r="AE109" i="83"/>
  <c r="AE50" i="83"/>
  <c r="AE151" i="83"/>
  <c r="AE10" i="84"/>
  <c r="AD30" i="84"/>
  <c r="AD92" i="84"/>
  <c r="AD109" i="84"/>
  <c r="AD50" i="84"/>
  <c r="AD151" i="84"/>
  <c r="AF151" i="86"/>
  <c r="AF10" i="86"/>
  <c r="AE30" i="86"/>
  <c r="AE92" i="86"/>
  <c r="AE109" i="86"/>
  <c r="AE50" i="86"/>
  <c r="AE151" i="86"/>
  <c r="AF151" i="68"/>
  <c r="AF10" i="68"/>
  <c r="AE30" i="68"/>
  <c r="AE38" i="68" s="1"/>
  <c r="AE92" i="68"/>
  <c r="AE109" i="68"/>
  <c r="AE50" i="68"/>
  <c r="AE151" i="68"/>
  <c r="AF158" i="87"/>
  <c r="AF76" i="87"/>
  <c r="AF57" i="87"/>
  <c r="AF54" i="87"/>
  <c r="AF88" i="87"/>
  <c r="AF118" i="87"/>
  <c r="AF119" i="87"/>
  <c r="AF123" i="87"/>
  <c r="AF125" i="87"/>
  <c r="AF128" i="87"/>
  <c r="AF129" i="87"/>
  <c r="AF131" i="87"/>
  <c r="AF135" i="87"/>
  <c r="AF137" i="87"/>
  <c r="AF140" i="87"/>
  <c r="AF141" i="87"/>
  <c r="AF142" i="87"/>
  <c r="AF144" i="87"/>
  <c r="AF145" i="87"/>
  <c r="AF86" i="87"/>
  <c r="AF148" i="87"/>
  <c r="AF79" i="87"/>
  <c r="AF89" i="87"/>
  <c r="AF58" i="87"/>
  <c r="AF121" i="87"/>
  <c r="AD22" i="124"/>
  <c r="AD22" i="174" s="1"/>
  <c r="AE50" i="87"/>
  <c r="AF10" i="87"/>
  <c r="AE92" i="87"/>
  <c r="AE109" i="87"/>
  <c r="AE151" i="87"/>
  <c r="AE30" i="87"/>
  <c r="AE38" i="87" s="1"/>
  <c r="AF1" i="84"/>
  <c r="AF160" i="84" s="1"/>
  <c r="V158" i="124"/>
  <c r="V158" i="174" s="1"/>
  <c r="AG1" i="87"/>
  <c r="AG160" i="87" s="1"/>
  <c r="AG1" i="68"/>
  <c r="AG160" i="68" s="1"/>
  <c r="AG1" i="86"/>
  <c r="AG160" i="86" s="1"/>
  <c r="AG1" i="85"/>
  <c r="AG160" i="85" s="1"/>
  <c r="AG1" i="83"/>
  <c r="AG160" i="83" s="1"/>
  <c r="AG159" i="83" l="1"/>
  <c r="AC161" i="85"/>
  <c r="AC162" i="85" s="1"/>
  <c r="AC163" i="85" s="1"/>
  <c r="AB161" i="85"/>
  <c r="AB162" i="85" s="1"/>
  <c r="AB163" i="85" s="1"/>
  <c r="AF159" i="84"/>
  <c r="AG159" i="85"/>
  <c r="AG159" i="86"/>
  <c r="AG159" i="87"/>
  <c r="AG159" i="68"/>
  <c r="AG51" i="86"/>
  <c r="AG70" i="87"/>
  <c r="AG66" i="87"/>
  <c r="AG67" i="87"/>
  <c r="AG64" i="87"/>
  <c r="AG51" i="87"/>
  <c r="AG70" i="68"/>
  <c r="AG66" i="68"/>
  <c r="AG67" i="68"/>
  <c r="AG64" i="68"/>
  <c r="AG51" i="68"/>
  <c r="AG70" i="83"/>
  <c r="AG66" i="83"/>
  <c r="AG67" i="83"/>
  <c r="AG64" i="83"/>
  <c r="AG51" i="83"/>
  <c r="AF51" i="84"/>
  <c r="AF70" i="84"/>
  <c r="AF66" i="84"/>
  <c r="AF67" i="84"/>
  <c r="AF64" i="84"/>
  <c r="AG51" i="85"/>
  <c r="AG64" i="85"/>
  <c r="AG66" i="85"/>
  <c r="AG67" i="85"/>
  <c r="AG70" i="85"/>
  <c r="AE60" i="174"/>
  <c r="AG149" i="87"/>
  <c r="AG115" i="87"/>
  <c r="AG93" i="87"/>
  <c r="AG94" i="87"/>
  <c r="AG95" i="87"/>
  <c r="AG96" i="87"/>
  <c r="AG97" i="87"/>
  <c r="AG98" i="87"/>
  <c r="AG99" i="87"/>
  <c r="AG100" i="87"/>
  <c r="AG101" i="87"/>
  <c r="AG102" i="87"/>
  <c r="AG104" i="87"/>
  <c r="AG106" i="87"/>
  <c r="AG107" i="87"/>
  <c r="AG108" i="87"/>
  <c r="AG110" i="87"/>
  <c r="AG111" i="87"/>
  <c r="AG112" i="87"/>
  <c r="AG113" i="87"/>
  <c r="AG149" i="68"/>
  <c r="AG115" i="68"/>
  <c r="AG93" i="68"/>
  <c r="AG94" i="68"/>
  <c r="AG95" i="68"/>
  <c r="AG96" i="68"/>
  <c r="AG97" i="68"/>
  <c r="AG98" i="68"/>
  <c r="AG99" i="68"/>
  <c r="AG100" i="68"/>
  <c r="AG101" i="68"/>
  <c r="AG102" i="68"/>
  <c r="AG103" i="68"/>
  <c r="AG104" i="68"/>
  <c r="AG106" i="68"/>
  <c r="AG107" i="68"/>
  <c r="AG108" i="68"/>
  <c r="AG110" i="68"/>
  <c r="AG111" i="68"/>
  <c r="AG112" i="68"/>
  <c r="AG113" i="68"/>
  <c r="AG149" i="83"/>
  <c r="AG93" i="83"/>
  <c r="AG94" i="83"/>
  <c r="AG95" i="83"/>
  <c r="AG96" i="83"/>
  <c r="AG97" i="83"/>
  <c r="AG98" i="83"/>
  <c r="AG99" i="83"/>
  <c r="AG100" i="83"/>
  <c r="AG101" i="83"/>
  <c r="AG102" i="83"/>
  <c r="AG103" i="83"/>
  <c r="AG104" i="83"/>
  <c r="AG106" i="83"/>
  <c r="AG107" i="83"/>
  <c r="AG108" i="83"/>
  <c r="AG110" i="83"/>
  <c r="AG111" i="83"/>
  <c r="AG112" i="83"/>
  <c r="AG113" i="83"/>
  <c r="AF149" i="84"/>
  <c r="AF115" i="84"/>
  <c r="AF93" i="84"/>
  <c r="AF94" i="84"/>
  <c r="AF95" i="84"/>
  <c r="AF96" i="84"/>
  <c r="AF97" i="84"/>
  <c r="AF98" i="84"/>
  <c r="AF99" i="84"/>
  <c r="AF100" i="84"/>
  <c r="AF101" i="84"/>
  <c r="AF102" i="84"/>
  <c r="AF103" i="84"/>
  <c r="AF104" i="84"/>
  <c r="AF106" i="84"/>
  <c r="AF107" i="84"/>
  <c r="AF108" i="84"/>
  <c r="AF110" i="84"/>
  <c r="AF111" i="84"/>
  <c r="AF112" i="84"/>
  <c r="AF113" i="84"/>
  <c r="AG149" i="85"/>
  <c r="AG115" i="85"/>
  <c r="AG93" i="85"/>
  <c r="AG94" i="85"/>
  <c r="AG95" i="85"/>
  <c r="AG96" i="85"/>
  <c r="AG97" i="85"/>
  <c r="AG98" i="85"/>
  <c r="AG99" i="85"/>
  <c r="AG100" i="85"/>
  <c r="AG101" i="85"/>
  <c r="AG102" i="85"/>
  <c r="AG103" i="85"/>
  <c r="AG104" i="85"/>
  <c r="AG106" i="85"/>
  <c r="AG107" i="85"/>
  <c r="AG108" i="85"/>
  <c r="AG110" i="85"/>
  <c r="AG111" i="85"/>
  <c r="AG112" i="85"/>
  <c r="AG113" i="85"/>
  <c r="AG149" i="86"/>
  <c r="AG115" i="86"/>
  <c r="AG93" i="86"/>
  <c r="AG94" i="86"/>
  <c r="AG95" i="86"/>
  <c r="AG96" i="86"/>
  <c r="AG97" i="86"/>
  <c r="AG98" i="86"/>
  <c r="AG99" i="86"/>
  <c r="AG100" i="86"/>
  <c r="AG101" i="86"/>
  <c r="AG102" i="86"/>
  <c r="AG103" i="86"/>
  <c r="AG104" i="86"/>
  <c r="AG106" i="86"/>
  <c r="AG107" i="86"/>
  <c r="AG108" i="86"/>
  <c r="AG110" i="86"/>
  <c r="AG111" i="86"/>
  <c r="AG112" i="86"/>
  <c r="AG113" i="86"/>
  <c r="AD114" i="85"/>
  <c r="AG52" i="83"/>
  <c r="AG90" i="83"/>
  <c r="AG52" i="87"/>
  <c r="AG80" i="68"/>
  <c r="AG52" i="68"/>
  <c r="AF52" i="84"/>
  <c r="AG52" i="86"/>
  <c r="AG52" i="85"/>
  <c r="AF151" i="85"/>
  <c r="AG80" i="87"/>
  <c r="AG80" i="85"/>
  <c r="AG80" i="86"/>
  <c r="AF60" i="175"/>
  <c r="AF60" i="124"/>
  <c r="AG56" i="83"/>
  <c r="AG80" i="83"/>
  <c r="AF80" i="84"/>
  <c r="AF79" i="84"/>
  <c r="AE38" i="86"/>
  <c r="AD38" i="84"/>
  <c r="AG56" i="87"/>
  <c r="AG154" i="87"/>
  <c r="AG126" i="87"/>
  <c r="AG127" i="87"/>
  <c r="AG91" i="87"/>
  <c r="AG155" i="87"/>
  <c r="AG56" i="68"/>
  <c r="AG158" i="68"/>
  <c r="AG155" i="68"/>
  <c r="AG154" i="68"/>
  <c r="AG148" i="68"/>
  <c r="AG145" i="68"/>
  <c r="AG144" i="68"/>
  <c r="AG142" i="68"/>
  <c r="AG141" i="68"/>
  <c r="AG140" i="68"/>
  <c r="AG137" i="68"/>
  <c r="AG135" i="68"/>
  <c r="AG131" i="68"/>
  <c r="AG129" i="68"/>
  <c r="AG128" i="68"/>
  <c r="AG127" i="68"/>
  <c r="AG126" i="68"/>
  <c r="AG125" i="68"/>
  <c r="AG123" i="68"/>
  <c r="AG121" i="68"/>
  <c r="AG119" i="68"/>
  <c r="AG118" i="68"/>
  <c r="AG91" i="68"/>
  <c r="AG89" i="68"/>
  <c r="AG88" i="68"/>
  <c r="AG86" i="68"/>
  <c r="AG79" i="68"/>
  <c r="AG76" i="68"/>
  <c r="AG58" i="68"/>
  <c r="AG57" i="68"/>
  <c r="AG55" i="68"/>
  <c r="AG54" i="68"/>
  <c r="AG115" i="83"/>
  <c r="AG158" i="83"/>
  <c r="AG155" i="83"/>
  <c r="AG154" i="83"/>
  <c r="AG148" i="83"/>
  <c r="AG145" i="83"/>
  <c r="AG144" i="83"/>
  <c r="AG142" i="83"/>
  <c r="AG141" i="83"/>
  <c r="AG140" i="83"/>
  <c r="AG137" i="83"/>
  <c r="AG135" i="83"/>
  <c r="AG131" i="83"/>
  <c r="AG129" i="83"/>
  <c r="AG128" i="83"/>
  <c r="AG127" i="83"/>
  <c r="AG126" i="83"/>
  <c r="AG125" i="83"/>
  <c r="AG123" i="83"/>
  <c r="AG121" i="83"/>
  <c r="AG119" i="83"/>
  <c r="AG118" i="83"/>
  <c r="AG91" i="83"/>
  <c r="AG89" i="83"/>
  <c r="AG88" i="83"/>
  <c r="AG86" i="83"/>
  <c r="AG79" i="83"/>
  <c r="AG76" i="83"/>
  <c r="AG58" i="83"/>
  <c r="AG57" i="83"/>
  <c r="AG55" i="83"/>
  <c r="AG54" i="83"/>
  <c r="AF56" i="84"/>
  <c r="AF158" i="84"/>
  <c r="AF155" i="84"/>
  <c r="AF154" i="84"/>
  <c r="AF148" i="84"/>
  <c r="AF145" i="84"/>
  <c r="AF144" i="84"/>
  <c r="AF142" i="84"/>
  <c r="AF141" i="84"/>
  <c r="AF140" i="84"/>
  <c r="AF137" i="84"/>
  <c r="AF135" i="84"/>
  <c r="AF131" i="84"/>
  <c r="AF129" i="84"/>
  <c r="AF128" i="84"/>
  <c r="AF127" i="84"/>
  <c r="AF126" i="84"/>
  <c r="AF125" i="84"/>
  <c r="AF123" i="84"/>
  <c r="AF121" i="84"/>
  <c r="AF119" i="84"/>
  <c r="AF118" i="84"/>
  <c r="AF89" i="84"/>
  <c r="AF88" i="84"/>
  <c r="AF86" i="84"/>
  <c r="AF76" i="84"/>
  <c r="AF58" i="84"/>
  <c r="AF57" i="84"/>
  <c r="AF55" i="84"/>
  <c r="AF54" i="84"/>
  <c r="AG64" i="86"/>
  <c r="AG56" i="86"/>
  <c r="AG158" i="86"/>
  <c r="AG155" i="86"/>
  <c r="AG154" i="86"/>
  <c r="AG148" i="86"/>
  <c r="AG145" i="86"/>
  <c r="AG144" i="86"/>
  <c r="AG142" i="86"/>
  <c r="AG141" i="86"/>
  <c r="AG140" i="86"/>
  <c r="AG137" i="86"/>
  <c r="AG135" i="86"/>
  <c r="AG131" i="86"/>
  <c r="AG129" i="86"/>
  <c r="AG128" i="86"/>
  <c r="AG127" i="86"/>
  <c r="AG126" i="86"/>
  <c r="AG125" i="86"/>
  <c r="AG123" i="86"/>
  <c r="AG121" i="86"/>
  <c r="AG119" i="86"/>
  <c r="AG118" i="86"/>
  <c r="AG91" i="86"/>
  <c r="AG89" i="86"/>
  <c r="AG88" i="86"/>
  <c r="AG86" i="86"/>
  <c r="AG79" i="86"/>
  <c r="AG76" i="86"/>
  <c r="AG70" i="86"/>
  <c r="AG67" i="86"/>
  <c r="AG66" i="86"/>
  <c r="AG58" i="86"/>
  <c r="AG57" i="86"/>
  <c r="AG55" i="86"/>
  <c r="AG54" i="86"/>
  <c r="AG56" i="85"/>
  <c r="AG158" i="85"/>
  <c r="AG155" i="85"/>
  <c r="AG154" i="85"/>
  <c r="AG148" i="85"/>
  <c r="AG145" i="85"/>
  <c r="AG144" i="85"/>
  <c r="AG142" i="85"/>
  <c r="AG141" i="85"/>
  <c r="AG140" i="85"/>
  <c r="AG137" i="85"/>
  <c r="AG135" i="85"/>
  <c r="AG131" i="85"/>
  <c r="AG129" i="85"/>
  <c r="AG128" i="85"/>
  <c r="AG127" i="85"/>
  <c r="AG126" i="85"/>
  <c r="AG125" i="85"/>
  <c r="AG123" i="85"/>
  <c r="AG121" i="85"/>
  <c r="AG119" i="85"/>
  <c r="AG118" i="85"/>
  <c r="AG91" i="85"/>
  <c r="AG89" i="85"/>
  <c r="AG88" i="85"/>
  <c r="AG86" i="85"/>
  <c r="AG79" i="85"/>
  <c r="AG76" i="85"/>
  <c r="AG58" i="85"/>
  <c r="AG57" i="85"/>
  <c r="AG55" i="85"/>
  <c r="AG54" i="85"/>
  <c r="AG50" i="85"/>
  <c r="AG10" i="85"/>
  <c r="AG40" i="85"/>
  <c r="AG7" i="85" s="1"/>
  <c r="AG41" i="85"/>
  <c r="AG8" i="85" s="1"/>
  <c r="AG42" i="85"/>
  <c r="AG9" i="85" s="1"/>
  <c r="AE6" i="85"/>
  <c r="AE14" i="85"/>
  <c r="AE150" i="85"/>
  <c r="AE15" i="85"/>
  <c r="AE16" i="85"/>
  <c r="AC164" i="85"/>
  <c r="AC165" i="85" s="1"/>
  <c r="AC43" i="85"/>
  <c r="AB164" i="85"/>
  <c r="AB165" i="85" s="1"/>
  <c r="AB43" i="85"/>
  <c r="AD13" i="85"/>
  <c r="AD34" i="85"/>
  <c r="AF109" i="85"/>
  <c r="AF92" i="85"/>
  <c r="AF27" i="85"/>
  <c r="AF37" i="85"/>
  <c r="AF29" i="85"/>
  <c r="AF24" i="85"/>
  <c r="AF26" i="85"/>
  <c r="AF36" i="85"/>
  <c r="AF28" i="85"/>
  <c r="AF23" i="85"/>
  <c r="AF25" i="85"/>
  <c r="AF35" i="85"/>
  <c r="AF39" i="85"/>
  <c r="AF30" i="85"/>
  <c r="AF38" i="85"/>
  <c r="AF30" i="83"/>
  <c r="AF38" i="83"/>
  <c r="AF30" i="68"/>
  <c r="AF38" i="68"/>
  <c r="AE30" i="84"/>
  <c r="AE38" i="84"/>
  <c r="AF30" i="86"/>
  <c r="AF50" i="68"/>
  <c r="AF50" i="86"/>
  <c r="AF50" i="83"/>
  <c r="AE50" i="84"/>
  <c r="AE151" i="84"/>
  <c r="AG10" i="83"/>
  <c r="AF92" i="83"/>
  <c r="AF109" i="83"/>
  <c r="AF10" i="84"/>
  <c r="AE92" i="84"/>
  <c r="AE109" i="84"/>
  <c r="AG10" i="86"/>
  <c r="AF92" i="86"/>
  <c r="AF109" i="86"/>
  <c r="AG10" i="68"/>
  <c r="AF92" i="68"/>
  <c r="AF109" i="68"/>
  <c r="AG158" i="87"/>
  <c r="AG76" i="87"/>
  <c r="AG57" i="87"/>
  <c r="AG54" i="87"/>
  <c r="AG88" i="87"/>
  <c r="AG118" i="87"/>
  <c r="AG119" i="87"/>
  <c r="AG123" i="87"/>
  <c r="AG125" i="87"/>
  <c r="AG128" i="87"/>
  <c r="AG129" i="87"/>
  <c r="AG131" i="87"/>
  <c r="AG135" i="87"/>
  <c r="AG137" i="87"/>
  <c r="AG140" i="87"/>
  <c r="AG141" i="87"/>
  <c r="AG142" i="87"/>
  <c r="AG144" i="87"/>
  <c r="AG145" i="87"/>
  <c r="AG86" i="87"/>
  <c r="AG148" i="87"/>
  <c r="AG79" i="87"/>
  <c r="AG89" i="87"/>
  <c r="AG58" i="87"/>
  <c r="AG121" i="87"/>
  <c r="AE22" i="124"/>
  <c r="AE22" i="174" s="1"/>
  <c r="AF50" i="87"/>
  <c r="AG10" i="87"/>
  <c r="AF92" i="87"/>
  <c r="AF109" i="87"/>
  <c r="AF151" i="87"/>
  <c r="AF30" i="87"/>
  <c r="AF38" i="87" s="1"/>
  <c r="AG1" i="84"/>
  <c r="AG160" i="84" s="1"/>
  <c r="AH1" i="87"/>
  <c r="AH160" i="87" s="1"/>
  <c r="AH1" i="68"/>
  <c r="AH160" i="68" s="1"/>
  <c r="AH1" i="86"/>
  <c r="AH160" i="86" s="1"/>
  <c r="AH1" i="85"/>
  <c r="AH160" i="85" s="1"/>
  <c r="AH1" i="83"/>
  <c r="AH160" i="83" s="1"/>
  <c r="AH159" i="83" l="1"/>
  <c r="AD161" i="85"/>
  <c r="AD162" i="85" s="1"/>
  <c r="AD163" i="85" s="1"/>
  <c r="AG159" i="84"/>
  <c r="AH159" i="85"/>
  <c r="AH159" i="86"/>
  <c r="AH159" i="87"/>
  <c r="AH159" i="68"/>
  <c r="AH51" i="86"/>
  <c r="AH70" i="87"/>
  <c r="AH66" i="87"/>
  <c r="AH67" i="87"/>
  <c r="AH64" i="87"/>
  <c r="AH51" i="87"/>
  <c r="AH70" i="68"/>
  <c r="AH66" i="68"/>
  <c r="AH67" i="68"/>
  <c r="AH64" i="68"/>
  <c r="AH51" i="68"/>
  <c r="AH70" i="83"/>
  <c r="AH66" i="83"/>
  <c r="AH67" i="83"/>
  <c r="AH64" i="83"/>
  <c r="AH51" i="83"/>
  <c r="AG51" i="84"/>
  <c r="AG70" i="84"/>
  <c r="AG66" i="84"/>
  <c r="AG67" i="84"/>
  <c r="AG64" i="84"/>
  <c r="AH51" i="85"/>
  <c r="AH64" i="85"/>
  <c r="AH66" i="85"/>
  <c r="AH67" i="85"/>
  <c r="AH70" i="85"/>
  <c r="AF60" i="174"/>
  <c r="AH149" i="87"/>
  <c r="AH115" i="87"/>
  <c r="AH93" i="87"/>
  <c r="AH94" i="87"/>
  <c r="AH95" i="87"/>
  <c r="AH96" i="87"/>
  <c r="AH97" i="87"/>
  <c r="AH98" i="87"/>
  <c r="AH99" i="87"/>
  <c r="AH100" i="87"/>
  <c r="AH101" i="87"/>
  <c r="AH102" i="87"/>
  <c r="AH104" i="87"/>
  <c r="AH106" i="87"/>
  <c r="AH107" i="87"/>
  <c r="AH108" i="87"/>
  <c r="AH110" i="87"/>
  <c r="AH111" i="87"/>
  <c r="AH112" i="87"/>
  <c r="AH113" i="87"/>
  <c r="AH149" i="68"/>
  <c r="AH115" i="68"/>
  <c r="AH93" i="68"/>
  <c r="AH94" i="68"/>
  <c r="AH95" i="68"/>
  <c r="AH96" i="68"/>
  <c r="AH97" i="68"/>
  <c r="AH98" i="68"/>
  <c r="AH99" i="68"/>
  <c r="AH100" i="68"/>
  <c r="AH101" i="68"/>
  <c r="AH102" i="68"/>
  <c r="AH103" i="68"/>
  <c r="AH104" i="68"/>
  <c r="AH106" i="68"/>
  <c r="AH107" i="68"/>
  <c r="AH108" i="68"/>
  <c r="AH110" i="68"/>
  <c r="AH111" i="68"/>
  <c r="AH112" i="68"/>
  <c r="AH113" i="68"/>
  <c r="AH149" i="83"/>
  <c r="AH93" i="83"/>
  <c r="AH94" i="83"/>
  <c r="AH95" i="83"/>
  <c r="AH96" i="83"/>
  <c r="AH97" i="83"/>
  <c r="AH98" i="83"/>
  <c r="AH99" i="83"/>
  <c r="AH100" i="83"/>
  <c r="AH101" i="83"/>
  <c r="AH102" i="83"/>
  <c r="AH103" i="83"/>
  <c r="AH104" i="83"/>
  <c r="AH106" i="83"/>
  <c r="AH107" i="83"/>
  <c r="AH108" i="83"/>
  <c r="AH110" i="83"/>
  <c r="AH111" i="83"/>
  <c r="AH112" i="83"/>
  <c r="AH113" i="83"/>
  <c r="AG149" i="84"/>
  <c r="AG115" i="84"/>
  <c r="AG93" i="84"/>
  <c r="AG94" i="84"/>
  <c r="AG95" i="84"/>
  <c r="AG96" i="84"/>
  <c r="AG97" i="84"/>
  <c r="AG98" i="84"/>
  <c r="AG99" i="84"/>
  <c r="AG100" i="84"/>
  <c r="AG101" i="84"/>
  <c r="AG102" i="84"/>
  <c r="AG103" i="84"/>
  <c r="AG104" i="84"/>
  <c r="AG106" i="84"/>
  <c r="AG107" i="84"/>
  <c r="AG108" i="84"/>
  <c r="AG110" i="84"/>
  <c r="AG111" i="84"/>
  <c r="AG112" i="84"/>
  <c r="AG113" i="84"/>
  <c r="AH149" i="85"/>
  <c r="AH115" i="85"/>
  <c r="AH93" i="85"/>
  <c r="AH94" i="85"/>
  <c r="AH95" i="85"/>
  <c r="AH96" i="85"/>
  <c r="AH97" i="85"/>
  <c r="AH98" i="85"/>
  <c r="AH99" i="85"/>
  <c r="AH100" i="85"/>
  <c r="AH101" i="85"/>
  <c r="AH102" i="85"/>
  <c r="AH103" i="85"/>
  <c r="AH104" i="85"/>
  <c r="AH106" i="85"/>
  <c r="AH107" i="85"/>
  <c r="AH108" i="85"/>
  <c r="AH110" i="85"/>
  <c r="AH111" i="85"/>
  <c r="AH112" i="85"/>
  <c r="AH113" i="85"/>
  <c r="AH149" i="86"/>
  <c r="AH115" i="86"/>
  <c r="AH93" i="86"/>
  <c r="AH94" i="86"/>
  <c r="AH95" i="86"/>
  <c r="AH96" i="86"/>
  <c r="AH97" i="86"/>
  <c r="AH98" i="86"/>
  <c r="AH99" i="86"/>
  <c r="AH100" i="86"/>
  <c r="AH101" i="86"/>
  <c r="AH102" i="86"/>
  <c r="AH103" i="86"/>
  <c r="AH104" i="86"/>
  <c r="AH106" i="86"/>
  <c r="AH107" i="86"/>
  <c r="AH108" i="86"/>
  <c r="AH110" i="86"/>
  <c r="AH111" i="86"/>
  <c r="AH112" i="86"/>
  <c r="AH113" i="86"/>
  <c r="AE114" i="85"/>
  <c r="AH52" i="83"/>
  <c r="AH90" i="83"/>
  <c r="AH52" i="87"/>
  <c r="AH80" i="68"/>
  <c r="AH52" i="68"/>
  <c r="AG52" i="84"/>
  <c r="AH52" i="86"/>
  <c r="AH52" i="85"/>
  <c r="AH80" i="87"/>
  <c r="AH80" i="85"/>
  <c r="AH80" i="86"/>
  <c r="AG60" i="175"/>
  <c r="AG60" i="124"/>
  <c r="AH56" i="83"/>
  <c r="AH80" i="83"/>
  <c r="AG80" i="84"/>
  <c r="AG79" i="84"/>
  <c r="AF38" i="86"/>
  <c r="AH56" i="87"/>
  <c r="AH154" i="87"/>
  <c r="AH126" i="87"/>
  <c r="AH127" i="87"/>
  <c r="AH91" i="87"/>
  <c r="AH155" i="87"/>
  <c r="AH56" i="68"/>
  <c r="AH158" i="68"/>
  <c r="AH155" i="68"/>
  <c r="AH154" i="68"/>
  <c r="AH148" i="68"/>
  <c r="AH145" i="68"/>
  <c r="AH144" i="68"/>
  <c r="AH142" i="68"/>
  <c r="AH141" i="68"/>
  <c r="AH140" i="68"/>
  <c r="AH137" i="68"/>
  <c r="AH135" i="68"/>
  <c r="AH131" i="68"/>
  <c r="AH129" i="68"/>
  <c r="AH128" i="68"/>
  <c r="AH127" i="68"/>
  <c r="AH126" i="68"/>
  <c r="AH125" i="68"/>
  <c r="AH123" i="68"/>
  <c r="AH121" i="68"/>
  <c r="AH119" i="68"/>
  <c r="AH118" i="68"/>
  <c r="AH91" i="68"/>
  <c r="AH89" i="68"/>
  <c r="AH88" i="68"/>
  <c r="AH86" i="68"/>
  <c r="AH79" i="68"/>
  <c r="AH76" i="68"/>
  <c r="AH58" i="68"/>
  <c r="AH57" i="68"/>
  <c r="AH55" i="68"/>
  <c r="AH54" i="68"/>
  <c r="AH115" i="83"/>
  <c r="AH158" i="83"/>
  <c r="AH155" i="83"/>
  <c r="AH154" i="83"/>
  <c r="AH148" i="83"/>
  <c r="AH145" i="83"/>
  <c r="AH144" i="83"/>
  <c r="AH142" i="83"/>
  <c r="AH141" i="83"/>
  <c r="AH140" i="83"/>
  <c r="AH137" i="83"/>
  <c r="AH135" i="83"/>
  <c r="AH131" i="83"/>
  <c r="AH129" i="83"/>
  <c r="AH128" i="83"/>
  <c r="AH127" i="83"/>
  <c r="AH126" i="83"/>
  <c r="AH125" i="83"/>
  <c r="AH123" i="83"/>
  <c r="AH121" i="83"/>
  <c r="AH119" i="83"/>
  <c r="AH118" i="83"/>
  <c r="AH91" i="83"/>
  <c r="AH89" i="83"/>
  <c r="AH88" i="83"/>
  <c r="AH86" i="83"/>
  <c r="AH79" i="83"/>
  <c r="AH76" i="83"/>
  <c r="AH58" i="83"/>
  <c r="AH57" i="83"/>
  <c r="AH55" i="83"/>
  <c r="AH54" i="83"/>
  <c r="AG56" i="84"/>
  <c r="AG158" i="84"/>
  <c r="AG155" i="84"/>
  <c r="AG154" i="84"/>
  <c r="AG148" i="84"/>
  <c r="AG145" i="84"/>
  <c r="AG144" i="84"/>
  <c r="AG142" i="84"/>
  <c r="AG141" i="84"/>
  <c r="AG140" i="84"/>
  <c r="AG137" i="84"/>
  <c r="AG135" i="84"/>
  <c r="AG131" i="84"/>
  <c r="AG129" i="84"/>
  <c r="AG128" i="84"/>
  <c r="AG127" i="84"/>
  <c r="AG126" i="84"/>
  <c r="AG125" i="84"/>
  <c r="AG123" i="84"/>
  <c r="AG121" i="84"/>
  <c r="AG119" i="84"/>
  <c r="AG118" i="84"/>
  <c r="AG89" i="84"/>
  <c r="AG88" i="84"/>
  <c r="AG86" i="84"/>
  <c r="AG76" i="84"/>
  <c r="AG58" i="84"/>
  <c r="AG57" i="84"/>
  <c r="AG55" i="84"/>
  <c r="AG54" i="84"/>
  <c r="AH64" i="86"/>
  <c r="AH56" i="86"/>
  <c r="AH158" i="86"/>
  <c r="AH155" i="86"/>
  <c r="AH154" i="86"/>
  <c r="AH148" i="86"/>
  <c r="AH145" i="86"/>
  <c r="AH144" i="86"/>
  <c r="AH142" i="86"/>
  <c r="AH141" i="86"/>
  <c r="AH140" i="86"/>
  <c r="AH137" i="86"/>
  <c r="AH135" i="86"/>
  <c r="AH131" i="86"/>
  <c r="AH129" i="86"/>
  <c r="AH128" i="86"/>
  <c r="AH127" i="86"/>
  <c r="AH126" i="86"/>
  <c r="AH125" i="86"/>
  <c r="AH123" i="86"/>
  <c r="AH121" i="86"/>
  <c r="AH119" i="86"/>
  <c r="AH118" i="86"/>
  <c r="AH91" i="86"/>
  <c r="AH89" i="86"/>
  <c r="AH88" i="86"/>
  <c r="AH86" i="86"/>
  <c r="AH79" i="86"/>
  <c r="AH76" i="86"/>
  <c r="AH70" i="86"/>
  <c r="AH67" i="86"/>
  <c r="AH66" i="86"/>
  <c r="AH58" i="86"/>
  <c r="AH57" i="86"/>
  <c r="AH55" i="86"/>
  <c r="AH54" i="86"/>
  <c r="AH56" i="85"/>
  <c r="AH158" i="85"/>
  <c r="AH155" i="85"/>
  <c r="AH154" i="85"/>
  <c r="AH148" i="85"/>
  <c r="AH145" i="85"/>
  <c r="AH144" i="85"/>
  <c r="AH142" i="85"/>
  <c r="AH141" i="85"/>
  <c r="AH140" i="85"/>
  <c r="AH137" i="85"/>
  <c r="AH135" i="85"/>
  <c r="AH131" i="85"/>
  <c r="AH129" i="85"/>
  <c r="AH128" i="85"/>
  <c r="AH127" i="85"/>
  <c r="AH126" i="85"/>
  <c r="AH125" i="85"/>
  <c r="AH123" i="85"/>
  <c r="AH121" i="85"/>
  <c r="AH119" i="85"/>
  <c r="AH118" i="85"/>
  <c r="AH91" i="85"/>
  <c r="AH89" i="85"/>
  <c r="AH88" i="85"/>
  <c r="AH86" i="85"/>
  <c r="AH79" i="85"/>
  <c r="AH76" i="85"/>
  <c r="AH58" i="85"/>
  <c r="AH57" i="85"/>
  <c r="AH55" i="85"/>
  <c r="AH54" i="85"/>
  <c r="AH50" i="85"/>
  <c r="AH10" i="85"/>
  <c r="AH40" i="85"/>
  <c r="AH7" i="85" s="1"/>
  <c r="AH41" i="85"/>
  <c r="AH8" i="85" s="1"/>
  <c r="AH42" i="85"/>
  <c r="AH9" i="85" s="1"/>
  <c r="AF6" i="85"/>
  <c r="AF14" i="85"/>
  <c r="AF150" i="85"/>
  <c r="AF15" i="85"/>
  <c r="AF16" i="85"/>
  <c r="AD164" i="85"/>
  <c r="AD165" i="85" s="1"/>
  <c r="AD43" i="85"/>
  <c r="AE13" i="85"/>
  <c r="AE34" i="85"/>
  <c r="AG109" i="85"/>
  <c r="AG92" i="85"/>
  <c r="AG27" i="85"/>
  <c r="AG37" i="85"/>
  <c r="AG29" i="85"/>
  <c r="AG24" i="85"/>
  <c r="AG26" i="85"/>
  <c r="AG36" i="85"/>
  <c r="AG28" i="85"/>
  <c r="AG23" i="85"/>
  <c r="AG25" i="85"/>
  <c r="AG35" i="85"/>
  <c r="AG39" i="85"/>
  <c r="AG30" i="85"/>
  <c r="AG38" i="85"/>
  <c r="AG151" i="85"/>
  <c r="AH151" i="83"/>
  <c r="AH10" i="83"/>
  <c r="AG30" i="83"/>
  <c r="AG38" i="83" s="1"/>
  <c r="AG92" i="83"/>
  <c r="AG109" i="83"/>
  <c r="AG50" i="83"/>
  <c r="AG151" i="83"/>
  <c r="AG10" i="84"/>
  <c r="AF30" i="84"/>
  <c r="AF92" i="84"/>
  <c r="AF109" i="84"/>
  <c r="AF50" i="84"/>
  <c r="AF151" i="84"/>
  <c r="AH151" i="86"/>
  <c r="AH10" i="86"/>
  <c r="AG30" i="86"/>
  <c r="AG92" i="86"/>
  <c r="AG109" i="86"/>
  <c r="AG50" i="86"/>
  <c r="AG151" i="86"/>
  <c r="AH151" i="68"/>
  <c r="AH10" i="68"/>
  <c r="AG30" i="68"/>
  <c r="AG38" i="68" s="1"/>
  <c r="AG92" i="68"/>
  <c r="AG109" i="68"/>
  <c r="AG50" i="68"/>
  <c r="AG151" i="68"/>
  <c r="AH158" i="87"/>
  <c r="AH76" i="87"/>
  <c r="AH57" i="87"/>
  <c r="AH54" i="87"/>
  <c r="AH88" i="87"/>
  <c r="AH118" i="87"/>
  <c r="AH119" i="87"/>
  <c r="AH123" i="87"/>
  <c r="AH125" i="87"/>
  <c r="AH128" i="87"/>
  <c r="AH129" i="87"/>
  <c r="AH131" i="87"/>
  <c r="AH135" i="87"/>
  <c r="AH137" i="87"/>
  <c r="AH140" i="87"/>
  <c r="AH141" i="87"/>
  <c r="AH142" i="87"/>
  <c r="AH144" i="87"/>
  <c r="AH145" i="87"/>
  <c r="AH86" i="87"/>
  <c r="AH148" i="87"/>
  <c r="AH79" i="87"/>
  <c r="AH89" i="87"/>
  <c r="AH58" i="87"/>
  <c r="AH121" i="87"/>
  <c r="AF22" i="124"/>
  <c r="AF22" i="174" s="1"/>
  <c r="AG50" i="87"/>
  <c r="AH10" i="87"/>
  <c r="AG92" i="87"/>
  <c r="AG109" i="87"/>
  <c r="AG151" i="87"/>
  <c r="AG30" i="87"/>
  <c r="AG38" i="87" s="1"/>
  <c r="AH1" i="84"/>
  <c r="AH160" i="84" s="1"/>
  <c r="AI1" i="87"/>
  <c r="AI160" i="87" s="1"/>
  <c r="AI1" i="68"/>
  <c r="AI160" i="68" s="1"/>
  <c r="AI1" i="86"/>
  <c r="AI160" i="86" s="1"/>
  <c r="AI1" i="85"/>
  <c r="AI160" i="85" s="1"/>
  <c r="AI1" i="83"/>
  <c r="AI160" i="83" s="1"/>
  <c r="AI159" i="83" l="1"/>
  <c r="AE161" i="85"/>
  <c r="AE162" i="85" s="1"/>
  <c r="AE163" i="85" s="1"/>
  <c r="AH159" i="84"/>
  <c r="AI159" i="85"/>
  <c r="AI159" i="86"/>
  <c r="AI159" i="87"/>
  <c r="AI159" i="68"/>
  <c r="AI51" i="86"/>
  <c r="AI70" i="87"/>
  <c r="AI66" i="87"/>
  <c r="AI67" i="87"/>
  <c r="AI64" i="87"/>
  <c r="AI51" i="87"/>
  <c r="AI70" i="68"/>
  <c r="AI66" i="68"/>
  <c r="AI67" i="68"/>
  <c r="AI64" i="68"/>
  <c r="AI51" i="68"/>
  <c r="AI70" i="83"/>
  <c r="AI66" i="83"/>
  <c r="AI67" i="83"/>
  <c r="AI64" i="83"/>
  <c r="AI51" i="83"/>
  <c r="AH51" i="84"/>
  <c r="AH70" i="84"/>
  <c r="AH66" i="84"/>
  <c r="AH67" i="84"/>
  <c r="AH64" i="84"/>
  <c r="AI51" i="85"/>
  <c r="AI64" i="85"/>
  <c r="AI66" i="85"/>
  <c r="AI67" i="85"/>
  <c r="AI70" i="85"/>
  <c r="AG60" i="174"/>
  <c r="AI149" i="87"/>
  <c r="AI115" i="87"/>
  <c r="AI93" i="87"/>
  <c r="AI94" i="87"/>
  <c r="AI95" i="87"/>
  <c r="AI96" i="87"/>
  <c r="AI97" i="87"/>
  <c r="AI98" i="87"/>
  <c r="AI99" i="87"/>
  <c r="AI100" i="87"/>
  <c r="AI101" i="87"/>
  <c r="AI102" i="87"/>
  <c r="AI104" i="87"/>
  <c r="AI106" i="87"/>
  <c r="AI107" i="87"/>
  <c r="AI108" i="87"/>
  <c r="AI110" i="87"/>
  <c r="AI111" i="87"/>
  <c r="AI112" i="87"/>
  <c r="AI113" i="87"/>
  <c r="AI149" i="68"/>
  <c r="AI115" i="68"/>
  <c r="AI93" i="68"/>
  <c r="AI94" i="68"/>
  <c r="AI95" i="68"/>
  <c r="AI96" i="68"/>
  <c r="AI97" i="68"/>
  <c r="AI98" i="68"/>
  <c r="AI99" i="68"/>
  <c r="AI100" i="68"/>
  <c r="AI101" i="68"/>
  <c r="AI102" i="68"/>
  <c r="AI103" i="68"/>
  <c r="AI104" i="68"/>
  <c r="AI106" i="68"/>
  <c r="AI107" i="68"/>
  <c r="AI108" i="68"/>
  <c r="AI110" i="68"/>
  <c r="AI111" i="68"/>
  <c r="AI112" i="68"/>
  <c r="AI113" i="68"/>
  <c r="AI149" i="83"/>
  <c r="AI93" i="83"/>
  <c r="AI94" i="83"/>
  <c r="AI95" i="83"/>
  <c r="AI96" i="83"/>
  <c r="AI97" i="83"/>
  <c r="AI98" i="83"/>
  <c r="AI99" i="83"/>
  <c r="AI100" i="83"/>
  <c r="AI101" i="83"/>
  <c r="AI102" i="83"/>
  <c r="AI103" i="83"/>
  <c r="AI104" i="83"/>
  <c r="AI106" i="83"/>
  <c r="AI107" i="83"/>
  <c r="AI108" i="83"/>
  <c r="AI110" i="83"/>
  <c r="AI111" i="83"/>
  <c r="AI112" i="83"/>
  <c r="AI113" i="83"/>
  <c r="AH149" i="84"/>
  <c r="AH115" i="84"/>
  <c r="AH93" i="84"/>
  <c r="AH94" i="84"/>
  <c r="AH95" i="84"/>
  <c r="AH96" i="84"/>
  <c r="AH97" i="84"/>
  <c r="AH98" i="84"/>
  <c r="AH99" i="84"/>
  <c r="AH100" i="84"/>
  <c r="AH101" i="84"/>
  <c r="AH102" i="84"/>
  <c r="AH103" i="84"/>
  <c r="AH104" i="84"/>
  <c r="AH106" i="84"/>
  <c r="AH107" i="84"/>
  <c r="AH108" i="84"/>
  <c r="AH110" i="84"/>
  <c r="AH111" i="84"/>
  <c r="AH112" i="84"/>
  <c r="AH113" i="84"/>
  <c r="AI149" i="85"/>
  <c r="AI115" i="85"/>
  <c r="AI93" i="85"/>
  <c r="AI94" i="85"/>
  <c r="AI95" i="85"/>
  <c r="AI96" i="85"/>
  <c r="AI97" i="85"/>
  <c r="AI98" i="85"/>
  <c r="AI99" i="85"/>
  <c r="AI100" i="85"/>
  <c r="AI101" i="85"/>
  <c r="AI102" i="85"/>
  <c r="AI103" i="85"/>
  <c r="AI104" i="85"/>
  <c r="AI106" i="85"/>
  <c r="AI107" i="85"/>
  <c r="AI108" i="85"/>
  <c r="AI110" i="85"/>
  <c r="AI111" i="85"/>
  <c r="AI112" i="85"/>
  <c r="AI113" i="85"/>
  <c r="AI149" i="86"/>
  <c r="AI115" i="86"/>
  <c r="AI93" i="86"/>
  <c r="AI94" i="86"/>
  <c r="AI95" i="86"/>
  <c r="AI96" i="86"/>
  <c r="AI97" i="86"/>
  <c r="AI98" i="86"/>
  <c r="AI99" i="86"/>
  <c r="AI100" i="86"/>
  <c r="AI101" i="86"/>
  <c r="AI102" i="86"/>
  <c r="AI103" i="86"/>
  <c r="AI104" i="86"/>
  <c r="AI106" i="86"/>
  <c r="AI107" i="86"/>
  <c r="AI108" i="86"/>
  <c r="AI110" i="86"/>
  <c r="AI111" i="86"/>
  <c r="AI112" i="86"/>
  <c r="AI113" i="86"/>
  <c r="AF114" i="85"/>
  <c r="AI52" i="83"/>
  <c r="AI90" i="83"/>
  <c r="AI52" i="87"/>
  <c r="AI80" i="68"/>
  <c r="AI52" i="68"/>
  <c r="AH52" i="84"/>
  <c r="AI52" i="86"/>
  <c r="AI52" i="85"/>
  <c r="AH151" i="85"/>
  <c r="AI80" i="87"/>
  <c r="AI40" i="85"/>
  <c r="AI41" i="85"/>
  <c r="AI42" i="85"/>
  <c r="AI80" i="85"/>
  <c r="AI80" i="86"/>
  <c r="AH60" i="175"/>
  <c r="AH60" i="124"/>
  <c r="AI56" i="83"/>
  <c r="AI80" i="83"/>
  <c r="AH80" i="84"/>
  <c r="AH79" i="84"/>
  <c r="AG38" i="86"/>
  <c r="AF38" i="84"/>
  <c r="AI56" i="87"/>
  <c r="AI154" i="87"/>
  <c r="AI126" i="87"/>
  <c r="AI127" i="87"/>
  <c r="AI91" i="87"/>
  <c r="AI155" i="87"/>
  <c r="AI56" i="68"/>
  <c r="AI158" i="68"/>
  <c r="AI155" i="68"/>
  <c r="AI154" i="68"/>
  <c r="AI148" i="68"/>
  <c r="AI145" i="68"/>
  <c r="AI144" i="68"/>
  <c r="AI142" i="68"/>
  <c r="AI141" i="68"/>
  <c r="AI140" i="68"/>
  <c r="AI137" i="68"/>
  <c r="AI135" i="68"/>
  <c r="AI131" i="68"/>
  <c r="AI129" i="68"/>
  <c r="AI128" i="68"/>
  <c r="AI127" i="68"/>
  <c r="AI126" i="68"/>
  <c r="AI125" i="68"/>
  <c r="AI123" i="68"/>
  <c r="AI121" i="68"/>
  <c r="AI119" i="68"/>
  <c r="AI118" i="68"/>
  <c r="AI91" i="68"/>
  <c r="AI89" i="68"/>
  <c r="AI88" i="68"/>
  <c r="AI86" i="68"/>
  <c r="AI79" i="68"/>
  <c r="AI76" i="68"/>
  <c r="AI58" i="68"/>
  <c r="AI57" i="68"/>
  <c r="AI55" i="68"/>
  <c r="AI54" i="68"/>
  <c r="AI115" i="83"/>
  <c r="AI158" i="83"/>
  <c r="AI155" i="83"/>
  <c r="AI154" i="83"/>
  <c r="AI148" i="83"/>
  <c r="AI145" i="83"/>
  <c r="AI144" i="83"/>
  <c r="AI142" i="83"/>
  <c r="AI141" i="83"/>
  <c r="AI140" i="83"/>
  <c r="AI137" i="83"/>
  <c r="AI135" i="83"/>
  <c r="AI131" i="83"/>
  <c r="AI129" i="83"/>
  <c r="AI128" i="83"/>
  <c r="AI127" i="83"/>
  <c r="AI126" i="83"/>
  <c r="AI125" i="83"/>
  <c r="AI123" i="83"/>
  <c r="AI121" i="83"/>
  <c r="AI119" i="83"/>
  <c r="AI118" i="83"/>
  <c r="AI91" i="83"/>
  <c r="AI89" i="83"/>
  <c r="AI88" i="83"/>
  <c r="AI86" i="83"/>
  <c r="AI79" i="83"/>
  <c r="AI76" i="83"/>
  <c r="AI58" i="83"/>
  <c r="AI57" i="83"/>
  <c r="AI55" i="83"/>
  <c r="AI54" i="83"/>
  <c r="AH56" i="84"/>
  <c r="AH158" i="84"/>
  <c r="AH155" i="84"/>
  <c r="AH154" i="84"/>
  <c r="AH148" i="84"/>
  <c r="AH145" i="84"/>
  <c r="AH144" i="84"/>
  <c r="AH142" i="84"/>
  <c r="AH141" i="84"/>
  <c r="AH140" i="84"/>
  <c r="AH137" i="84"/>
  <c r="AH135" i="84"/>
  <c r="AH131" i="84"/>
  <c r="AH129" i="84"/>
  <c r="AH128" i="84"/>
  <c r="AH127" i="84"/>
  <c r="AH126" i="84"/>
  <c r="AH125" i="84"/>
  <c r="AH123" i="84"/>
  <c r="AH121" i="84"/>
  <c r="AH119" i="84"/>
  <c r="AH118" i="84"/>
  <c r="AH89" i="84"/>
  <c r="AH88" i="84"/>
  <c r="AH86" i="84"/>
  <c r="AH76" i="84"/>
  <c r="AH58" i="84"/>
  <c r="AH57" i="84"/>
  <c r="AH55" i="84"/>
  <c r="AH54" i="84"/>
  <c r="AI64" i="86"/>
  <c r="AI56" i="86"/>
  <c r="AI158" i="86"/>
  <c r="AI155" i="86"/>
  <c r="AI154" i="86"/>
  <c r="AI148" i="86"/>
  <c r="AI145" i="86"/>
  <c r="AI144" i="86"/>
  <c r="AI142" i="86"/>
  <c r="AI141" i="86"/>
  <c r="AI140" i="86"/>
  <c r="AI137" i="86"/>
  <c r="AI135" i="86"/>
  <c r="AI131" i="86"/>
  <c r="AI129" i="86"/>
  <c r="AI128" i="86"/>
  <c r="AI127" i="86"/>
  <c r="AI126" i="86"/>
  <c r="AI125" i="86"/>
  <c r="AI123" i="86"/>
  <c r="AI121" i="86"/>
  <c r="AI119" i="86"/>
  <c r="AI118" i="86"/>
  <c r="AI91" i="86"/>
  <c r="AI89" i="86"/>
  <c r="AI88" i="86"/>
  <c r="AI86" i="86"/>
  <c r="AI79" i="86"/>
  <c r="AI76" i="86"/>
  <c r="AI70" i="86"/>
  <c r="AI67" i="86"/>
  <c r="AI66" i="86"/>
  <c r="AI58" i="86"/>
  <c r="AI57" i="86"/>
  <c r="AI55" i="86"/>
  <c r="AI54" i="86"/>
  <c r="AI56" i="85"/>
  <c r="AI158" i="85"/>
  <c r="AI155" i="85"/>
  <c r="AI154" i="85"/>
  <c r="AI148" i="85"/>
  <c r="AI145" i="85"/>
  <c r="AI144" i="85"/>
  <c r="AI142" i="85"/>
  <c r="AI141" i="85"/>
  <c r="AI140" i="85"/>
  <c r="AI137" i="85"/>
  <c r="AI135" i="85"/>
  <c r="AI131" i="85"/>
  <c r="AI129" i="85"/>
  <c r="AI128" i="85"/>
  <c r="AI127" i="85"/>
  <c r="AI126" i="85"/>
  <c r="AI125" i="85"/>
  <c r="AI123" i="85"/>
  <c r="AI121" i="85"/>
  <c r="AI119" i="85"/>
  <c r="AI118" i="85"/>
  <c r="AI91" i="85"/>
  <c r="AI89" i="85"/>
  <c r="AI88" i="85"/>
  <c r="AI86" i="85"/>
  <c r="AI79" i="85"/>
  <c r="AI76" i="85"/>
  <c r="AI58" i="85"/>
  <c r="AI57" i="85"/>
  <c r="AI55" i="85"/>
  <c r="AI54" i="85"/>
  <c r="AI50" i="85"/>
  <c r="AI10" i="85"/>
  <c r="AI7" i="85"/>
  <c r="AI8" i="85"/>
  <c r="AI9" i="85"/>
  <c r="AG6" i="85"/>
  <c r="AG14" i="85"/>
  <c r="AG150" i="85"/>
  <c r="AG15" i="85"/>
  <c r="AG16" i="85"/>
  <c r="AE164" i="85"/>
  <c r="AE165" i="85" s="1"/>
  <c r="AE43" i="85"/>
  <c r="AF13" i="85"/>
  <c r="AF34" i="85"/>
  <c r="AH109" i="85"/>
  <c r="AH92" i="85"/>
  <c r="AH27" i="85"/>
  <c r="AH37" i="85"/>
  <c r="AH29" i="85"/>
  <c r="AH24" i="85"/>
  <c r="AH26" i="85"/>
  <c r="AH36" i="85"/>
  <c r="AH28" i="85"/>
  <c r="AH23" i="85"/>
  <c r="AH25" i="85"/>
  <c r="AH35" i="85"/>
  <c r="AH39" i="85"/>
  <c r="AH30" i="85"/>
  <c r="AH38" i="85"/>
  <c r="AG30" i="84"/>
  <c r="AH30" i="86"/>
  <c r="AH38" i="86"/>
  <c r="AH30" i="83"/>
  <c r="AH38" i="83"/>
  <c r="AH30" i="68"/>
  <c r="AH38" i="68" s="1"/>
  <c r="AH50" i="83"/>
  <c r="AH50" i="68"/>
  <c r="AH50" i="86"/>
  <c r="AG50" i="84"/>
  <c r="AG151" i="84"/>
  <c r="AI10" i="83"/>
  <c r="AH92" i="83"/>
  <c r="AH109" i="83"/>
  <c r="AH10" i="84"/>
  <c r="AG92" i="84"/>
  <c r="AG109" i="84"/>
  <c r="AI10" i="86"/>
  <c r="AH92" i="86"/>
  <c r="AH109" i="86"/>
  <c r="AI10" i="68"/>
  <c r="AH92" i="68"/>
  <c r="AH109" i="68"/>
  <c r="AI158" i="87"/>
  <c r="AI76" i="87"/>
  <c r="AI57" i="87"/>
  <c r="AI54" i="87"/>
  <c r="AI88" i="87"/>
  <c r="AI118" i="87"/>
  <c r="AI119" i="87"/>
  <c r="AI123" i="87"/>
  <c r="AI125" i="87"/>
  <c r="AI128" i="87"/>
  <c r="AI129" i="87"/>
  <c r="AI131" i="87"/>
  <c r="AI135" i="87"/>
  <c r="AI137" i="87"/>
  <c r="AI140" i="87"/>
  <c r="AI141" i="87"/>
  <c r="AI142" i="87"/>
  <c r="AI144" i="87"/>
  <c r="AI145" i="87"/>
  <c r="AI86" i="87"/>
  <c r="AI148" i="87"/>
  <c r="AI79" i="87"/>
  <c r="AI89" i="87"/>
  <c r="AI58" i="87"/>
  <c r="AI121" i="87"/>
  <c r="AG22" i="124"/>
  <c r="AG22" i="174" s="1"/>
  <c r="AH50" i="87"/>
  <c r="AI10" i="87"/>
  <c r="AH92" i="87"/>
  <c r="AH109" i="87"/>
  <c r="AH151" i="87"/>
  <c r="AH30" i="87"/>
  <c r="AH38" i="87" s="1"/>
  <c r="AI1" i="84"/>
  <c r="AI160" i="84" s="1"/>
  <c r="AJ1" i="87"/>
  <c r="AJ160" i="87" s="1"/>
  <c r="AJ1" i="68"/>
  <c r="AJ1" i="86"/>
  <c r="AJ160" i="86" s="1"/>
  <c r="AJ1" i="85"/>
  <c r="AJ1" i="83"/>
  <c r="AJ160" i="83" l="1"/>
  <c r="AF161" i="85"/>
  <c r="AF162" i="85" s="1"/>
  <c r="AF163" i="85" s="1"/>
  <c r="AI159" i="84"/>
  <c r="AJ160" i="85"/>
  <c r="AJ159" i="86"/>
  <c r="AK160" i="86"/>
  <c r="AJ159" i="87"/>
  <c r="AK160" i="87"/>
  <c r="AM160" i="87" s="1"/>
  <c r="AK159" i="87"/>
  <c r="AM159" i="87" s="1"/>
  <c r="AJ160" i="68"/>
  <c r="AJ51" i="86"/>
  <c r="AJ70" i="87"/>
  <c r="AJ66" i="87"/>
  <c r="AJ67" i="87"/>
  <c r="AJ64" i="87"/>
  <c r="AJ51" i="87"/>
  <c r="AJ70" i="68"/>
  <c r="AJ66" i="68"/>
  <c r="AJ67" i="68"/>
  <c r="AJ64" i="68"/>
  <c r="AJ51" i="68"/>
  <c r="AJ70" i="83"/>
  <c r="AJ66" i="83"/>
  <c r="AJ67" i="83"/>
  <c r="AJ64" i="83"/>
  <c r="AJ51" i="83"/>
  <c r="AI51" i="84"/>
  <c r="AI70" i="84"/>
  <c r="AI66" i="84"/>
  <c r="AI67" i="84"/>
  <c r="AI64" i="84"/>
  <c r="AJ51" i="85"/>
  <c r="AJ64" i="85"/>
  <c r="AJ66" i="85"/>
  <c r="AJ67" i="85"/>
  <c r="AJ70" i="85"/>
  <c r="AH60" i="174"/>
  <c r="AJ149" i="87"/>
  <c r="AJ115" i="87"/>
  <c r="AJ93" i="87"/>
  <c r="AJ94" i="87"/>
  <c r="AJ95" i="87"/>
  <c r="AJ96" i="87"/>
  <c r="AJ97" i="87"/>
  <c r="AJ98" i="87"/>
  <c r="AJ99" i="87"/>
  <c r="AJ100" i="87"/>
  <c r="AJ101" i="87"/>
  <c r="AJ102" i="87"/>
  <c r="AJ104" i="87"/>
  <c r="AJ106" i="87"/>
  <c r="AJ107" i="87"/>
  <c r="AJ108" i="87"/>
  <c r="AJ110" i="87"/>
  <c r="AJ111" i="87"/>
  <c r="AJ112" i="87"/>
  <c r="AJ113" i="87"/>
  <c r="AJ149" i="68"/>
  <c r="AJ115" i="68"/>
  <c r="AJ93" i="68"/>
  <c r="AJ94" i="68"/>
  <c r="AJ95" i="68"/>
  <c r="AJ96" i="68"/>
  <c r="AJ97" i="68"/>
  <c r="AJ98" i="68"/>
  <c r="AJ99" i="68"/>
  <c r="AJ100" i="68"/>
  <c r="AJ101" i="68"/>
  <c r="AJ102" i="68"/>
  <c r="AJ103" i="68"/>
  <c r="AJ104" i="68"/>
  <c r="AJ106" i="68"/>
  <c r="AJ107" i="68"/>
  <c r="AJ108" i="68"/>
  <c r="AJ110" i="68"/>
  <c r="AJ111" i="68"/>
  <c r="AJ112" i="68"/>
  <c r="AJ113" i="68"/>
  <c r="AJ149" i="83"/>
  <c r="AJ93" i="83"/>
  <c r="AJ94" i="83"/>
  <c r="AJ95" i="83"/>
  <c r="AJ96" i="83"/>
  <c r="AJ97" i="83"/>
  <c r="AJ98" i="83"/>
  <c r="AJ99" i="83"/>
  <c r="AJ100" i="83"/>
  <c r="AJ101" i="83"/>
  <c r="AJ102" i="83"/>
  <c r="AJ103" i="83"/>
  <c r="AJ104" i="83"/>
  <c r="AJ106" i="83"/>
  <c r="AJ107" i="83"/>
  <c r="AJ108" i="83"/>
  <c r="AJ110" i="83"/>
  <c r="AJ111" i="83"/>
  <c r="AJ112" i="83"/>
  <c r="AJ113" i="83"/>
  <c r="AI149" i="84"/>
  <c r="AI115" i="84"/>
  <c r="AI93" i="84"/>
  <c r="AI94" i="84"/>
  <c r="AI95" i="84"/>
  <c r="AI96" i="84"/>
  <c r="AI97" i="84"/>
  <c r="AI98" i="84"/>
  <c r="AI99" i="84"/>
  <c r="AI100" i="84"/>
  <c r="AI101" i="84"/>
  <c r="AI102" i="84"/>
  <c r="AI103" i="84"/>
  <c r="AI104" i="84"/>
  <c r="AI106" i="84"/>
  <c r="AI107" i="84"/>
  <c r="AI108" i="84"/>
  <c r="AI110" i="84"/>
  <c r="AI111" i="84"/>
  <c r="AI112" i="84"/>
  <c r="AI113" i="84"/>
  <c r="AJ149" i="85"/>
  <c r="AJ115" i="85"/>
  <c r="AJ93" i="85"/>
  <c r="AJ94" i="85"/>
  <c r="AJ95" i="85"/>
  <c r="AJ96" i="85"/>
  <c r="AJ97" i="85"/>
  <c r="AJ98" i="85"/>
  <c r="AJ99" i="85"/>
  <c r="AJ100" i="85"/>
  <c r="AJ101" i="85"/>
  <c r="AJ102" i="85"/>
  <c r="AJ103" i="85"/>
  <c r="AJ104" i="85"/>
  <c r="AJ106" i="85"/>
  <c r="AJ107" i="85"/>
  <c r="AJ108" i="85"/>
  <c r="AJ110" i="85"/>
  <c r="AJ111" i="85"/>
  <c r="AJ112" i="85"/>
  <c r="AJ113" i="85"/>
  <c r="AJ149" i="86"/>
  <c r="AJ115" i="86"/>
  <c r="AJ93" i="86"/>
  <c r="AJ94" i="86"/>
  <c r="AJ95" i="86"/>
  <c r="AJ96" i="86"/>
  <c r="AJ97" i="86"/>
  <c r="AJ98" i="86"/>
  <c r="AJ99" i="86"/>
  <c r="AJ100" i="86"/>
  <c r="AJ101" i="86"/>
  <c r="AJ102" i="86"/>
  <c r="AJ103" i="86"/>
  <c r="AJ104" i="86"/>
  <c r="AJ106" i="86"/>
  <c r="AJ107" i="86"/>
  <c r="AJ108" i="86"/>
  <c r="AJ110" i="86"/>
  <c r="AJ111" i="86"/>
  <c r="AJ112" i="86"/>
  <c r="AJ113" i="86"/>
  <c r="AG114" i="85"/>
  <c r="AJ52" i="83"/>
  <c r="AJ90" i="83"/>
  <c r="AJ52" i="87"/>
  <c r="AK90" i="87"/>
  <c r="AM90" i="87" s="1"/>
  <c r="AJ80" i="68"/>
  <c r="AJ52" i="68"/>
  <c r="AK90" i="68"/>
  <c r="AM90" i="68" s="1"/>
  <c r="AI52" i="84"/>
  <c r="AI40" i="84"/>
  <c r="AI41" i="84"/>
  <c r="AJ52" i="86"/>
  <c r="AK90" i="86"/>
  <c r="AM90" i="86" s="1"/>
  <c r="AJ52" i="85"/>
  <c r="AJ80" i="87"/>
  <c r="AK60" i="87"/>
  <c r="AM60" i="87" s="1"/>
  <c r="AJ80" i="85"/>
  <c r="AK60" i="85"/>
  <c r="AM60" i="85" s="1"/>
  <c r="AI39" i="85"/>
  <c r="AJ80" i="86"/>
  <c r="AI60" i="175"/>
  <c r="AI60" i="124"/>
  <c r="AK60" i="86"/>
  <c r="AM60" i="86" s="1"/>
  <c r="AJ56" i="83"/>
  <c r="AJ80" i="83"/>
  <c r="AK56" i="83"/>
  <c r="AI80" i="84"/>
  <c r="AI79" i="84"/>
  <c r="AG38" i="84"/>
  <c r="AJ56" i="87"/>
  <c r="AJ154" i="87"/>
  <c r="AJ126" i="87"/>
  <c r="AJ127" i="87"/>
  <c r="AJ91" i="87"/>
  <c r="AK91" i="87" s="1"/>
  <c r="AJ155" i="87"/>
  <c r="AK154" i="87"/>
  <c r="AM154" i="87" s="1"/>
  <c r="AM55" i="87"/>
  <c r="AK106" i="68"/>
  <c r="AM106" i="68" s="1"/>
  <c r="AJ56" i="68"/>
  <c r="AJ158" i="68"/>
  <c r="AJ155" i="68"/>
  <c r="AJ154" i="68"/>
  <c r="AJ148" i="68"/>
  <c r="AJ145" i="68"/>
  <c r="AJ144" i="68"/>
  <c r="AJ142" i="68"/>
  <c r="AJ141" i="68"/>
  <c r="AJ140" i="68"/>
  <c r="AJ137" i="68"/>
  <c r="AJ135" i="68"/>
  <c r="AJ131" i="68"/>
  <c r="AJ129" i="68"/>
  <c r="AJ128" i="68"/>
  <c r="AJ127" i="68"/>
  <c r="AJ126" i="68"/>
  <c r="AJ125" i="68"/>
  <c r="AJ123" i="68"/>
  <c r="AJ121" i="68"/>
  <c r="AJ119" i="68"/>
  <c r="AJ118" i="68"/>
  <c r="AJ91" i="68"/>
  <c r="AJ89" i="68"/>
  <c r="AJ88" i="68"/>
  <c r="AJ86" i="68"/>
  <c r="AJ79" i="68"/>
  <c r="AJ76" i="68"/>
  <c r="AJ58" i="68"/>
  <c r="AJ57" i="68"/>
  <c r="AJ55" i="68"/>
  <c r="AJ54" i="68"/>
  <c r="AK55" i="68"/>
  <c r="AM55" i="68" s="1"/>
  <c r="AJ115" i="83"/>
  <c r="AJ158" i="83"/>
  <c r="AJ155" i="83"/>
  <c r="AJ154" i="83"/>
  <c r="AJ148" i="83"/>
  <c r="AJ145" i="83"/>
  <c r="AJ144" i="83"/>
  <c r="AJ142" i="83"/>
  <c r="AJ141" i="83"/>
  <c r="AJ140" i="83"/>
  <c r="AJ137" i="83"/>
  <c r="AJ135" i="83"/>
  <c r="AJ131" i="83"/>
  <c r="AJ129" i="83"/>
  <c r="AJ128" i="83"/>
  <c r="AJ127" i="83"/>
  <c r="AJ126" i="83"/>
  <c r="AJ125" i="83"/>
  <c r="AJ123" i="83"/>
  <c r="AJ121" i="83"/>
  <c r="AJ119" i="83"/>
  <c r="AJ118" i="83"/>
  <c r="AJ91" i="83"/>
  <c r="AJ89" i="83"/>
  <c r="AJ88" i="83"/>
  <c r="AJ86" i="83"/>
  <c r="AJ79" i="83"/>
  <c r="AJ76" i="83"/>
  <c r="AJ58" i="83"/>
  <c r="AJ57" i="83"/>
  <c r="AJ55" i="83"/>
  <c r="AJ54" i="83"/>
  <c r="AK104" i="83"/>
  <c r="AM104" i="83" s="1"/>
  <c r="AK55" i="83"/>
  <c r="AM55" i="83" s="1"/>
  <c r="AK90" i="83"/>
  <c r="AM90" i="83" s="1"/>
  <c r="AK154" i="83"/>
  <c r="AM154" i="83" s="1"/>
  <c r="AK64" i="83"/>
  <c r="AI56" i="84"/>
  <c r="AI158" i="84"/>
  <c r="AI155" i="84"/>
  <c r="AI154" i="84"/>
  <c r="AI148" i="84"/>
  <c r="AI145" i="84"/>
  <c r="AI144" i="84"/>
  <c r="AI142" i="84"/>
  <c r="AI141" i="84"/>
  <c r="AI140" i="84"/>
  <c r="AI137" i="84"/>
  <c r="AI135" i="84"/>
  <c r="AI131" i="84"/>
  <c r="AI129" i="84"/>
  <c r="AI128" i="84"/>
  <c r="AI127" i="84"/>
  <c r="AI126" i="84"/>
  <c r="AI125" i="84"/>
  <c r="AI123" i="84"/>
  <c r="AI121" i="84"/>
  <c r="AI119" i="84"/>
  <c r="AI118" i="84"/>
  <c r="AI89" i="84"/>
  <c r="AI88" i="84"/>
  <c r="AI86" i="84"/>
  <c r="AI76" i="84"/>
  <c r="AI58" i="84"/>
  <c r="AI57" i="84"/>
  <c r="AI55" i="84"/>
  <c r="AI54" i="84"/>
  <c r="AJ64" i="86"/>
  <c r="AJ56" i="86"/>
  <c r="AJ158" i="86"/>
  <c r="AJ155" i="86"/>
  <c r="AJ154" i="86"/>
  <c r="AJ148" i="86"/>
  <c r="AJ145" i="86"/>
  <c r="AJ144" i="86"/>
  <c r="AJ142" i="86"/>
  <c r="AJ141" i="86"/>
  <c r="AJ140" i="86"/>
  <c r="AJ137" i="86"/>
  <c r="AJ135" i="86"/>
  <c r="AJ131" i="86"/>
  <c r="AJ129" i="86"/>
  <c r="AJ128" i="86"/>
  <c r="AJ127" i="86"/>
  <c r="AJ126" i="86"/>
  <c r="AJ125" i="86"/>
  <c r="AJ123" i="86"/>
  <c r="AJ121" i="86"/>
  <c r="AJ119" i="86"/>
  <c r="AJ118" i="86"/>
  <c r="AJ91" i="86"/>
  <c r="AJ89" i="86"/>
  <c r="AJ88" i="86"/>
  <c r="AJ86" i="86"/>
  <c r="AJ79" i="86"/>
  <c r="AJ76" i="86"/>
  <c r="AJ70" i="86"/>
  <c r="AJ67" i="86"/>
  <c r="AJ66" i="86"/>
  <c r="AJ58" i="86"/>
  <c r="AJ57" i="86"/>
  <c r="AJ55" i="86"/>
  <c r="AJ54" i="86"/>
  <c r="AK104" i="86"/>
  <c r="AM104" i="86" s="1"/>
  <c r="AK103" i="86"/>
  <c r="AM103" i="86" s="1"/>
  <c r="AK55" i="86"/>
  <c r="AM55" i="86" s="1"/>
  <c r="AK154" i="86"/>
  <c r="AM154" i="86" s="1"/>
  <c r="AJ56" i="85"/>
  <c r="AJ158" i="85"/>
  <c r="AJ155" i="85"/>
  <c r="AJ154" i="85"/>
  <c r="AJ148" i="85"/>
  <c r="AJ145" i="85"/>
  <c r="AJ144" i="85"/>
  <c r="AJ142" i="85"/>
  <c r="AJ141" i="85"/>
  <c r="AJ140" i="85"/>
  <c r="AJ137" i="85"/>
  <c r="AJ135" i="85"/>
  <c r="AJ131" i="85"/>
  <c r="AJ129" i="85"/>
  <c r="AJ128" i="85"/>
  <c r="AJ127" i="85"/>
  <c r="AJ126" i="85"/>
  <c r="AJ125" i="85"/>
  <c r="AJ123" i="85"/>
  <c r="AJ121" i="85"/>
  <c r="AJ119" i="85"/>
  <c r="AJ118" i="85"/>
  <c r="AJ91" i="85"/>
  <c r="AJ89" i="85"/>
  <c r="AJ88" i="85"/>
  <c r="AJ86" i="85"/>
  <c r="AJ79" i="85"/>
  <c r="AJ76" i="85"/>
  <c r="AJ58" i="85"/>
  <c r="AJ57" i="85"/>
  <c r="AJ55" i="85"/>
  <c r="AJ54" i="85"/>
  <c r="AJ50" i="85"/>
  <c r="AJ10" i="85"/>
  <c r="AJ40" i="85"/>
  <c r="AJ7" i="85" s="1"/>
  <c r="AJ41" i="85"/>
  <c r="AJ8" i="85" s="1"/>
  <c r="AJ42" i="85"/>
  <c r="AJ9" i="85" s="1"/>
  <c r="AH6" i="85"/>
  <c r="AH14" i="85"/>
  <c r="AH150" i="85"/>
  <c r="AH15" i="85"/>
  <c r="AH16" i="85"/>
  <c r="AF164" i="85"/>
  <c r="AF165" i="85" s="1"/>
  <c r="AF43" i="85"/>
  <c r="AG13" i="85"/>
  <c r="AG34" i="85"/>
  <c r="AI109" i="85"/>
  <c r="AK106" i="85"/>
  <c r="AM106" i="85" s="1"/>
  <c r="AI92" i="85"/>
  <c r="AI27" i="85"/>
  <c r="AI37" i="85"/>
  <c r="AI29" i="85"/>
  <c r="AI24" i="85"/>
  <c r="AI26" i="85"/>
  <c r="AI36" i="85"/>
  <c r="AI28" i="85"/>
  <c r="AI23" i="85"/>
  <c r="AI25" i="85"/>
  <c r="AI35" i="85"/>
  <c r="AI30" i="85"/>
  <c r="AI38" i="85"/>
  <c r="AK55" i="85"/>
  <c r="AM55" i="85" s="1"/>
  <c r="AI151" i="85"/>
  <c r="AK154" i="85"/>
  <c r="AM154" i="85" s="1"/>
  <c r="AJ151" i="83"/>
  <c r="AK144" i="83"/>
  <c r="AK142" i="83"/>
  <c r="AK140" i="83"/>
  <c r="AK137" i="83"/>
  <c r="AK135" i="83"/>
  <c r="AK131" i="83"/>
  <c r="AK129" i="83"/>
  <c r="AK127" i="83"/>
  <c r="AK123" i="83"/>
  <c r="AK121" i="83"/>
  <c r="AK115" i="83"/>
  <c r="AK91" i="83"/>
  <c r="AK89" i="83"/>
  <c r="AK88" i="83"/>
  <c r="AK86" i="83"/>
  <c r="AK82" i="83"/>
  <c r="AK79" i="83"/>
  <c r="AK77" i="83"/>
  <c r="AK76" i="83"/>
  <c r="AK66" i="83"/>
  <c r="AK58" i="83"/>
  <c r="AK57" i="83"/>
  <c r="AK54" i="83"/>
  <c r="AK52" i="83"/>
  <c r="AK51" i="83"/>
  <c r="AK110" i="83"/>
  <c r="AK111" i="83"/>
  <c r="AK94" i="83"/>
  <c r="AK95" i="83"/>
  <c r="AK96" i="83"/>
  <c r="AK97" i="83"/>
  <c r="AK98" i="83"/>
  <c r="AK100" i="83"/>
  <c r="AK101" i="83"/>
  <c r="AK102" i="83"/>
  <c r="AK103" i="83"/>
  <c r="AK106" i="83"/>
  <c r="AK107" i="83"/>
  <c r="AK108" i="83"/>
  <c r="AJ10" i="83"/>
  <c r="AI30" i="83"/>
  <c r="AI38" i="83" s="1"/>
  <c r="AK10" i="83"/>
  <c r="AK99" i="83"/>
  <c r="AI92" i="83"/>
  <c r="AK93" i="83"/>
  <c r="AK113" i="83"/>
  <c r="AK112" i="83"/>
  <c r="AI109" i="83"/>
  <c r="AI50" i="83"/>
  <c r="AK67" i="83"/>
  <c r="AK70" i="83"/>
  <c r="AK72" i="83"/>
  <c r="AK80" i="83"/>
  <c r="AK118" i="83"/>
  <c r="AK119" i="83"/>
  <c r="AK125" i="83"/>
  <c r="AK126" i="83"/>
  <c r="AK128" i="83"/>
  <c r="AK141" i="83"/>
  <c r="AK145" i="83"/>
  <c r="AK148" i="83"/>
  <c r="AI151" i="83"/>
  <c r="AK152" i="83"/>
  <c r="AK153" i="83"/>
  <c r="AK155" i="83"/>
  <c r="AK156" i="83"/>
  <c r="AK157" i="83"/>
  <c r="AK158" i="83"/>
  <c r="AI10" i="84"/>
  <c r="AH30" i="84"/>
  <c r="AH92" i="84"/>
  <c r="AH109" i="84"/>
  <c r="AH50" i="84"/>
  <c r="AH151" i="84"/>
  <c r="AK145" i="85"/>
  <c r="AK135" i="85"/>
  <c r="AK131" i="85"/>
  <c r="AK129" i="85"/>
  <c r="AK128" i="85"/>
  <c r="AK127" i="85"/>
  <c r="AK125" i="85"/>
  <c r="AK123" i="85"/>
  <c r="AK119" i="85"/>
  <c r="AK118" i="85"/>
  <c r="AK91" i="85"/>
  <c r="AK89" i="85"/>
  <c r="AK88" i="85"/>
  <c r="AK86" i="85"/>
  <c r="AK82" i="85"/>
  <c r="AK80" i="85"/>
  <c r="AK70" i="85"/>
  <c r="AK67" i="85"/>
  <c r="AK66" i="85"/>
  <c r="AK64" i="85"/>
  <c r="AK58" i="85"/>
  <c r="AK57" i="85"/>
  <c r="AK56" i="85"/>
  <c r="AK54" i="85"/>
  <c r="AK52" i="85"/>
  <c r="AK112" i="85"/>
  <c r="AK113" i="85"/>
  <c r="AK93" i="85"/>
  <c r="AK94" i="85"/>
  <c r="AK95" i="85"/>
  <c r="AK96" i="85"/>
  <c r="AK97" i="85"/>
  <c r="AK99" i="85"/>
  <c r="AK100" i="85"/>
  <c r="AK102" i="85"/>
  <c r="AK103" i="85"/>
  <c r="AK107" i="85"/>
  <c r="AK108" i="85"/>
  <c r="AK104" i="85"/>
  <c r="AK101" i="85"/>
  <c r="AK98" i="85"/>
  <c r="AK111" i="85"/>
  <c r="AK110" i="85"/>
  <c r="AK51" i="85"/>
  <c r="AK72" i="85"/>
  <c r="AK76" i="85"/>
  <c r="AK77" i="85"/>
  <c r="AK79" i="85"/>
  <c r="AK115" i="85"/>
  <c r="AK121" i="85"/>
  <c r="AK126" i="85"/>
  <c r="AK137" i="85"/>
  <c r="AK140" i="85"/>
  <c r="AK141" i="85"/>
  <c r="AK142" i="85"/>
  <c r="AK144" i="85"/>
  <c r="AK148" i="85"/>
  <c r="AK152" i="85"/>
  <c r="AK153" i="85"/>
  <c r="AK155" i="85"/>
  <c r="AK156" i="85"/>
  <c r="AK157" i="85"/>
  <c r="AK158" i="85"/>
  <c r="AJ151" i="86"/>
  <c r="AK148" i="86"/>
  <c r="AK142" i="86"/>
  <c r="AK131" i="86"/>
  <c r="AK129" i="86"/>
  <c r="AK128" i="86"/>
  <c r="AK127" i="86"/>
  <c r="AK126" i="86"/>
  <c r="AK123" i="86"/>
  <c r="AK121" i="86"/>
  <c r="AK118" i="86"/>
  <c r="AK89" i="86"/>
  <c r="AK88" i="86"/>
  <c r="AK82" i="86"/>
  <c r="AK80" i="86"/>
  <c r="AK76" i="86"/>
  <c r="AK67" i="86"/>
  <c r="AK66" i="86"/>
  <c r="AK64" i="86"/>
  <c r="AK58" i="86"/>
  <c r="AK57" i="86"/>
  <c r="AK56" i="86"/>
  <c r="AK54" i="86"/>
  <c r="AJ10" i="86"/>
  <c r="AI30" i="86"/>
  <c r="AK108" i="86"/>
  <c r="AK107" i="86"/>
  <c r="AK106" i="86"/>
  <c r="AK105" i="86"/>
  <c r="AK102" i="86"/>
  <c r="AK101" i="86"/>
  <c r="AI92" i="86"/>
  <c r="AK113" i="86"/>
  <c r="AK112" i="86"/>
  <c r="AK111" i="86"/>
  <c r="AI109" i="86"/>
  <c r="AI50" i="86"/>
  <c r="AK51" i="86"/>
  <c r="AK52" i="86"/>
  <c r="AK70" i="86"/>
  <c r="AK72" i="86"/>
  <c r="AK77" i="86"/>
  <c r="AK79" i="86"/>
  <c r="AK86" i="86"/>
  <c r="AK91" i="86"/>
  <c r="AK119" i="86"/>
  <c r="AK125" i="86"/>
  <c r="AK135" i="86"/>
  <c r="AK137" i="86"/>
  <c r="AK140" i="86"/>
  <c r="AK141" i="86"/>
  <c r="AK144" i="86"/>
  <c r="AK145" i="86"/>
  <c r="AI151" i="86"/>
  <c r="AK152" i="86"/>
  <c r="AK153" i="86"/>
  <c r="AK155" i="86"/>
  <c r="AK156" i="86"/>
  <c r="AK157" i="86"/>
  <c r="AK158" i="86"/>
  <c r="AJ151" i="68"/>
  <c r="AK148" i="68"/>
  <c r="AK145" i="68"/>
  <c r="AK144" i="68"/>
  <c r="AK141" i="68"/>
  <c r="AK140" i="68"/>
  <c r="AK137" i="68"/>
  <c r="AK129" i="68"/>
  <c r="AK128" i="68"/>
  <c r="AK127" i="68"/>
  <c r="AK126" i="68"/>
  <c r="AK125" i="68"/>
  <c r="AK123" i="68"/>
  <c r="AK121" i="68"/>
  <c r="AK119" i="68"/>
  <c r="AK118" i="68"/>
  <c r="AK115" i="68"/>
  <c r="AK91" i="68"/>
  <c r="AK89" i="68"/>
  <c r="AK82" i="68"/>
  <c r="AK80" i="68"/>
  <c r="AK79" i="68"/>
  <c r="AK77" i="68"/>
  <c r="AK76" i="68"/>
  <c r="AK72" i="68"/>
  <c r="AK70" i="68"/>
  <c r="AK64" i="68"/>
  <c r="AK58" i="68"/>
  <c r="AK57" i="68"/>
  <c r="AK56" i="68"/>
  <c r="AK54" i="68"/>
  <c r="AK52" i="68"/>
  <c r="AK51" i="68"/>
  <c r="AK110" i="68"/>
  <c r="AK113" i="68"/>
  <c r="AK94" i="68"/>
  <c r="AK95" i="68"/>
  <c r="AK96" i="68"/>
  <c r="AK97" i="68"/>
  <c r="AK98" i="68"/>
  <c r="AK99" i="68"/>
  <c r="AK100" i="68"/>
  <c r="AK101" i="68"/>
  <c r="AK103" i="68"/>
  <c r="AK104" i="68"/>
  <c r="AK107" i="68"/>
  <c r="AJ10" i="68"/>
  <c r="AK10" i="68" s="1"/>
  <c r="AI30" i="68"/>
  <c r="AI38" i="68" s="1"/>
  <c r="AK108" i="68"/>
  <c r="AK105" i="68"/>
  <c r="AK102" i="68"/>
  <c r="AI92" i="68"/>
  <c r="AK93" i="68"/>
  <c r="AK112" i="68"/>
  <c r="AK111" i="68"/>
  <c r="AI109" i="68"/>
  <c r="AI50" i="68"/>
  <c r="AK66" i="68"/>
  <c r="AK67" i="68"/>
  <c r="AK86" i="68"/>
  <c r="AK88" i="68"/>
  <c r="AK131" i="68"/>
  <c r="AK135" i="68"/>
  <c r="AK142" i="68"/>
  <c r="AI151" i="68"/>
  <c r="AK152" i="68"/>
  <c r="AK153" i="68"/>
  <c r="AK154" i="68"/>
  <c r="AK155" i="68"/>
  <c r="AK156" i="68"/>
  <c r="AK158" i="68"/>
  <c r="AK80" i="87"/>
  <c r="AM80" i="87" s="1"/>
  <c r="AJ158" i="87"/>
  <c r="AJ76" i="87"/>
  <c r="AK76" i="87" s="1"/>
  <c r="AM76" i="87" s="1"/>
  <c r="AK67" i="87"/>
  <c r="AM67" i="87" s="1"/>
  <c r="AK110" i="87"/>
  <c r="AK113" i="87"/>
  <c r="AM113" i="87" s="1"/>
  <c r="AK93" i="87"/>
  <c r="AK94" i="87"/>
  <c r="AM94" i="87" s="1"/>
  <c r="AK95" i="87"/>
  <c r="AM95" i="87" s="1"/>
  <c r="AK96" i="87"/>
  <c r="AM96" i="87" s="1"/>
  <c r="AK97" i="87"/>
  <c r="AM97" i="87" s="1"/>
  <c r="AK100" i="87"/>
  <c r="AM100" i="87" s="1"/>
  <c r="AK101" i="87"/>
  <c r="AM101" i="87" s="1"/>
  <c r="AK107" i="87"/>
  <c r="AM107" i="87" s="1"/>
  <c r="AK108" i="87"/>
  <c r="AM108" i="87" s="1"/>
  <c r="AJ57" i="87"/>
  <c r="AJ54" i="87"/>
  <c r="AK54" i="87" s="1"/>
  <c r="AJ88" i="87"/>
  <c r="AK88" i="87" s="1"/>
  <c r="AM88" i="87" s="1"/>
  <c r="AJ118" i="87"/>
  <c r="AJ119" i="87"/>
  <c r="AJ123" i="87"/>
  <c r="AJ125" i="87"/>
  <c r="AK125" i="87" s="1"/>
  <c r="AM125" i="87" s="1"/>
  <c r="AJ128" i="87"/>
  <c r="AK128" i="87" s="1"/>
  <c r="AM128" i="87" s="1"/>
  <c r="AJ129" i="87"/>
  <c r="AK129" i="87" s="1"/>
  <c r="AM129" i="87" s="1"/>
  <c r="AJ131" i="87"/>
  <c r="AK131" i="87" s="1"/>
  <c r="AM131" i="87" s="1"/>
  <c r="AJ135" i="87"/>
  <c r="AK135" i="87" s="1"/>
  <c r="AM135" i="87" s="1"/>
  <c r="AJ137" i="87"/>
  <c r="AK137" i="87" s="1"/>
  <c r="AM137" i="87" s="1"/>
  <c r="AJ140" i="87"/>
  <c r="AK140" i="87" s="1"/>
  <c r="AM140" i="87" s="1"/>
  <c r="AJ141" i="87"/>
  <c r="AK141" i="87" s="1"/>
  <c r="AM141" i="87" s="1"/>
  <c r="AJ142" i="87"/>
  <c r="AJ144" i="87"/>
  <c r="AJ145" i="87"/>
  <c r="AK145" i="87" s="1"/>
  <c r="AM145" i="87" s="1"/>
  <c r="AJ86" i="87"/>
  <c r="AK86" i="87" s="1"/>
  <c r="AM86" i="87" s="1"/>
  <c r="AJ148" i="87"/>
  <c r="AJ79" i="87"/>
  <c r="AJ89" i="87"/>
  <c r="AK89" i="87" s="1"/>
  <c r="AM89" i="87" s="1"/>
  <c r="AJ58" i="87"/>
  <c r="AK58" i="87" s="1"/>
  <c r="AM58" i="87" s="1"/>
  <c r="AK115" i="87"/>
  <c r="AK52" i="87"/>
  <c r="AM52" i="87" s="1"/>
  <c r="AK77" i="87"/>
  <c r="AM77" i="87" s="1"/>
  <c r="AK82" i="87"/>
  <c r="AM82" i="87" s="1"/>
  <c r="AK72" i="87"/>
  <c r="AM72" i="87" s="1"/>
  <c r="AK127" i="87"/>
  <c r="AM127" i="87" s="1"/>
  <c r="AJ121" i="87"/>
  <c r="AK66" i="87"/>
  <c r="AM66" i="87" s="1"/>
  <c r="AK64" i="87"/>
  <c r="AM64" i="87" s="1"/>
  <c r="AK56" i="87"/>
  <c r="AM56" i="87" s="1"/>
  <c r="AH22" i="124"/>
  <c r="AH22" i="174" s="1"/>
  <c r="AK70" i="87"/>
  <c r="AM70" i="87" s="1"/>
  <c r="AK121" i="87"/>
  <c r="AM121" i="87" s="1"/>
  <c r="AK155" i="87"/>
  <c r="AK157" i="87"/>
  <c r="AM157" i="87" s="1"/>
  <c r="AK79" i="87"/>
  <c r="AM79" i="87" s="1"/>
  <c r="AI50" i="87"/>
  <c r="AK51" i="87"/>
  <c r="AM51" i="87" s="1"/>
  <c r="AK148" i="87"/>
  <c r="AM148" i="87" s="1"/>
  <c r="AK144" i="87"/>
  <c r="AM144" i="87" s="1"/>
  <c r="AK142" i="87"/>
  <c r="AM142" i="87" s="1"/>
  <c r="AK126" i="87"/>
  <c r="AM126" i="87" s="1"/>
  <c r="AK123" i="87"/>
  <c r="AM123" i="87" s="1"/>
  <c r="AK119" i="87"/>
  <c r="AM119" i="87" s="1"/>
  <c r="AK118" i="87"/>
  <c r="AM118" i="87" s="1"/>
  <c r="AK57" i="87"/>
  <c r="AM57" i="87" s="1"/>
  <c r="AK158" i="87"/>
  <c r="AJ10" i="87"/>
  <c r="AK106" i="87"/>
  <c r="AM106" i="87" s="1"/>
  <c r="AK105" i="87"/>
  <c r="AM105" i="87" s="1"/>
  <c r="AK104" i="87"/>
  <c r="AM104" i="87" s="1"/>
  <c r="AK102" i="87"/>
  <c r="AM102" i="87" s="1"/>
  <c r="AK99" i="87"/>
  <c r="AM99" i="87" s="1"/>
  <c r="AK98" i="87"/>
  <c r="AM98" i="87" s="1"/>
  <c r="AI92" i="87"/>
  <c r="AK112" i="87"/>
  <c r="AM112" i="87" s="1"/>
  <c r="AK111" i="87"/>
  <c r="AM111" i="87" s="1"/>
  <c r="AI109" i="87"/>
  <c r="AK153" i="87"/>
  <c r="AI151" i="87"/>
  <c r="AK152" i="87"/>
  <c r="AK156" i="87"/>
  <c r="AI30" i="87"/>
  <c r="AI38" i="87" s="1"/>
  <c r="AJ1" i="84"/>
  <c r="AJ159" i="83" l="1"/>
  <c r="AK160" i="83"/>
  <c r="AG161" i="85"/>
  <c r="AG162" i="85" s="1"/>
  <c r="AG163" i="85" s="1"/>
  <c r="AJ160" i="84"/>
  <c r="AJ159" i="85"/>
  <c r="AK160" i="85"/>
  <c r="AM160" i="86"/>
  <c r="AK159" i="86"/>
  <c r="AM159" i="86" s="1"/>
  <c r="AJ159" i="68"/>
  <c r="AK160" i="68"/>
  <c r="AJ51" i="84"/>
  <c r="AJ70" i="84"/>
  <c r="AJ66" i="84"/>
  <c r="AJ67" i="84"/>
  <c r="AJ64" i="84"/>
  <c r="AI60" i="174"/>
  <c r="AJ149" i="84"/>
  <c r="AJ115" i="84"/>
  <c r="AJ93" i="84"/>
  <c r="AJ94" i="84"/>
  <c r="AJ95" i="84"/>
  <c r="AJ96" i="84"/>
  <c r="AJ97" i="84"/>
  <c r="AJ98" i="84"/>
  <c r="AJ99" i="84"/>
  <c r="AJ100" i="84"/>
  <c r="AJ101" i="84"/>
  <c r="AJ102" i="84"/>
  <c r="AJ103" i="84"/>
  <c r="AJ104" i="84"/>
  <c r="AJ106" i="84"/>
  <c r="AJ107" i="84"/>
  <c r="AJ108" i="84"/>
  <c r="AJ110" i="84"/>
  <c r="AJ111" i="84"/>
  <c r="AJ112" i="84"/>
  <c r="AJ113" i="84"/>
  <c r="AK90" i="85"/>
  <c r="AM90" i="85" s="1"/>
  <c r="AH114" i="85"/>
  <c r="AJ52" i="84"/>
  <c r="AJ151" i="85"/>
  <c r="AJ60" i="175"/>
  <c r="AK60" i="175" s="1"/>
  <c r="AM60" i="175" s="1"/>
  <c r="AJ60" i="124"/>
  <c r="AJ80" i="84"/>
  <c r="AJ79" i="84"/>
  <c r="AI38" i="86"/>
  <c r="AH38" i="84"/>
  <c r="AK100" i="86"/>
  <c r="AK99" i="86"/>
  <c r="AK98" i="86"/>
  <c r="AK97" i="86"/>
  <c r="AK96" i="86"/>
  <c r="AK95" i="86"/>
  <c r="AK94" i="86"/>
  <c r="AK93" i="86"/>
  <c r="AK110" i="86"/>
  <c r="AM91" i="87"/>
  <c r="AJ56" i="84"/>
  <c r="AJ158" i="84"/>
  <c r="AJ155" i="84"/>
  <c r="AJ154" i="84"/>
  <c r="AJ148" i="84"/>
  <c r="AJ145" i="84"/>
  <c r="AJ144" i="84"/>
  <c r="AJ142" i="84"/>
  <c r="AJ141" i="84"/>
  <c r="AJ140" i="84"/>
  <c r="AJ137" i="84"/>
  <c r="AJ135" i="84"/>
  <c r="AJ131" i="84"/>
  <c r="AJ129" i="84"/>
  <c r="AJ128" i="84"/>
  <c r="AJ127" i="84"/>
  <c r="AJ126" i="84"/>
  <c r="AJ125" i="84"/>
  <c r="AJ123" i="84"/>
  <c r="AJ121" i="84"/>
  <c r="AJ119" i="84"/>
  <c r="AJ118" i="84"/>
  <c r="AJ89" i="84"/>
  <c r="AJ88" i="84"/>
  <c r="AJ86" i="84"/>
  <c r="AJ76" i="84"/>
  <c r="AJ58" i="84"/>
  <c r="AJ57" i="84"/>
  <c r="AJ55" i="84"/>
  <c r="AJ54" i="84"/>
  <c r="AI6" i="85"/>
  <c r="AI14" i="85"/>
  <c r="AI150" i="85"/>
  <c r="AI15" i="85"/>
  <c r="AI16" i="85"/>
  <c r="AG164" i="85"/>
  <c r="AG165" i="85" s="1"/>
  <c r="AG43" i="85"/>
  <c r="AH13" i="85"/>
  <c r="AH34" i="85"/>
  <c r="AJ109" i="85"/>
  <c r="AJ92" i="85"/>
  <c r="AJ27" i="85"/>
  <c r="AJ37" i="85"/>
  <c r="AJ29" i="85"/>
  <c r="AJ24" i="85"/>
  <c r="AJ26" i="85"/>
  <c r="AJ36" i="85"/>
  <c r="AJ28" i="85"/>
  <c r="AJ23" i="85"/>
  <c r="AJ25" i="85"/>
  <c r="AJ35" i="85"/>
  <c r="AJ39" i="85"/>
  <c r="AJ30" i="85"/>
  <c r="AJ38" i="85"/>
  <c r="AK40" i="85"/>
  <c r="AM40" i="85" s="1"/>
  <c r="AK41" i="85"/>
  <c r="AJ30" i="68"/>
  <c r="AK30" i="68" s="1"/>
  <c r="AJ38" i="68"/>
  <c r="AK38" i="68" s="1"/>
  <c r="AM38" i="68" s="1"/>
  <c r="AI30" i="84"/>
  <c r="AI38" i="84"/>
  <c r="AK42" i="85"/>
  <c r="AM42" i="85" s="1"/>
  <c r="AJ30" i="83"/>
  <c r="AJ38" i="83"/>
  <c r="AK38" i="83" s="1"/>
  <c r="AM38" i="83" s="1"/>
  <c r="AJ30" i="86"/>
  <c r="AJ38" i="86"/>
  <c r="AK30" i="85"/>
  <c r="AK38" i="85"/>
  <c r="AM38" i="85" s="1"/>
  <c r="AJ50" i="68"/>
  <c r="AJ50" i="83"/>
  <c r="AK115" i="86"/>
  <c r="AJ50" i="86"/>
  <c r="AK10" i="86"/>
  <c r="AM10" i="86" s="1"/>
  <c r="AK10" i="85"/>
  <c r="AM10" i="85" s="1"/>
  <c r="AI50" i="84"/>
  <c r="AI151" i="84"/>
  <c r="AM158" i="83"/>
  <c r="AM157" i="83"/>
  <c r="AM156" i="83"/>
  <c r="AM155" i="83"/>
  <c r="AM153" i="83"/>
  <c r="AK151" i="83"/>
  <c r="AM152" i="83"/>
  <c r="AM148" i="83"/>
  <c r="AM145" i="83"/>
  <c r="AM144" i="83"/>
  <c r="AM142" i="83"/>
  <c r="AM141" i="83"/>
  <c r="AM140" i="83"/>
  <c r="AM137" i="83"/>
  <c r="AM135" i="83"/>
  <c r="AM131" i="83"/>
  <c r="AM129" i="83"/>
  <c r="AM128" i="83"/>
  <c r="AM127" i="83"/>
  <c r="AM126" i="83"/>
  <c r="AM125" i="83"/>
  <c r="AM123" i="83"/>
  <c r="AM121" i="83"/>
  <c r="AM119" i="83"/>
  <c r="AM118" i="83"/>
  <c r="AM115" i="83"/>
  <c r="AM91" i="83"/>
  <c r="AM89" i="83"/>
  <c r="AM88" i="83"/>
  <c r="AM86" i="83"/>
  <c r="AM82" i="83"/>
  <c r="AM80" i="83"/>
  <c r="AM79" i="83"/>
  <c r="AM77" i="83"/>
  <c r="AM76" i="83"/>
  <c r="AM72" i="83"/>
  <c r="AM70" i="83"/>
  <c r="AM67" i="83"/>
  <c r="AM66" i="83"/>
  <c r="AM64" i="83"/>
  <c r="AM58" i="83"/>
  <c r="AM57" i="83"/>
  <c r="AM54" i="83"/>
  <c r="AM52" i="83"/>
  <c r="AM51" i="83"/>
  <c r="AK109" i="83"/>
  <c r="AM110" i="83"/>
  <c r="AM111" i="83"/>
  <c r="AM112" i="83"/>
  <c r="AM113" i="83"/>
  <c r="AK92" i="83"/>
  <c r="AM93" i="83"/>
  <c r="AM94" i="83"/>
  <c r="AM95" i="83"/>
  <c r="AM96" i="83"/>
  <c r="AM97" i="83"/>
  <c r="AM98" i="83"/>
  <c r="AM99" i="83"/>
  <c r="AM100" i="83"/>
  <c r="AM101" i="83"/>
  <c r="AM102" i="83"/>
  <c r="AM103" i="83"/>
  <c r="AM106" i="83"/>
  <c r="AM107" i="83"/>
  <c r="AM108" i="83"/>
  <c r="AM10" i="83"/>
  <c r="AK30" i="83"/>
  <c r="AJ92" i="83"/>
  <c r="AJ109" i="83"/>
  <c r="AK105" i="84"/>
  <c r="AN105" i="84" s="1"/>
  <c r="AJ10" i="84"/>
  <c r="AI92" i="84"/>
  <c r="AI109" i="84"/>
  <c r="AM158" i="85"/>
  <c r="AM157" i="85"/>
  <c r="AM156" i="85"/>
  <c r="AM155" i="85"/>
  <c r="AM153" i="85"/>
  <c r="AK151" i="85"/>
  <c r="AM152" i="85"/>
  <c r="AM148" i="85"/>
  <c r="AM145" i="85"/>
  <c r="AM144" i="85"/>
  <c r="AM142" i="85"/>
  <c r="AM141" i="85"/>
  <c r="AM140" i="85"/>
  <c r="AM137" i="85"/>
  <c r="AM135" i="85"/>
  <c r="AM131" i="85"/>
  <c r="AM129" i="85"/>
  <c r="AM128" i="85"/>
  <c r="AM127" i="85"/>
  <c r="AM126" i="85"/>
  <c r="AM125" i="85"/>
  <c r="AM123" i="85"/>
  <c r="AM121" i="85"/>
  <c r="AM119" i="85"/>
  <c r="AM118" i="85"/>
  <c r="AM115" i="85"/>
  <c r="AM91" i="85"/>
  <c r="AM89" i="85"/>
  <c r="AM88" i="85"/>
  <c r="AM86" i="85"/>
  <c r="AM82" i="85"/>
  <c r="AM80" i="85"/>
  <c r="AM79" i="85"/>
  <c r="AM77" i="85"/>
  <c r="AM76" i="85"/>
  <c r="AM72" i="85"/>
  <c r="AM70" i="85"/>
  <c r="AM67" i="85"/>
  <c r="AM66" i="85"/>
  <c r="AM64" i="85"/>
  <c r="AM58" i="85"/>
  <c r="AM57" i="85"/>
  <c r="AM56" i="85"/>
  <c r="AM54" i="85"/>
  <c r="AM52" i="85"/>
  <c r="AK50" i="85"/>
  <c r="AM51" i="85"/>
  <c r="AK109" i="85"/>
  <c r="AM110" i="85"/>
  <c r="AM111" i="85"/>
  <c r="AM112" i="85"/>
  <c r="AM113" i="85"/>
  <c r="AK92" i="85"/>
  <c r="AM93" i="85"/>
  <c r="AM94" i="85"/>
  <c r="AM95" i="85"/>
  <c r="AM96" i="85"/>
  <c r="AM97" i="85"/>
  <c r="AM98" i="85"/>
  <c r="AM99" i="85"/>
  <c r="AM100" i="85"/>
  <c r="AM101" i="85"/>
  <c r="AM102" i="85"/>
  <c r="AM103" i="85"/>
  <c r="AM104" i="85"/>
  <c r="AM107" i="85"/>
  <c r="AM108" i="85"/>
  <c r="AM41" i="85"/>
  <c r="AK39" i="85"/>
  <c r="AK28" i="85"/>
  <c r="AK25" i="85"/>
  <c r="AK23" i="85"/>
  <c r="AK29" i="85"/>
  <c r="AK26" i="85"/>
  <c r="AK24" i="85"/>
  <c r="AK27" i="85"/>
  <c r="AM158" i="86"/>
  <c r="AM157" i="86"/>
  <c r="AM156" i="86"/>
  <c r="AM155" i="86"/>
  <c r="AM153" i="86"/>
  <c r="AK151" i="86"/>
  <c r="AM152" i="86"/>
  <c r="AM148" i="86"/>
  <c r="AM145" i="86"/>
  <c r="AM144" i="86"/>
  <c r="AM142" i="86"/>
  <c r="AM141" i="86"/>
  <c r="AM140" i="86"/>
  <c r="AM137" i="86"/>
  <c r="AM135" i="86"/>
  <c r="AM131" i="86"/>
  <c r="AM129" i="86"/>
  <c r="AM128" i="86"/>
  <c r="AM127" i="86"/>
  <c r="AM126" i="86"/>
  <c r="AM125" i="86"/>
  <c r="AM123" i="86"/>
  <c r="AM121" i="86"/>
  <c r="AM119" i="86"/>
  <c r="AM118" i="86"/>
  <c r="AM115" i="86"/>
  <c r="AM91" i="86"/>
  <c r="AM89" i="86"/>
  <c r="AM88" i="86"/>
  <c r="AM86" i="86"/>
  <c r="AM82" i="86"/>
  <c r="AM80" i="86"/>
  <c r="AM79" i="86"/>
  <c r="AM77" i="86"/>
  <c r="AM76" i="86"/>
  <c r="AM72" i="86"/>
  <c r="AM70" i="86"/>
  <c r="AM67" i="86"/>
  <c r="AM66" i="86"/>
  <c r="AM64" i="86"/>
  <c r="AM58" i="86"/>
  <c r="AM57" i="86"/>
  <c r="AM56" i="86"/>
  <c r="AM54" i="86"/>
  <c r="AM52" i="86"/>
  <c r="AK50" i="86"/>
  <c r="AM51" i="86"/>
  <c r="AK109" i="86"/>
  <c r="AM110" i="86"/>
  <c r="AM111" i="86"/>
  <c r="AM112" i="86"/>
  <c r="AM113" i="86"/>
  <c r="AK92" i="86"/>
  <c r="AM93" i="86"/>
  <c r="AM94" i="86"/>
  <c r="AM95" i="86"/>
  <c r="AM96" i="86"/>
  <c r="AM97" i="86"/>
  <c r="AM98" i="86"/>
  <c r="AM99" i="86"/>
  <c r="AM100" i="86"/>
  <c r="AM101" i="86"/>
  <c r="AM102" i="86"/>
  <c r="AM105" i="86"/>
  <c r="AM106" i="86"/>
  <c r="AM107" i="86"/>
  <c r="AM108" i="86"/>
  <c r="AJ92" i="86"/>
  <c r="AJ109" i="86"/>
  <c r="AM158" i="68"/>
  <c r="AM156" i="68"/>
  <c r="AM155" i="68"/>
  <c r="AM154" i="68"/>
  <c r="AM153" i="68"/>
  <c r="AK151" i="68"/>
  <c r="AM152" i="68"/>
  <c r="AM148" i="68"/>
  <c r="AM145" i="68"/>
  <c r="AM144" i="68"/>
  <c r="AM142" i="68"/>
  <c r="AM141" i="68"/>
  <c r="AM140" i="68"/>
  <c r="AM137" i="68"/>
  <c r="AM135" i="68"/>
  <c r="AM131" i="68"/>
  <c r="AM129" i="68"/>
  <c r="AM128" i="68"/>
  <c r="AM127" i="68"/>
  <c r="AM126" i="68"/>
  <c r="AM125" i="68"/>
  <c r="AM123" i="68"/>
  <c r="AM121" i="68"/>
  <c r="AM119" i="68"/>
  <c r="AM118" i="68"/>
  <c r="AM115" i="68"/>
  <c r="AM91" i="68"/>
  <c r="AM89" i="68"/>
  <c r="AM88" i="68"/>
  <c r="AM86" i="68"/>
  <c r="AM82" i="68"/>
  <c r="AM80" i="68"/>
  <c r="AM79" i="68"/>
  <c r="AM77" i="68"/>
  <c r="AM76" i="68"/>
  <c r="AM72" i="68"/>
  <c r="AM70" i="68"/>
  <c r="AM67" i="68"/>
  <c r="AM66" i="68"/>
  <c r="AM64" i="68"/>
  <c r="AM58" i="68"/>
  <c r="AM57" i="68"/>
  <c r="AM56" i="68"/>
  <c r="AM54" i="68"/>
  <c r="AM52" i="68"/>
  <c r="AK50" i="68"/>
  <c r="AM51" i="68"/>
  <c r="AK109" i="68"/>
  <c r="AM110" i="68"/>
  <c r="AM111" i="68"/>
  <c r="AM112" i="68"/>
  <c r="AM113" i="68"/>
  <c r="AK92" i="68"/>
  <c r="AM93" i="68"/>
  <c r="AM94" i="68"/>
  <c r="AM95" i="68"/>
  <c r="AM96" i="68"/>
  <c r="AM97" i="68"/>
  <c r="AM98" i="68"/>
  <c r="AM99" i="68"/>
  <c r="AM100" i="68"/>
  <c r="AM101" i="68"/>
  <c r="AM102" i="68"/>
  <c r="AM103" i="68"/>
  <c r="AM104" i="68"/>
  <c r="AM105" i="68"/>
  <c r="AM107" i="68"/>
  <c r="AM108" i="68"/>
  <c r="AM10" i="68"/>
  <c r="AJ92" i="68"/>
  <c r="AJ109" i="68"/>
  <c r="AK133" i="124"/>
  <c r="AI22" i="124"/>
  <c r="AI22" i="174" s="1"/>
  <c r="AM158" i="87"/>
  <c r="AM115" i="87"/>
  <c r="AM155" i="87"/>
  <c r="AJ50" i="87"/>
  <c r="AK85" i="124"/>
  <c r="AM85" i="124" s="1"/>
  <c r="AK139" i="124"/>
  <c r="AK139" i="174" s="1"/>
  <c r="AK134" i="124"/>
  <c r="AM54" i="87"/>
  <c r="AK50" i="87"/>
  <c r="AM156" i="87"/>
  <c r="AM153" i="87"/>
  <c r="AK151" i="87"/>
  <c r="AM152" i="87"/>
  <c r="AK109" i="87"/>
  <c r="AM109" i="87" s="1"/>
  <c r="AM110" i="87"/>
  <c r="AK92" i="87"/>
  <c r="AM93" i="87"/>
  <c r="AJ92" i="87"/>
  <c r="AJ109" i="87"/>
  <c r="AJ151" i="87"/>
  <c r="AJ30" i="87"/>
  <c r="AJ38" i="87" s="1"/>
  <c r="AK159" i="83" l="1"/>
  <c r="AM159" i="83" s="1"/>
  <c r="AM160" i="83"/>
  <c r="AH161" i="85"/>
  <c r="AH162" i="85" s="1"/>
  <c r="AH163" i="85" s="1"/>
  <c r="AJ159" i="84"/>
  <c r="AK160" i="84"/>
  <c r="AK159" i="85"/>
  <c r="AM159" i="85" s="1"/>
  <c r="AM160" i="85"/>
  <c r="AM50" i="87"/>
  <c r="AK159" i="68"/>
  <c r="AM159" i="68" s="1"/>
  <c r="AM160" i="68"/>
  <c r="AJ60" i="174"/>
  <c r="AK60" i="124"/>
  <c r="AK90" i="84"/>
  <c r="AM90" i="84" s="1"/>
  <c r="AK154" i="84"/>
  <c r="AM154" i="84" s="1"/>
  <c r="AK38" i="86"/>
  <c r="AM38" i="86" s="1"/>
  <c r="AK30" i="86"/>
  <c r="AK102" i="84"/>
  <c r="AK55" i="84"/>
  <c r="AM55" i="84" s="1"/>
  <c r="AM134" i="124"/>
  <c r="AM134" i="174" s="1"/>
  <c r="AK134" i="174"/>
  <c r="AM85" i="174"/>
  <c r="AK85" i="174"/>
  <c r="AO85" i="174" s="1"/>
  <c r="AM133" i="124"/>
  <c r="AM133" i="174" s="1"/>
  <c r="AK133" i="174"/>
  <c r="AJ6" i="85"/>
  <c r="AJ14" i="85"/>
  <c r="AJ150" i="85"/>
  <c r="AJ15" i="85"/>
  <c r="AJ16" i="85"/>
  <c r="AH164" i="85"/>
  <c r="AH165" i="85" s="1"/>
  <c r="AH43" i="85"/>
  <c r="AI114" i="85"/>
  <c r="AK150" i="85"/>
  <c r="AI13" i="85"/>
  <c r="AI34" i="85"/>
  <c r="AK79" i="84"/>
  <c r="AK77" i="84"/>
  <c r="AM77" i="84" s="1"/>
  <c r="AK158" i="84"/>
  <c r="AK82" i="84"/>
  <c r="AM82" i="84" s="1"/>
  <c r="AK76" i="84"/>
  <c r="AM76" i="84" s="1"/>
  <c r="AK57" i="84"/>
  <c r="AM57" i="84" s="1"/>
  <c r="AK108" i="84"/>
  <c r="AK107" i="84"/>
  <c r="AK106" i="84"/>
  <c r="AK104" i="84"/>
  <c r="AK99" i="84"/>
  <c r="AN99" i="84" s="1"/>
  <c r="AK94" i="84"/>
  <c r="AN94" i="84" s="1"/>
  <c r="AK113" i="84"/>
  <c r="AK112" i="84"/>
  <c r="AK111" i="84"/>
  <c r="AM111" i="84" s="1"/>
  <c r="AK54" i="84"/>
  <c r="AM54" i="84" s="1"/>
  <c r="AK86" i="84"/>
  <c r="AM86" i="84" s="1"/>
  <c r="AK88" i="84"/>
  <c r="AK118" i="84"/>
  <c r="AM118" i="84" s="1"/>
  <c r="AK119" i="84"/>
  <c r="AM119" i="84" s="1"/>
  <c r="AK123" i="84"/>
  <c r="AM123" i="84" s="1"/>
  <c r="AK125" i="84"/>
  <c r="AM125" i="84" s="1"/>
  <c r="AK126" i="84"/>
  <c r="AK129" i="84"/>
  <c r="AM129" i="84" s="1"/>
  <c r="AK131" i="84"/>
  <c r="AM131" i="84" s="1"/>
  <c r="AK137" i="84"/>
  <c r="AM137" i="84" s="1"/>
  <c r="AK140" i="84"/>
  <c r="AM140" i="84" s="1"/>
  <c r="AK141" i="84"/>
  <c r="AM141" i="84" s="1"/>
  <c r="AK142" i="84"/>
  <c r="AM142" i="84" s="1"/>
  <c r="AK144" i="84"/>
  <c r="AM144" i="84" s="1"/>
  <c r="AK145" i="84"/>
  <c r="AM145" i="84" s="1"/>
  <c r="AK148" i="84"/>
  <c r="AM148" i="84" s="1"/>
  <c r="AK67" i="84"/>
  <c r="AK52" i="84"/>
  <c r="AM52" i="84" s="1"/>
  <c r="AK128" i="84"/>
  <c r="AM128" i="84" s="1"/>
  <c r="AK135" i="84"/>
  <c r="AM135" i="84" s="1"/>
  <c r="AK56" i="84"/>
  <c r="AM56" i="84" s="1"/>
  <c r="AK64" i="84"/>
  <c r="AK66" i="84"/>
  <c r="AK70" i="84"/>
  <c r="AM70" i="84" s="1"/>
  <c r="AK72" i="84"/>
  <c r="AM72" i="84" s="1"/>
  <c r="AK91" i="84"/>
  <c r="AK121" i="84"/>
  <c r="AM121" i="84" s="1"/>
  <c r="AK127" i="84"/>
  <c r="AM127" i="84" s="1"/>
  <c r="AK157" i="84"/>
  <c r="AK89" i="84"/>
  <c r="AK80" i="84"/>
  <c r="AM80" i="84" s="1"/>
  <c r="AK58" i="84"/>
  <c r="AK153" i="84"/>
  <c r="AK155" i="84"/>
  <c r="AK156" i="84"/>
  <c r="AM156" i="84" s="1"/>
  <c r="AM30" i="83"/>
  <c r="AM92" i="83"/>
  <c r="AM109" i="83"/>
  <c r="AM151" i="83"/>
  <c r="AJ30" i="84"/>
  <c r="AK10" i="84"/>
  <c r="AM105" i="84"/>
  <c r="AK103" i="84"/>
  <c r="AN103" i="84" s="1"/>
  <c r="AK101" i="84"/>
  <c r="AN101" i="84" s="1"/>
  <c r="AK100" i="84"/>
  <c r="AN100" i="84" s="1"/>
  <c r="AM99" i="84"/>
  <c r="AK98" i="84"/>
  <c r="AN98" i="84" s="1"/>
  <c r="AK97" i="84"/>
  <c r="AN97" i="84" s="1"/>
  <c r="AK96" i="84"/>
  <c r="AN96" i="84" s="1"/>
  <c r="AK95" i="84"/>
  <c r="AN95" i="84" s="1"/>
  <c r="AM94" i="84"/>
  <c r="AJ92" i="84"/>
  <c r="AK93" i="84"/>
  <c r="AN93" i="84" s="1"/>
  <c r="AM113" i="84"/>
  <c r="AM112" i="84"/>
  <c r="AJ109" i="84"/>
  <c r="AK110" i="84"/>
  <c r="AJ50" i="84"/>
  <c r="AK51" i="84"/>
  <c r="AM58" i="84"/>
  <c r="AM64" i="84"/>
  <c r="AM66" i="84"/>
  <c r="AM67" i="84"/>
  <c r="AM79" i="84"/>
  <c r="AM88" i="84"/>
  <c r="AM89" i="84"/>
  <c r="AM91" i="84"/>
  <c r="AK115" i="84"/>
  <c r="AM126" i="84"/>
  <c r="AJ151" i="84"/>
  <c r="AK152" i="84"/>
  <c r="AM153" i="84"/>
  <c r="AM155" i="84"/>
  <c r="AM157" i="84"/>
  <c r="AM158" i="84"/>
  <c r="AM27" i="85"/>
  <c r="AM24" i="85"/>
  <c r="AM26" i="85"/>
  <c r="AM29" i="85"/>
  <c r="AM23" i="85"/>
  <c r="AM25" i="85"/>
  <c r="AM28" i="85"/>
  <c r="AL38" i="85"/>
  <c r="AM39" i="85"/>
  <c r="AL39" i="85"/>
  <c r="AL42" i="85"/>
  <c r="AL41" i="85"/>
  <c r="AL40" i="85"/>
  <c r="AM30" i="85"/>
  <c r="AM92" i="85"/>
  <c r="AM109" i="85"/>
  <c r="AM50" i="85"/>
  <c r="AM151" i="85"/>
  <c r="AM30" i="86"/>
  <c r="AM92" i="86"/>
  <c r="AM109" i="86"/>
  <c r="AM50" i="86"/>
  <c r="AM151" i="86"/>
  <c r="AM30" i="68"/>
  <c r="AM92" i="68"/>
  <c r="AM109" i="68"/>
  <c r="AM50" i="68"/>
  <c r="AM151" i="68"/>
  <c r="AM151" i="87"/>
  <c r="AJ22" i="124"/>
  <c r="AK30" i="87"/>
  <c r="AM30" i="87" s="1"/>
  <c r="AM92" i="87"/>
  <c r="AI161" i="85" l="1"/>
  <c r="AI162" i="85" s="1"/>
  <c r="AI163" i="85" s="1"/>
  <c r="AK159" i="84"/>
  <c r="AM159" i="84" s="1"/>
  <c r="AM160" i="84"/>
  <c r="AM104" i="84"/>
  <c r="AN104" i="84"/>
  <c r="AM106" i="84"/>
  <c r="AN106" i="84"/>
  <c r="AM107" i="84"/>
  <c r="AN107" i="84"/>
  <c r="AM108" i="84"/>
  <c r="AN108" i="84"/>
  <c r="AM102" i="84"/>
  <c r="AN102" i="84"/>
  <c r="AK149" i="85"/>
  <c r="AJ114" i="85"/>
  <c r="AM149" i="85"/>
  <c r="AJ38" i="84"/>
  <c r="AK22" i="124"/>
  <c r="AK22" i="174" s="1"/>
  <c r="AJ22" i="174"/>
  <c r="AI164" i="85"/>
  <c r="AI165" i="85" s="1"/>
  <c r="AI43" i="85"/>
  <c r="AM150" i="85"/>
  <c r="AK114" i="85"/>
  <c r="AK161" i="85" s="1"/>
  <c r="AJ13" i="85"/>
  <c r="AJ34" i="85"/>
  <c r="AK38" i="84"/>
  <c r="AM38" i="84" s="1"/>
  <c r="AK151" i="84"/>
  <c r="AM152" i="84"/>
  <c r="AM115" i="84"/>
  <c r="AK50" i="84"/>
  <c r="AM51" i="84"/>
  <c r="AK109" i="84"/>
  <c r="AM110" i="84"/>
  <c r="AK92" i="84"/>
  <c r="AN92" i="84" s="1"/>
  <c r="AM93" i="84"/>
  <c r="AM95" i="84"/>
  <c r="AM96" i="84"/>
  <c r="AM97" i="84"/>
  <c r="AM98" i="84"/>
  <c r="AM100" i="84"/>
  <c r="AM101" i="84"/>
  <c r="AM103" i="84"/>
  <c r="AM10" i="84"/>
  <c r="AK30" i="84"/>
  <c r="AM22" i="124"/>
  <c r="AM22" i="174" s="1"/>
  <c r="AJ161" i="85" l="1"/>
  <c r="AJ162" i="85" s="1"/>
  <c r="AJ163" i="85" s="1"/>
  <c r="AJ164" i="85"/>
  <c r="AJ165" i="85" s="1"/>
  <c r="AJ43" i="85"/>
  <c r="AM114" i="85"/>
  <c r="AM30" i="84"/>
  <c r="AM92" i="84"/>
  <c r="AM109" i="84"/>
  <c r="AM50" i="84"/>
  <c r="AM151" i="84"/>
  <c r="AK163" i="85" l="1"/>
  <c r="AM163" i="85" s="1"/>
  <c r="AK162" i="85"/>
  <c r="AM162" i="85" s="1"/>
  <c r="AM161" i="85"/>
  <c r="Z1" i="74"/>
  <c r="Z160" i="74" s="1"/>
  <c r="AK38" i="87"/>
  <c r="AK19" i="87"/>
  <c r="AK18" i="87"/>
  <c r="AK17" i="87"/>
  <c r="AK10" i="87"/>
  <c r="J7" i="124"/>
  <c r="J7" i="174" s="1"/>
  <c r="Z1" i="124"/>
  <c r="AA1" i="124" s="1"/>
  <c r="AB1" i="124" s="1"/>
  <c r="AC1" i="124" s="1"/>
  <c r="AD1" i="124" s="1"/>
  <c r="AE1" i="124" s="1"/>
  <c r="AF1" i="124" s="1"/>
  <c r="AG1" i="124" s="1"/>
  <c r="AH1" i="124" s="1"/>
  <c r="AI1" i="124" s="1"/>
  <c r="AJ1" i="124" s="1"/>
  <c r="AK1" i="124" s="1"/>
  <c r="Z159" i="74" l="1"/>
  <c r="Z160" i="124"/>
  <c r="Z51" i="74"/>
  <c r="Z70" i="74"/>
  <c r="Z66" i="74"/>
  <c r="Z67" i="74"/>
  <c r="Z64" i="74"/>
  <c r="Z149" i="74"/>
  <c r="Z115" i="74"/>
  <c r="Z93" i="74"/>
  <c r="Z93" i="124" s="1"/>
  <c r="Z94" i="74"/>
  <c r="Z94" i="124" s="1"/>
  <c r="Z95" i="74"/>
  <c r="Z95" i="124" s="1"/>
  <c r="Z96" i="74"/>
  <c r="Z96" i="124" s="1"/>
  <c r="Z97" i="74"/>
  <c r="Z97" i="124" s="1"/>
  <c r="Z98" i="74"/>
  <c r="Z98" i="124" s="1"/>
  <c r="Z99" i="74"/>
  <c r="Z99" i="124" s="1"/>
  <c r="Z100" i="74"/>
  <c r="Z100" i="124" s="1"/>
  <c r="Z101" i="74"/>
  <c r="Z101" i="124" s="1"/>
  <c r="Z102" i="74"/>
  <c r="Z102" i="124" s="1"/>
  <c r="Z103" i="74"/>
  <c r="Z103" i="124" s="1"/>
  <c r="Z104" i="74"/>
  <c r="Z104" i="124" s="1"/>
  <c r="Z106" i="74"/>
  <c r="Z106" i="124" s="1"/>
  <c r="Z107" i="74"/>
  <c r="Z107" i="124" s="1"/>
  <c r="Z108" i="74"/>
  <c r="Z108" i="124" s="1"/>
  <c r="Z110" i="74"/>
  <c r="Z110" i="124" s="1"/>
  <c r="Z111" i="74"/>
  <c r="Z111" i="124" s="1"/>
  <c r="Z112" i="74"/>
  <c r="Z112" i="124" s="1"/>
  <c r="Z113" i="74"/>
  <c r="Z113" i="124" s="1"/>
  <c r="Z52" i="74"/>
  <c r="Z90" i="74"/>
  <c r="Z90" i="124" s="1"/>
  <c r="Z80" i="74"/>
  <c r="Z80" i="124" s="1"/>
  <c r="Z115" i="124"/>
  <c r="Z52" i="175"/>
  <c r="Z64" i="124"/>
  <c r="Z56" i="74"/>
  <c r="Z56" i="175" s="1"/>
  <c r="Z158" i="74"/>
  <c r="Z158" i="124" s="1"/>
  <c r="Z156" i="124"/>
  <c r="Z155" i="74"/>
  <c r="Z155" i="124" s="1"/>
  <c r="Z154" i="74"/>
  <c r="Z154" i="124" s="1"/>
  <c r="Z148" i="74"/>
  <c r="Z145" i="74"/>
  <c r="Z145" i="124" s="1"/>
  <c r="Z144" i="74"/>
  <c r="Z142" i="74"/>
  <c r="Z142" i="124" s="1"/>
  <c r="Z141" i="74"/>
  <c r="Z141" i="124" s="1"/>
  <c r="Z140" i="74"/>
  <c r="Z137" i="74"/>
  <c r="Z137" i="124" s="1"/>
  <c r="Z135" i="74"/>
  <c r="Z135" i="124" s="1"/>
  <c r="Z131" i="74"/>
  <c r="Z131" i="124" s="1"/>
  <c r="Z129" i="74"/>
  <c r="Z129" i="124" s="1"/>
  <c r="Z128" i="74"/>
  <c r="Z128" i="124" s="1"/>
  <c r="Z127" i="74"/>
  <c r="Z127" i="124" s="1"/>
  <c r="Z126" i="74"/>
  <c r="Z126" i="124" s="1"/>
  <c r="Z125" i="74"/>
  <c r="Z123" i="74"/>
  <c r="Z123" i="124" s="1"/>
  <c r="Z121" i="74"/>
  <c r="Z121" i="124" s="1"/>
  <c r="Z119" i="74"/>
  <c r="Z119" i="124" s="1"/>
  <c r="Z118" i="74"/>
  <c r="Z91" i="74"/>
  <c r="Z89" i="74"/>
  <c r="Z89" i="124" s="1"/>
  <c r="Z88" i="74"/>
  <c r="Z86" i="74"/>
  <c r="Z86" i="124" s="1"/>
  <c r="Z82" i="124"/>
  <c r="Z79" i="74"/>
  <c r="Z77" i="124"/>
  <c r="Z76" i="74"/>
  <c r="Z72" i="124"/>
  <c r="Z70" i="124"/>
  <c r="Z67" i="124"/>
  <c r="Z58" i="74"/>
  <c r="Z58" i="175" s="1"/>
  <c r="Z57" i="74"/>
  <c r="Z57" i="175" s="1"/>
  <c r="Z55" i="74"/>
  <c r="Z54" i="74"/>
  <c r="Z54" i="175" s="1"/>
  <c r="Z51" i="175"/>
  <c r="Z102" i="175"/>
  <c r="Z89" i="174"/>
  <c r="Z86" i="174"/>
  <c r="Z82" i="174"/>
  <c r="Z80" i="174"/>
  <c r="Z77" i="174"/>
  <c r="Z72" i="174"/>
  <c r="Z70" i="174"/>
  <c r="Z67" i="174"/>
  <c r="Z64" i="174"/>
  <c r="Z58" i="124"/>
  <c r="Z58" i="174" s="1"/>
  <c r="Z57" i="124"/>
  <c r="Z57" i="174" s="1"/>
  <c r="Z56" i="124"/>
  <c r="Z56" i="174" s="1"/>
  <c r="Z54" i="124"/>
  <c r="Z54" i="174" s="1"/>
  <c r="Z52" i="124"/>
  <c r="Z52" i="174" s="1"/>
  <c r="Z51" i="124"/>
  <c r="Z110" i="175"/>
  <c r="Z111" i="175"/>
  <c r="Z112" i="175"/>
  <c r="Z93" i="175"/>
  <c r="Z94" i="175"/>
  <c r="Z95" i="175"/>
  <c r="Z96" i="175"/>
  <c r="Z97" i="175"/>
  <c r="Z98" i="175"/>
  <c r="Z99" i="175"/>
  <c r="Z100" i="175"/>
  <c r="Z105" i="175"/>
  <c r="Z106" i="175"/>
  <c r="Z107" i="175"/>
  <c r="Z10" i="74"/>
  <c r="Z10" i="175" s="1"/>
  <c r="J44" i="124"/>
  <c r="J44" i="174" s="1"/>
  <c r="AA1" i="74"/>
  <c r="AA160" i="74" s="1"/>
  <c r="AM17" i="87"/>
  <c r="AM10" i="87"/>
  <c r="AM19" i="87"/>
  <c r="AM18" i="87"/>
  <c r="AM38" i="87"/>
  <c r="J109" i="124"/>
  <c r="J109" i="174" s="1"/>
  <c r="M109" i="124"/>
  <c r="M109" i="174" s="1"/>
  <c r="R109" i="124"/>
  <c r="R109" i="174" s="1"/>
  <c r="N6" i="124"/>
  <c r="N6" i="174" s="1"/>
  <c r="J6" i="124"/>
  <c r="J6" i="174" s="1"/>
  <c r="P92" i="124"/>
  <c r="P92" i="174" s="1"/>
  <c r="K92" i="124"/>
  <c r="K92" i="174" s="1"/>
  <c r="P6" i="124"/>
  <c r="P6" i="174" s="1"/>
  <c r="N109" i="124"/>
  <c r="N109" i="174" s="1"/>
  <c r="T6" i="124"/>
  <c r="T6" i="174" s="1"/>
  <c r="S109" i="124"/>
  <c r="S109" i="174" s="1"/>
  <c r="U109" i="124"/>
  <c r="U109" i="174" s="1"/>
  <c r="R6" i="124"/>
  <c r="R6" i="174" s="1"/>
  <c r="S92" i="124"/>
  <c r="S92" i="174" s="1"/>
  <c r="K109" i="124"/>
  <c r="K109" i="174" s="1"/>
  <c r="V154" i="124"/>
  <c r="L114" i="124"/>
  <c r="L114" i="174" s="1"/>
  <c r="O109" i="124"/>
  <c r="O109" i="174" s="1"/>
  <c r="Q92" i="124"/>
  <c r="Q92" i="174" s="1"/>
  <c r="N92" i="124"/>
  <c r="N92" i="174" s="1"/>
  <c r="T92" i="124"/>
  <c r="T92" i="174" s="1"/>
  <c r="J114" i="124"/>
  <c r="J114" i="174" s="1"/>
  <c r="R114" i="124"/>
  <c r="R114" i="174" s="1"/>
  <c r="N114" i="124"/>
  <c r="N114" i="174" s="1"/>
  <c r="V155" i="124"/>
  <c r="V155" i="174" s="1"/>
  <c r="U6" i="124"/>
  <c r="U6" i="174" s="1"/>
  <c r="O92" i="124"/>
  <c r="O92" i="174" s="1"/>
  <c r="P109" i="124"/>
  <c r="P109" i="174" s="1"/>
  <c r="K6" i="124"/>
  <c r="K6" i="174" s="1"/>
  <c r="S6" i="124"/>
  <c r="S6" i="174" s="1"/>
  <c r="V36" i="124"/>
  <c r="V36" i="174" s="1"/>
  <c r="R92" i="124"/>
  <c r="R92" i="174" s="1"/>
  <c r="Q114" i="124"/>
  <c r="Q114" i="174" s="1"/>
  <c r="V153" i="124"/>
  <c r="V153" i="174" s="1"/>
  <c r="O114" i="124"/>
  <c r="O114" i="174" s="1"/>
  <c r="L109" i="124"/>
  <c r="L109" i="174" s="1"/>
  <c r="T109" i="124"/>
  <c r="T109" i="174" s="1"/>
  <c r="M92" i="124"/>
  <c r="M92" i="174" s="1"/>
  <c r="U92" i="124"/>
  <c r="U92" i="174" s="1"/>
  <c r="M114" i="124"/>
  <c r="M114" i="174" s="1"/>
  <c r="Q6" i="124"/>
  <c r="Q6" i="174" s="1"/>
  <c r="O6" i="124"/>
  <c r="O6" i="174" s="1"/>
  <c r="Q109" i="124"/>
  <c r="Q109" i="174" s="1"/>
  <c r="V152" i="124"/>
  <c r="V152" i="174" s="1"/>
  <c r="V156" i="124"/>
  <c r="V156" i="174" s="1"/>
  <c r="V8" i="124"/>
  <c r="V8" i="174" s="1"/>
  <c r="V10" i="124"/>
  <c r="V10" i="174" s="1"/>
  <c r="V15" i="124"/>
  <c r="V15" i="174" s="1"/>
  <c r="V18" i="124"/>
  <c r="V18" i="174" s="1"/>
  <c r="V37" i="124"/>
  <c r="V37" i="174" s="1"/>
  <c r="V40" i="124"/>
  <c r="V40" i="174" s="1"/>
  <c r="V41" i="124"/>
  <c r="V41" i="174" s="1"/>
  <c r="V51" i="124"/>
  <c r="V51" i="174" s="1"/>
  <c r="AK75" i="124"/>
  <c r="V115" i="124"/>
  <c r="V115" i="174" s="1"/>
  <c r="AM139" i="124"/>
  <c r="AM139" i="174" s="1"/>
  <c r="V157" i="124"/>
  <c r="V157" i="174" s="1"/>
  <c r="V42" i="124"/>
  <c r="V42" i="174" s="1"/>
  <c r="J92" i="124"/>
  <c r="J92" i="174" s="1"/>
  <c r="V113" i="124"/>
  <c r="V113" i="174" s="1"/>
  <c r="AP113" i="174" s="1"/>
  <c r="L6" i="124"/>
  <c r="L6" i="174" s="1"/>
  <c r="V7" i="124"/>
  <c r="V14" i="124"/>
  <c r="V14" i="174" s="1"/>
  <c r="M6" i="124"/>
  <c r="M6" i="174" s="1"/>
  <c r="L92" i="124"/>
  <c r="L92" i="174" s="1"/>
  <c r="P114" i="124"/>
  <c r="P114" i="174" s="1"/>
  <c r="V11" i="124"/>
  <c r="V11" i="174" s="1"/>
  <c r="V12" i="124"/>
  <c r="V12" i="174" s="1"/>
  <c r="V17" i="124"/>
  <c r="V17" i="174" s="1"/>
  <c r="V19" i="124"/>
  <c r="V19" i="174" s="1"/>
  <c r="V35" i="124"/>
  <c r="V112" i="124"/>
  <c r="V112" i="174" s="1"/>
  <c r="V111" i="124"/>
  <c r="V111" i="174" s="1"/>
  <c r="V9" i="124"/>
  <c r="V9" i="174" s="1"/>
  <c r="V16" i="124"/>
  <c r="V16" i="174" s="1"/>
  <c r="V38" i="124"/>
  <c r="AK63" i="124"/>
  <c r="V110" i="124"/>
  <c r="V109" i="124" s="1"/>
  <c r="K114" i="124"/>
  <c r="K114" i="174" s="1"/>
  <c r="S114" i="124"/>
  <c r="S114" i="174" s="1"/>
  <c r="AA159" i="74" l="1"/>
  <c r="AA160" i="124"/>
  <c r="Z160" i="174"/>
  <c r="Z159" i="124"/>
  <c r="Z159" i="174" s="1"/>
  <c r="AA51" i="74"/>
  <c r="AA70" i="74"/>
  <c r="AA66" i="74"/>
  <c r="AA67" i="74"/>
  <c r="AA64" i="74"/>
  <c r="V109" i="174"/>
  <c r="Z109" i="124"/>
  <c r="Z109" i="174" s="1"/>
  <c r="Z108" i="174"/>
  <c r="Z107" i="174"/>
  <c r="Z106" i="174"/>
  <c r="Z104" i="174"/>
  <c r="Z103" i="174"/>
  <c r="Z102" i="174"/>
  <c r="Z101" i="174"/>
  <c r="Z100" i="174"/>
  <c r="Z99" i="174"/>
  <c r="Z98" i="174"/>
  <c r="Z97" i="174"/>
  <c r="Z96" i="174"/>
  <c r="Z95" i="174"/>
  <c r="Z94" i="174"/>
  <c r="Z93" i="174"/>
  <c r="Z92" i="124"/>
  <c r="Z92" i="174" s="1"/>
  <c r="V110" i="174"/>
  <c r="Z55" i="175"/>
  <c r="Z55" i="124"/>
  <c r="AQ106" i="174"/>
  <c r="AK63" i="174"/>
  <c r="AO63" i="174" s="1"/>
  <c r="AM63" i="124"/>
  <c r="AK60" i="174"/>
  <c r="AO60" i="174" s="1"/>
  <c r="AM60" i="124"/>
  <c r="AK74" i="174"/>
  <c r="AO74" i="174" s="1"/>
  <c r="AM74" i="124"/>
  <c r="AK62" i="174"/>
  <c r="AO62" i="174" s="1"/>
  <c r="AM62" i="124"/>
  <c r="AK75" i="174"/>
  <c r="AO75" i="174" s="1"/>
  <c r="AM75" i="124"/>
  <c r="AA149" i="74"/>
  <c r="AA115" i="74"/>
  <c r="AA93" i="74"/>
  <c r="AA93" i="124" s="1"/>
  <c r="AA94" i="74"/>
  <c r="AA94" i="124" s="1"/>
  <c r="AA95" i="74"/>
  <c r="AA95" i="124" s="1"/>
  <c r="AA96" i="74"/>
  <c r="AA96" i="124" s="1"/>
  <c r="AA97" i="74"/>
  <c r="AA97" i="124" s="1"/>
  <c r="AA98" i="74"/>
  <c r="AA98" i="124" s="1"/>
  <c r="AA99" i="74"/>
  <c r="AA99" i="124" s="1"/>
  <c r="AA100" i="74"/>
  <c r="AA100" i="124" s="1"/>
  <c r="AA101" i="74"/>
  <c r="AA101" i="124" s="1"/>
  <c r="AA102" i="74"/>
  <c r="AA102" i="124" s="1"/>
  <c r="AA103" i="74"/>
  <c r="AA103" i="124" s="1"/>
  <c r="AA104" i="74"/>
  <c r="AA104" i="124" s="1"/>
  <c r="AA106" i="74"/>
  <c r="AA106" i="124" s="1"/>
  <c r="AA107" i="74"/>
  <c r="AA107" i="124" s="1"/>
  <c r="AA108" i="74"/>
  <c r="AA108" i="124" s="1"/>
  <c r="AA110" i="74"/>
  <c r="AA110" i="124" s="1"/>
  <c r="AA111" i="74"/>
  <c r="AA111" i="124" s="1"/>
  <c r="AA112" i="74"/>
  <c r="AA112" i="124" s="1"/>
  <c r="AA113" i="74"/>
  <c r="AA113" i="124" s="1"/>
  <c r="Z78" i="175"/>
  <c r="Z79" i="124"/>
  <c r="Z79" i="174" s="1"/>
  <c r="Z75" i="175"/>
  <c r="Z76" i="124"/>
  <c r="Z76" i="174" s="1"/>
  <c r="Z87" i="175"/>
  <c r="Z88" i="124"/>
  <c r="Z88" i="174" s="1"/>
  <c r="Z117" i="175"/>
  <c r="Z118" i="124"/>
  <c r="Z124" i="175"/>
  <c r="Z125" i="124"/>
  <c r="Z139" i="175"/>
  <c r="Z140" i="124"/>
  <c r="Z143" i="175"/>
  <c r="Z144" i="124"/>
  <c r="Z147" i="175"/>
  <c r="Z148" i="124"/>
  <c r="Z65" i="175"/>
  <c r="Z66" i="124"/>
  <c r="Z66" i="174" s="1"/>
  <c r="Z90" i="175"/>
  <c r="Z91" i="124"/>
  <c r="Z91" i="174" s="1"/>
  <c r="V38" i="174"/>
  <c r="V34" i="124"/>
  <c r="Z158" i="174"/>
  <c r="Z103" i="175"/>
  <c r="Z104" i="175"/>
  <c r="Z101" i="175"/>
  <c r="Z66" i="175"/>
  <c r="Z67" i="175"/>
  <c r="Z68" i="174"/>
  <c r="Z69" i="175"/>
  <c r="Z70" i="175"/>
  <c r="Z71" i="174"/>
  <c r="Z71" i="175"/>
  <c r="Z72" i="175"/>
  <c r="Z73" i="174"/>
  <c r="Z76" i="175"/>
  <c r="Z77" i="175"/>
  <c r="Z81" i="175"/>
  <c r="Z82" i="175"/>
  <c r="Z85" i="175"/>
  <c r="Z86" i="175"/>
  <c r="Z88" i="175"/>
  <c r="Z118" i="175"/>
  <c r="Z119" i="175"/>
  <c r="Z120" i="174"/>
  <c r="Z120" i="175"/>
  <c r="Z121" i="175"/>
  <c r="Z122" i="174"/>
  <c r="Z122" i="175"/>
  <c r="Z123" i="175"/>
  <c r="Z124" i="174"/>
  <c r="Z125" i="175"/>
  <c r="Z126" i="175"/>
  <c r="Z127" i="175"/>
  <c r="Z128" i="175"/>
  <c r="Z129" i="175"/>
  <c r="Z130" i="174"/>
  <c r="Z130" i="175"/>
  <c r="Z131" i="175"/>
  <c r="Z132" i="174"/>
  <c r="Z134" i="175"/>
  <c r="Z135" i="175"/>
  <c r="Z136" i="174"/>
  <c r="Z136" i="175"/>
  <c r="Z137" i="175"/>
  <c r="Z138" i="174"/>
  <c r="Z140" i="175"/>
  <c r="Z141" i="175"/>
  <c r="Z142" i="175"/>
  <c r="Z143" i="174"/>
  <c r="Z144" i="175"/>
  <c r="Z145" i="175"/>
  <c r="Z146" i="174"/>
  <c r="Z155" i="174"/>
  <c r="Z156" i="174"/>
  <c r="Z157" i="174"/>
  <c r="Z63" i="175"/>
  <c r="Z64" i="175"/>
  <c r="Z115" i="175"/>
  <c r="Z116" i="174"/>
  <c r="Z79" i="175"/>
  <c r="Z80" i="175"/>
  <c r="AA52" i="74"/>
  <c r="AA90" i="74"/>
  <c r="AA90" i="124" s="1"/>
  <c r="Z45" i="74"/>
  <c r="AA45" i="74"/>
  <c r="AB45" i="74"/>
  <c r="AC45" i="74"/>
  <c r="AD45" i="74"/>
  <c r="AE45" i="74"/>
  <c r="AF45" i="74"/>
  <c r="AG45" i="74"/>
  <c r="AH45" i="74"/>
  <c r="AI45" i="74"/>
  <c r="AJ45" i="74"/>
  <c r="Y45" i="74"/>
  <c r="AA80" i="74"/>
  <c r="AA80" i="124" s="1"/>
  <c r="Z89" i="175"/>
  <c r="Z154" i="174"/>
  <c r="V7" i="174"/>
  <c r="V6" i="124"/>
  <c r="W160" i="124" s="1"/>
  <c r="Z50" i="175"/>
  <c r="V154" i="174"/>
  <c r="Z51" i="174"/>
  <c r="V44" i="124"/>
  <c r="V44" i="174" s="1"/>
  <c r="V35" i="174"/>
  <c r="AA115" i="124"/>
  <c r="AA52" i="175"/>
  <c r="AA64" i="124"/>
  <c r="AA56" i="74"/>
  <c r="AA56" i="175" s="1"/>
  <c r="AA158" i="74"/>
  <c r="AA158" i="124" s="1"/>
  <c r="AA156" i="124"/>
  <c r="AA155" i="74"/>
  <c r="AA155" i="124" s="1"/>
  <c r="AA154" i="74"/>
  <c r="AA154" i="124" s="1"/>
  <c r="AA148" i="74"/>
  <c r="AA145" i="74"/>
  <c r="AA145" i="124" s="1"/>
  <c r="AA144" i="74"/>
  <c r="AA142" i="74"/>
  <c r="AA142" i="124" s="1"/>
  <c r="AA141" i="74"/>
  <c r="AA141" i="124" s="1"/>
  <c r="AA140" i="74"/>
  <c r="AA137" i="74"/>
  <c r="AA137" i="124" s="1"/>
  <c r="AA135" i="74"/>
  <c r="AA135" i="124" s="1"/>
  <c r="AA131" i="74"/>
  <c r="AA131" i="124" s="1"/>
  <c r="AA129" i="74"/>
  <c r="AA129" i="124" s="1"/>
  <c r="AA128" i="74"/>
  <c r="AA128" i="124" s="1"/>
  <c r="AA127" i="74"/>
  <c r="AA127" i="124" s="1"/>
  <c r="AA126" i="74"/>
  <c r="AA126" i="124" s="1"/>
  <c r="AA125" i="74"/>
  <c r="AA123" i="74"/>
  <c r="AA123" i="124" s="1"/>
  <c r="AA121" i="74"/>
  <c r="AA121" i="124" s="1"/>
  <c r="AA119" i="74"/>
  <c r="AA119" i="124" s="1"/>
  <c r="AA118" i="74"/>
  <c r="AA91" i="74"/>
  <c r="AA89" i="74"/>
  <c r="AA89" i="124" s="1"/>
  <c r="AA88" i="74"/>
  <c r="AA86" i="74"/>
  <c r="AA86" i="124" s="1"/>
  <c r="AA82" i="124"/>
  <c r="AA79" i="74"/>
  <c r="AA77" i="124"/>
  <c r="AA76" i="74"/>
  <c r="AA72" i="124"/>
  <c r="AA70" i="124"/>
  <c r="AA67" i="124"/>
  <c r="AA58" i="74"/>
  <c r="AA58" i="175" s="1"/>
  <c r="AA57" i="74"/>
  <c r="AA57" i="175" s="1"/>
  <c r="AA55" i="74"/>
  <c r="AA54" i="74"/>
  <c r="AA54" i="175" s="1"/>
  <c r="AA51" i="175"/>
  <c r="AA102" i="175"/>
  <c r="Z55" i="174"/>
  <c r="V13" i="124"/>
  <c r="V13" i="174" s="1"/>
  <c r="V46" i="124"/>
  <c r="V46" i="174" s="1"/>
  <c r="V45" i="124"/>
  <c r="V45" i="174" s="1"/>
  <c r="Z113" i="174"/>
  <c r="Z112" i="174"/>
  <c r="Z111" i="174"/>
  <c r="Z118" i="174"/>
  <c r="Z119" i="174"/>
  <c r="Z123" i="174"/>
  <c r="Z125" i="174"/>
  <c r="Z126" i="174"/>
  <c r="Z129" i="174"/>
  <c r="Z131" i="174"/>
  <c r="Z137" i="174"/>
  <c r="Z140" i="174"/>
  <c r="Z141" i="174"/>
  <c r="Z142" i="174"/>
  <c r="Z144" i="174"/>
  <c r="Z145" i="174"/>
  <c r="Z148" i="174"/>
  <c r="Z128" i="174"/>
  <c r="Z135" i="174"/>
  <c r="Z121" i="174"/>
  <c r="Z127" i="174"/>
  <c r="V151" i="124"/>
  <c r="AA89" i="174"/>
  <c r="AA86" i="174"/>
  <c r="AA82" i="174"/>
  <c r="AA80" i="174"/>
  <c r="AA77" i="174"/>
  <c r="AA72" i="174"/>
  <c r="AA70" i="174"/>
  <c r="AA67" i="174"/>
  <c r="AA64" i="174"/>
  <c r="AA58" i="124"/>
  <c r="AA58" i="174" s="1"/>
  <c r="AA57" i="124"/>
  <c r="AA57" i="174" s="1"/>
  <c r="AA56" i="124"/>
  <c r="AA56" i="174" s="1"/>
  <c r="AA54" i="124"/>
  <c r="AA54" i="174" s="1"/>
  <c r="AA52" i="124"/>
  <c r="AA52" i="174" s="1"/>
  <c r="AA51" i="124"/>
  <c r="AA110" i="175"/>
  <c r="AA111" i="175"/>
  <c r="AA112" i="175"/>
  <c r="AA93" i="175"/>
  <c r="AA94" i="175"/>
  <c r="AA95" i="175"/>
  <c r="AA96" i="175"/>
  <c r="AA97" i="175"/>
  <c r="AA98" i="175"/>
  <c r="AA99" i="175"/>
  <c r="AA100" i="175"/>
  <c r="AA105" i="175"/>
  <c r="AA106" i="175"/>
  <c r="AA107" i="175"/>
  <c r="AA10" i="74"/>
  <c r="AA10" i="175" s="1"/>
  <c r="Z30" i="74"/>
  <c r="Z10" i="124"/>
  <c r="Z10" i="174" s="1"/>
  <c r="Z92" i="74"/>
  <c r="Z109" i="74"/>
  <c r="Z50" i="74"/>
  <c r="Z151" i="74"/>
  <c r="AM60" i="174"/>
  <c r="AB1" i="74"/>
  <c r="AB160" i="74" s="1"/>
  <c r="R34" i="174"/>
  <c r="P34" i="124"/>
  <c r="P34" i="174" s="1"/>
  <c r="AM18" i="124"/>
  <c r="AM18" i="174" s="1"/>
  <c r="O161" i="124"/>
  <c r="O161" i="174" s="1"/>
  <c r="J34" i="124"/>
  <c r="AK53" i="124"/>
  <c r="AM53" i="124" s="1"/>
  <c r="AM53" i="174" s="1"/>
  <c r="L34" i="124"/>
  <c r="Q34" i="124"/>
  <c r="O34" i="124"/>
  <c r="AM63" i="174"/>
  <c r="N34" i="124"/>
  <c r="K34" i="124"/>
  <c r="W35" i="124"/>
  <c r="W35" i="174" s="1"/>
  <c r="Q161" i="124"/>
  <c r="Q161" i="174" s="1"/>
  <c r="N161" i="124"/>
  <c r="N161" i="174" s="1"/>
  <c r="W41" i="124"/>
  <c r="W41" i="174" s="1"/>
  <c r="AM19" i="124"/>
  <c r="AM19" i="174" s="1"/>
  <c r="W40" i="124"/>
  <c r="W40" i="174" s="1"/>
  <c r="W38" i="124"/>
  <c r="W38" i="174" s="1"/>
  <c r="W39" i="124"/>
  <c r="W39" i="174" s="1"/>
  <c r="V50" i="124"/>
  <c r="V50" i="174" s="1"/>
  <c r="W37" i="124"/>
  <c r="W37" i="174" s="1"/>
  <c r="K161" i="124"/>
  <c r="K161" i="174" s="1"/>
  <c r="AM74" i="174"/>
  <c r="AM62" i="174"/>
  <c r="AM17" i="124"/>
  <c r="AM17" i="174" s="1"/>
  <c r="R161" i="124"/>
  <c r="R161" i="174" s="1"/>
  <c r="M161" i="124"/>
  <c r="M161" i="174" s="1"/>
  <c r="P161" i="124"/>
  <c r="P161" i="174" s="1"/>
  <c r="W42" i="124"/>
  <c r="W42" i="174" s="1"/>
  <c r="W36" i="124"/>
  <c r="W36" i="174" s="1"/>
  <c r="AM75" i="174"/>
  <c r="S161" i="124"/>
  <c r="S161" i="174" s="1"/>
  <c r="M34" i="124"/>
  <c r="L161" i="124"/>
  <c r="L161" i="174" s="1"/>
  <c r="AB159" i="74" l="1"/>
  <c r="AB160" i="124"/>
  <c r="AA160" i="174"/>
  <c r="AA159" i="124"/>
  <c r="AA159" i="174" s="1"/>
  <c r="AB51" i="74"/>
  <c r="AB70" i="74"/>
  <c r="AB66" i="74"/>
  <c r="AB67" i="74"/>
  <c r="AB64" i="74"/>
  <c r="W159" i="124"/>
  <c r="W104" i="124"/>
  <c r="W104" i="174" s="1"/>
  <c r="W93" i="124"/>
  <c r="W93" i="174" s="1"/>
  <c r="W94" i="124"/>
  <c r="W94" i="174" s="1"/>
  <c r="W95" i="124"/>
  <c r="W95" i="174" s="1"/>
  <c r="W96" i="124"/>
  <c r="W96" i="174" s="1"/>
  <c r="W97" i="124"/>
  <c r="W97" i="174" s="1"/>
  <c r="W98" i="124"/>
  <c r="W98" i="174" s="1"/>
  <c r="W99" i="124"/>
  <c r="W99" i="174" s="1"/>
  <c r="W100" i="124"/>
  <c r="W100" i="174" s="1"/>
  <c r="W101" i="124"/>
  <c r="W101" i="174" s="1"/>
  <c r="W102" i="124"/>
  <c r="W102" i="174" s="1"/>
  <c r="W103" i="124"/>
  <c r="W103" i="174" s="1"/>
  <c r="W105" i="124"/>
  <c r="W105" i="174" s="1"/>
  <c r="W106" i="124"/>
  <c r="W106" i="174" s="1"/>
  <c r="W107" i="124"/>
  <c r="W107" i="174" s="1"/>
  <c r="W108" i="124"/>
  <c r="W108" i="174" s="1"/>
  <c r="W92" i="124"/>
  <c r="W92" i="174" s="1"/>
  <c r="W109" i="124"/>
  <c r="W109" i="174" s="1"/>
  <c r="AA109" i="124"/>
  <c r="AA109" i="174" s="1"/>
  <c r="AA108" i="174"/>
  <c r="AA107" i="174"/>
  <c r="AA106" i="174"/>
  <c r="AA104" i="174"/>
  <c r="AA103" i="174"/>
  <c r="AA102" i="174"/>
  <c r="AA101" i="174"/>
  <c r="AA100" i="174"/>
  <c r="AA99" i="174"/>
  <c r="AA98" i="174"/>
  <c r="AA97" i="174"/>
  <c r="AA96" i="174"/>
  <c r="AA95" i="174"/>
  <c r="AA94" i="174"/>
  <c r="AA93" i="174"/>
  <c r="AA92" i="124"/>
  <c r="AA92" i="174" s="1"/>
  <c r="V151" i="174"/>
  <c r="W55" i="124"/>
  <c r="AA55" i="175"/>
  <c r="AA55" i="124"/>
  <c r="AB149" i="74"/>
  <c r="AB115" i="74"/>
  <c r="AB93" i="74"/>
  <c r="AB93" i="124" s="1"/>
  <c r="AB94" i="74"/>
  <c r="AB94" i="124" s="1"/>
  <c r="AB95" i="74"/>
  <c r="AB95" i="124" s="1"/>
  <c r="AB96" i="74"/>
  <c r="AB96" i="124" s="1"/>
  <c r="AB97" i="74"/>
  <c r="AB97" i="124" s="1"/>
  <c r="AB98" i="74"/>
  <c r="AB98" i="124" s="1"/>
  <c r="AB99" i="74"/>
  <c r="AB99" i="124" s="1"/>
  <c r="AB100" i="74"/>
  <c r="AB100" i="124" s="1"/>
  <c r="AB101" i="74"/>
  <c r="AB101" i="124" s="1"/>
  <c r="AB102" i="74"/>
  <c r="AB102" i="124" s="1"/>
  <c r="AB103" i="74"/>
  <c r="AB103" i="124" s="1"/>
  <c r="AB104" i="74"/>
  <c r="AB104" i="124" s="1"/>
  <c r="AB106" i="74"/>
  <c r="AB106" i="124" s="1"/>
  <c r="AB107" i="74"/>
  <c r="AB107" i="124" s="1"/>
  <c r="AB108" i="74"/>
  <c r="AB108" i="124" s="1"/>
  <c r="AB110" i="74"/>
  <c r="AB110" i="124" s="1"/>
  <c r="AB111" i="74"/>
  <c r="AB111" i="124" s="1"/>
  <c r="AB112" i="74"/>
  <c r="AB112" i="124" s="1"/>
  <c r="AB113" i="74"/>
  <c r="AB113" i="124" s="1"/>
  <c r="AA78" i="175"/>
  <c r="AA79" i="124"/>
  <c r="AA79" i="174" s="1"/>
  <c r="AA75" i="175"/>
  <c r="AA76" i="124"/>
  <c r="AA76" i="174" s="1"/>
  <c r="AA87" i="175"/>
  <c r="AA88" i="124"/>
  <c r="AA88" i="174" s="1"/>
  <c r="AA117" i="175"/>
  <c r="AA118" i="124"/>
  <c r="AA124" i="175"/>
  <c r="AA125" i="124"/>
  <c r="AA139" i="175"/>
  <c r="AA140" i="124"/>
  <c r="AA143" i="175"/>
  <c r="AA144" i="124"/>
  <c r="AA147" i="175"/>
  <c r="AA148" i="124"/>
  <c r="AA65" i="175"/>
  <c r="AA66" i="124"/>
  <c r="AA66" i="174" s="1"/>
  <c r="AA90" i="175"/>
  <c r="AA91" i="124"/>
  <c r="AA91" i="174" s="1"/>
  <c r="W61" i="124"/>
  <c r="W61" i="174" s="1"/>
  <c r="W149" i="124"/>
  <c r="W149" i="174" s="1"/>
  <c r="Z151" i="175"/>
  <c r="Z153" i="174"/>
  <c r="AA158" i="174"/>
  <c r="Z109" i="175"/>
  <c r="Z108" i="175" s="1"/>
  <c r="Z110" i="174"/>
  <c r="Z92" i="175"/>
  <c r="Z91" i="175" s="1"/>
  <c r="AA103" i="175"/>
  <c r="AA104" i="175"/>
  <c r="AA101" i="175"/>
  <c r="AA66" i="175"/>
  <c r="AA67" i="175"/>
  <c r="AA68" i="174"/>
  <c r="AA69" i="175"/>
  <c r="AA70" i="175"/>
  <c r="AA71" i="175"/>
  <c r="AA72" i="175"/>
  <c r="AA76" i="175"/>
  <c r="AA77" i="175"/>
  <c r="AA78" i="174"/>
  <c r="AA81" i="175"/>
  <c r="AA82" i="175"/>
  <c r="AA83" i="174"/>
  <c r="AA85" i="175"/>
  <c r="AA86" i="175"/>
  <c r="AA87" i="174"/>
  <c r="AA88" i="175"/>
  <c r="AA118" i="175"/>
  <c r="AA119" i="175"/>
  <c r="AA120" i="174"/>
  <c r="AA120" i="175"/>
  <c r="AA121" i="175"/>
  <c r="AA122" i="174"/>
  <c r="AA122" i="175"/>
  <c r="AA123" i="175"/>
  <c r="AA124" i="174"/>
  <c r="AA125" i="175"/>
  <c r="AA126" i="175"/>
  <c r="AA127" i="175"/>
  <c r="AA128" i="175"/>
  <c r="AA129" i="175"/>
  <c r="AA130" i="174"/>
  <c r="AA130" i="175"/>
  <c r="AA131" i="175"/>
  <c r="AA132" i="174"/>
  <c r="AA134" i="175"/>
  <c r="AA135" i="175"/>
  <c r="AA136" i="174"/>
  <c r="AA136" i="175"/>
  <c r="AA137" i="175"/>
  <c r="AA138" i="174"/>
  <c r="AA140" i="175"/>
  <c r="AA141" i="175"/>
  <c r="AA142" i="175"/>
  <c r="AA143" i="174"/>
  <c r="AA144" i="175"/>
  <c r="AA145" i="175"/>
  <c r="AA146" i="174"/>
  <c r="AA155" i="174"/>
  <c r="AA156" i="174"/>
  <c r="AA157" i="174"/>
  <c r="AA63" i="175"/>
  <c r="AA64" i="175"/>
  <c r="AA65" i="174"/>
  <c r="AA115" i="175"/>
  <c r="AA116" i="174"/>
  <c r="AA79" i="175"/>
  <c r="AA80" i="175"/>
  <c r="AA81" i="174"/>
  <c r="Z81" i="174"/>
  <c r="Z65" i="174"/>
  <c r="Z87" i="174"/>
  <c r="Z83" i="174"/>
  <c r="Z78" i="174"/>
  <c r="AB52" i="74"/>
  <c r="AB90" i="74"/>
  <c r="AB90" i="124" s="1"/>
  <c r="AB80" i="74"/>
  <c r="AB80" i="124" s="1"/>
  <c r="Z90" i="174"/>
  <c r="AA89" i="175"/>
  <c r="L350" i="174"/>
  <c r="L352" i="174"/>
  <c r="S350" i="174"/>
  <c r="S352" i="174"/>
  <c r="P350" i="174"/>
  <c r="P352" i="174"/>
  <c r="M350" i="174"/>
  <c r="M352" i="174"/>
  <c r="R350" i="174"/>
  <c r="R352" i="174"/>
  <c r="K350" i="174"/>
  <c r="K352" i="174"/>
  <c r="N350" i="174"/>
  <c r="N352" i="174"/>
  <c r="Q350" i="174"/>
  <c r="Q352" i="174"/>
  <c r="O350" i="174"/>
  <c r="O352" i="174"/>
  <c r="AA154" i="174"/>
  <c r="Z38" i="74"/>
  <c r="Z38" i="175" s="1"/>
  <c r="Z30" i="175"/>
  <c r="AA50" i="175"/>
  <c r="AA51" i="174"/>
  <c r="M43" i="124"/>
  <c r="M43" i="174" s="1"/>
  <c r="M34" i="174"/>
  <c r="V6" i="174"/>
  <c r="U43" i="174"/>
  <c r="U34" i="174"/>
  <c r="T43" i="174"/>
  <c r="T34" i="174"/>
  <c r="K43" i="124"/>
  <c r="K43" i="174" s="1"/>
  <c r="K34" i="174"/>
  <c r="N43" i="124"/>
  <c r="N43" i="174" s="1"/>
  <c r="N34" i="174"/>
  <c r="S43" i="174"/>
  <c r="S34" i="174"/>
  <c r="O43" i="124"/>
  <c r="O43" i="174" s="1"/>
  <c r="O34" i="174"/>
  <c r="Q43" i="124"/>
  <c r="Q43" i="174" s="1"/>
  <c r="Q34" i="174"/>
  <c r="L43" i="124"/>
  <c r="L43" i="174" s="1"/>
  <c r="L34" i="174"/>
  <c r="AK53" i="174"/>
  <c r="AO53" i="174" s="1"/>
  <c r="J43" i="124"/>
  <c r="J43" i="174" s="1"/>
  <c r="J34" i="174"/>
  <c r="AB115" i="124"/>
  <c r="AB52" i="175"/>
  <c r="AB64" i="124"/>
  <c r="AB56" i="74"/>
  <c r="AB56" i="175" s="1"/>
  <c r="AB158" i="74"/>
  <c r="AB158" i="124" s="1"/>
  <c r="AB156" i="124"/>
  <c r="AB155" i="74"/>
  <c r="AB155" i="124" s="1"/>
  <c r="AB154" i="74"/>
  <c r="AB154" i="124" s="1"/>
  <c r="AB148" i="74"/>
  <c r="AB145" i="74"/>
  <c r="AB145" i="124" s="1"/>
  <c r="AB144" i="74"/>
  <c r="AB142" i="74"/>
  <c r="AB142" i="124" s="1"/>
  <c r="AB141" i="74"/>
  <c r="AB141" i="124" s="1"/>
  <c r="AB140" i="74"/>
  <c r="AB137" i="74"/>
  <c r="AB137" i="124" s="1"/>
  <c r="AB135" i="74"/>
  <c r="AB135" i="124" s="1"/>
  <c r="AB131" i="74"/>
  <c r="AB131" i="124" s="1"/>
  <c r="AB129" i="74"/>
  <c r="AB129" i="124" s="1"/>
  <c r="AB128" i="74"/>
  <c r="AB128" i="124" s="1"/>
  <c r="AB127" i="74"/>
  <c r="AB127" i="124" s="1"/>
  <c r="AB126" i="74"/>
  <c r="AB126" i="124" s="1"/>
  <c r="AB125" i="74"/>
  <c r="AB123" i="74"/>
  <c r="AB123" i="124" s="1"/>
  <c r="AB121" i="74"/>
  <c r="AB121" i="124" s="1"/>
  <c r="AB119" i="74"/>
  <c r="AB119" i="124" s="1"/>
  <c r="AB118" i="74"/>
  <c r="AB91" i="74"/>
  <c r="AB89" i="74"/>
  <c r="AB89" i="124" s="1"/>
  <c r="AB88" i="74"/>
  <c r="AB86" i="74"/>
  <c r="AB86" i="124" s="1"/>
  <c r="AB82" i="124"/>
  <c r="AB79" i="74"/>
  <c r="AB77" i="124"/>
  <c r="AB76" i="74"/>
  <c r="AB72" i="124"/>
  <c r="AB70" i="124"/>
  <c r="AB67" i="124"/>
  <c r="AB58" i="74"/>
  <c r="AB58" i="175" s="1"/>
  <c r="AB57" i="74"/>
  <c r="AB57" i="175" s="1"/>
  <c r="AB55" i="74"/>
  <c r="AB54" i="74"/>
  <c r="AB54" i="175" s="1"/>
  <c r="AB51" i="175"/>
  <c r="AB102" i="175"/>
  <c r="AA55" i="174"/>
  <c r="W76" i="124"/>
  <c r="W76" i="174" s="1"/>
  <c r="W77" i="124"/>
  <c r="W77" i="174" s="1"/>
  <c r="W78" i="124"/>
  <c r="W78" i="174" s="1"/>
  <c r="W79" i="124"/>
  <c r="W79" i="174" s="1"/>
  <c r="W80" i="124"/>
  <c r="W80" i="174" s="1"/>
  <c r="W81" i="124"/>
  <c r="W81" i="174" s="1"/>
  <c r="W82" i="124"/>
  <c r="W82" i="174" s="1"/>
  <c r="W83" i="124"/>
  <c r="W83" i="174" s="1"/>
  <c r="W84" i="124"/>
  <c r="W84" i="174" s="1"/>
  <c r="W85" i="124"/>
  <c r="W85" i="174" s="1"/>
  <c r="W86" i="124"/>
  <c r="W86" i="174" s="1"/>
  <c r="Z38" i="124"/>
  <c r="Z38" i="174" s="1"/>
  <c r="AA113" i="174"/>
  <c r="AA112" i="174"/>
  <c r="AA111" i="174"/>
  <c r="AA118" i="174"/>
  <c r="AA119" i="174"/>
  <c r="AA123" i="174"/>
  <c r="AA125" i="174"/>
  <c r="AA126" i="174"/>
  <c r="AA129" i="174"/>
  <c r="AA131" i="174"/>
  <c r="AA137" i="174"/>
  <c r="AA140" i="174"/>
  <c r="AA141" i="174"/>
  <c r="AA142" i="174"/>
  <c r="AA144" i="174"/>
  <c r="AA145" i="174"/>
  <c r="AA148" i="174"/>
  <c r="AA128" i="174"/>
  <c r="AA135" i="174"/>
  <c r="AA121" i="174"/>
  <c r="AA127" i="174"/>
  <c r="AB89" i="174"/>
  <c r="AB86" i="174"/>
  <c r="AB82" i="174"/>
  <c r="AB80" i="174"/>
  <c r="AB77" i="174"/>
  <c r="AB72" i="174"/>
  <c r="AB70" i="174"/>
  <c r="AB67" i="174"/>
  <c r="AB64" i="174"/>
  <c r="AB58" i="124"/>
  <c r="AB58" i="174" s="1"/>
  <c r="AB57" i="124"/>
  <c r="AB57" i="174" s="1"/>
  <c r="AB56" i="124"/>
  <c r="AB56" i="174" s="1"/>
  <c r="AB54" i="124"/>
  <c r="AB54" i="174" s="1"/>
  <c r="AB52" i="124"/>
  <c r="AB52" i="174" s="1"/>
  <c r="AB51" i="124"/>
  <c r="AB110" i="175"/>
  <c r="AB111" i="175"/>
  <c r="AB112" i="175"/>
  <c r="AB93" i="175"/>
  <c r="AB94" i="175"/>
  <c r="AB95" i="175"/>
  <c r="AB96" i="175"/>
  <c r="AB97" i="175"/>
  <c r="AB98" i="175"/>
  <c r="AB99" i="175"/>
  <c r="AB100" i="175"/>
  <c r="AB105" i="175"/>
  <c r="AB106" i="175"/>
  <c r="AB107" i="175"/>
  <c r="AB10" i="74"/>
  <c r="AB10" i="175" s="1"/>
  <c r="Z30" i="124"/>
  <c r="Z30" i="174" s="1"/>
  <c r="AA30" i="74"/>
  <c r="AA10" i="124"/>
  <c r="AA10" i="174" s="1"/>
  <c r="AA92" i="74"/>
  <c r="AA109" i="74"/>
  <c r="AA50" i="74"/>
  <c r="AA151" i="74"/>
  <c r="Y12" i="124"/>
  <c r="Y12" i="174" s="1"/>
  <c r="W138" i="124"/>
  <c r="W138" i="174" s="1"/>
  <c r="W137" i="124"/>
  <c r="W137" i="174" s="1"/>
  <c r="W136" i="124"/>
  <c r="W136" i="174" s="1"/>
  <c r="W135" i="124"/>
  <c r="W135" i="174" s="1"/>
  <c r="W134" i="124"/>
  <c r="W134" i="174" s="1"/>
  <c r="W133" i="124"/>
  <c r="W133" i="174" s="1"/>
  <c r="W132" i="124"/>
  <c r="W132" i="174" s="1"/>
  <c r="W131" i="124"/>
  <c r="W131" i="174" s="1"/>
  <c r="W130" i="124"/>
  <c r="W130" i="174" s="1"/>
  <c r="W129" i="124"/>
  <c r="W129" i="174" s="1"/>
  <c r="W128" i="124"/>
  <c r="W128" i="174" s="1"/>
  <c r="W127" i="124"/>
  <c r="W127" i="174" s="1"/>
  <c r="W126" i="124"/>
  <c r="W126" i="174" s="1"/>
  <c r="W125" i="124"/>
  <c r="W125" i="174" s="1"/>
  <c r="W124" i="124"/>
  <c r="W124" i="174" s="1"/>
  <c r="W123" i="124"/>
  <c r="W123" i="174" s="1"/>
  <c r="W122" i="124"/>
  <c r="W122" i="174" s="1"/>
  <c r="W33" i="124"/>
  <c r="W33" i="174" s="1"/>
  <c r="W32" i="124"/>
  <c r="W32" i="174" s="1"/>
  <c r="W31" i="124"/>
  <c r="W31" i="174" s="1"/>
  <c r="W30" i="124"/>
  <c r="W30" i="174" s="1"/>
  <c r="W29" i="124"/>
  <c r="W29" i="174" s="1"/>
  <c r="W28" i="124"/>
  <c r="W28" i="174" s="1"/>
  <c r="W27" i="124"/>
  <c r="W27" i="174" s="1"/>
  <c r="W26" i="124"/>
  <c r="W26" i="174" s="1"/>
  <c r="W25" i="124"/>
  <c r="W25" i="174" s="1"/>
  <c r="W24" i="124"/>
  <c r="W24" i="174" s="1"/>
  <c r="W23" i="124"/>
  <c r="W23" i="174" s="1"/>
  <c r="W22" i="124"/>
  <c r="W22" i="174" s="1"/>
  <c r="W21" i="124"/>
  <c r="W21" i="174" s="1"/>
  <c r="W20" i="124"/>
  <c r="W20" i="174" s="1"/>
  <c r="R43" i="174"/>
  <c r="P43" i="124"/>
  <c r="P43" i="174" s="1"/>
  <c r="W158" i="124"/>
  <c r="W158" i="174" s="1"/>
  <c r="K162" i="124"/>
  <c r="K162" i="174" s="1"/>
  <c r="K163" i="124"/>
  <c r="K163" i="174" s="1"/>
  <c r="L162" i="124"/>
  <c r="L162" i="174" s="1"/>
  <c r="L163" i="124"/>
  <c r="L163" i="174" s="1"/>
  <c r="N162" i="124"/>
  <c r="N162" i="174" s="1"/>
  <c r="N163" i="124"/>
  <c r="N163" i="174" s="1"/>
  <c r="O162" i="124"/>
  <c r="O162" i="174" s="1"/>
  <c r="O163" i="124"/>
  <c r="O163" i="174" s="1"/>
  <c r="M163" i="124"/>
  <c r="M163" i="174" s="1"/>
  <c r="M162" i="124"/>
  <c r="M162" i="174" s="1"/>
  <c r="P162" i="124"/>
  <c r="P162" i="174" s="1"/>
  <c r="P163" i="124"/>
  <c r="P163" i="174" s="1"/>
  <c r="S162" i="124"/>
  <c r="S162" i="174" s="1"/>
  <c r="S163" i="124"/>
  <c r="S163" i="174" s="1"/>
  <c r="R163" i="124"/>
  <c r="R163" i="174" s="1"/>
  <c r="R162" i="124"/>
  <c r="R162" i="174" s="1"/>
  <c r="Q162" i="124"/>
  <c r="Q162" i="174" s="1"/>
  <c r="Q163" i="124"/>
  <c r="Q163" i="174" s="1"/>
  <c r="AK11" i="124"/>
  <c r="AK11" i="174" s="1"/>
  <c r="W91" i="124"/>
  <c r="W91" i="174" s="1"/>
  <c r="AC1" i="74"/>
  <c r="AC160" i="74" s="1"/>
  <c r="W147" i="124"/>
  <c r="W147" i="174" s="1"/>
  <c r="W64" i="124"/>
  <c r="W64" i="174" s="1"/>
  <c r="W69" i="124"/>
  <c r="W69" i="174" s="1"/>
  <c r="W67" i="124"/>
  <c r="W67" i="174" s="1"/>
  <c r="W62" i="124"/>
  <c r="W62" i="174" s="1"/>
  <c r="W18" i="124"/>
  <c r="W18" i="174" s="1"/>
  <c r="W14" i="124"/>
  <c r="W14" i="174" s="1"/>
  <c r="W13" i="124"/>
  <c r="W13" i="174" s="1"/>
  <c r="W140" i="124"/>
  <c r="W140" i="174" s="1"/>
  <c r="W73" i="124"/>
  <c r="W73" i="174" s="1"/>
  <c r="W150" i="124"/>
  <c r="W150" i="174" s="1"/>
  <c r="W110" i="124"/>
  <c r="W110" i="174" s="1"/>
  <c r="W9" i="124"/>
  <c r="W9" i="174" s="1"/>
  <c r="W63" i="124"/>
  <c r="W63" i="174" s="1"/>
  <c r="Q164" i="124"/>
  <c r="Q164" i="174" s="1"/>
  <c r="W148" i="124"/>
  <c r="W148" i="174" s="1"/>
  <c r="W113" i="124"/>
  <c r="W113" i="174" s="1"/>
  <c r="W142" i="124"/>
  <c r="W142" i="174" s="1"/>
  <c r="W54" i="124"/>
  <c r="W54" i="174" s="1"/>
  <c r="W145" i="124"/>
  <c r="W145" i="174" s="1"/>
  <c r="W139" i="124"/>
  <c r="W139" i="174" s="1"/>
  <c r="W57" i="124"/>
  <c r="W57" i="174" s="1"/>
  <c r="W59" i="124"/>
  <c r="W59" i="174" s="1"/>
  <c r="W152" i="124"/>
  <c r="W152" i="174" s="1"/>
  <c r="W111" i="124"/>
  <c r="W111" i="174" s="1"/>
  <c r="W51" i="124"/>
  <c r="W51" i="174" s="1"/>
  <c r="W15" i="124"/>
  <c r="W15" i="174" s="1"/>
  <c r="W88" i="124"/>
  <c r="W88" i="174" s="1"/>
  <c r="W115" i="124"/>
  <c r="W115" i="174" s="1"/>
  <c r="W10" i="124"/>
  <c r="W10" i="174" s="1"/>
  <c r="W143" i="124"/>
  <c r="W143" i="174" s="1"/>
  <c r="W119" i="124"/>
  <c r="W119" i="174" s="1"/>
  <c r="W116" i="124"/>
  <c r="W116" i="174" s="1"/>
  <c r="W157" i="124"/>
  <c r="W157" i="174" s="1"/>
  <c r="W7" i="124"/>
  <c r="W7" i="174" s="1"/>
  <c r="W66" i="124"/>
  <c r="W66" i="174" s="1"/>
  <c r="W11" i="124"/>
  <c r="W11" i="174" s="1"/>
  <c r="O164" i="124"/>
  <c r="O164" i="174" s="1"/>
  <c r="L164" i="124"/>
  <c r="L164" i="174" s="1"/>
  <c r="W52" i="124"/>
  <c r="W52" i="174" s="1"/>
  <c r="S164" i="124"/>
  <c r="S164" i="174" s="1"/>
  <c r="W16" i="124"/>
  <c r="W16" i="174" s="1"/>
  <c r="W90" i="124"/>
  <c r="W90" i="174" s="1"/>
  <c r="W70" i="124"/>
  <c r="W70" i="174" s="1"/>
  <c r="W60" i="124"/>
  <c r="W60" i="174" s="1"/>
  <c r="M164" i="124"/>
  <c r="M164" i="174" s="1"/>
  <c r="W153" i="124"/>
  <c r="W153" i="174" s="1"/>
  <c r="W141" i="124"/>
  <c r="W141" i="174" s="1"/>
  <c r="R164" i="124"/>
  <c r="R164" i="174" s="1"/>
  <c r="W50" i="124"/>
  <c r="W50" i="174" s="1"/>
  <c r="W154" i="124"/>
  <c r="W154" i="174" s="1"/>
  <c r="W146" i="124"/>
  <c r="W146" i="174" s="1"/>
  <c r="P164" i="124"/>
  <c r="P164" i="174" s="1"/>
  <c r="W87" i="124"/>
  <c r="W87" i="174" s="1"/>
  <c r="W56" i="124"/>
  <c r="W56" i="174" s="1"/>
  <c r="W58" i="124"/>
  <c r="W58" i="174" s="1"/>
  <c r="N164" i="124"/>
  <c r="N164" i="174" s="1"/>
  <c r="W46" i="124"/>
  <c r="W46" i="174" s="1"/>
  <c r="W151" i="124"/>
  <c r="W151" i="174" s="1"/>
  <c r="W112" i="124"/>
  <c r="W112" i="174" s="1"/>
  <c r="W65" i="124"/>
  <c r="W65" i="174" s="1"/>
  <c r="W19" i="124"/>
  <c r="W19" i="174" s="1"/>
  <c r="W68" i="124"/>
  <c r="W68" i="174" s="1"/>
  <c r="W8" i="124"/>
  <c r="W8" i="174" s="1"/>
  <c r="W12" i="124"/>
  <c r="W12" i="174" s="1"/>
  <c r="W144" i="124"/>
  <c r="W144" i="174" s="1"/>
  <c r="W121" i="124"/>
  <c r="W121" i="174" s="1"/>
  <c r="W55" i="174"/>
  <c r="W72" i="124"/>
  <c r="W72" i="174" s="1"/>
  <c r="W44" i="124"/>
  <c r="W44" i="174" s="1"/>
  <c r="W118" i="124"/>
  <c r="W118" i="174" s="1"/>
  <c r="W74" i="124"/>
  <c r="W74" i="174" s="1"/>
  <c r="K164" i="124"/>
  <c r="K164" i="174" s="1"/>
  <c r="W117" i="124"/>
  <c r="W117" i="174" s="1"/>
  <c r="W53" i="124"/>
  <c r="W53" i="174" s="1"/>
  <c r="W89" i="124"/>
  <c r="W89" i="174" s="1"/>
  <c r="W45" i="124"/>
  <c r="W45" i="174" s="1"/>
  <c r="W6" i="124"/>
  <c r="W6" i="174" s="1"/>
  <c r="W71" i="124"/>
  <c r="W71" i="174" s="1"/>
  <c r="W155" i="124"/>
  <c r="W155" i="174" s="1"/>
  <c r="W17" i="124"/>
  <c r="W17" i="174" s="1"/>
  <c r="W156" i="124"/>
  <c r="W156" i="174" s="1"/>
  <c r="W75" i="124"/>
  <c r="W75" i="174" s="1"/>
  <c r="AC159" i="74" l="1"/>
  <c r="AC160" i="124"/>
  <c r="AB160" i="174"/>
  <c r="AB159" i="124"/>
  <c r="AB159" i="174" s="1"/>
  <c r="W159" i="174"/>
  <c r="W160" i="174"/>
  <c r="AC51" i="74"/>
  <c r="AC70" i="74"/>
  <c r="AC66" i="74"/>
  <c r="AC67" i="74"/>
  <c r="AC64" i="74"/>
  <c r="AB109" i="124"/>
  <c r="AB109" i="174" s="1"/>
  <c r="AB108" i="174"/>
  <c r="AB107" i="174"/>
  <c r="AB106" i="174"/>
  <c r="AB104" i="174"/>
  <c r="AB103" i="174"/>
  <c r="AB102" i="174"/>
  <c r="AB101" i="174"/>
  <c r="AB100" i="174"/>
  <c r="AB99" i="174"/>
  <c r="AB98" i="174"/>
  <c r="AB97" i="174"/>
  <c r="AB96" i="174"/>
  <c r="AB95" i="174"/>
  <c r="AB94" i="174"/>
  <c r="AB93" i="174"/>
  <c r="AB92" i="124"/>
  <c r="AB92" i="174" s="1"/>
  <c r="AB55" i="175"/>
  <c r="AB55" i="124"/>
  <c r="AC149" i="74"/>
  <c r="AC115" i="74"/>
  <c r="AC93" i="74"/>
  <c r="AC93" i="124" s="1"/>
  <c r="AC94" i="74"/>
  <c r="AC94" i="124" s="1"/>
  <c r="AC95" i="74"/>
  <c r="AC95" i="124" s="1"/>
  <c r="AC96" i="74"/>
  <c r="AC96" i="124" s="1"/>
  <c r="AC97" i="74"/>
  <c r="AC97" i="124" s="1"/>
  <c r="AC98" i="74"/>
  <c r="AC98" i="124" s="1"/>
  <c r="AC99" i="74"/>
  <c r="AC99" i="124" s="1"/>
  <c r="AC100" i="74"/>
  <c r="AC100" i="124" s="1"/>
  <c r="AC101" i="74"/>
  <c r="AC101" i="124" s="1"/>
  <c r="AC102" i="74"/>
  <c r="AC102" i="124" s="1"/>
  <c r="AC103" i="74"/>
  <c r="AC103" i="124" s="1"/>
  <c r="AC104" i="74"/>
  <c r="AC104" i="124" s="1"/>
  <c r="AC106" i="74"/>
  <c r="AC106" i="124" s="1"/>
  <c r="AC107" i="74"/>
  <c r="AC107" i="124" s="1"/>
  <c r="AC108" i="74"/>
  <c r="AC108" i="124" s="1"/>
  <c r="AC110" i="74"/>
  <c r="AC110" i="124" s="1"/>
  <c r="AC111" i="74"/>
  <c r="AC111" i="124" s="1"/>
  <c r="AC112" i="74"/>
  <c r="AC112" i="124" s="1"/>
  <c r="AC113" i="74"/>
  <c r="AC113" i="124" s="1"/>
  <c r="AB78" i="175"/>
  <c r="AB79" i="124"/>
  <c r="AB79" i="174" s="1"/>
  <c r="AB75" i="175"/>
  <c r="AB76" i="124"/>
  <c r="AB76" i="174" s="1"/>
  <c r="AB87" i="175"/>
  <c r="AB88" i="124"/>
  <c r="AB88" i="174" s="1"/>
  <c r="AB117" i="175"/>
  <c r="AB118" i="124"/>
  <c r="AB124" i="175"/>
  <c r="AB125" i="124"/>
  <c r="AB139" i="175"/>
  <c r="AB140" i="124"/>
  <c r="AB143" i="175"/>
  <c r="AB144" i="124"/>
  <c r="AB147" i="175"/>
  <c r="AB148" i="124"/>
  <c r="AB65" i="175"/>
  <c r="AB66" i="124"/>
  <c r="AB66" i="174" s="1"/>
  <c r="AB90" i="175"/>
  <c r="AB91" i="124"/>
  <c r="AB91" i="174" s="1"/>
  <c r="AA151" i="175"/>
  <c r="AA153" i="174"/>
  <c r="AB158" i="174"/>
  <c r="AA109" i="175"/>
  <c r="AA108" i="175" s="1"/>
  <c r="AA110" i="174"/>
  <c r="AA92" i="175"/>
  <c r="AA91" i="175" s="1"/>
  <c r="AB103" i="175"/>
  <c r="AB104" i="175"/>
  <c r="AB101" i="175"/>
  <c r="AB66" i="175"/>
  <c r="AB67" i="175"/>
  <c r="AB68" i="174"/>
  <c r="AB69" i="175"/>
  <c r="AB70" i="175"/>
  <c r="AB71" i="174"/>
  <c r="AB71" i="175"/>
  <c r="AB72" i="175"/>
  <c r="AB73" i="174"/>
  <c r="AB76" i="175"/>
  <c r="AB77" i="175"/>
  <c r="AB81" i="175"/>
  <c r="AB82" i="175"/>
  <c r="AB85" i="175"/>
  <c r="AB86" i="175"/>
  <c r="AB88" i="175"/>
  <c r="AB118" i="175"/>
  <c r="AB119" i="175"/>
  <c r="AB120" i="174"/>
  <c r="AB120" i="175"/>
  <c r="AB121" i="175"/>
  <c r="AB122" i="174"/>
  <c r="AB122" i="175"/>
  <c r="AB123" i="175"/>
  <c r="AB124" i="174"/>
  <c r="AB125" i="175"/>
  <c r="AB126" i="175"/>
  <c r="AB127" i="175"/>
  <c r="AB128" i="175"/>
  <c r="AB129" i="175"/>
  <c r="AB130" i="174"/>
  <c r="AB130" i="175"/>
  <c r="AB131" i="175"/>
  <c r="AB132" i="174"/>
  <c r="AB134" i="175"/>
  <c r="AB135" i="175"/>
  <c r="AB136" i="174"/>
  <c r="AB136" i="175"/>
  <c r="AB137" i="175"/>
  <c r="AB138" i="174"/>
  <c r="AB140" i="175"/>
  <c r="AB141" i="175"/>
  <c r="AB142" i="175"/>
  <c r="AB143" i="174"/>
  <c r="AB144" i="175"/>
  <c r="AB145" i="175"/>
  <c r="AB146" i="174"/>
  <c r="AB155" i="174"/>
  <c r="AB156" i="174"/>
  <c r="AB157" i="174"/>
  <c r="AB63" i="175"/>
  <c r="AB64" i="175"/>
  <c r="AB115" i="175"/>
  <c r="AB116" i="174"/>
  <c r="AB79" i="175"/>
  <c r="AB80" i="175"/>
  <c r="AA73" i="174"/>
  <c r="AA71" i="174"/>
  <c r="W382" i="174"/>
  <c r="W358" i="174"/>
  <c r="W359" i="174"/>
  <c r="W360" i="174"/>
  <c r="W361" i="174"/>
  <c r="W362" i="174"/>
  <c r="W364" i="174"/>
  <c r="W365" i="174"/>
  <c r="W366" i="174"/>
  <c r="W367" i="174"/>
  <c r="W368" i="174"/>
  <c r="W369" i="174"/>
  <c r="W370" i="174"/>
  <c r="W371" i="174"/>
  <c r="W375" i="174"/>
  <c r="W376" i="174"/>
  <c r="W377" i="174"/>
  <c r="W378" i="174"/>
  <c r="W379" i="174"/>
  <c r="W363" i="174"/>
  <c r="W374" i="174"/>
  <c r="W373" i="174"/>
  <c r="W383" i="174"/>
  <c r="W384" i="174"/>
  <c r="W385" i="174"/>
  <c r="W386" i="174"/>
  <c r="W387" i="174"/>
  <c r="W388" i="174"/>
  <c r="AC52" i="74"/>
  <c r="AC90" i="74"/>
  <c r="AC90" i="124" s="1"/>
  <c r="Z46" i="74"/>
  <c r="AA46" i="74"/>
  <c r="AB46" i="74"/>
  <c r="AC46" i="74"/>
  <c r="AD46" i="74"/>
  <c r="AE46" i="74"/>
  <c r="AF46" i="74"/>
  <c r="AG46" i="74"/>
  <c r="AH46" i="74"/>
  <c r="AI46" i="74"/>
  <c r="AJ46" i="74"/>
  <c r="Y46" i="74"/>
  <c r="AC80" i="74"/>
  <c r="AC80" i="124" s="1"/>
  <c r="AA90" i="174"/>
  <c r="AB89" i="175"/>
  <c r="O353" i="174"/>
  <c r="O354" i="174"/>
  <c r="Q353" i="174"/>
  <c r="Q354" i="174"/>
  <c r="N353" i="174"/>
  <c r="N354" i="174"/>
  <c r="K353" i="174"/>
  <c r="K354" i="174"/>
  <c r="R353" i="174"/>
  <c r="R354" i="174"/>
  <c r="M353" i="174"/>
  <c r="M354" i="174"/>
  <c r="P353" i="174"/>
  <c r="P354" i="174"/>
  <c r="S353" i="174"/>
  <c r="S354" i="174"/>
  <c r="L353" i="174"/>
  <c r="L354" i="174"/>
  <c r="W261" i="174"/>
  <c r="W262" i="174"/>
  <c r="W263" i="174"/>
  <c r="W264" i="174"/>
  <c r="W265" i="174"/>
  <c r="W266" i="174"/>
  <c r="W267" i="174"/>
  <c r="W268" i="174"/>
  <c r="W269" i="174"/>
  <c r="W270" i="174"/>
  <c r="W271" i="174"/>
  <c r="W272" i="174"/>
  <c r="W273" i="174"/>
  <c r="W274" i="174"/>
  <c r="W275" i="174"/>
  <c r="W276" i="174"/>
  <c r="W277" i="174"/>
  <c r="W278" i="174"/>
  <c r="W279" i="174"/>
  <c r="W280" i="174"/>
  <c r="W281" i="174"/>
  <c r="W282" i="174"/>
  <c r="W283" i="174"/>
  <c r="W284" i="174"/>
  <c r="W285" i="174"/>
  <c r="W286" i="174"/>
  <c r="W287" i="174"/>
  <c r="W288" i="174"/>
  <c r="W289" i="174"/>
  <c r="W290" i="174"/>
  <c r="W291" i="174"/>
  <c r="W292" i="174"/>
  <c r="W293" i="174"/>
  <c r="W294" i="174"/>
  <c r="W295" i="174"/>
  <c r="W296" i="174"/>
  <c r="W297" i="174"/>
  <c r="W298" i="174"/>
  <c r="W299" i="174"/>
  <c r="W300" i="174"/>
  <c r="W301" i="174"/>
  <c r="W302" i="174"/>
  <c r="W303" i="174"/>
  <c r="W304" i="174"/>
  <c r="W305" i="174"/>
  <c r="W306" i="174"/>
  <c r="W307" i="174"/>
  <c r="W308" i="174"/>
  <c r="W309" i="174"/>
  <c r="W310" i="174"/>
  <c r="W311" i="174"/>
  <c r="W312" i="174"/>
  <c r="W313" i="174"/>
  <c r="W314" i="174"/>
  <c r="W315" i="174"/>
  <c r="W316" i="174"/>
  <c r="W317" i="174"/>
  <c r="W318" i="174"/>
  <c r="W319" i="174"/>
  <c r="W320" i="174"/>
  <c r="W321" i="174"/>
  <c r="W322" i="174"/>
  <c r="W323" i="174"/>
  <c r="W324" i="174"/>
  <c r="W325" i="174"/>
  <c r="W326" i="174"/>
  <c r="W327" i="174"/>
  <c r="W328" i="174"/>
  <c r="W329" i="174"/>
  <c r="W330" i="174"/>
  <c r="W331" i="174"/>
  <c r="W332" i="174"/>
  <c r="W333" i="174"/>
  <c r="W334" i="174"/>
  <c r="W335" i="174"/>
  <c r="W336" i="174"/>
  <c r="W337" i="174"/>
  <c r="W338" i="174"/>
  <c r="W339" i="174"/>
  <c r="W340" i="174"/>
  <c r="W341" i="174"/>
  <c r="W342" i="174"/>
  <c r="W343" i="174"/>
  <c r="W344" i="174"/>
  <c r="W345" i="174"/>
  <c r="W346" i="174"/>
  <c r="W347" i="174"/>
  <c r="W348" i="174"/>
  <c r="AB154" i="174"/>
  <c r="AA38" i="74"/>
  <c r="AA38" i="175" s="1"/>
  <c r="AA30" i="175"/>
  <c r="AB50" i="175"/>
  <c r="AB51" i="174"/>
  <c r="V43" i="124"/>
  <c r="V43" i="174" s="1"/>
  <c r="V34" i="174"/>
  <c r="W230" i="174"/>
  <c r="W169" i="174"/>
  <c r="W170" i="174"/>
  <c r="W171" i="174"/>
  <c r="W172" i="174"/>
  <c r="W173" i="174"/>
  <c r="W174" i="174"/>
  <c r="W175" i="174"/>
  <c r="W176" i="174"/>
  <c r="W177" i="174"/>
  <c r="W178" i="174"/>
  <c r="W179" i="174"/>
  <c r="W180" i="174"/>
  <c r="W181" i="174"/>
  <c r="W182" i="174"/>
  <c r="W183" i="174"/>
  <c r="W184" i="174"/>
  <c r="W185" i="174"/>
  <c r="W186" i="174"/>
  <c r="W187" i="174"/>
  <c r="W188" i="174"/>
  <c r="W189" i="174"/>
  <c r="W190" i="174"/>
  <c r="W191" i="174"/>
  <c r="W192" i="174"/>
  <c r="W193" i="174"/>
  <c r="W194" i="174"/>
  <c r="W195" i="174"/>
  <c r="W196" i="174"/>
  <c r="W197" i="174"/>
  <c r="W198" i="174"/>
  <c r="W199" i="174"/>
  <c r="W200" i="174"/>
  <c r="W201" i="174"/>
  <c r="W202" i="174"/>
  <c r="W203" i="174"/>
  <c r="W204" i="174"/>
  <c r="W205" i="174"/>
  <c r="W206" i="174"/>
  <c r="W207" i="174"/>
  <c r="W208" i="174"/>
  <c r="W209" i="174"/>
  <c r="W210" i="174"/>
  <c r="W211" i="174"/>
  <c r="W212" i="174"/>
  <c r="W213" i="174"/>
  <c r="W214" i="174"/>
  <c r="W215" i="174"/>
  <c r="W216" i="174"/>
  <c r="W217" i="174"/>
  <c r="W218" i="174"/>
  <c r="W219" i="174"/>
  <c r="W220" i="174"/>
  <c r="W221" i="174"/>
  <c r="W222" i="174"/>
  <c r="W223" i="174"/>
  <c r="W224" i="174"/>
  <c r="W225" i="174"/>
  <c r="W226" i="174"/>
  <c r="W227" i="174"/>
  <c r="W228" i="174"/>
  <c r="W229" i="174"/>
  <c r="W231" i="174"/>
  <c r="W232" i="174"/>
  <c r="W233" i="174"/>
  <c r="W234" i="174"/>
  <c r="W235" i="174"/>
  <c r="W236" i="174"/>
  <c r="W237" i="174"/>
  <c r="W238" i="174"/>
  <c r="W239" i="174"/>
  <c r="W240" i="174"/>
  <c r="W241" i="174"/>
  <c r="W242" i="174"/>
  <c r="W243" i="174"/>
  <c r="W244" i="174"/>
  <c r="W245" i="174"/>
  <c r="W246" i="174"/>
  <c r="W247" i="174"/>
  <c r="W248" i="174"/>
  <c r="W249" i="174"/>
  <c r="W250" i="174"/>
  <c r="W251" i="174"/>
  <c r="W252" i="174"/>
  <c r="W253" i="174"/>
  <c r="W254" i="174"/>
  <c r="W255" i="174"/>
  <c r="W256" i="174"/>
  <c r="AC115" i="124"/>
  <c r="AC52" i="175"/>
  <c r="AC64" i="124"/>
  <c r="AC56" i="74"/>
  <c r="AC56" i="175" s="1"/>
  <c r="AC158" i="74"/>
  <c r="AC158" i="124" s="1"/>
  <c r="AC156" i="124"/>
  <c r="AC155" i="74"/>
  <c r="AC155" i="124" s="1"/>
  <c r="AC154" i="74"/>
  <c r="AC154" i="124" s="1"/>
  <c r="AC148" i="74"/>
  <c r="AC145" i="74"/>
  <c r="AC145" i="124" s="1"/>
  <c r="AC144" i="74"/>
  <c r="AC142" i="74"/>
  <c r="AC142" i="124" s="1"/>
  <c r="AC141" i="74"/>
  <c r="AC141" i="124" s="1"/>
  <c r="AC140" i="74"/>
  <c r="AC137" i="74"/>
  <c r="AC137" i="124" s="1"/>
  <c r="AC135" i="74"/>
  <c r="AC135" i="124" s="1"/>
  <c r="AC131" i="74"/>
  <c r="AC131" i="124" s="1"/>
  <c r="AC129" i="74"/>
  <c r="AC129" i="124" s="1"/>
  <c r="AC128" i="74"/>
  <c r="AC128" i="124" s="1"/>
  <c r="AC127" i="74"/>
  <c r="AC127" i="124" s="1"/>
  <c r="AC126" i="74"/>
  <c r="AC126" i="124" s="1"/>
  <c r="AC125" i="74"/>
  <c r="AC123" i="74"/>
  <c r="AC123" i="124" s="1"/>
  <c r="AC121" i="74"/>
  <c r="AC121" i="124" s="1"/>
  <c r="AC119" i="74"/>
  <c r="AC119" i="124" s="1"/>
  <c r="AC118" i="74"/>
  <c r="AC91" i="74"/>
  <c r="AC89" i="74"/>
  <c r="AC89" i="124" s="1"/>
  <c r="AC88" i="74"/>
  <c r="AC86" i="74"/>
  <c r="AC86" i="124" s="1"/>
  <c r="AC82" i="124"/>
  <c r="AC79" i="74"/>
  <c r="AC77" i="124"/>
  <c r="AC76" i="74"/>
  <c r="AC72" i="124"/>
  <c r="AC70" i="124"/>
  <c r="AC67" i="124"/>
  <c r="AC58" i="74"/>
  <c r="AC58" i="175" s="1"/>
  <c r="AC57" i="74"/>
  <c r="AC57" i="175" s="1"/>
  <c r="AC55" i="74"/>
  <c r="AC54" i="74"/>
  <c r="AC54" i="175" s="1"/>
  <c r="AC51" i="175"/>
  <c r="AC102" i="175"/>
  <c r="AB55" i="174"/>
  <c r="AA38" i="124"/>
  <c r="AA38" i="174" s="1"/>
  <c r="AB113" i="174"/>
  <c r="AB112" i="174"/>
  <c r="AB111" i="174"/>
  <c r="AB118" i="174"/>
  <c r="AB119" i="174"/>
  <c r="AB123" i="174"/>
  <c r="AB125" i="174"/>
  <c r="AB126" i="174"/>
  <c r="AB129" i="174"/>
  <c r="AB131" i="174"/>
  <c r="AB137" i="174"/>
  <c r="AB140" i="174"/>
  <c r="AB141" i="174"/>
  <c r="AB142" i="174"/>
  <c r="AB144" i="174"/>
  <c r="AB145" i="174"/>
  <c r="AB148" i="174"/>
  <c r="AB128" i="174"/>
  <c r="AB135" i="174"/>
  <c r="AB121" i="174"/>
  <c r="AB127" i="174"/>
  <c r="AC89" i="174"/>
  <c r="AC86" i="174"/>
  <c r="AC82" i="174"/>
  <c r="AC80" i="174"/>
  <c r="AC77" i="174"/>
  <c r="AC72" i="174"/>
  <c r="AC70" i="174"/>
  <c r="AC67" i="174"/>
  <c r="AC64" i="174"/>
  <c r="AC58" i="124"/>
  <c r="AC58" i="174" s="1"/>
  <c r="AC57" i="124"/>
  <c r="AC57" i="174" s="1"/>
  <c r="AC56" i="124"/>
  <c r="AC56" i="174" s="1"/>
  <c r="AC54" i="124"/>
  <c r="AC54" i="174" s="1"/>
  <c r="AC52" i="124"/>
  <c r="AC52" i="174" s="1"/>
  <c r="AC51" i="124"/>
  <c r="AC110" i="175"/>
  <c r="AC111" i="175"/>
  <c r="AC112" i="175"/>
  <c r="AC93" i="175"/>
  <c r="AC94" i="175"/>
  <c r="AC95" i="175"/>
  <c r="AC96" i="175"/>
  <c r="AC97" i="175"/>
  <c r="AC98" i="175"/>
  <c r="AC99" i="175"/>
  <c r="AC100" i="175"/>
  <c r="AC105" i="175"/>
  <c r="AC106" i="175"/>
  <c r="AC107" i="175"/>
  <c r="AC10" i="74"/>
  <c r="AC10" i="175" s="1"/>
  <c r="AA30" i="124"/>
  <c r="AA30" i="174" s="1"/>
  <c r="AB30" i="74"/>
  <c r="AB10" i="124"/>
  <c r="AB10" i="174" s="1"/>
  <c r="AB92" i="74"/>
  <c r="AB109" i="74"/>
  <c r="AB50" i="74"/>
  <c r="AB151" i="74"/>
  <c r="Y33" i="124"/>
  <c r="Y33" i="174" s="1"/>
  <c r="Z12" i="124"/>
  <c r="Z12" i="174" s="1"/>
  <c r="AM11" i="124"/>
  <c r="AM11" i="174" s="1"/>
  <c r="AD1" i="74"/>
  <c r="AD160" i="74" s="1"/>
  <c r="W34" i="124"/>
  <c r="W34" i="174" s="1"/>
  <c r="AD159" i="74" l="1"/>
  <c r="AD160" i="124"/>
  <c r="AC160" i="174"/>
  <c r="AC159" i="124"/>
  <c r="AC159" i="174" s="1"/>
  <c r="AD51" i="74"/>
  <c r="AD70" i="74"/>
  <c r="AD66" i="74"/>
  <c r="AD67" i="74"/>
  <c r="AD64" i="74"/>
  <c r="AC109" i="124"/>
  <c r="AC109" i="174" s="1"/>
  <c r="AC108" i="174"/>
  <c r="AC107" i="174"/>
  <c r="AC106" i="174"/>
  <c r="AC104" i="174"/>
  <c r="AC103" i="174"/>
  <c r="AC102" i="174"/>
  <c r="AC101" i="174"/>
  <c r="AC100" i="174"/>
  <c r="AC99" i="174"/>
  <c r="AC98" i="174"/>
  <c r="AC97" i="174"/>
  <c r="AC96" i="174"/>
  <c r="AC95" i="174"/>
  <c r="AC94" i="174"/>
  <c r="AC93" i="174"/>
  <c r="AC92" i="124"/>
  <c r="AC92" i="174" s="1"/>
  <c r="AC55" i="175"/>
  <c r="AC55" i="124"/>
  <c r="AD149" i="74"/>
  <c r="AD115" i="74"/>
  <c r="AD93" i="74"/>
  <c r="AD93" i="124" s="1"/>
  <c r="AD94" i="74"/>
  <c r="AD94" i="124" s="1"/>
  <c r="AD95" i="74"/>
  <c r="AD95" i="124" s="1"/>
  <c r="AD96" i="74"/>
  <c r="AD96" i="124" s="1"/>
  <c r="AD97" i="74"/>
  <c r="AD97" i="124" s="1"/>
  <c r="AD98" i="74"/>
  <c r="AD98" i="124" s="1"/>
  <c r="AD99" i="74"/>
  <c r="AD99" i="124" s="1"/>
  <c r="AD100" i="74"/>
  <c r="AD100" i="124" s="1"/>
  <c r="AD101" i="74"/>
  <c r="AD101" i="124" s="1"/>
  <c r="AD102" i="74"/>
  <c r="AD102" i="124" s="1"/>
  <c r="AD103" i="74"/>
  <c r="AD103" i="124" s="1"/>
  <c r="AD104" i="74"/>
  <c r="AD104" i="124" s="1"/>
  <c r="AD106" i="74"/>
  <c r="AD106" i="124" s="1"/>
  <c r="AD107" i="74"/>
  <c r="AD107" i="124" s="1"/>
  <c r="AD108" i="74"/>
  <c r="AD108" i="124" s="1"/>
  <c r="AD110" i="74"/>
  <c r="AD110" i="124" s="1"/>
  <c r="AD111" i="74"/>
  <c r="AD111" i="124" s="1"/>
  <c r="AD112" i="74"/>
  <c r="AD112" i="124" s="1"/>
  <c r="AD113" i="74"/>
  <c r="AD113" i="124" s="1"/>
  <c r="AC78" i="175"/>
  <c r="AC79" i="124"/>
  <c r="AC79" i="174" s="1"/>
  <c r="AC75" i="175"/>
  <c r="AC76" i="124"/>
  <c r="AC76" i="174" s="1"/>
  <c r="AC87" i="175"/>
  <c r="AC88" i="124"/>
  <c r="AC88" i="174" s="1"/>
  <c r="AC117" i="175"/>
  <c r="AC118" i="124"/>
  <c r="AC124" i="175"/>
  <c r="AC125" i="124"/>
  <c r="AC139" i="175"/>
  <c r="AC140" i="124"/>
  <c r="AC143" i="175"/>
  <c r="AC144" i="124"/>
  <c r="AC147" i="175"/>
  <c r="AC148" i="124"/>
  <c r="AC65" i="175"/>
  <c r="AC66" i="124"/>
  <c r="AC66" i="174" s="1"/>
  <c r="AC90" i="175"/>
  <c r="AC91" i="124"/>
  <c r="AC91" i="174" s="1"/>
  <c r="AB151" i="175"/>
  <c r="AB153" i="174"/>
  <c r="AC158" i="174"/>
  <c r="AB109" i="175"/>
  <c r="AB108" i="175" s="1"/>
  <c r="AB110" i="174"/>
  <c r="AB92" i="175"/>
  <c r="AB91" i="175" s="1"/>
  <c r="AC103" i="175"/>
  <c r="AC104" i="175"/>
  <c r="AC101" i="175"/>
  <c r="AC66" i="175"/>
  <c r="AC67" i="175"/>
  <c r="AC68" i="174"/>
  <c r="AC69" i="175"/>
  <c r="AC70" i="175"/>
  <c r="AC71" i="175"/>
  <c r="AC72" i="175"/>
  <c r="AC76" i="175"/>
  <c r="AC77" i="175"/>
  <c r="AC78" i="174"/>
  <c r="AC81" i="175"/>
  <c r="AC82" i="175"/>
  <c r="AC83" i="174"/>
  <c r="AC85" i="175"/>
  <c r="AC86" i="175"/>
  <c r="AC87" i="174"/>
  <c r="AC88" i="175"/>
  <c r="AC118" i="175"/>
  <c r="AC119" i="175"/>
  <c r="AC120" i="174"/>
  <c r="AC120" i="175"/>
  <c r="AC121" i="175"/>
  <c r="AC122" i="174"/>
  <c r="AC122" i="175"/>
  <c r="AC123" i="175"/>
  <c r="AC124" i="174"/>
  <c r="AC125" i="175"/>
  <c r="AC126" i="175"/>
  <c r="AC127" i="175"/>
  <c r="AC128" i="175"/>
  <c r="AC129" i="175"/>
  <c r="AC130" i="174"/>
  <c r="AC130" i="175"/>
  <c r="AC131" i="175"/>
  <c r="AC132" i="174"/>
  <c r="AC134" i="175"/>
  <c r="AC135" i="175"/>
  <c r="AC136" i="174"/>
  <c r="AC136" i="175"/>
  <c r="AC137" i="175"/>
  <c r="AC138" i="174"/>
  <c r="AC140" i="175"/>
  <c r="AC141" i="175"/>
  <c r="AC142" i="175"/>
  <c r="AC143" i="174"/>
  <c r="AC144" i="175"/>
  <c r="AC145" i="175"/>
  <c r="AC146" i="174"/>
  <c r="AC155" i="174"/>
  <c r="AC156" i="174"/>
  <c r="AC157" i="174"/>
  <c r="AC63" i="175"/>
  <c r="AC64" i="175"/>
  <c r="AC65" i="174"/>
  <c r="AC115" i="175"/>
  <c r="AC116" i="174"/>
  <c r="AC79" i="175"/>
  <c r="AC80" i="175"/>
  <c r="AC81" i="174"/>
  <c r="AB81" i="174"/>
  <c r="AB65" i="174"/>
  <c r="AB87" i="174"/>
  <c r="AB83" i="174"/>
  <c r="AB78" i="174"/>
  <c r="L355" i="174"/>
  <c r="L390" i="174"/>
  <c r="S355" i="174"/>
  <c r="S390" i="174"/>
  <c r="P355" i="174"/>
  <c r="P390" i="174"/>
  <c r="M355" i="174"/>
  <c r="M390" i="174"/>
  <c r="R355" i="174"/>
  <c r="R390" i="174"/>
  <c r="K355" i="174"/>
  <c r="K390" i="174"/>
  <c r="N355" i="174"/>
  <c r="N390" i="174"/>
  <c r="Q355" i="174"/>
  <c r="Q390" i="174"/>
  <c r="O355" i="174"/>
  <c r="O390" i="174"/>
  <c r="AD52" i="74"/>
  <c r="AD90" i="74"/>
  <c r="AD90" i="124" s="1"/>
  <c r="AD80" i="74"/>
  <c r="AD80" i="124" s="1"/>
  <c r="AB90" i="174"/>
  <c r="AC89" i="175"/>
  <c r="AC154" i="174"/>
  <c r="AB38" i="74"/>
  <c r="AB38" i="175" s="1"/>
  <c r="AB30" i="175"/>
  <c r="AC50" i="175"/>
  <c r="AC51" i="174"/>
  <c r="AD115" i="124"/>
  <c r="AD52" i="175"/>
  <c r="AD64" i="124"/>
  <c r="AD56" i="74"/>
  <c r="AD56" i="175" s="1"/>
  <c r="AD158" i="74"/>
  <c r="AD158" i="124" s="1"/>
  <c r="AD156" i="124"/>
  <c r="AD155" i="74"/>
  <c r="AD155" i="124" s="1"/>
  <c r="AD154" i="74"/>
  <c r="AD154" i="124" s="1"/>
  <c r="AD148" i="74"/>
  <c r="AD145" i="74"/>
  <c r="AD145" i="124" s="1"/>
  <c r="AD144" i="74"/>
  <c r="AD142" i="74"/>
  <c r="AD142" i="124" s="1"/>
  <c r="AD141" i="74"/>
  <c r="AD141" i="124" s="1"/>
  <c r="AD140" i="74"/>
  <c r="AD137" i="74"/>
  <c r="AD137" i="124" s="1"/>
  <c r="AD135" i="74"/>
  <c r="AD135" i="124" s="1"/>
  <c r="AD131" i="74"/>
  <c r="AD131" i="124" s="1"/>
  <c r="AD129" i="74"/>
  <c r="AD129" i="124" s="1"/>
  <c r="AD128" i="74"/>
  <c r="AD128" i="124" s="1"/>
  <c r="AD127" i="74"/>
  <c r="AD127" i="124" s="1"/>
  <c r="AD126" i="74"/>
  <c r="AD126" i="124" s="1"/>
  <c r="AD125" i="74"/>
  <c r="AD123" i="74"/>
  <c r="AD123" i="124" s="1"/>
  <c r="AD121" i="74"/>
  <c r="AD121" i="124" s="1"/>
  <c r="AD119" i="74"/>
  <c r="AD119" i="124" s="1"/>
  <c r="AD118" i="74"/>
  <c r="AD91" i="74"/>
  <c r="AD89" i="74"/>
  <c r="AD89" i="124" s="1"/>
  <c r="AD88" i="74"/>
  <c r="AD86" i="74"/>
  <c r="AD86" i="124" s="1"/>
  <c r="AD82" i="124"/>
  <c r="AD79" i="74"/>
  <c r="AD77" i="124"/>
  <c r="AD76" i="74"/>
  <c r="AD72" i="124"/>
  <c r="AD70" i="124"/>
  <c r="AD67" i="124"/>
  <c r="AD58" i="74"/>
  <c r="AD58" i="175" s="1"/>
  <c r="AD57" i="74"/>
  <c r="AD57" i="175" s="1"/>
  <c r="AD55" i="74"/>
  <c r="AD54" i="74"/>
  <c r="AD54" i="175" s="1"/>
  <c r="AD51" i="175"/>
  <c r="AD102" i="175"/>
  <c r="AC55" i="174"/>
  <c r="AB38" i="124"/>
  <c r="AB38" i="174" s="1"/>
  <c r="AC113" i="174"/>
  <c r="AC112" i="174"/>
  <c r="AC111" i="174"/>
  <c r="AC118" i="174"/>
  <c r="AC119" i="174"/>
  <c r="AC123" i="174"/>
  <c r="AC125" i="174"/>
  <c r="AC126" i="174"/>
  <c r="AC129" i="174"/>
  <c r="AC131" i="174"/>
  <c r="AC137" i="174"/>
  <c r="AC140" i="174"/>
  <c r="AC141" i="174"/>
  <c r="AC142" i="174"/>
  <c r="AC144" i="174"/>
  <c r="AC145" i="174"/>
  <c r="AC148" i="174"/>
  <c r="AC128" i="174"/>
  <c r="AC135" i="174"/>
  <c r="AC121" i="174"/>
  <c r="AC127" i="174"/>
  <c r="AD89" i="174"/>
  <c r="AD86" i="174"/>
  <c r="AD82" i="174"/>
  <c r="AD80" i="174"/>
  <c r="AD77" i="174"/>
  <c r="AD72" i="174"/>
  <c r="AD70" i="174"/>
  <c r="AD67" i="174"/>
  <c r="AD64" i="174"/>
  <c r="AD58" i="124"/>
  <c r="AD58" i="174" s="1"/>
  <c r="AD57" i="124"/>
  <c r="AD57" i="174" s="1"/>
  <c r="AD56" i="124"/>
  <c r="AD56" i="174" s="1"/>
  <c r="AD54" i="124"/>
  <c r="AD54" i="174" s="1"/>
  <c r="AD52" i="124"/>
  <c r="AD52" i="174" s="1"/>
  <c r="AD51" i="124"/>
  <c r="AD110" i="175"/>
  <c r="AD111" i="175"/>
  <c r="AD112" i="175"/>
  <c r="AD93" i="175"/>
  <c r="AD94" i="175"/>
  <c r="AD95" i="175"/>
  <c r="AD96" i="175"/>
  <c r="AD97" i="175"/>
  <c r="AD98" i="175"/>
  <c r="AD99" i="175"/>
  <c r="AD100" i="175"/>
  <c r="AD105" i="175"/>
  <c r="AD106" i="175"/>
  <c r="AD107" i="175"/>
  <c r="AD10" i="74"/>
  <c r="AD10" i="175" s="1"/>
  <c r="AB30" i="124"/>
  <c r="AB30" i="174" s="1"/>
  <c r="AC30" i="74"/>
  <c r="AC10" i="124"/>
  <c r="AC10" i="174" s="1"/>
  <c r="AC92" i="74"/>
  <c r="AC109" i="74"/>
  <c r="AC50" i="74"/>
  <c r="AC151" i="74"/>
  <c r="Z33" i="124"/>
  <c r="Z33" i="174" s="1"/>
  <c r="AA12" i="124"/>
  <c r="AA12" i="174" s="1"/>
  <c r="AE1" i="74"/>
  <c r="AE160" i="74" s="1"/>
  <c r="W43" i="124"/>
  <c r="W43" i="174" s="1"/>
  <c r="AE159" i="74" l="1"/>
  <c r="AE160" i="124"/>
  <c r="AD160" i="174"/>
  <c r="AD159" i="124"/>
  <c r="AD159" i="174" s="1"/>
  <c r="AE51" i="74"/>
  <c r="AE70" i="74"/>
  <c r="AE66" i="74"/>
  <c r="AE67" i="74"/>
  <c r="AE64" i="74"/>
  <c r="AD109" i="124"/>
  <c r="AD109" i="174" s="1"/>
  <c r="AD108" i="174"/>
  <c r="AD107" i="174"/>
  <c r="AD106" i="174"/>
  <c r="AD104" i="174"/>
  <c r="AD103" i="174"/>
  <c r="AD102" i="174"/>
  <c r="AD101" i="174"/>
  <c r="AD100" i="174"/>
  <c r="AD99" i="174"/>
  <c r="AD98" i="174"/>
  <c r="AD97" i="174"/>
  <c r="AD96" i="174"/>
  <c r="AD95" i="174"/>
  <c r="AD94" i="174"/>
  <c r="AD93" i="174"/>
  <c r="AD92" i="124"/>
  <c r="AD92" i="174" s="1"/>
  <c r="AD55" i="175"/>
  <c r="AD55" i="124"/>
  <c r="AE149" i="74"/>
  <c r="AE115" i="74"/>
  <c r="AE93" i="74"/>
  <c r="AE93" i="124" s="1"/>
  <c r="AE94" i="74"/>
  <c r="AE94" i="124" s="1"/>
  <c r="AE95" i="74"/>
  <c r="AE95" i="124" s="1"/>
  <c r="AE96" i="74"/>
  <c r="AE96" i="124" s="1"/>
  <c r="AE97" i="74"/>
  <c r="AE97" i="124" s="1"/>
  <c r="AE98" i="74"/>
  <c r="AE98" i="124" s="1"/>
  <c r="AE99" i="74"/>
  <c r="AE99" i="124" s="1"/>
  <c r="AE100" i="74"/>
  <c r="AE100" i="124" s="1"/>
  <c r="AE101" i="74"/>
  <c r="AE101" i="124" s="1"/>
  <c r="AE102" i="74"/>
  <c r="AE102" i="124" s="1"/>
  <c r="AE103" i="74"/>
  <c r="AE103" i="124" s="1"/>
  <c r="AE104" i="74"/>
  <c r="AE104" i="124" s="1"/>
  <c r="AE106" i="74"/>
  <c r="AE106" i="124" s="1"/>
  <c r="AE107" i="74"/>
  <c r="AE107" i="124" s="1"/>
  <c r="AE108" i="74"/>
  <c r="AE108" i="124" s="1"/>
  <c r="AE110" i="74"/>
  <c r="AE110" i="124" s="1"/>
  <c r="AE111" i="74"/>
  <c r="AE111" i="124" s="1"/>
  <c r="AE112" i="74"/>
  <c r="AE112" i="124" s="1"/>
  <c r="AE113" i="74"/>
  <c r="AE113" i="124" s="1"/>
  <c r="AD78" i="175"/>
  <c r="AD79" i="124"/>
  <c r="AD79" i="174" s="1"/>
  <c r="AD75" i="175"/>
  <c r="AD76" i="124"/>
  <c r="AD76" i="174" s="1"/>
  <c r="AD87" i="175"/>
  <c r="AD88" i="124"/>
  <c r="AD88" i="174" s="1"/>
  <c r="AD117" i="175"/>
  <c r="AD118" i="124"/>
  <c r="AD124" i="175"/>
  <c r="AD125" i="124"/>
  <c r="AD139" i="175"/>
  <c r="AD140" i="124"/>
  <c r="AD143" i="175"/>
  <c r="AD144" i="124"/>
  <c r="AD147" i="175"/>
  <c r="AD148" i="124"/>
  <c r="AD65" i="175"/>
  <c r="AD66" i="124"/>
  <c r="AD66" i="174" s="1"/>
  <c r="AD90" i="175"/>
  <c r="AD91" i="124"/>
  <c r="AD91" i="174" s="1"/>
  <c r="AC151" i="175"/>
  <c r="AC153" i="174"/>
  <c r="AD158" i="174"/>
  <c r="AC109" i="175"/>
  <c r="AC108" i="175" s="1"/>
  <c r="AC110" i="174"/>
  <c r="AC92" i="175"/>
  <c r="AC91" i="175" s="1"/>
  <c r="AD103" i="175"/>
  <c r="AD104" i="175"/>
  <c r="AD101" i="175"/>
  <c r="AD66" i="175"/>
  <c r="AD67" i="175"/>
  <c r="AD68" i="174"/>
  <c r="AD69" i="175"/>
  <c r="AD70" i="175"/>
  <c r="AD71" i="174"/>
  <c r="AD71" i="175"/>
  <c r="AD72" i="175"/>
  <c r="AD73" i="174"/>
  <c r="AD76" i="175"/>
  <c r="AD77" i="175"/>
  <c r="AD81" i="175"/>
  <c r="AD82" i="175"/>
  <c r="AD85" i="175"/>
  <c r="AD86" i="175"/>
  <c r="AD88" i="175"/>
  <c r="AD118" i="175"/>
  <c r="AD119" i="175"/>
  <c r="AD120" i="174"/>
  <c r="AD120" i="175"/>
  <c r="AD121" i="175"/>
  <c r="AD122" i="174"/>
  <c r="AD122" i="175"/>
  <c r="AD123" i="175"/>
  <c r="AD124" i="174"/>
  <c r="AD125" i="175"/>
  <c r="AD126" i="175"/>
  <c r="AD127" i="175"/>
  <c r="AD128" i="175"/>
  <c r="AD129" i="175"/>
  <c r="AD130" i="174"/>
  <c r="AD130" i="175"/>
  <c r="AD131" i="175"/>
  <c r="AD132" i="174"/>
  <c r="AD134" i="175"/>
  <c r="AD135" i="175"/>
  <c r="AD136" i="174"/>
  <c r="AD136" i="175"/>
  <c r="AD137" i="175"/>
  <c r="AD138" i="174"/>
  <c r="AD140" i="175"/>
  <c r="AD141" i="175"/>
  <c r="AD142" i="175"/>
  <c r="AD143" i="174"/>
  <c r="AD144" i="175"/>
  <c r="AD145" i="175"/>
  <c r="AD146" i="174"/>
  <c r="AD155" i="174"/>
  <c r="AD156" i="174"/>
  <c r="AD157" i="174"/>
  <c r="AD63" i="175"/>
  <c r="AD64" i="175"/>
  <c r="AD115" i="175"/>
  <c r="AD116" i="174"/>
  <c r="AD79" i="175"/>
  <c r="AD80" i="175"/>
  <c r="AC73" i="174"/>
  <c r="AC71" i="174"/>
  <c r="AE52" i="74"/>
  <c r="AE90" i="74"/>
  <c r="AE90" i="124" s="1"/>
  <c r="AE80" i="74"/>
  <c r="AE80" i="124" s="1"/>
  <c r="AC90" i="174"/>
  <c r="AD89" i="175"/>
  <c r="AD154" i="174"/>
  <c r="AC38" i="74"/>
  <c r="AC38" i="175" s="1"/>
  <c r="AC30" i="175"/>
  <c r="AD50" i="175"/>
  <c r="AD51" i="174"/>
  <c r="AE115" i="124"/>
  <c r="AE52" i="175"/>
  <c r="AE64" i="124"/>
  <c r="AE56" i="74"/>
  <c r="AE56" i="175" s="1"/>
  <c r="AE158" i="74"/>
  <c r="AE158" i="124" s="1"/>
  <c r="AE156" i="124"/>
  <c r="AE155" i="74"/>
  <c r="AE155" i="124" s="1"/>
  <c r="AE154" i="74"/>
  <c r="AE154" i="124" s="1"/>
  <c r="AE148" i="74"/>
  <c r="AE145" i="74"/>
  <c r="AE145" i="124" s="1"/>
  <c r="AE144" i="74"/>
  <c r="AE142" i="74"/>
  <c r="AE142" i="124" s="1"/>
  <c r="AE141" i="74"/>
  <c r="AE141" i="124" s="1"/>
  <c r="AE140" i="74"/>
  <c r="AE137" i="74"/>
  <c r="AE137" i="124" s="1"/>
  <c r="AE135" i="74"/>
  <c r="AE135" i="124" s="1"/>
  <c r="AE131" i="74"/>
  <c r="AE131" i="124" s="1"/>
  <c r="AE129" i="74"/>
  <c r="AE129" i="124" s="1"/>
  <c r="AE128" i="74"/>
  <c r="AE128" i="124" s="1"/>
  <c r="AE127" i="74"/>
  <c r="AE127" i="124" s="1"/>
  <c r="AE126" i="74"/>
  <c r="AE126" i="124" s="1"/>
  <c r="AE125" i="74"/>
  <c r="AE123" i="74"/>
  <c r="AE123" i="124" s="1"/>
  <c r="AE121" i="74"/>
  <c r="AE121" i="124" s="1"/>
  <c r="AE119" i="74"/>
  <c r="AE119" i="124" s="1"/>
  <c r="AE118" i="74"/>
  <c r="AE91" i="74"/>
  <c r="AE89" i="74"/>
  <c r="AE89" i="124" s="1"/>
  <c r="AE88" i="74"/>
  <c r="AE86" i="74"/>
  <c r="AE86" i="124" s="1"/>
  <c r="AE82" i="124"/>
  <c r="AE79" i="74"/>
  <c r="AE77" i="124"/>
  <c r="AE76" i="74"/>
  <c r="AE72" i="124"/>
  <c r="AE70" i="124"/>
  <c r="AE67" i="124"/>
  <c r="AE58" i="74"/>
  <c r="AE58" i="175" s="1"/>
  <c r="AE57" i="74"/>
  <c r="AE57" i="175" s="1"/>
  <c r="AE55" i="74"/>
  <c r="AE54" i="74"/>
  <c r="AE54" i="175" s="1"/>
  <c r="AE51" i="175"/>
  <c r="AE102" i="175"/>
  <c r="AD55" i="174"/>
  <c r="AC38" i="124"/>
  <c r="AC38" i="174" s="1"/>
  <c r="AD113" i="174"/>
  <c r="AD112" i="174"/>
  <c r="AD111" i="174"/>
  <c r="AD118" i="174"/>
  <c r="AD119" i="174"/>
  <c r="AD123" i="174"/>
  <c r="AD125" i="174"/>
  <c r="AD126" i="174"/>
  <c r="AD129" i="174"/>
  <c r="AD131" i="174"/>
  <c r="AD137" i="174"/>
  <c r="AD140" i="174"/>
  <c r="AD141" i="174"/>
  <c r="AD142" i="174"/>
  <c r="AD144" i="174"/>
  <c r="AD145" i="174"/>
  <c r="AD148" i="174"/>
  <c r="AD128" i="174"/>
  <c r="AD135" i="174"/>
  <c r="AD121" i="174"/>
  <c r="AD127" i="174"/>
  <c r="AE89" i="174"/>
  <c r="AE86" i="174"/>
  <c r="AE82" i="174"/>
  <c r="AE80" i="174"/>
  <c r="AE77" i="174"/>
  <c r="AE72" i="174"/>
  <c r="AE70" i="174"/>
  <c r="AE67" i="174"/>
  <c r="AE64" i="174"/>
  <c r="AE58" i="124"/>
  <c r="AE58" i="174" s="1"/>
  <c r="AE57" i="124"/>
  <c r="AE57" i="174" s="1"/>
  <c r="AE56" i="124"/>
  <c r="AE56" i="174" s="1"/>
  <c r="AE54" i="124"/>
  <c r="AE54" i="174" s="1"/>
  <c r="AE52" i="124"/>
  <c r="AE52" i="174" s="1"/>
  <c r="AE51" i="124"/>
  <c r="AE110" i="175"/>
  <c r="AE111" i="175"/>
  <c r="AE112" i="175"/>
  <c r="AE93" i="175"/>
  <c r="AE94" i="175"/>
  <c r="AE95" i="175"/>
  <c r="AE96" i="175"/>
  <c r="AE97" i="175"/>
  <c r="AE98" i="175"/>
  <c r="AE99" i="175"/>
  <c r="AE100" i="175"/>
  <c r="AE105" i="175"/>
  <c r="AE106" i="175"/>
  <c r="AE107" i="175"/>
  <c r="AE10" i="74"/>
  <c r="AE10" i="175" s="1"/>
  <c r="AC30" i="124"/>
  <c r="AC30" i="174" s="1"/>
  <c r="AD30" i="74"/>
  <c r="AD10" i="124"/>
  <c r="AD10" i="174" s="1"/>
  <c r="AD92" i="74"/>
  <c r="AD109" i="74"/>
  <c r="AD50" i="74"/>
  <c r="AD151" i="74"/>
  <c r="AA33" i="124"/>
  <c r="AA33" i="174" s="1"/>
  <c r="AB12" i="124"/>
  <c r="AB12" i="174" s="1"/>
  <c r="AF1" i="74"/>
  <c r="AF160" i="74" s="1"/>
  <c r="AF159" i="74" l="1"/>
  <c r="AF160" i="124"/>
  <c r="AE160" i="174"/>
  <c r="AE159" i="124"/>
  <c r="AE159" i="174" s="1"/>
  <c r="AF51" i="74"/>
  <c r="AF70" i="74"/>
  <c r="AF66" i="74"/>
  <c r="AF67" i="74"/>
  <c r="AF64" i="74"/>
  <c r="AE109" i="124"/>
  <c r="AE109" i="174" s="1"/>
  <c r="AE108" i="174"/>
  <c r="AE107" i="174"/>
  <c r="AE106" i="174"/>
  <c r="AE104" i="174"/>
  <c r="AE103" i="174"/>
  <c r="AE102" i="174"/>
  <c r="AE101" i="174"/>
  <c r="AE100" i="174"/>
  <c r="AE99" i="174"/>
  <c r="AE98" i="174"/>
  <c r="AE97" i="174"/>
  <c r="AE96" i="174"/>
  <c r="AE95" i="174"/>
  <c r="AE94" i="174"/>
  <c r="AE93" i="174"/>
  <c r="AE92" i="124"/>
  <c r="AE92" i="174" s="1"/>
  <c r="AE55" i="175"/>
  <c r="AE55" i="124"/>
  <c r="AF149" i="74"/>
  <c r="AF115" i="74"/>
  <c r="AF93" i="74"/>
  <c r="AF93" i="124" s="1"/>
  <c r="AF94" i="74"/>
  <c r="AF94" i="124" s="1"/>
  <c r="AF95" i="74"/>
  <c r="AF95" i="124" s="1"/>
  <c r="AF96" i="74"/>
  <c r="AF96" i="124" s="1"/>
  <c r="AF97" i="74"/>
  <c r="AF97" i="124" s="1"/>
  <c r="AF98" i="74"/>
  <c r="AF98" i="124" s="1"/>
  <c r="AF99" i="74"/>
  <c r="AF99" i="124" s="1"/>
  <c r="AF100" i="74"/>
  <c r="AF100" i="124" s="1"/>
  <c r="AF101" i="74"/>
  <c r="AF101" i="124" s="1"/>
  <c r="AF102" i="74"/>
  <c r="AF102" i="124" s="1"/>
  <c r="AF103" i="74"/>
  <c r="AF103" i="124" s="1"/>
  <c r="AF104" i="74"/>
  <c r="AF104" i="124" s="1"/>
  <c r="AF106" i="74"/>
  <c r="AF106" i="124" s="1"/>
  <c r="AF107" i="74"/>
  <c r="AF107" i="124" s="1"/>
  <c r="AF108" i="74"/>
  <c r="AF108" i="124" s="1"/>
  <c r="AF110" i="74"/>
  <c r="AF110" i="124" s="1"/>
  <c r="AF111" i="74"/>
  <c r="AF111" i="124" s="1"/>
  <c r="AF112" i="74"/>
  <c r="AF112" i="124" s="1"/>
  <c r="AF113" i="74"/>
  <c r="AF113" i="124" s="1"/>
  <c r="AE78" i="175"/>
  <c r="AE79" i="124"/>
  <c r="AE79" i="174" s="1"/>
  <c r="AE75" i="175"/>
  <c r="AE76" i="124"/>
  <c r="AE76" i="174" s="1"/>
  <c r="AE87" i="175"/>
  <c r="AE88" i="124"/>
  <c r="AE88" i="174" s="1"/>
  <c r="AE117" i="175"/>
  <c r="AE118" i="124"/>
  <c r="AE124" i="175"/>
  <c r="AE125" i="124"/>
  <c r="AE139" i="175"/>
  <c r="AE140" i="124"/>
  <c r="AE143" i="175"/>
  <c r="AE144" i="124"/>
  <c r="AE147" i="175"/>
  <c r="AE148" i="124"/>
  <c r="AE65" i="175"/>
  <c r="AE66" i="124"/>
  <c r="AE66" i="174" s="1"/>
  <c r="AE90" i="175"/>
  <c r="AE91" i="124"/>
  <c r="AE91" i="174" s="1"/>
  <c r="AD151" i="175"/>
  <c r="AD153" i="174"/>
  <c r="AE158" i="174"/>
  <c r="AD109" i="175"/>
  <c r="AD108" i="175" s="1"/>
  <c r="AD110" i="174"/>
  <c r="AD92" i="175"/>
  <c r="AD91" i="175" s="1"/>
  <c r="AE103" i="175"/>
  <c r="AE104" i="175"/>
  <c r="AE101" i="175"/>
  <c r="AE66" i="175"/>
  <c r="AE67" i="175"/>
  <c r="AE68" i="174"/>
  <c r="AE69" i="175"/>
  <c r="AE70" i="175"/>
  <c r="AE71" i="175"/>
  <c r="AE72" i="175"/>
  <c r="AE76" i="175"/>
  <c r="AE77" i="175"/>
  <c r="AE78" i="174"/>
  <c r="AE81" i="175"/>
  <c r="AE82" i="175"/>
  <c r="AE83" i="174"/>
  <c r="AE85" i="175"/>
  <c r="AE86" i="175"/>
  <c r="AE87" i="174"/>
  <c r="AE88" i="175"/>
  <c r="AE118" i="175"/>
  <c r="AE119" i="175"/>
  <c r="AE120" i="174"/>
  <c r="AE120" i="175"/>
  <c r="AE121" i="175"/>
  <c r="AE122" i="174"/>
  <c r="AE122" i="175"/>
  <c r="AE123" i="175"/>
  <c r="AE124" i="174"/>
  <c r="AE125" i="175"/>
  <c r="AE126" i="175"/>
  <c r="AE127" i="175"/>
  <c r="AE128" i="175"/>
  <c r="AE129" i="175"/>
  <c r="AE130" i="174"/>
  <c r="AE130" i="175"/>
  <c r="AE131" i="175"/>
  <c r="AE132" i="174"/>
  <c r="AE134" i="175"/>
  <c r="AE135" i="175"/>
  <c r="AE136" i="174"/>
  <c r="AE136" i="175"/>
  <c r="AE137" i="175"/>
  <c r="AE138" i="174"/>
  <c r="AE140" i="175"/>
  <c r="AE141" i="175"/>
  <c r="AE142" i="175"/>
  <c r="AE143" i="174"/>
  <c r="AE144" i="175"/>
  <c r="AE145" i="175"/>
  <c r="AE146" i="174"/>
  <c r="AE155" i="174"/>
  <c r="AE156" i="174"/>
  <c r="AE157" i="174"/>
  <c r="AE63" i="175"/>
  <c r="AE64" i="175"/>
  <c r="AE65" i="174"/>
  <c r="AE115" i="175"/>
  <c r="AE116" i="174"/>
  <c r="AE79" i="175"/>
  <c r="AE80" i="175"/>
  <c r="AE81" i="174"/>
  <c r="AD81" i="174"/>
  <c r="AD65" i="174"/>
  <c r="AD87" i="174"/>
  <c r="AD83" i="174"/>
  <c r="AD78" i="174"/>
  <c r="AF52" i="74"/>
  <c r="AF90" i="74"/>
  <c r="AF90" i="124" s="1"/>
  <c r="AF80" i="74"/>
  <c r="AF80" i="124" s="1"/>
  <c r="AD90" i="174"/>
  <c r="AE89" i="175"/>
  <c r="AE154" i="174"/>
  <c r="AD38" i="74"/>
  <c r="AD38" i="175" s="1"/>
  <c r="AD30" i="175"/>
  <c r="AE50" i="175"/>
  <c r="AE51" i="174"/>
  <c r="AF115" i="124"/>
  <c r="AF52" i="175"/>
  <c r="AF64" i="124"/>
  <c r="AF56" i="74"/>
  <c r="AF56" i="175" s="1"/>
  <c r="AF158" i="74"/>
  <c r="AF158" i="124" s="1"/>
  <c r="AF156" i="124"/>
  <c r="AF155" i="74"/>
  <c r="AF155" i="124" s="1"/>
  <c r="AF154" i="74"/>
  <c r="AF154" i="124" s="1"/>
  <c r="AF148" i="74"/>
  <c r="AF145" i="74"/>
  <c r="AF145" i="124" s="1"/>
  <c r="AF144" i="74"/>
  <c r="AF142" i="74"/>
  <c r="AF142" i="124" s="1"/>
  <c r="AF141" i="74"/>
  <c r="AF141" i="124" s="1"/>
  <c r="AF140" i="74"/>
  <c r="AF137" i="74"/>
  <c r="AF137" i="124" s="1"/>
  <c r="AF135" i="74"/>
  <c r="AF135" i="124" s="1"/>
  <c r="AF131" i="74"/>
  <c r="AF131" i="124" s="1"/>
  <c r="AF129" i="74"/>
  <c r="AF129" i="124" s="1"/>
  <c r="AF128" i="74"/>
  <c r="AF128" i="124" s="1"/>
  <c r="AF127" i="74"/>
  <c r="AF127" i="124" s="1"/>
  <c r="AF126" i="74"/>
  <c r="AF126" i="124" s="1"/>
  <c r="AF125" i="74"/>
  <c r="AF123" i="74"/>
  <c r="AF123" i="124" s="1"/>
  <c r="AF121" i="74"/>
  <c r="AF121" i="124" s="1"/>
  <c r="AF119" i="74"/>
  <c r="AF119" i="124" s="1"/>
  <c r="AF118" i="74"/>
  <c r="AF91" i="74"/>
  <c r="AF89" i="74"/>
  <c r="AF89" i="124" s="1"/>
  <c r="AF88" i="74"/>
  <c r="AF86" i="74"/>
  <c r="AF86" i="124" s="1"/>
  <c r="AF82" i="124"/>
  <c r="AF79" i="74"/>
  <c r="AF77" i="124"/>
  <c r="AF76" i="74"/>
  <c r="AF72" i="124"/>
  <c r="AF70" i="124"/>
  <c r="AF67" i="124"/>
  <c r="AF58" i="74"/>
  <c r="AF58" i="175" s="1"/>
  <c r="AF57" i="74"/>
  <c r="AF57" i="175" s="1"/>
  <c r="AF55" i="74"/>
  <c r="AF54" i="74"/>
  <c r="AF54" i="175" s="1"/>
  <c r="AF51" i="175"/>
  <c r="AF102" i="175"/>
  <c r="AE55" i="174"/>
  <c r="AD38" i="124"/>
  <c r="AD38" i="174" s="1"/>
  <c r="AE113" i="174"/>
  <c r="AE112" i="174"/>
  <c r="AE111" i="174"/>
  <c r="AE118" i="174"/>
  <c r="AE119" i="174"/>
  <c r="AE123" i="174"/>
  <c r="AE125" i="174"/>
  <c r="AE126" i="174"/>
  <c r="AE129" i="174"/>
  <c r="AE131" i="174"/>
  <c r="AE137" i="174"/>
  <c r="AE140" i="174"/>
  <c r="AE141" i="174"/>
  <c r="AE142" i="174"/>
  <c r="AE144" i="174"/>
  <c r="AE145" i="174"/>
  <c r="AE148" i="174"/>
  <c r="AE128" i="174"/>
  <c r="AE135" i="174"/>
  <c r="AE121" i="174"/>
  <c r="AE127" i="174"/>
  <c r="AF89" i="174"/>
  <c r="AF86" i="174"/>
  <c r="AF82" i="174"/>
  <c r="AF80" i="174"/>
  <c r="AF77" i="174"/>
  <c r="AF72" i="174"/>
  <c r="AF70" i="174"/>
  <c r="AF67" i="174"/>
  <c r="AF64" i="174"/>
  <c r="AF58" i="124"/>
  <c r="AF58" i="174" s="1"/>
  <c r="AF57" i="124"/>
  <c r="AF57" i="174" s="1"/>
  <c r="AF56" i="124"/>
  <c r="AF56" i="174" s="1"/>
  <c r="AF54" i="124"/>
  <c r="AF54" i="174" s="1"/>
  <c r="AF52" i="124"/>
  <c r="AF52" i="174" s="1"/>
  <c r="AF51" i="124"/>
  <c r="AF110" i="175"/>
  <c r="AF111" i="175"/>
  <c r="AF112" i="175"/>
  <c r="AF93" i="175"/>
  <c r="AF94" i="175"/>
  <c r="AF95" i="175"/>
  <c r="AF96" i="175"/>
  <c r="AF97" i="175"/>
  <c r="AF98" i="175"/>
  <c r="AF99" i="175"/>
  <c r="AF100" i="175"/>
  <c r="AF105" i="175"/>
  <c r="AF106" i="175"/>
  <c r="AF107" i="175"/>
  <c r="AF10" i="74"/>
  <c r="AF10" i="175" s="1"/>
  <c r="AD30" i="124"/>
  <c r="AD30" i="174" s="1"/>
  <c r="AE30" i="74"/>
  <c r="AE10" i="124"/>
  <c r="AE10" i="174" s="1"/>
  <c r="AE92" i="74"/>
  <c r="AE109" i="74"/>
  <c r="AE50" i="74"/>
  <c r="AE151" i="74"/>
  <c r="AB33" i="124"/>
  <c r="AB33" i="174" s="1"/>
  <c r="AC12" i="124"/>
  <c r="AC12" i="174" s="1"/>
  <c r="AG1" i="74"/>
  <c r="AG160" i="74" s="1"/>
  <c r="AG159" i="74" l="1"/>
  <c r="AG160" i="124"/>
  <c r="AF160" i="174"/>
  <c r="AF159" i="124"/>
  <c r="AF159" i="174" s="1"/>
  <c r="AG51" i="74"/>
  <c r="AG70" i="74"/>
  <c r="AG66" i="74"/>
  <c r="AG67" i="74"/>
  <c r="AG64" i="74"/>
  <c r="AF109" i="124"/>
  <c r="AF109" i="174" s="1"/>
  <c r="AF108" i="174"/>
  <c r="AF107" i="174"/>
  <c r="AF106" i="174"/>
  <c r="AF104" i="174"/>
  <c r="AF103" i="174"/>
  <c r="AF102" i="174"/>
  <c r="AF101" i="174"/>
  <c r="AF100" i="174"/>
  <c r="AF99" i="174"/>
  <c r="AF98" i="174"/>
  <c r="AF97" i="174"/>
  <c r="AF96" i="174"/>
  <c r="AF95" i="174"/>
  <c r="AF94" i="174"/>
  <c r="AF93" i="174"/>
  <c r="AF92" i="124"/>
  <c r="AF92" i="174" s="1"/>
  <c r="AF55" i="175"/>
  <c r="AF55" i="124"/>
  <c r="AG149" i="74"/>
  <c r="AG115" i="74"/>
  <c r="AG93" i="74"/>
  <c r="AG93" i="124" s="1"/>
  <c r="AG94" i="74"/>
  <c r="AG94" i="124" s="1"/>
  <c r="AG95" i="74"/>
  <c r="AG95" i="124" s="1"/>
  <c r="AG96" i="74"/>
  <c r="AG96" i="124" s="1"/>
  <c r="AG97" i="74"/>
  <c r="AG97" i="124" s="1"/>
  <c r="AG98" i="74"/>
  <c r="AG98" i="124" s="1"/>
  <c r="AG99" i="74"/>
  <c r="AG99" i="124" s="1"/>
  <c r="AG100" i="74"/>
  <c r="AG100" i="124" s="1"/>
  <c r="AG101" i="74"/>
  <c r="AG101" i="124" s="1"/>
  <c r="AG102" i="74"/>
  <c r="AG102" i="124" s="1"/>
  <c r="AG103" i="74"/>
  <c r="AG103" i="124" s="1"/>
  <c r="AG104" i="74"/>
  <c r="AG104" i="124" s="1"/>
  <c r="AG106" i="74"/>
  <c r="AG106" i="124" s="1"/>
  <c r="AG107" i="74"/>
  <c r="AG107" i="124" s="1"/>
  <c r="AG108" i="74"/>
  <c r="AG108" i="124" s="1"/>
  <c r="AG110" i="74"/>
  <c r="AG110" i="124" s="1"/>
  <c r="AG111" i="74"/>
  <c r="AG111" i="124" s="1"/>
  <c r="AG112" i="74"/>
  <c r="AG112" i="124" s="1"/>
  <c r="AG113" i="74"/>
  <c r="AG113" i="124" s="1"/>
  <c r="AF78" i="175"/>
  <c r="AF79" i="124"/>
  <c r="AF79" i="174" s="1"/>
  <c r="AF75" i="175"/>
  <c r="AF76" i="124"/>
  <c r="AF76" i="174" s="1"/>
  <c r="AF87" i="175"/>
  <c r="AF88" i="124"/>
  <c r="AF88" i="174" s="1"/>
  <c r="AF117" i="175"/>
  <c r="AF118" i="124"/>
  <c r="AF124" i="175"/>
  <c r="AF125" i="124"/>
  <c r="AF139" i="175"/>
  <c r="AF140" i="124"/>
  <c r="AF143" i="175"/>
  <c r="AF144" i="124"/>
  <c r="AF147" i="175"/>
  <c r="AF148" i="124"/>
  <c r="AF65" i="175"/>
  <c r="AF66" i="124"/>
  <c r="AF66" i="174" s="1"/>
  <c r="AF90" i="175"/>
  <c r="AF91" i="124"/>
  <c r="AF91" i="174" s="1"/>
  <c r="AE151" i="175"/>
  <c r="AE153" i="174"/>
  <c r="AF158" i="174"/>
  <c r="AE109" i="175"/>
  <c r="AE108" i="175" s="1"/>
  <c r="AE110" i="174"/>
  <c r="AE92" i="175"/>
  <c r="AE91" i="175" s="1"/>
  <c r="AF103" i="175"/>
  <c r="AF104" i="175"/>
  <c r="AF101" i="175"/>
  <c r="AF66" i="175"/>
  <c r="AF67" i="175"/>
  <c r="AF68" i="174"/>
  <c r="AF69" i="175"/>
  <c r="AF70" i="175"/>
  <c r="AF71" i="174"/>
  <c r="AF71" i="175"/>
  <c r="AF72" i="175"/>
  <c r="AF73" i="174"/>
  <c r="AF76" i="175"/>
  <c r="AF77" i="175"/>
  <c r="AF81" i="175"/>
  <c r="AF82" i="175"/>
  <c r="AF85" i="175"/>
  <c r="AF86" i="175"/>
  <c r="AF88" i="175"/>
  <c r="AF118" i="175"/>
  <c r="AF119" i="175"/>
  <c r="AF120" i="174"/>
  <c r="AF120" i="175"/>
  <c r="AF121" i="175"/>
  <c r="AF122" i="174"/>
  <c r="AF122" i="175"/>
  <c r="AF123" i="175"/>
  <c r="AF124" i="174"/>
  <c r="AF125" i="175"/>
  <c r="AF126" i="175"/>
  <c r="AF127" i="175"/>
  <c r="AF128" i="175"/>
  <c r="AF129" i="175"/>
  <c r="AF130" i="174"/>
  <c r="AF130" i="175"/>
  <c r="AF131" i="175"/>
  <c r="AF132" i="174"/>
  <c r="AF134" i="175"/>
  <c r="AF135" i="175"/>
  <c r="AF136" i="174"/>
  <c r="AF136" i="175"/>
  <c r="AF137" i="175"/>
  <c r="AF138" i="174"/>
  <c r="AF140" i="175"/>
  <c r="AF141" i="175"/>
  <c r="AF142" i="175"/>
  <c r="AF143" i="174"/>
  <c r="AF144" i="175"/>
  <c r="AF145" i="175"/>
  <c r="AF146" i="174"/>
  <c r="AF155" i="174"/>
  <c r="AF156" i="174"/>
  <c r="AF157" i="174"/>
  <c r="AF63" i="175"/>
  <c r="AF64" i="175"/>
  <c r="AF115" i="175"/>
  <c r="AF116" i="174"/>
  <c r="AF79" i="175"/>
  <c r="AF80" i="175"/>
  <c r="AE73" i="174"/>
  <c r="AE71" i="174"/>
  <c r="AG52" i="74"/>
  <c r="AG90" i="74"/>
  <c r="AG90" i="124" s="1"/>
  <c r="AG80" i="74"/>
  <c r="AG80" i="124" s="1"/>
  <c r="AE90" i="174"/>
  <c r="AF89" i="175"/>
  <c r="AF154" i="174"/>
  <c r="AE38" i="74"/>
  <c r="AE38" i="175" s="1"/>
  <c r="AE30" i="175"/>
  <c r="AF50" i="175"/>
  <c r="AF51" i="174"/>
  <c r="AG115" i="124"/>
  <c r="AG52" i="175"/>
  <c r="AG64" i="124"/>
  <c r="AG56" i="74"/>
  <c r="AG56" i="175" s="1"/>
  <c r="AG158" i="74"/>
  <c r="AG158" i="124" s="1"/>
  <c r="AG156" i="124"/>
  <c r="AG155" i="74"/>
  <c r="AG155" i="124" s="1"/>
  <c r="AG154" i="74"/>
  <c r="AG154" i="124" s="1"/>
  <c r="AG148" i="74"/>
  <c r="AG145" i="74"/>
  <c r="AG145" i="124" s="1"/>
  <c r="AG144" i="74"/>
  <c r="AG142" i="74"/>
  <c r="AG142" i="124" s="1"/>
  <c r="AG141" i="74"/>
  <c r="AG141" i="124" s="1"/>
  <c r="AG140" i="74"/>
  <c r="AG137" i="74"/>
  <c r="AG137" i="124" s="1"/>
  <c r="AG135" i="74"/>
  <c r="AG135" i="124" s="1"/>
  <c r="AG131" i="74"/>
  <c r="AG131" i="124" s="1"/>
  <c r="AG129" i="74"/>
  <c r="AG129" i="124" s="1"/>
  <c r="AG128" i="74"/>
  <c r="AG128" i="124" s="1"/>
  <c r="AG127" i="74"/>
  <c r="AG127" i="124" s="1"/>
  <c r="AG126" i="74"/>
  <c r="AG126" i="124" s="1"/>
  <c r="AG125" i="74"/>
  <c r="AG123" i="74"/>
  <c r="AG123" i="124" s="1"/>
  <c r="AG121" i="74"/>
  <c r="AG121" i="124" s="1"/>
  <c r="AG119" i="74"/>
  <c r="AG119" i="124" s="1"/>
  <c r="AG118" i="74"/>
  <c r="AG91" i="74"/>
  <c r="AG89" i="74"/>
  <c r="AG89" i="124" s="1"/>
  <c r="AG88" i="74"/>
  <c r="AG86" i="74"/>
  <c r="AG86" i="124" s="1"/>
  <c r="AG82" i="124"/>
  <c r="AG79" i="74"/>
  <c r="AG77" i="124"/>
  <c r="AG76" i="74"/>
  <c r="AG72" i="124"/>
  <c r="AG70" i="124"/>
  <c r="AG67" i="124"/>
  <c r="AG58" i="74"/>
  <c r="AG58" i="175" s="1"/>
  <c r="AG57" i="74"/>
  <c r="AG57" i="175" s="1"/>
  <c r="AG55" i="74"/>
  <c r="AG54" i="74"/>
  <c r="AG54" i="175" s="1"/>
  <c r="AG51" i="175"/>
  <c r="AG102" i="175"/>
  <c r="AF55" i="174"/>
  <c r="AE38" i="124"/>
  <c r="AE38" i="174" s="1"/>
  <c r="AF113" i="174"/>
  <c r="AF112" i="174"/>
  <c r="AF111" i="174"/>
  <c r="AF118" i="174"/>
  <c r="AF119" i="174"/>
  <c r="AF123" i="174"/>
  <c r="AF125" i="174"/>
  <c r="AF126" i="174"/>
  <c r="AF129" i="174"/>
  <c r="AF131" i="174"/>
  <c r="AF137" i="174"/>
  <c r="AF140" i="174"/>
  <c r="AF141" i="174"/>
  <c r="AF142" i="174"/>
  <c r="AF144" i="174"/>
  <c r="AF145" i="174"/>
  <c r="AF148" i="174"/>
  <c r="AF128" i="174"/>
  <c r="AF135" i="174"/>
  <c r="AF121" i="174"/>
  <c r="AF127" i="174"/>
  <c r="AG89" i="174"/>
  <c r="AG86" i="174"/>
  <c r="AG82" i="174"/>
  <c r="AG80" i="174"/>
  <c r="AG77" i="174"/>
  <c r="AG72" i="174"/>
  <c r="AG70" i="174"/>
  <c r="AG67" i="174"/>
  <c r="AG64" i="174"/>
  <c r="AG58" i="124"/>
  <c r="AG58" i="174" s="1"/>
  <c r="AG57" i="124"/>
  <c r="AG57" i="174" s="1"/>
  <c r="AG56" i="124"/>
  <c r="AG56" i="174" s="1"/>
  <c r="AG54" i="124"/>
  <c r="AG54" i="174" s="1"/>
  <c r="AG52" i="124"/>
  <c r="AG52" i="174" s="1"/>
  <c r="AG51" i="124"/>
  <c r="AG110" i="175"/>
  <c r="AG111" i="175"/>
  <c r="AG112" i="175"/>
  <c r="AG93" i="175"/>
  <c r="AG94" i="175"/>
  <c r="AG95" i="175"/>
  <c r="AG96" i="175"/>
  <c r="AG97" i="175"/>
  <c r="AG98" i="175"/>
  <c r="AG99" i="175"/>
  <c r="AG100" i="175"/>
  <c r="AG105" i="175"/>
  <c r="AG106" i="175"/>
  <c r="AG107" i="175"/>
  <c r="AG10" i="74"/>
  <c r="AG10" i="175" s="1"/>
  <c r="AE30" i="124"/>
  <c r="AE30" i="174" s="1"/>
  <c r="AF30" i="74"/>
  <c r="AF10" i="124"/>
  <c r="AF10" i="174" s="1"/>
  <c r="AF92" i="74"/>
  <c r="AF109" i="74"/>
  <c r="AF50" i="74"/>
  <c r="AF151" i="74"/>
  <c r="AC33" i="124"/>
  <c r="AC33" i="174" s="1"/>
  <c r="AD12" i="124"/>
  <c r="AD12" i="174" s="1"/>
  <c r="AH1" i="74"/>
  <c r="AH160" i="74" s="1"/>
  <c r="AH159" i="74" l="1"/>
  <c r="AH160" i="124"/>
  <c r="AG160" i="174"/>
  <c r="AG159" i="124"/>
  <c r="AG159" i="174" s="1"/>
  <c r="AH51" i="74"/>
  <c r="AH70" i="74"/>
  <c r="AH66" i="74"/>
  <c r="AH67" i="74"/>
  <c r="AH64" i="74"/>
  <c r="AG109" i="124"/>
  <c r="AG109" i="174" s="1"/>
  <c r="AG108" i="174"/>
  <c r="AG107" i="174"/>
  <c r="AG106" i="174"/>
  <c r="AG104" i="174"/>
  <c r="AG103" i="174"/>
  <c r="AG102" i="174"/>
  <c r="AG101" i="174"/>
  <c r="AG100" i="174"/>
  <c r="AG99" i="174"/>
  <c r="AG98" i="174"/>
  <c r="AG97" i="174"/>
  <c r="AG96" i="174"/>
  <c r="AG95" i="174"/>
  <c r="AG94" i="174"/>
  <c r="AG93" i="174"/>
  <c r="AG92" i="124"/>
  <c r="AG92" i="174" s="1"/>
  <c r="AG55" i="175"/>
  <c r="AG55" i="124"/>
  <c r="AH149" i="74"/>
  <c r="AH115" i="74"/>
  <c r="AH93" i="74"/>
  <c r="AH93" i="124" s="1"/>
  <c r="AH94" i="74"/>
  <c r="AH94" i="124" s="1"/>
  <c r="AH95" i="74"/>
  <c r="AH95" i="124" s="1"/>
  <c r="AH96" i="74"/>
  <c r="AH96" i="124" s="1"/>
  <c r="AH97" i="74"/>
  <c r="AH97" i="124" s="1"/>
  <c r="AH98" i="74"/>
  <c r="AH98" i="124" s="1"/>
  <c r="AH99" i="74"/>
  <c r="AH99" i="124" s="1"/>
  <c r="AH100" i="74"/>
  <c r="AH100" i="124" s="1"/>
  <c r="AH101" i="74"/>
  <c r="AH101" i="124" s="1"/>
  <c r="AH102" i="74"/>
  <c r="AH102" i="124" s="1"/>
  <c r="AH103" i="74"/>
  <c r="AH103" i="124" s="1"/>
  <c r="AH104" i="74"/>
  <c r="AH104" i="124" s="1"/>
  <c r="AH106" i="74"/>
  <c r="AH106" i="124" s="1"/>
  <c r="AH107" i="74"/>
  <c r="AH107" i="124" s="1"/>
  <c r="AH108" i="74"/>
  <c r="AH108" i="124" s="1"/>
  <c r="AH110" i="74"/>
  <c r="AH110" i="124" s="1"/>
  <c r="AH111" i="74"/>
  <c r="AH111" i="124" s="1"/>
  <c r="AH112" i="74"/>
  <c r="AH112" i="124" s="1"/>
  <c r="AH113" i="74"/>
  <c r="AH113" i="124" s="1"/>
  <c r="AG78" i="175"/>
  <c r="AG79" i="124"/>
  <c r="AG79" i="174" s="1"/>
  <c r="AG75" i="175"/>
  <c r="AG76" i="124"/>
  <c r="AG76" i="174" s="1"/>
  <c r="AG87" i="175"/>
  <c r="AG88" i="124"/>
  <c r="AG88" i="174" s="1"/>
  <c r="AG117" i="175"/>
  <c r="AG118" i="124"/>
  <c r="AG124" i="175"/>
  <c r="AG125" i="124"/>
  <c r="AG139" i="175"/>
  <c r="AG140" i="124"/>
  <c r="AG143" i="175"/>
  <c r="AG144" i="124"/>
  <c r="AG147" i="175"/>
  <c r="AG148" i="124"/>
  <c r="AG65" i="175"/>
  <c r="AG66" i="124"/>
  <c r="AG66" i="174" s="1"/>
  <c r="AG90" i="175"/>
  <c r="AG91" i="124"/>
  <c r="AG91" i="174" s="1"/>
  <c r="AF151" i="175"/>
  <c r="AF153" i="174"/>
  <c r="AG158" i="174"/>
  <c r="AF109" i="175"/>
  <c r="AF108" i="175" s="1"/>
  <c r="AF110" i="174"/>
  <c r="AF92" i="175"/>
  <c r="AF91" i="175" s="1"/>
  <c r="AG103" i="175"/>
  <c r="AG104" i="175"/>
  <c r="AG101" i="175"/>
  <c r="AG66" i="175"/>
  <c r="AG67" i="175"/>
  <c r="AG68" i="174"/>
  <c r="AG69" i="175"/>
  <c r="AG70" i="175"/>
  <c r="AG71" i="175"/>
  <c r="AG72" i="175"/>
  <c r="AG76" i="175"/>
  <c r="AG77" i="175"/>
  <c r="AG78" i="174"/>
  <c r="AG81" i="175"/>
  <c r="AG82" i="175"/>
  <c r="AG83" i="174"/>
  <c r="AG85" i="175"/>
  <c r="AG86" i="175"/>
  <c r="AG87" i="174"/>
  <c r="AG88" i="175"/>
  <c r="AG118" i="175"/>
  <c r="AG119" i="175"/>
  <c r="AG120" i="174"/>
  <c r="AG120" i="175"/>
  <c r="AG121" i="175"/>
  <c r="AG122" i="174"/>
  <c r="AG122" i="175"/>
  <c r="AG123" i="175"/>
  <c r="AG124" i="174"/>
  <c r="AG125" i="175"/>
  <c r="AG126" i="175"/>
  <c r="AG127" i="175"/>
  <c r="AG128" i="175"/>
  <c r="AG129" i="175"/>
  <c r="AG130" i="174"/>
  <c r="AG130" i="175"/>
  <c r="AG131" i="175"/>
  <c r="AG132" i="174"/>
  <c r="AG134" i="175"/>
  <c r="AG135" i="175"/>
  <c r="AG136" i="174"/>
  <c r="AG136" i="175"/>
  <c r="AG137" i="175"/>
  <c r="AG138" i="174"/>
  <c r="AG140" i="175"/>
  <c r="AG141" i="175"/>
  <c r="AG142" i="175"/>
  <c r="AG143" i="174"/>
  <c r="AG144" i="175"/>
  <c r="AG145" i="175"/>
  <c r="AG146" i="174"/>
  <c r="AG155" i="174"/>
  <c r="AG156" i="174"/>
  <c r="AG157" i="174"/>
  <c r="AG63" i="175"/>
  <c r="AG64" i="175"/>
  <c r="AG65" i="174"/>
  <c r="AG115" i="175"/>
  <c r="AG116" i="174"/>
  <c r="AG79" i="175"/>
  <c r="AG80" i="175"/>
  <c r="AG81" i="174"/>
  <c r="AF81" i="174"/>
  <c r="AF65" i="174"/>
  <c r="AF87" i="174"/>
  <c r="AF83" i="174"/>
  <c r="AF78" i="174"/>
  <c r="AH52" i="74"/>
  <c r="AH90" i="74"/>
  <c r="AH90" i="124" s="1"/>
  <c r="AH80" i="74"/>
  <c r="AH80" i="124" s="1"/>
  <c r="AF90" i="174"/>
  <c r="AG89" i="175"/>
  <c r="AG154" i="174"/>
  <c r="AF38" i="74"/>
  <c r="AF38" i="175" s="1"/>
  <c r="AF30" i="175"/>
  <c r="AG50" i="175"/>
  <c r="AG51" i="174"/>
  <c r="AH115" i="124"/>
  <c r="AH52" i="175"/>
  <c r="AH64" i="124"/>
  <c r="AH56" i="74"/>
  <c r="AH56" i="175" s="1"/>
  <c r="AH158" i="74"/>
  <c r="AH158" i="124" s="1"/>
  <c r="AH156" i="124"/>
  <c r="AH155" i="74"/>
  <c r="AH155" i="124" s="1"/>
  <c r="AH154" i="74"/>
  <c r="AH154" i="124" s="1"/>
  <c r="AH148" i="74"/>
  <c r="AH145" i="74"/>
  <c r="AH145" i="124" s="1"/>
  <c r="AH144" i="74"/>
  <c r="AH142" i="74"/>
  <c r="AH142" i="124" s="1"/>
  <c r="AH141" i="74"/>
  <c r="AH141" i="124" s="1"/>
  <c r="AH140" i="74"/>
  <c r="AH137" i="74"/>
  <c r="AH137" i="124" s="1"/>
  <c r="AH135" i="74"/>
  <c r="AH135" i="124" s="1"/>
  <c r="AH131" i="74"/>
  <c r="AH131" i="124" s="1"/>
  <c r="AH129" i="74"/>
  <c r="AH129" i="124" s="1"/>
  <c r="AH128" i="74"/>
  <c r="AH128" i="124" s="1"/>
  <c r="AH127" i="74"/>
  <c r="AH127" i="124" s="1"/>
  <c r="AH126" i="74"/>
  <c r="AH126" i="124" s="1"/>
  <c r="AH125" i="74"/>
  <c r="AH123" i="74"/>
  <c r="AH123" i="124" s="1"/>
  <c r="AH121" i="74"/>
  <c r="AH121" i="124" s="1"/>
  <c r="AH119" i="74"/>
  <c r="AH119" i="124" s="1"/>
  <c r="AH118" i="74"/>
  <c r="AH91" i="74"/>
  <c r="AH89" i="74"/>
  <c r="AH89" i="124" s="1"/>
  <c r="AH88" i="74"/>
  <c r="AH86" i="74"/>
  <c r="AH86" i="124" s="1"/>
  <c r="AH82" i="124"/>
  <c r="AH79" i="74"/>
  <c r="AH77" i="124"/>
  <c r="AH76" i="74"/>
  <c r="AH72" i="124"/>
  <c r="AH70" i="124"/>
  <c r="AH67" i="124"/>
  <c r="AH58" i="74"/>
  <c r="AH58" i="175" s="1"/>
  <c r="AH57" i="74"/>
  <c r="AH57" i="175" s="1"/>
  <c r="AH55" i="74"/>
  <c r="AH54" i="74"/>
  <c r="AH54" i="175" s="1"/>
  <c r="AH51" i="175"/>
  <c r="AH102" i="175"/>
  <c r="AG55" i="174"/>
  <c r="AF38" i="124"/>
  <c r="AF38" i="174" s="1"/>
  <c r="AG113" i="174"/>
  <c r="AG112" i="174"/>
  <c r="AG111" i="174"/>
  <c r="AG118" i="174"/>
  <c r="AG119" i="174"/>
  <c r="AG123" i="174"/>
  <c r="AG125" i="174"/>
  <c r="AG126" i="174"/>
  <c r="AG129" i="174"/>
  <c r="AG131" i="174"/>
  <c r="AG137" i="174"/>
  <c r="AG140" i="174"/>
  <c r="AG141" i="174"/>
  <c r="AG142" i="174"/>
  <c r="AG144" i="174"/>
  <c r="AG145" i="174"/>
  <c r="AG148" i="174"/>
  <c r="AG128" i="174"/>
  <c r="AG135" i="174"/>
  <c r="AG121" i="174"/>
  <c r="AG127" i="174"/>
  <c r="AH89" i="174"/>
  <c r="AH86" i="174"/>
  <c r="AH82" i="174"/>
  <c r="AH80" i="174"/>
  <c r="AH77" i="174"/>
  <c r="AH72" i="174"/>
  <c r="AH70" i="174"/>
  <c r="AH67" i="174"/>
  <c r="AH64" i="174"/>
  <c r="AH58" i="124"/>
  <c r="AH58" i="174" s="1"/>
  <c r="AH57" i="124"/>
  <c r="AH57" i="174" s="1"/>
  <c r="AH56" i="124"/>
  <c r="AH56" i="174" s="1"/>
  <c r="AH54" i="124"/>
  <c r="AH54" i="174" s="1"/>
  <c r="AH52" i="124"/>
  <c r="AH52" i="174" s="1"/>
  <c r="AH51" i="124"/>
  <c r="AH110" i="175"/>
  <c r="AH111" i="175"/>
  <c r="AH112" i="175"/>
  <c r="AH93" i="175"/>
  <c r="AH94" i="175"/>
  <c r="AH95" i="175"/>
  <c r="AH96" i="175"/>
  <c r="AH97" i="175"/>
  <c r="AH98" i="175"/>
  <c r="AH99" i="175"/>
  <c r="AH100" i="175"/>
  <c r="AH105" i="175"/>
  <c r="AH106" i="175"/>
  <c r="AH107" i="175"/>
  <c r="AH10" i="74"/>
  <c r="AH10" i="175" s="1"/>
  <c r="AF30" i="124"/>
  <c r="AF30" i="174" s="1"/>
  <c r="AG30" i="74"/>
  <c r="AG10" i="124"/>
  <c r="AG10" i="174" s="1"/>
  <c r="AG92" i="74"/>
  <c r="AG109" i="74"/>
  <c r="AG50" i="74"/>
  <c r="AG151" i="74"/>
  <c r="AD33" i="124"/>
  <c r="AD33" i="174" s="1"/>
  <c r="AE12" i="124"/>
  <c r="AE12" i="174" s="1"/>
  <c r="AI1" i="74"/>
  <c r="AI160" i="74" s="1"/>
  <c r="AI159" i="74" l="1"/>
  <c r="AI160" i="124"/>
  <c r="AH160" i="174"/>
  <c r="AH159" i="124"/>
  <c r="AH159" i="174" s="1"/>
  <c r="AI51" i="74"/>
  <c r="AI70" i="74"/>
  <c r="AI66" i="74"/>
  <c r="AI67" i="74"/>
  <c r="AI64" i="74"/>
  <c r="AH109" i="124"/>
  <c r="AH109" i="174" s="1"/>
  <c r="AH108" i="174"/>
  <c r="AH107" i="174"/>
  <c r="AH106" i="174"/>
  <c r="AH104" i="174"/>
  <c r="AH103" i="174"/>
  <c r="AH102" i="174"/>
  <c r="AH101" i="174"/>
  <c r="AH100" i="174"/>
  <c r="AH99" i="174"/>
  <c r="AH98" i="174"/>
  <c r="AH97" i="174"/>
  <c r="AH96" i="174"/>
  <c r="AH95" i="174"/>
  <c r="AH94" i="174"/>
  <c r="AH93" i="174"/>
  <c r="AH92" i="124"/>
  <c r="AH92" i="174" s="1"/>
  <c r="AH55" i="175"/>
  <c r="AH55" i="124"/>
  <c r="AI149" i="74"/>
  <c r="AI115" i="74"/>
  <c r="AI93" i="74"/>
  <c r="AI93" i="124" s="1"/>
  <c r="AI94" i="74"/>
  <c r="AI94" i="124" s="1"/>
  <c r="AI95" i="74"/>
  <c r="AI95" i="124" s="1"/>
  <c r="AI96" i="74"/>
  <c r="AI96" i="124" s="1"/>
  <c r="AI97" i="74"/>
  <c r="AI97" i="124" s="1"/>
  <c r="AI98" i="74"/>
  <c r="AI98" i="124" s="1"/>
  <c r="AI99" i="74"/>
  <c r="AI99" i="124" s="1"/>
  <c r="AI100" i="74"/>
  <c r="AI100" i="124" s="1"/>
  <c r="AI101" i="74"/>
  <c r="AI101" i="124" s="1"/>
  <c r="AI102" i="74"/>
  <c r="AI102" i="124" s="1"/>
  <c r="AI103" i="74"/>
  <c r="AI103" i="124" s="1"/>
  <c r="AI104" i="74"/>
  <c r="AI104" i="124" s="1"/>
  <c r="AI106" i="74"/>
  <c r="AI106" i="124" s="1"/>
  <c r="AI107" i="74"/>
  <c r="AI107" i="124" s="1"/>
  <c r="AI108" i="74"/>
  <c r="AI108" i="124" s="1"/>
  <c r="AI110" i="74"/>
  <c r="AI110" i="124" s="1"/>
  <c r="AI111" i="74"/>
  <c r="AI111" i="124" s="1"/>
  <c r="AI112" i="74"/>
  <c r="AI112" i="124" s="1"/>
  <c r="AI113" i="74"/>
  <c r="AI113" i="124" s="1"/>
  <c r="AH78" i="175"/>
  <c r="AH79" i="124"/>
  <c r="AH79" i="174" s="1"/>
  <c r="AH75" i="175"/>
  <c r="AH76" i="124"/>
  <c r="AH76" i="174" s="1"/>
  <c r="AH87" i="175"/>
  <c r="AH88" i="124"/>
  <c r="AH88" i="174" s="1"/>
  <c r="AH117" i="175"/>
  <c r="AH118" i="124"/>
  <c r="AH124" i="175"/>
  <c r="AH125" i="124"/>
  <c r="AH139" i="175"/>
  <c r="AH140" i="124"/>
  <c r="AH143" i="175"/>
  <c r="AH144" i="124"/>
  <c r="AH147" i="175"/>
  <c r="AH148" i="124"/>
  <c r="AH65" i="175"/>
  <c r="AH66" i="124"/>
  <c r="AH66" i="174" s="1"/>
  <c r="AH90" i="175"/>
  <c r="AH91" i="124"/>
  <c r="AH91" i="174" s="1"/>
  <c r="AG151" i="175"/>
  <c r="AG153" i="174"/>
  <c r="AH158" i="174"/>
  <c r="AG109" i="175"/>
  <c r="AG108" i="175" s="1"/>
  <c r="AG110" i="174"/>
  <c r="AG92" i="175"/>
  <c r="AG91" i="175" s="1"/>
  <c r="AH103" i="175"/>
  <c r="AH104" i="175"/>
  <c r="AH101" i="175"/>
  <c r="AH66" i="175"/>
  <c r="AH67" i="175"/>
  <c r="AH68" i="174"/>
  <c r="AH69" i="175"/>
  <c r="AH70" i="175"/>
  <c r="AH71" i="174"/>
  <c r="AH71" i="175"/>
  <c r="AH72" i="175"/>
  <c r="AH73" i="174"/>
  <c r="AH76" i="175"/>
  <c r="AH77" i="175"/>
  <c r="AH81" i="175"/>
  <c r="AH82" i="175"/>
  <c r="AH85" i="175"/>
  <c r="AH86" i="175"/>
  <c r="AH88" i="175"/>
  <c r="AH118" i="175"/>
  <c r="AH119" i="175"/>
  <c r="AH120" i="174"/>
  <c r="AH120" i="175"/>
  <c r="AH121" i="175"/>
  <c r="AH122" i="174"/>
  <c r="AH122" i="175"/>
  <c r="AH123" i="175"/>
  <c r="AH124" i="174"/>
  <c r="AH125" i="175"/>
  <c r="AH126" i="175"/>
  <c r="AH127" i="175"/>
  <c r="AH128" i="175"/>
  <c r="AH129" i="175"/>
  <c r="AH130" i="174"/>
  <c r="AH130" i="175"/>
  <c r="AH131" i="175"/>
  <c r="AH132" i="174"/>
  <c r="AH134" i="175"/>
  <c r="AH135" i="175"/>
  <c r="AH136" i="174"/>
  <c r="AH136" i="175"/>
  <c r="AH137" i="175"/>
  <c r="AH138" i="174"/>
  <c r="AH140" i="175"/>
  <c r="AH141" i="175"/>
  <c r="AH142" i="175"/>
  <c r="AH143" i="174"/>
  <c r="AH144" i="175"/>
  <c r="AH145" i="175"/>
  <c r="AH146" i="174"/>
  <c r="AH155" i="174"/>
  <c r="AH156" i="174"/>
  <c r="AH157" i="174"/>
  <c r="AH63" i="175"/>
  <c r="AH64" i="175"/>
  <c r="AH115" i="175"/>
  <c r="AH116" i="174"/>
  <c r="AH79" i="175"/>
  <c r="AH80" i="175"/>
  <c r="AG73" i="174"/>
  <c r="AG71" i="174"/>
  <c r="AI52" i="74"/>
  <c r="AI90" i="74"/>
  <c r="AI90" i="124" s="1"/>
  <c r="AI80" i="74"/>
  <c r="AI80" i="124" s="1"/>
  <c r="AG90" i="174"/>
  <c r="AH89" i="175"/>
  <c r="AH154" i="174"/>
  <c r="AG38" i="74"/>
  <c r="AG38" i="175" s="1"/>
  <c r="AG30" i="175"/>
  <c r="AH50" i="175"/>
  <c r="AH51" i="174"/>
  <c r="AI115" i="124"/>
  <c r="AI52" i="175"/>
  <c r="AI64" i="124"/>
  <c r="AI56" i="74"/>
  <c r="AI56" i="175" s="1"/>
  <c r="AI158" i="74"/>
  <c r="AI158" i="124" s="1"/>
  <c r="AI156" i="124"/>
  <c r="AI155" i="74"/>
  <c r="AI155" i="124" s="1"/>
  <c r="AI154" i="74"/>
  <c r="AI154" i="124" s="1"/>
  <c r="AI148" i="74"/>
  <c r="AI145" i="74"/>
  <c r="AI145" i="124" s="1"/>
  <c r="AI144" i="74"/>
  <c r="AI142" i="74"/>
  <c r="AI142" i="124" s="1"/>
  <c r="AI141" i="74"/>
  <c r="AI141" i="124" s="1"/>
  <c r="AI140" i="74"/>
  <c r="AI137" i="74"/>
  <c r="AI137" i="124" s="1"/>
  <c r="AI135" i="74"/>
  <c r="AI135" i="124" s="1"/>
  <c r="AI131" i="74"/>
  <c r="AI131" i="124" s="1"/>
  <c r="AI129" i="74"/>
  <c r="AI129" i="124" s="1"/>
  <c r="AI128" i="74"/>
  <c r="AI128" i="124" s="1"/>
  <c r="AI127" i="74"/>
  <c r="AI127" i="124" s="1"/>
  <c r="AI126" i="74"/>
  <c r="AI126" i="124" s="1"/>
  <c r="AI125" i="74"/>
  <c r="AI123" i="74"/>
  <c r="AI123" i="124" s="1"/>
  <c r="AI121" i="74"/>
  <c r="AI121" i="124" s="1"/>
  <c r="AI119" i="74"/>
  <c r="AI119" i="124" s="1"/>
  <c r="AI118" i="74"/>
  <c r="AI91" i="74"/>
  <c r="AI89" i="74"/>
  <c r="AI89" i="124" s="1"/>
  <c r="AI88" i="74"/>
  <c r="AI86" i="74"/>
  <c r="AI86" i="124" s="1"/>
  <c r="AI82" i="124"/>
  <c r="AI79" i="74"/>
  <c r="AI77" i="124"/>
  <c r="AI76" i="74"/>
  <c r="AI72" i="124"/>
  <c r="AI70" i="124"/>
  <c r="AI67" i="124"/>
  <c r="AI58" i="74"/>
  <c r="AI58" i="175" s="1"/>
  <c r="AI57" i="74"/>
  <c r="AI57" i="175" s="1"/>
  <c r="AI55" i="74"/>
  <c r="AI54" i="74"/>
  <c r="AI54" i="175" s="1"/>
  <c r="AI51" i="175"/>
  <c r="AI102" i="175"/>
  <c r="AH55" i="174"/>
  <c r="AG38" i="124"/>
  <c r="AG38" i="174" s="1"/>
  <c r="AH113" i="174"/>
  <c r="AH112" i="174"/>
  <c r="AH111" i="174"/>
  <c r="AH118" i="174"/>
  <c r="AH119" i="174"/>
  <c r="AH123" i="174"/>
  <c r="AH125" i="174"/>
  <c r="AH126" i="174"/>
  <c r="AH129" i="174"/>
  <c r="AH131" i="174"/>
  <c r="AH137" i="174"/>
  <c r="AH140" i="174"/>
  <c r="AH141" i="174"/>
  <c r="AH142" i="174"/>
  <c r="AH144" i="174"/>
  <c r="AH145" i="174"/>
  <c r="AH148" i="174"/>
  <c r="AH128" i="174"/>
  <c r="AH135" i="174"/>
  <c r="AH121" i="174"/>
  <c r="AH127" i="174"/>
  <c r="AI89" i="174"/>
  <c r="AI86" i="174"/>
  <c r="AI82" i="174"/>
  <c r="AI80" i="174"/>
  <c r="AI77" i="174"/>
  <c r="AI72" i="174"/>
  <c r="AI70" i="174"/>
  <c r="AI67" i="174"/>
  <c r="AI64" i="174"/>
  <c r="AI58" i="124"/>
  <c r="AI58" i="174" s="1"/>
  <c r="AI57" i="124"/>
  <c r="AI57" i="174" s="1"/>
  <c r="AI56" i="124"/>
  <c r="AI56" i="174" s="1"/>
  <c r="AI54" i="124"/>
  <c r="AI54" i="174" s="1"/>
  <c r="AI52" i="124"/>
  <c r="AI52" i="174" s="1"/>
  <c r="AI51" i="124"/>
  <c r="AI110" i="175"/>
  <c r="AI111" i="175"/>
  <c r="AI112" i="175"/>
  <c r="AI93" i="175"/>
  <c r="AI94" i="175"/>
  <c r="AI95" i="175"/>
  <c r="AI96" i="175"/>
  <c r="AI97" i="175"/>
  <c r="AI98" i="175"/>
  <c r="AI99" i="175"/>
  <c r="AI100" i="175"/>
  <c r="AI105" i="175"/>
  <c r="AI106" i="175"/>
  <c r="AI107" i="175"/>
  <c r="AI10" i="74"/>
  <c r="AI10" i="175" s="1"/>
  <c r="AG30" i="124"/>
  <c r="AG30" i="174" s="1"/>
  <c r="AH30" i="74"/>
  <c r="AH10" i="124"/>
  <c r="AH10" i="174" s="1"/>
  <c r="AH92" i="74"/>
  <c r="AH109" i="74"/>
  <c r="AH50" i="74"/>
  <c r="AH151" i="74"/>
  <c r="AE33" i="124"/>
  <c r="AE33" i="174" s="1"/>
  <c r="AF12" i="124"/>
  <c r="AF12" i="174" s="1"/>
  <c r="AJ1" i="74"/>
  <c r="AK1" i="85"/>
  <c r="AJ160" i="74" l="1"/>
  <c r="AI160" i="174"/>
  <c r="AI159" i="124"/>
  <c r="AI159" i="174" s="1"/>
  <c r="AJ51" i="74"/>
  <c r="AJ70" i="74"/>
  <c r="AJ66" i="74"/>
  <c r="AJ67" i="74"/>
  <c r="AJ64" i="74"/>
  <c r="AI109" i="124"/>
  <c r="AI109" i="174" s="1"/>
  <c r="AI108" i="174"/>
  <c r="AI107" i="174"/>
  <c r="AI106" i="174"/>
  <c r="AI104" i="174"/>
  <c r="AI103" i="174"/>
  <c r="AI102" i="174"/>
  <c r="AI101" i="174"/>
  <c r="AI100" i="174"/>
  <c r="AI99" i="174"/>
  <c r="AI98" i="174"/>
  <c r="AI97" i="174"/>
  <c r="AI96" i="174"/>
  <c r="AI95" i="174"/>
  <c r="AI94" i="174"/>
  <c r="AI93" i="174"/>
  <c r="AI92" i="124"/>
  <c r="AI92" i="174" s="1"/>
  <c r="AI55" i="175"/>
  <c r="AI55" i="124"/>
  <c r="AJ149" i="74"/>
  <c r="AJ115" i="74"/>
  <c r="AJ93" i="74"/>
  <c r="AJ93" i="124" s="1"/>
  <c r="AJ94" i="74"/>
  <c r="AJ94" i="124" s="1"/>
  <c r="AJ95" i="74"/>
  <c r="AJ95" i="124" s="1"/>
  <c r="AJ96" i="74"/>
  <c r="AJ96" i="124" s="1"/>
  <c r="AJ97" i="74"/>
  <c r="AJ97" i="124" s="1"/>
  <c r="AJ98" i="74"/>
  <c r="AJ98" i="124" s="1"/>
  <c r="AJ99" i="74"/>
  <c r="AJ99" i="124" s="1"/>
  <c r="AJ100" i="74"/>
  <c r="AJ100" i="124" s="1"/>
  <c r="AJ101" i="74"/>
  <c r="AJ101" i="124" s="1"/>
  <c r="AJ102" i="74"/>
  <c r="AJ102" i="124" s="1"/>
  <c r="AJ103" i="74"/>
  <c r="AJ103" i="124" s="1"/>
  <c r="AJ104" i="74"/>
  <c r="AJ104" i="124" s="1"/>
  <c r="AJ106" i="74"/>
  <c r="AJ106" i="124" s="1"/>
  <c r="AJ107" i="74"/>
  <c r="AJ107" i="124" s="1"/>
  <c r="AJ108" i="74"/>
  <c r="AJ108" i="124" s="1"/>
  <c r="AJ110" i="74"/>
  <c r="AJ110" i="124" s="1"/>
  <c r="AJ111" i="74"/>
  <c r="AJ111" i="124" s="1"/>
  <c r="AJ112" i="74"/>
  <c r="AJ112" i="124" s="1"/>
  <c r="AJ113" i="74"/>
  <c r="AJ113" i="124" s="1"/>
  <c r="AI78" i="175"/>
  <c r="AI79" i="124"/>
  <c r="AI79" i="174" s="1"/>
  <c r="AI75" i="175"/>
  <c r="AI76" i="124"/>
  <c r="AI76" i="174" s="1"/>
  <c r="AI87" i="175"/>
  <c r="AI88" i="124"/>
  <c r="AI88" i="174" s="1"/>
  <c r="AI117" i="175"/>
  <c r="AI118" i="124"/>
  <c r="AI124" i="175"/>
  <c r="AI125" i="124"/>
  <c r="AI139" i="175"/>
  <c r="AI140" i="124"/>
  <c r="AI143" i="175"/>
  <c r="AI144" i="124"/>
  <c r="AI147" i="175"/>
  <c r="AI148" i="124"/>
  <c r="AI65" i="175"/>
  <c r="AI66" i="124"/>
  <c r="AI66" i="174" s="1"/>
  <c r="AI90" i="175"/>
  <c r="AI91" i="124"/>
  <c r="AI91" i="174" s="1"/>
  <c r="AH151" i="175"/>
  <c r="AH153" i="174"/>
  <c r="AI158" i="174"/>
  <c r="AH109" i="175"/>
  <c r="AH108" i="175" s="1"/>
  <c r="AH110" i="174"/>
  <c r="AH92" i="175"/>
  <c r="AH91" i="175" s="1"/>
  <c r="AI103" i="175"/>
  <c r="AI104" i="175"/>
  <c r="AI101" i="175"/>
  <c r="AI66" i="175"/>
  <c r="AI67" i="175"/>
  <c r="AI68" i="174"/>
  <c r="AI69" i="175"/>
  <c r="AI70" i="175"/>
  <c r="AI71" i="175"/>
  <c r="AI72" i="175"/>
  <c r="AI76" i="175"/>
  <c r="AI77" i="175"/>
  <c r="AI78" i="174"/>
  <c r="AI81" i="175"/>
  <c r="AI82" i="175"/>
  <c r="AI83" i="174"/>
  <c r="AI85" i="175"/>
  <c r="AI86" i="175"/>
  <c r="AI87" i="174"/>
  <c r="AI88" i="175"/>
  <c r="AI118" i="175"/>
  <c r="AI119" i="175"/>
  <c r="AI120" i="174"/>
  <c r="AI120" i="175"/>
  <c r="AI121" i="175"/>
  <c r="AI122" i="174"/>
  <c r="AI122" i="175"/>
  <c r="AI123" i="175"/>
  <c r="AI124" i="174"/>
  <c r="AI125" i="175"/>
  <c r="AI126" i="175"/>
  <c r="AI127" i="175"/>
  <c r="AI128" i="175"/>
  <c r="AI129" i="175"/>
  <c r="AI130" i="174"/>
  <c r="AI130" i="175"/>
  <c r="AI131" i="175"/>
  <c r="AI132" i="174"/>
  <c r="AI134" i="175"/>
  <c r="AI135" i="175"/>
  <c r="AI136" i="174"/>
  <c r="AI136" i="175"/>
  <c r="AI137" i="175"/>
  <c r="AI138" i="174"/>
  <c r="AI140" i="175"/>
  <c r="AI141" i="175"/>
  <c r="AI142" i="175"/>
  <c r="AI143" i="174"/>
  <c r="AI144" i="175"/>
  <c r="AI145" i="175"/>
  <c r="AI146" i="174"/>
  <c r="AI155" i="174"/>
  <c r="AI156" i="174"/>
  <c r="AI157" i="174"/>
  <c r="AI63" i="175"/>
  <c r="AI64" i="175"/>
  <c r="AI65" i="174"/>
  <c r="AI115" i="175"/>
  <c r="AI116" i="174"/>
  <c r="AI79" i="175"/>
  <c r="AI80" i="175"/>
  <c r="AI81" i="174"/>
  <c r="AH81" i="174"/>
  <c r="AH65" i="174"/>
  <c r="AH87" i="174"/>
  <c r="AH83" i="174"/>
  <c r="AH78" i="174"/>
  <c r="AJ52" i="74"/>
  <c r="AJ90" i="74"/>
  <c r="AJ90" i="124" s="1"/>
  <c r="AJ80" i="74"/>
  <c r="AJ80" i="124" s="1"/>
  <c r="AH90" i="174"/>
  <c r="AI89" i="175"/>
  <c r="AI154" i="174"/>
  <c r="AH38" i="74"/>
  <c r="AH38" i="175" s="1"/>
  <c r="AH30" i="175"/>
  <c r="AI50" i="175"/>
  <c r="AI51" i="174"/>
  <c r="AJ115" i="124"/>
  <c r="AJ52" i="175"/>
  <c r="AJ64" i="124"/>
  <c r="AJ56" i="74"/>
  <c r="AJ56" i="175" s="1"/>
  <c r="AK56" i="175" s="1"/>
  <c r="AJ158" i="74"/>
  <c r="AJ158" i="124" s="1"/>
  <c r="AJ156" i="124"/>
  <c r="AJ155" i="74"/>
  <c r="AJ155" i="124" s="1"/>
  <c r="AJ154" i="74"/>
  <c r="AJ154" i="124" s="1"/>
  <c r="AJ148" i="74"/>
  <c r="AJ145" i="74"/>
  <c r="AJ145" i="124" s="1"/>
  <c r="AJ144" i="74"/>
  <c r="AJ142" i="74"/>
  <c r="AJ142" i="124" s="1"/>
  <c r="AJ141" i="74"/>
  <c r="AJ141" i="124" s="1"/>
  <c r="AJ140" i="74"/>
  <c r="AJ137" i="74"/>
  <c r="AJ137" i="124" s="1"/>
  <c r="AJ135" i="74"/>
  <c r="AJ135" i="124" s="1"/>
  <c r="AJ131" i="74"/>
  <c r="AJ131" i="124" s="1"/>
  <c r="AJ129" i="74"/>
  <c r="AJ129" i="124" s="1"/>
  <c r="AJ128" i="74"/>
  <c r="AJ128" i="124" s="1"/>
  <c r="AJ127" i="74"/>
  <c r="AJ127" i="124" s="1"/>
  <c r="AJ126" i="74"/>
  <c r="AJ126" i="124" s="1"/>
  <c r="AJ125" i="74"/>
  <c r="AJ123" i="74"/>
  <c r="AJ123" i="124" s="1"/>
  <c r="AJ121" i="74"/>
  <c r="AJ121" i="124" s="1"/>
  <c r="AJ119" i="74"/>
  <c r="AJ119" i="124" s="1"/>
  <c r="AJ118" i="74"/>
  <c r="AJ91" i="74"/>
  <c r="AJ89" i="74"/>
  <c r="AJ89" i="124" s="1"/>
  <c r="AJ88" i="74"/>
  <c r="AJ86" i="74"/>
  <c r="AJ86" i="124" s="1"/>
  <c r="AJ82" i="124"/>
  <c r="AJ79" i="74"/>
  <c r="AJ77" i="124"/>
  <c r="AJ76" i="74"/>
  <c r="AJ72" i="124"/>
  <c r="AJ70" i="124"/>
  <c r="AJ67" i="124"/>
  <c r="AJ58" i="74"/>
  <c r="AJ58" i="175" s="1"/>
  <c r="AK58" i="175" s="1"/>
  <c r="AJ57" i="74"/>
  <c r="AJ57" i="175" s="1"/>
  <c r="AK57" i="175" s="1"/>
  <c r="AJ55" i="74"/>
  <c r="AJ54" i="74"/>
  <c r="AJ54" i="175" s="1"/>
  <c r="AK54" i="175" s="1"/>
  <c r="AJ51" i="175"/>
  <c r="AK51" i="175" s="1"/>
  <c r="AJ102" i="175"/>
  <c r="AK102" i="175" s="1"/>
  <c r="AI55" i="174"/>
  <c r="AH38" i="124"/>
  <c r="AH38" i="174" s="1"/>
  <c r="AI113" i="174"/>
  <c r="AI112" i="174"/>
  <c r="AI111" i="174"/>
  <c r="AI118" i="174"/>
  <c r="AI119" i="174"/>
  <c r="AI123" i="174"/>
  <c r="AI125" i="174"/>
  <c r="AI126" i="174"/>
  <c r="AI129" i="174"/>
  <c r="AI131" i="174"/>
  <c r="AI137" i="174"/>
  <c r="AI140" i="174"/>
  <c r="AI141" i="174"/>
  <c r="AI142" i="174"/>
  <c r="AI144" i="174"/>
  <c r="AI145" i="174"/>
  <c r="AI148" i="174"/>
  <c r="AI128" i="174"/>
  <c r="AI135" i="174"/>
  <c r="AI121" i="174"/>
  <c r="AI127" i="174"/>
  <c r="AJ89" i="174"/>
  <c r="AJ86" i="174"/>
  <c r="AJ82" i="174"/>
  <c r="AJ80" i="174"/>
  <c r="AJ77" i="174"/>
  <c r="AJ72" i="174"/>
  <c r="AJ70" i="174"/>
  <c r="AJ67" i="174"/>
  <c r="AJ64" i="174"/>
  <c r="AJ58" i="124"/>
  <c r="AJ58" i="174" s="1"/>
  <c r="AJ57" i="124"/>
  <c r="AJ57" i="174" s="1"/>
  <c r="AJ56" i="124"/>
  <c r="AJ56" i="174" s="1"/>
  <c r="AJ54" i="124"/>
  <c r="AJ54" i="174" s="1"/>
  <c r="AJ52" i="124"/>
  <c r="AJ52" i="174" s="1"/>
  <c r="AJ51" i="124"/>
  <c r="AJ110" i="175"/>
  <c r="AK110" i="175" s="1"/>
  <c r="AJ111" i="175"/>
  <c r="AK111" i="175" s="1"/>
  <c r="AJ112" i="175"/>
  <c r="AK112" i="175" s="1"/>
  <c r="AJ93" i="175"/>
  <c r="AK93" i="175" s="1"/>
  <c r="AJ94" i="175"/>
  <c r="AK94" i="175" s="1"/>
  <c r="AJ95" i="175"/>
  <c r="AK95" i="175" s="1"/>
  <c r="AJ96" i="175"/>
  <c r="AK96" i="175" s="1"/>
  <c r="AJ97" i="175"/>
  <c r="AK97" i="175" s="1"/>
  <c r="AJ98" i="175"/>
  <c r="AK98" i="175" s="1"/>
  <c r="AJ99" i="175"/>
  <c r="AK99" i="175" s="1"/>
  <c r="AJ100" i="175"/>
  <c r="AK100" i="175" s="1"/>
  <c r="AK105" i="74"/>
  <c r="AJ105" i="175"/>
  <c r="AK105" i="175" s="1"/>
  <c r="AJ106" i="175"/>
  <c r="AK106" i="175" s="1"/>
  <c r="AJ107" i="175"/>
  <c r="AK107" i="175" s="1"/>
  <c r="AJ10" i="74"/>
  <c r="AJ10" i="175" s="1"/>
  <c r="AK10" i="175" s="1"/>
  <c r="AH30" i="124"/>
  <c r="AH30" i="174" s="1"/>
  <c r="AI30" i="74"/>
  <c r="AI10" i="124"/>
  <c r="AI10" i="174" s="1"/>
  <c r="AI92" i="74"/>
  <c r="AI109" i="74"/>
  <c r="AI50" i="74"/>
  <c r="AI151" i="74"/>
  <c r="AF33" i="124"/>
  <c r="AF33" i="174" s="1"/>
  <c r="AG12" i="124"/>
  <c r="AG12" i="174" s="1"/>
  <c r="AK1" i="68"/>
  <c r="AK1" i="74"/>
  <c r="AK1" i="87"/>
  <c r="AK1" i="84"/>
  <c r="AK1" i="86"/>
  <c r="AK1" i="83"/>
  <c r="AJ159" i="74" l="1"/>
  <c r="AJ160" i="124"/>
  <c r="AK160" i="74"/>
  <c r="AJ109" i="124"/>
  <c r="AJ109" i="174" s="1"/>
  <c r="AJ108" i="174"/>
  <c r="AK108" i="124"/>
  <c r="AJ107" i="174"/>
  <c r="AK107" i="124"/>
  <c r="AJ106" i="174"/>
  <c r="AK106" i="124"/>
  <c r="AJ104" i="174"/>
  <c r="AK104" i="124"/>
  <c r="AJ103" i="174"/>
  <c r="AK103" i="124"/>
  <c r="AJ102" i="174"/>
  <c r="AK102" i="124"/>
  <c r="AJ101" i="174"/>
  <c r="AK101" i="124"/>
  <c r="AJ100" i="174"/>
  <c r="AK100" i="124"/>
  <c r="AJ99" i="174"/>
  <c r="AK99" i="124"/>
  <c r="AJ98" i="174"/>
  <c r="AK98" i="124"/>
  <c r="AJ97" i="174"/>
  <c r="AK97" i="124"/>
  <c r="AJ96" i="174"/>
  <c r="AK96" i="124"/>
  <c r="AJ95" i="174"/>
  <c r="AK95" i="124"/>
  <c r="AJ94" i="174"/>
  <c r="AK94" i="124"/>
  <c r="AJ93" i="174"/>
  <c r="AJ92" i="124"/>
  <c r="AJ92" i="174" s="1"/>
  <c r="AK93" i="124"/>
  <c r="AJ55" i="175"/>
  <c r="AK55" i="175" s="1"/>
  <c r="AJ55" i="124"/>
  <c r="AK55" i="124" s="1"/>
  <c r="AJ78" i="175"/>
  <c r="AK78" i="175" s="1"/>
  <c r="AJ79" i="124"/>
  <c r="AJ79" i="174" s="1"/>
  <c r="AJ75" i="175"/>
  <c r="AK75" i="175" s="1"/>
  <c r="AJ76" i="124"/>
  <c r="AJ76" i="174" s="1"/>
  <c r="AJ87" i="175"/>
  <c r="AK87" i="175" s="1"/>
  <c r="AJ88" i="124"/>
  <c r="AJ88" i="174" s="1"/>
  <c r="AJ117" i="175"/>
  <c r="AK117" i="175" s="1"/>
  <c r="AJ118" i="124"/>
  <c r="AJ124" i="175"/>
  <c r="AK124" i="175" s="1"/>
  <c r="AJ125" i="124"/>
  <c r="AJ139" i="175"/>
  <c r="AK139" i="175" s="1"/>
  <c r="AJ140" i="124"/>
  <c r="AJ143" i="175"/>
  <c r="AK143" i="175" s="1"/>
  <c r="AJ144" i="124"/>
  <c r="AJ147" i="175"/>
  <c r="AK147" i="175" s="1"/>
  <c r="AJ148" i="124"/>
  <c r="AJ65" i="175"/>
  <c r="AK65" i="175" s="1"/>
  <c r="AJ66" i="124"/>
  <c r="AJ66" i="174" s="1"/>
  <c r="AJ90" i="175"/>
  <c r="AK90" i="175" s="1"/>
  <c r="AJ91" i="124"/>
  <c r="AJ91" i="174" s="1"/>
  <c r="AI151" i="175"/>
  <c r="AI153" i="174"/>
  <c r="AJ158" i="174"/>
  <c r="AI109" i="175"/>
  <c r="AI108" i="175" s="1"/>
  <c r="AI110" i="174"/>
  <c r="AI92" i="175"/>
  <c r="AI91" i="175" s="1"/>
  <c r="AJ103" i="175"/>
  <c r="AK103" i="175" s="1"/>
  <c r="AJ104" i="175"/>
  <c r="AK104" i="175" s="1"/>
  <c r="AM104" i="175" s="1"/>
  <c r="AJ101" i="175"/>
  <c r="AK101" i="175" s="1"/>
  <c r="AJ66" i="175"/>
  <c r="AK66" i="175" s="1"/>
  <c r="AJ67" i="175"/>
  <c r="AK67" i="175" s="1"/>
  <c r="AM67" i="175" s="1"/>
  <c r="AJ68" i="174"/>
  <c r="AJ69" i="175"/>
  <c r="AK69" i="175" s="1"/>
  <c r="AJ70" i="175"/>
  <c r="AK70" i="175" s="1"/>
  <c r="AM70" i="175" s="1"/>
  <c r="AJ71" i="174"/>
  <c r="AJ71" i="175"/>
  <c r="AK71" i="175" s="1"/>
  <c r="AJ72" i="175"/>
  <c r="AK72" i="175" s="1"/>
  <c r="AM72" i="175" s="1"/>
  <c r="AJ73" i="174"/>
  <c r="AJ76" i="175"/>
  <c r="AK76" i="175" s="1"/>
  <c r="AJ77" i="175"/>
  <c r="AK77" i="175" s="1"/>
  <c r="AM77" i="175" s="1"/>
  <c r="AJ81" i="175"/>
  <c r="AK81" i="175" s="1"/>
  <c r="AJ82" i="175"/>
  <c r="AK82" i="175" s="1"/>
  <c r="AM82" i="175" s="1"/>
  <c r="AJ85" i="175"/>
  <c r="AK85" i="175" s="1"/>
  <c r="AJ86" i="175"/>
  <c r="AK86" i="175" s="1"/>
  <c r="AM86" i="175" s="1"/>
  <c r="AJ88" i="175"/>
  <c r="AK88" i="175" s="1"/>
  <c r="AJ118" i="175"/>
  <c r="AK118" i="175" s="1"/>
  <c r="AJ119" i="175"/>
  <c r="AK119" i="175" s="1"/>
  <c r="AM119" i="175" s="1"/>
  <c r="AJ120" i="174"/>
  <c r="AJ120" i="175"/>
  <c r="AJ121" i="175"/>
  <c r="AK121" i="175" s="1"/>
  <c r="AM121" i="175" s="1"/>
  <c r="AJ122" i="174"/>
  <c r="AJ122" i="175"/>
  <c r="AK122" i="175" s="1"/>
  <c r="AJ123" i="175"/>
  <c r="AK123" i="175" s="1"/>
  <c r="AM123" i="175" s="1"/>
  <c r="AJ124" i="174"/>
  <c r="AJ125" i="175"/>
  <c r="AK125" i="175" s="1"/>
  <c r="AJ126" i="175"/>
  <c r="AK126" i="175" s="1"/>
  <c r="AJ127" i="175"/>
  <c r="AK127" i="175" s="1"/>
  <c r="AJ128" i="175"/>
  <c r="AK128" i="175" s="1"/>
  <c r="AJ129" i="175"/>
  <c r="AK129" i="175" s="1"/>
  <c r="AM129" i="175" s="1"/>
  <c r="AJ130" i="174"/>
  <c r="AJ130" i="175"/>
  <c r="AK130" i="175" s="1"/>
  <c r="AJ131" i="175"/>
  <c r="AK131" i="175" s="1"/>
  <c r="AM131" i="175" s="1"/>
  <c r="AJ132" i="174"/>
  <c r="AJ134" i="175"/>
  <c r="AK134" i="175" s="1"/>
  <c r="AJ135" i="175"/>
  <c r="AK135" i="175" s="1"/>
  <c r="AM135" i="175" s="1"/>
  <c r="AJ136" i="174"/>
  <c r="AJ136" i="175"/>
  <c r="AK136" i="175" s="1"/>
  <c r="AJ137" i="175"/>
  <c r="AK137" i="175" s="1"/>
  <c r="AM137" i="175" s="1"/>
  <c r="AJ138" i="174"/>
  <c r="AJ140" i="175"/>
  <c r="AK140" i="175" s="1"/>
  <c r="AJ141" i="175"/>
  <c r="AK141" i="175" s="1"/>
  <c r="AJ142" i="175"/>
  <c r="AK142" i="175" s="1"/>
  <c r="AM142" i="175" s="1"/>
  <c r="AJ143" i="174"/>
  <c r="AJ144" i="175"/>
  <c r="AK144" i="175" s="1"/>
  <c r="AJ145" i="175"/>
  <c r="AK145" i="175" s="1"/>
  <c r="AM145" i="175" s="1"/>
  <c r="AJ146" i="174"/>
  <c r="AJ155" i="174"/>
  <c r="AJ156" i="174"/>
  <c r="AJ157" i="174"/>
  <c r="AJ63" i="175"/>
  <c r="AK63" i="175" s="1"/>
  <c r="AJ64" i="175"/>
  <c r="AK64" i="175" s="1"/>
  <c r="AM64" i="175" s="1"/>
  <c r="AJ115" i="175"/>
  <c r="AK115" i="175" s="1"/>
  <c r="AM115" i="175" s="1"/>
  <c r="AJ116" i="174"/>
  <c r="AJ79" i="175"/>
  <c r="AK79" i="175" s="1"/>
  <c r="AJ80" i="175"/>
  <c r="AK80" i="175" s="1"/>
  <c r="AM80" i="175" s="1"/>
  <c r="AI73" i="174"/>
  <c r="AK73" i="124"/>
  <c r="AM73" i="124" s="1"/>
  <c r="AI71" i="174"/>
  <c r="AK71" i="124"/>
  <c r="AM71" i="124" s="1"/>
  <c r="AI90" i="174"/>
  <c r="AN79" i="175"/>
  <c r="AM79" i="175"/>
  <c r="AJ89" i="175"/>
  <c r="AK89" i="175" s="1"/>
  <c r="AM89" i="175" s="1"/>
  <c r="AK90" i="74"/>
  <c r="AM90" i="74" s="1"/>
  <c r="AJ154" i="174"/>
  <c r="AK154" i="124"/>
  <c r="AI38" i="74"/>
  <c r="AI38" i="175" s="1"/>
  <c r="AI30" i="175"/>
  <c r="AM10" i="175"/>
  <c r="AM78" i="175"/>
  <c r="AN51" i="175"/>
  <c r="AM51" i="175"/>
  <c r="AM76" i="175"/>
  <c r="AM81" i="175"/>
  <c r="AM75" i="175"/>
  <c r="AM57" i="175"/>
  <c r="AM107" i="175"/>
  <c r="AM106" i="175"/>
  <c r="AN105" i="175"/>
  <c r="AM105" i="175"/>
  <c r="AM103" i="175"/>
  <c r="AN100" i="175"/>
  <c r="AM100" i="175"/>
  <c r="AM99" i="175"/>
  <c r="AN98" i="175"/>
  <c r="AM98" i="175"/>
  <c r="AN97" i="175"/>
  <c r="AM97" i="175"/>
  <c r="AM96" i="175"/>
  <c r="AN95" i="175"/>
  <c r="AM95" i="175"/>
  <c r="AN94" i="175"/>
  <c r="AM94" i="175"/>
  <c r="AN93" i="175"/>
  <c r="AM93" i="175"/>
  <c r="AM112" i="175"/>
  <c r="AM111" i="175"/>
  <c r="AM110" i="175"/>
  <c r="AM102" i="175"/>
  <c r="AN101" i="175"/>
  <c r="AM101" i="175"/>
  <c r="AN54" i="175"/>
  <c r="AM54" i="175"/>
  <c r="AM85" i="175"/>
  <c r="AM87" i="175"/>
  <c r="AN117" i="175"/>
  <c r="AM117" i="175"/>
  <c r="AN118" i="175"/>
  <c r="AM118" i="175"/>
  <c r="AM122" i="175"/>
  <c r="AN124" i="175"/>
  <c r="AM124" i="175"/>
  <c r="AM125" i="175"/>
  <c r="AM128" i="175"/>
  <c r="AM130" i="175"/>
  <c r="AM136" i="175"/>
  <c r="AM139" i="175"/>
  <c r="AM140" i="175"/>
  <c r="AM141" i="175"/>
  <c r="AM143" i="175"/>
  <c r="AM144" i="175"/>
  <c r="AM147" i="175"/>
  <c r="AO56" i="175"/>
  <c r="AN56" i="175"/>
  <c r="AM56" i="175"/>
  <c r="AN63" i="175"/>
  <c r="AM63" i="175"/>
  <c r="AN66" i="175"/>
  <c r="AM66" i="175"/>
  <c r="AM127" i="175"/>
  <c r="AM134" i="175"/>
  <c r="AM55" i="175"/>
  <c r="AN65" i="175"/>
  <c r="AM65" i="175"/>
  <c r="AM69" i="175"/>
  <c r="AM71" i="175"/>
  <c r="AM90" i="175"/>
  <c r="AK120" i="175"/>
  <c r="AM126" i="175"/>
  <c r="AM88" i="175"/>
  <c r="AN58" i="175"/>
  <c r="AM58" i="175"/>
  <c r="AJ50" i="175"/>
  <c r="AK52" i="175"/>
  <c r="AJ51" i="174"/>
  <c r="AK51" i="124"/>
  <c r="AM56" i="83"/>
  <c r="AK50" i="83"/>
  <c r="AK103" i="74"/>
  <c r="AM103" i="74" s="1"/>
  <c r="AK102" i="74"/>
  <c r="AM102" i="74" s="1"/>
  <c r="AJ55" i="174"/>
  <c r="AK55" i="74"/>
  <c r="AM55" i="74" s="1"/>
  <c r="AK154" i="74"/>
  <c r="AM154" i="74" s="1"/>
  <c r="AI38" i="124"/>
  <c r="AI38" i="174" s="1"/>
  <c r="AK7" i="85"/>
  <c r="AK158" i="74"/>
  <c r="AK158" i="124"/>
  <c r="AK158" i="174" s="1"/>
  <c r="AK108" i="74"/>
  <c r="AK107" i="74"/>
  <c r="AM107" i="74" s="1"/>
  <c r="AK106" i="74"/>
  <c r="AM106" i="74" s="1"/>
  <c r="AK104" i="74"/>
  <c r="AM104" i="74" s="1"/>
  <c r="AK99" i="74"/>
  <c r="AM99" i="74" s="1"/>
  <c r="AK113" i="74"/>
  <c r="AM113" i="74" s="1"/>
  <c r="AJ113" i="174"/>
  <c r="AK112" i="74"/>
  <c r="AJ112" i="174"/>
  <c r="AK111" i="74"/>
  <c r="AM111" i="74" s="1"/>
  <c r="AJ111" i="174"/>
  <c r="AJ118" i="174"/>
  <c r="AJ119" i="174"/>
  <c r="AJ129" i="174"/>
  <c r="AJ141" i="174"/>
  <c r="AJ142" i="174"/>
  <c r="AJ144" i="174"/>
  <c r="AJ145" i="174"/>
  <c r="AJ148" i="174"/>
  <c r="AJ128" i="174"/>
  <c r="AJ121" i="174"/>
  <c r="AJ127" i="174"/>
  <c r="AK157" i="124"/>
  <c r="AK157" i="174" s="1"/>
  <c r="AK155" i="124"/>
  <c r="AK155" i="174" s="1"/>
  <c r="AK156" i="124"/>
  <c r="AK156" i="174" s="1"/>
  <c r="AI30" i="124"/>
  <c r="AI30" i="174" s="1"/>
  <c r="AJ30" i="74"/>
  <c r="AJ10" i="124"/>
  <c r="AK10" i="74"/>
  <c r="AM108" i="74"/>
  <c r="AM105" i="74"/>
  <c r="AK101" i="74"/>
  <c r="AK100" i="74"/>
  <c r="AK98" i="74"/>
  <c r="AK97" i="74"/>
  <c r="AK96" i="74"/>
  <c r="AK95" i="74"/>
  <c r="AK94" i="74"/>
  <c r="AJ92" i="74"/>
  <c r="AK93" i="74"/>
  <c r="AM112" i="74"/>
  <c r="AJ109" i="74"/>
  <c r="AK110" i="74"/>
  <c r="AJ50" i="74"/>
  <c r="AK51" i="74"/>
  <c r="AK52" i="74"/>
  <c r="AK54" i="74"/>
  <c r="AK56" i="124"/>
  <c r="AM56" i="124" s="1"/>
  <c r="AM56" i="174" s="1"/>
  <c r="AK56" i="74"/>
  <c r="AK57" i="74"/>
  <c r="AK58" i="74"/>
  <c r="AK64" i="124"/>
  <c r="AM64" i="124" s="1"/>
  <c r="AK64" i="74"/>
  <c r="AK66" i="74"/>
  <c r="AK67" i="124"/>
  <c r="AM67" i="124" s="1"/>
  <c r="AK67" i="74"/>
  <c r="AK70" i="124"/>
  <c r="AM70" i="124" s="1"/>
  <c r="AK70" i="74"/>
  <c r="AK72" i="124"/>
  <c r="AM72" i="124" s="1"/>
  <c r="AK72" i="74"/>
  <c r="AK76" i="124"/>
  <c r="AM76" i="124" s="1"/>
  <c r="AK76" i="74"/>
  <c r="AK77" i="124"/>
  <c r="AM77" i="124" s="1"/>
  <c r="AK77" i="74"/>
  <c r="AK79" i="124"/>
  <c r="AM79" i="124" s="1"/>
  <c r="AK79" i="74"/>
  <c r="AK80" i="124"/>
  <c r="AM80" i="124" s="1"/>
  <c r="AK80" i="74"/>
  <c r="AK82" i="124"/>
  <c r="AM82" i="124" s="1"/>
  <c r="AK82" i="74"/>
  <c r="AK86" i="124"/>
  <c r="AM86" i="124" s="1"/>
  <c r="AK86" i="74"/>
  <c r="AK88" i="124"/>
  <c r="AM88" i="124" s="1"/>
  <c r="AK88" i="74"/>
  <c r="AK89" i="124"/>
  <c r="AM89" i="124" s="1"/>
  <c r="AK89" i="74"/>
  <c r="AK91" i="124"/>
  <c r="AM91" i="124" s="1"/>
  <c r="AK91" i="74"/>
  <c r="AK115" i="74"/>
  <c r="AK118" i="74"/>
  <c r="AK119" i="74"/>
  <c r="AK122" i="124"/>
  <c r="AK121" i="74"/>
  <c r="AK124" i="124"/>
  <c r="AK123" i="74"/>
  <c r="AK125" i="74"/>
  <c r="AK127" i="124"/>
  <c r="AK126" i="74"/>
  <c r="AK128" i="124"/>
  <c r="AK127" i="74"/>
  <c r="AK129" i="124"/>
  <c r="AK128" i="74"/>
  <c r="AK130" i="124"/>
  <c r="AK129" i="74"/>
  <c r="AK132" i="124"/>
  <c r="AK131" i="74"/>
  <c r="AK136" i="124"/>
  <c r="AK135" i="74"/>
  <c r="AK138" i="124"/>
  <c r="AK137" i="74"/>
  <c r="AK140" i="74"/>
  <c r="AK141" i="74"/>
  <c r="AK142" i="74"/>
  <c r="AK144" i="74"/>
  <c r="AK145" i="74"/>
  <c r="AK148" i="74"/>
  <c r="AJ151" i="74"/>
  <c r="AK152" i="74"/>
  <c r="AK153" i="74"/>
  <c r="AK155" i="74"/>
  <c r="AK156" i="74"/>
  <c r="AK157" i="74"/>
  <c r="AM158" i="74"/>
  <c r="AG33" i="124"/>
  <c r="AG33" i="174" s="1"/>
  <c r="AH12" i="124"/>
  <c r="AH12" i="174" s="1"/>
  <c r="AK116" i="124"/>
  <c r="AM50" i="83" l="1"/>
  <c r="AK159" i="74"/>
  <c r="AM159" i="74" s="1"/>
  <c r="AM160" i="74"/>
  <c r="AK160" i="124"/>
  <c r="AJ160" i="174"/>
  <c r="AJ159" i="124"/>
  <c r="AJ159" i="174" s="1"/>
  <c r="AM93" i="124"/>
  <c r="AK93" i="174"/>
  <c r="AK92" i="124"/>
  <c r="AM94" i="124"/>
  <c r="AK94" i="174"/>
  <c r="AM95" i="124"/>
  <c r="AK95" i="174"/>
  <c r="AM96" i="124"/>
  <c r="AK96" i="174"/>
  <c r="AM97" i="124"/>
  <c r="AK97" i="174"/>
  <c r="AM98" i="124"/>
  <c r="AK98" i="174"/>
  <c r="AM99" i="124"/>
  <c r="AK99" i="174"/>
  <c r="AM100" i="124"/>
  <c r="AK100" i="174"/>
  <c r="AM101" i="124"/>
  <c r="AK101" i="174"/>
  <c r="AM102" i="124"/>
  <c r="AK102" i="174"/>
  <c r="AM103" i="124"/>
  <c r="AK103" i="174"/>
  <c r="AM104" i="124"/>
  <c r="AK104" i="174"/>
  <c r="AM106" i="124"/>
  <c r="AK106" i="174"/>
  <c r="AM107" i="124"/>
  <c r="AK107" i="174"/>
  <c r="AM108" i="124"/>
  <c r="AK108" i="174"/>
  <c r="AJ151" i="175"/>
  <c r="AK151" i="175" s="1"/>
  <c r="AM151" i="175" s="1"/>
  <c r="AJ109" i="175"/>
  <c r="AJ110" i="174"/>
  <c r="AJ92" i="175"/>
  <c r="AM71" i="174"/>
  <c r="AK71" i="174"/>
  <c r="AO71" i="174" s="1"/>
  <c r="AM73" i="174"/>
  <c r="AK73" i="174"/>
  <c r="AO73" i="174" s="1"/>
  <c r="AJ81" i="174"/>
  <c r="AK81" i="124"/>
  <c r="AM81" i="124" s="1"/>
  <c r="AJ65" i="174"/>
  <c r="AK65" i="124"/>
  <c r="AM65" i="124" s="1"/>
  <c r="AJ87" i="174"/>
  <c r="AK87" i="124"/>
  <c r="AM87" i="124" s="1"/>
  <c r="AJ83" i="174"/>
  <c r="AK83" i="124"/>
  <c r="AM83" i="124" s="1"/>
  <c r="AJ78" i="174"/>
  <c r="AK78" i="124"/>
  <c r="AM78" i="124" s="1"/>
  <c r="AJ90" i="174"/>
  <c r="AK90" i="124"/>
  <c r="AM90" i="124" s="1"/>
  <c r="AK154" i="174"/>
  <c r="AJ38" i="74"/>
  <c r="AJ38" i="175" s="1"/>
  <c r="AK38" i="175" s="1"/>
  <c r="AJ30" i="175"/>
  <c r="AK30" i="175" s="1"/>
  <c r="AM120" i="175"/>
  <c r="AK50" i="175"/>
  <c r="AM52" i="175"/>
  <c r="AK153" i="124"/>
  <c r="AK153" i="174" s="1"/>
  <c r="AJ153" i="174"/>
  <c r="AM116" i="124"/>
  <c r="AM116" i="174" s="1"/>
  <c r="AK116" i="174"/>
  <c r="AM138" i="124"/>
  <c r="AM138" i="174" s="1"/>
  <c r="AK138" i="174"/>
  <c r="AM136" i="124"/>
  <c r="AM136" i="174" s="1"/>
  <c r="AK136" i="174"/>
  <c r="AM132" i="124"/>
  <c r="AM132" i="174" s="1"/>
  <c r="AK132" i="174"/>
  <c r="AM130" i="124"/>
  <c r="AM130" i="174" s="1"/>
  <c r="AK130" i="174"/>
  <c r="AM124" i="124"/>
  <c r="AM124" i="174" s="1"/>
  <c r="AK124" i="174"/>
  <c r="AM122" i="124"/>
  <c r="AM122" i="174" s="1"/>
  <c r="AK122" i="174"/>
  <c r="AM79" i="174"/>
  <c r="AK79" i="174"/>
  <c r="AO79" i="174" s="1"/>
  <c r="AM77" i="174"/>
  <c r="AK77" i="174"/>
  <c r="AO77" i="174" s="1"/>
  <c r="AM82" i="174"/>
  <c r="AK82" i="174"/>
  <c r="AO82" i="174" s="1"/>
  <c r="AM76" i="174"/>
  <c r="AK76" i="174"/>
  <c r="AO76" i="174" s="1"/>
  <c r="AO107" i="174"/>
  <c r="AM129" i="124"/>
  <c r="AM129" i="174" s="1"/>
  <c r="AK129" i="174"/>
  <c r="AO129" i="174" s="1"/>
  <c r="AM88" i="174"/>
  <c r="AK88" i="174"/>
  <c r="AO88" i="174" s="1"/>
  <c r="AM86" i="174"/>
  <c r="AK86" i="174"/>
  <c r="AO86" i="174" s="1"/>
  <c r="AM64" i="174"/>
  <c r="AK64" i="174"/>
  <c r="AO64" i="174" s="1"/>
  <c r="AK56" i="174"/>
  <c r="AO56" i="174" s="1"/>
  <c r="AK140" i="124"/>
  <c r="AJ140" i="174"/>
  <c r="AK137" i="124"/>
  <c r="AJ137" i="174"/>
  <c r="AK131" i="124"/>
  <c r="AJ131" i="174"/>
  <c r="AK126" i="124"/>
  <c r="AJ126" i="174"/>
  <c r="AK125" i="124"/>
  <c r="AJ125" i="174"/>
  <c r="AK123" i="124"/>
  <c r="AJ123" i="174"/>
  <c r="AM67" i="174"/>
  <c r="AK67" i="174"/>
  <c r="AO67" i="174" s="1"/>
  <c r="AM128" i="124"/>
  <c r="AM128" i="174" s="1"/>
  <c r="AK128" i="174"/>
  <c r="AO128" i="174" s="1"/>
  <c r="AK135" i="124"/>
  <c r="AJ135" i="174"/>
  <c r="AM127" i="124"/>
  <c r="AM127" i="174" s="1"/>
  <c r="AK127" i="174"/>
  <c r="AO127" i="174" s="1"/>
  <c r="AM91" i="174"/>
  <c r="AK91" i="174"/>
  <c r="AO91" i="174" s="1"/>
  <c r="AM72" i="174"/>
  <c r="AK72" i="174"/>
  <c r="AO72" i="174" s="1"/>
  <c r="AM70" i="174"/>
  <c r="AK70" i="174"/>
  <c r="AO70" i="174" s="1"/>
  <c r="AM89" i="174"/>
  <c r="AK89" i="174"/>
  <c r="AM80" i="174"/>
  <c r="AK80" i="174"/>
  <c r="AO80" i="174" s="1"/>
  <c r="AK10" i="124"/>
  <c r="AJ10" i="174"/>
  <c r="AJ38" i="124"/>
  <c r="AJ38" i="174" s="1"/>
  <c r="AK38" i="74"/>
  <c r="AM38" i="74" s="1"/>
  <c r="AK9" i="85"/>
  <c r="AM9" i="85" s="1"/>
  <c r="AK8" i="85"/>
  <c r="AM8" i="85" s="1"/>
  <c r="AM7" i="85"/>
  <c r="AM106" i="174"/>
  <c r="AM107" i="174"/>
  <c r="AM108" i="174"/>
  <c r="AM157" i="74"/>
  <c r="AM156" i="74"/>
  <c r="AM155" i="74"/>
  <c r="AM153" i="74"/>
  <c r="AK151" i="74"/>
  <c r="AM152" i="74"/>
  <c r="AM148" i="74"/>
  <c r="AM145" i="74"/>
  <c r="AM144" i="74"/>
  <c r="AM142" i="74"/>
  <c r="AM141" i="74"/>
  <c r="AM140" i="74"/>
  <c r="AM137" i="74"/>
  <c r="AM135" i="74"/>
  <c r="AM131" i="74"/>
  <c r="AM129" i="74"/>
  <c r="AM128" i="74"/>
  <c r="AM127" i="74"/>
  <c r="AM126" i="74"/>
  <c r="AM125" i="74"/>
  <c r="AM123" i="74"/>
  <c r="AM121" i="74"/>
  <c r="AM119" i="74"/>
  <c r="AM118" i="74"/>
  <c r="AM115" i="74"/>
  <c r="AM91" i="74"/>
  <c r="AM89" i="74"/>
  <c r="AM88" i="74"/>
  <c r="AM86" i="74"/>
  <c r="AM82" i="74"/>
  <c r="AM80" i="74"/>
  <c r="AM79" i="74"/>
  <c r="AM77" i="74"/>
  <c r="AM76" i="74"/>
  <c r="AM72" i="74"/>
  <c r="AM70" i="74"/>
  <c r="AM67" i="74"/>
  <c r="AM66" i="74"/>
  <c r="AM64" i="74"/>
  <c r="AM58" i="74"/>
  <c r="AM57" i="74"/>
  <c r="AM56" i="74"/>
  <c r="AM54" i="74"/>
  <c r="AM52" i="74"/>
  <c r="AK50" i="74"/>
  <c r="AM51" i="74"/>
  <c r="AK109" i="74"/>
  <c r="AM110" i="74"/>
  <c r="AK92" i="74"/>
  <c r="AM93" i="74"/>
  <c r="AM94" i="74"/>
  <c r="AM95" i="74"/>
  <c r="AM96" i="74"/>
  <c r="AM97" i="74"/>
  <c r="AM98" i="74"/>
  <c r="AM100" i="74"/>
  <c r="AM101" i="74"/>
  <c r="AM10" i="74"/>
  <c r="AJ30" i="124"/>
  <c r="AK30" i="74"/>
  <c r="AH33" i="124"/>
  <c r="AH33" i="174" s="1"/>
  <c r="AI12" i="124"/>
  <c r="AI12" i="174" s="1"/>
  <c r="AK145" i="124"/>
  <c r="AK117" i="124"/>
  <c r="AK110" i="124"/>
  <c r="AK66" i="124"/>
  <c r="AM66" i="124" s="1"/>
  <c r="AK57" i="124"/>
  <c r="AM57" i="124" s="1"/>
  <c r="AM57" i="174" s="1"/>
  <c r="AK142" i="124"/>
  <c r="AO93" i="174"/>
  <c r="AK113" i="124"/>
  <c r="AK68" i="124"/>
  <c r="AM68" i="124" s="1"/>
  <c r="AK144" i="124"/>
  <c r="AK119" i="124"/>
  <c r="AK54" i="124"/>
  <c r="AM54" i="124" s="1"/>
  <c r="AM54" i="174" s="1"/>
  <c r="AK143" i="124"/>
  <c r="AK141" i="124"/>
  <c r="AK120" i="124"/>
  <c r="AK120" i="174" s="1"/>
  <c r="AK111" i="124"/>
  <c r="AK59" i="124"/>
  <c r="AM59" i="124" s="1"/>
  <c r="AK121" i="124"/>
  <c r="AK118" i="124"/>
  <c r="AK112" i="124"/>
  <c r="AK160" i="174" l="1"/>
  <c r="AM160" i="174" s="1"/>
  <c r="AK159" i="124"/>
  <c r="AM160" i="124"/>
  <c r="AK109" i="124"/>
  <c r="AM92" i="124"/>
  <c r="AK92" i="174"/>
  <c r="AO108" i="174"/>
  <c r="AQ89" i="174"/>
  <c r="AO89" i="174"/>
  <c r="AO105" i="174"/>
  <c r="AM105" i="174"/>
  <c r="AM78" i="174"/>
  <c r="AK78" i="174"/>
  <c r="AO78" i="174" s="1"/>
  <c r="AM83" i="174"/>
  <c r="AK83" i="174"/>
  <c r="AO83" i="174" s="1"/>
  <c r="AK87" i="174"/>
  <c r="AO87" i="174" s="1"/>
  <c r="AM87" i="174"/>
  <c r="AK65" i="174"/>
  <c r="AO65" i="174" s="1"/>
  <c r="AM65" i="174"/>
  <c r="AM81" i="174"/>
  <c r="AK81" i="174"/>
  <c r="AO81" i="174" s="1"/>
  <c r="AJ91" i="175"/>
  <c r="AK92" i="175"/>
  <c r="AJ108" i="175"/>
  <c r="AK109" i="175"/>
  <c r="AK90" i="174"/>
  <c r="AO90" i="174" s="1"/>
  <c r="AM90" i="174"/>
  <c r="AM30" i="175"/>
  <c r="AM38" i="175"/>
  <c r="AM50" i="175"/>
  <c r="AM59" i="174"/>
  <c r="AK59" i="174"/>
  <c r="AO59" i="174" s="1"/>
  <c r="AM143" i="124"/>
  <c r="AM143" i="174" s="1"/>
  <c r="AK143" i="174"/>
  <c r="AM68" i="174"/>
  <c r="AK68" i="174"/>
  <c r="AO68" i="174" s="1"/>
  <c r="AM117" i="124"/>
  <c r="AM117" i="174" s="1"/>
  <c r="AK117" i="174"/>
  <c r="AK30" i="124"/>
  <c r="AK30" i="174" s="1"/>
  <c r="AJ30" i="174"/>
  <c r="AK57" i="174"/>
  <c r="AO57" i="174" s="1"/>
  <c r="AM101" i="174"/>
  <c r="AO101" i="174"/>
  <c r="AM112" i="124"/>
  <c r="AM112" i="174" s="1"/>
  <c r="AK112" i="174"/>
  <c r="AO112" i="174" s="1"/>
  <c r="AM103" i="174"/>
  <c r="AO103" i="174"/>
  <c r="AM96" i="174"/>
  <c r="AO96" i="174"/>
  <c r="AM95" i="174"/>
  <c r="AO95" i="174"/>
  <c r="AM94" i="174"/>
  <c r="AO94" i="174"/>
  <c r="AM99" i="174"/>
  <c r="AO99" i="174"/>
  <c r="AM100" i="174"/>
  <c r="AO100" i="174"/>
  <c r="AM111" i="124"/>
  <c r="AM111" i="174" s="1"/>
  <c r="AK111" i="174"/>
  <c r="AO111" i="174" s="1"/>
  <c r="AM113" i="124"/>
  <c r="AM113" i="174" s="1"/>
  <c r="AK113" i="174"/>
  <c r="AO113" i="174" s="1"/>
  <c r="AM104" i="174"/>
  <c r="AO104" i="174"/>
  <c r="AM102" i="174"/>
  <c r="AO102" i="174"/>
  <c r="AM98" i="174"/>
  <c r="AO98" i="174"/>
  <c r="AM97" i="174"/>
  <c r="AO97" i="174"/>
  <c r="AM110" i="124"/>
  <c r="AM110" i="174" s="1"/>
  <c r="AK110" i="174"/>
  <c r="AO110" i="174" s="1"/>
  <c r="AK54" i="174"/>
  <c r="AO54" i="174" s="1"/>
  <c r="AM118" i="124"/>
  <c r="AM118" i="174" s="1"/>
  <c r="AK118" i="174"/>
  <c r="AO118" i="174" s="1"/>
  <c r="AM141" i="124"/>
  <c r="AM141" i="174" s="1"/>
  <c r="AK141" i="174"/>
  <c r="AM119" i="124"/>
  <c r="AM119" i="174" s="1"/>
  <c r="AK119" i="174"/>
  <c r="AO119" i="174" s="1"/>
  <c r="AM144" i="124"/>
  <c r="AM144" i="174" s="1"/>
  <c r="AK144" i="174"/>
  <c r="AO144" i="174" s="1"/>
  <c r="AM142" i="124"/>
  <c r="AM142" i="174" s="1"/>
  <c r="AK142" i="174"/>
  <c r="AO142" i="174" s="1"/>
  <c r="AM145" i="124"/>
  <c r="AM145" i="174" s="1"/>
  <c r="AK145" i="174"/>
  <c r="AO145" i="174" s="1"/>
  <c r="AM123" i="124"/>
  <c r="AM123" i="174" s="1"/>
  <c r="AK123" i="174"/>
  <c r="AO123" i="174" s="1"/>
  <c r="AM125" i="124"/>
  <c r="AM125" i="174" s="1"/>
  <c r="AK125" i="174"/>
  <c r="AO125" i="174" s="1"/>
  <c r="AM126" i="124"/>
  <c r="AM126" i="174" s="1"/>
  <c r="AK126" i="174"/>
  <c r="AO126" i="174" s="1"/>
  <c r="AM131" i="124"/>
  <c r="AM131" i="174" s="1"/>
  <c r="AK131" i="174"/>
  <c r="AM137" i="124"/>
  <c r="AM137" i="174" s="1"/>
  <c r="AK137" i="174"/>
  <c r="AO137" i="174" s="1"/>
  <c r="AM140" i="124"/>
  <c r="AM140" i="174" s="1"/>
  <c r="AK140" i="174"/>
  <c r="AO140" i="174" s="1"/>
  <c r="AM135" i="124"/>
  <c r="AM135" i="174" s="1"/>
  <c r="AK135" i="174"/>
  <c r="AO135" i="174" s="1"/>
  <c r="AM121" i="124"/>
  <c r="AM121" i="174" s="1"/>
  <c r="AK121" i="174"/>
  <c r="AO121" i="174" s="1"/>
  <c r="AM66" i="174"/>
  <c r="AK66" i="174"/>
  <c r="AO66" i="174" s="1"/>
  <c r="AM10" i="124"/>
  <c r="AM10" i="174" s="1"/>
  <c r="AK10" i="174"/>
  <c r="AK6" i="85"/>
  <c r="AL160" i="85" s="1"/>
  <c r="AL8" i="85"/>
  <c r="AM6" i="85"/>
  <c r="AL12" i="85"/>
  <c r="AL17" i="85"/>
  <c r="AL18" i="85"/>
  <c r="AL21" i="85"/>
  <c r="AL55" i="85"/>
  <c r="AL65" i="85"/>
  <c r="AL68" i="85"/>
  <c r="AL73" i="85"/>
  <c r="AL74" i="85"/>
  <c r="AL85" i="85"/>
  <c r="AL87" i="85"/>
  <c r="AL116" i="85"/>
  <c r="AL117" i="85"/>
  <c r="AL130" i="85"/>
  <c r="AL136" i="85"/>
  <c r="AL138" i="85"/>
  <c r="AL139" i="85"/>
  <c r="AL143" i="85"/>
  <c r="AL146" i="85"/>
  <c r="AL147" i="85"/>
  <c r="AL157" i="85"/>
  <c r="AL152" i="85"/>
  <c r="AL145" i="85"/>
  <c r="AL144" i="85"/>
  <c r="AL142" i="85"/>
  <c r="AL140" i="85"/>
  <c r="AL137" i="85"/>
  <c r="AL128" i="85"/>
  <c r="AL127" i="85"/>
  <c r="AL125" i="85"/>
  <c r="AL123" i="85"/>
  <c r="AL115" i="85"/>
  <c r="AL88" i="85"/>
  <c r="AL86" i="85"/>
  <c r="AL82" i="85"/>
  <c r="AL80" i="85"/>
  <c r="AL79" i="85"/>
  <c r="AL77" i="85"/>
  <c r="AL70" i="85"/>
  <c r="AL67" i="85"/>
  <c r="AL56" i="85"/>
  <c r="AL54" i="85"/>
  <c r="AL52" i="85"/>
  <c r="AL51" i="85"/>
  <c r="AL110" i="85"/>
  <c r="AL112" i="85"/>
  <c r="AL113" i="85"/>
  <c r="AL96" i="85"/>
  <c r="AL97" i="85"/>
  <c r="AL100" i="85"/>
  <c r="AL101" i="85"/>
  <c r="AL103" i="85"/>
  <c r="AL104" i="85"/>
  <c r="AL10" i="85"/>
  <c r="AL27" i="85"/>
  <c r="AL24" i="85"/>
  <c r="AL29" i="85"/>
  <c r="AL23" i="85"/>
  <c r="AL92" i="85"/>
  <c r="AL114" i="85"/>
  <c r="AL151" i="85"/>
  <c r="AL161" i="85"/>
  <c r="AL162" i="85"/>
  <c r="AL163" i="85"/>
  <c r="AM30" i="74"/>
  <c r="AM30" i="124"/>
  <c r="AM30" i="174" s="1"/>
  <c r="AM92" i="74"/>
  <c r="AM109" i="74"/>
  <c r="AM50" i="74"/>
  <c r="AM151" i="74"/>
  <c r="AI33" i="124"/>
  <c r="AI33" i="174" s="1"/>
  <c r="AJ12" i="124"/>
  <c r="AJ12" i="174" s="1"/>
  <c r="AK52" i="124"/>
  <c r="AM93" i="174"/>
  <c r="AO92" i="174"/>
  <c r="AK12" i="124"/>
  <c r="AK12" i="174" s="1"/>
  <c r="AK159" i="174" l="1"/>
  <c r="AM159" i="174" s="1"/>
  <c r="AM159" i="124"/>
  <c r="AL149" i="85"/>
  <c r="AL159" i="85"/>
  <c r="AM109" i="124"/>
  <c r="AK109" i="174"/>
  <c r="AO109" i="174" s="1"/>
  <c r="AR113" i="174"/>
  <c r="AQ113" i="174"/>
  <c r="AO106" i="174"/>
  <c r="AR106" i="174"/>
  <c r="AK52" i="174"/>
  <c r="AQ52" i="174" s="1"/>
  <c r="AM52" i="124"/>
  <c r="AT89" i="174"/>
  <c r="AK108" i="175"/>
  <c r="AM108" i="175" s="1"/>
  <c r="AM109" i="175"/>
  <c r="AK91" i="175"/>
  <c r="AM91" i="175" s="1"/>
  <c r="AM92" i="175"/>
  <c r="AL7" i="85"/>
  <c r="AL61" i="85"/>
  <c r="AM51" i="124"/>
  <c r="AM51" i="174" s="1"/>
  <c r="AK51" i="174"/>
  <c r="AO51" i="174" s="1"/>
  <c r="AM52" i="174"/>
  <c r="AO52" i="174"/>
  <c r="AM92" i="174"/>
  <c r="AL63" i="85"/>
  <c r="AL30" i="85"/>
  <c r="AL99" i="85"/>
  <c r="AL57" i="85"/>
  <c r="AL118" i="85"/>
  <c r="AL148" i="85"/>
  <c r="AL124" i="85"/>
  <c r="AL62" i="85"/>
  <c r="AL25" i="85"/>
  <c r="AL98" i="85"/>
  <c r="AL58" i="85"/>
  <c r="AL121" i="85"/>
  <c r="AL150" i="85"/>
  <c r="AL120" i="85"/>
  <c r="AL60" i="85"/>
  <c r="AL26" i="85"/>
  <c r="AL95" i="85"/>
  <c r="AL76" i="85"/>
  <c r="AL126" i="85"/>
  <c r="AL158" i="85"/>
  <c r="AL90" i="85"/>
  <c r="AL20" i="85"/>
  <c r="AL129" i="85"/>
  <c r="AL153" i="85"/>
  <c r="AL134" i="85"/>
  <c r="AL83" i="85"/>
  <c r="AL33" i="85"/>
  <c r="AL50" i="85"/>
  <c r="AL108" i="85"/>
  <c r="AL94" i="85"/>
  <c r="AL64" i="85"/>
  <c r="AL89" i="85"/>
  <c r="AL131" i="85"/>
  <c r="AL155" i="85"/>
  <c r="AL133" i="85"/>
  <c r="AL81" i="85"/>
  <c r="AL32" i="85"/>
  <c r="AL109" i="85"/>
  <c r="AL107" i="85"/>
  <c r="AL93" i="85"/>
  <c r="AL66" i="85"/>
  <c r="AL91" i="85"/>
  <c r="AL135" i="85"/>
  <c r="AL156" i="85"/>
  <c r="AL132" i="85"/>
  <c r="AL78" i="85"/>
  <c r="AL31" i="85"/>
  <c r="AL28" i="85"/>
  <c r="AL102" i="85"/>
  <c r="AL111" i="85"/>
  <c r="AL72" i="85"/>
  <c r="AL119" i="85"/>
  <c r="AL141" i="85"/>
  <c r="AL154" i="85"/>
  <c r="AL122" i="85"/>
  <c r="AL71" i="85"/>
  <c r="AL19" i="85"/>
  <c r="AL84" i="85"/>
  <c r="AL59" i="85"/>
  <c r="AL106" i="85"/>
  <c r="AL11" i="85"/>
  <c r="AL75" i="85"/>
  <c r="AL53" i="85"/>
  <c r="AL6" i="85"/>
  <c r="AL105" i="85"/>
  <c r="AL69" i="85"/>
  <c r="AL22" i="85"/>
  <c r="AL9" i="85"/>
  <c r="AJ33" i="124"/>
  <c r="AM109" i="174"/>
  <c r="AM12" i="124"/>
  <c r="AM12" i="174" s="1"/>
  <c r="AK33" i="124" l="1"/>
  <c r="AK33" i="174" s="1"/>
  <c r="AJ33" i="174"/>
  <c r="AM33" i="124"/>
  <c r="AM33" i="174" s="1"/>
  <c r="AK38" i="124"/>
  <c r="AK38" i="174" s="1"/>
  <c r="AM38" i="124" l="1"/>
  <c r="AM38" i="174" s="1"/>
  <c r="AK58" i="124" l="1"/>
  <c r="AM58" i="124" s="1"/>
  <c r="AK58" i="174" l="1"/>
  <c r="AO58" i="174" s="1"/>
  <c r="AM58" i="174"/>
  <c r="AK69" i="124" l="1"/>
  <c r="AK69" i="174" l="1"/>
  <c r="AO69" i="174" s="1"/>
  <c r="AM69" i="124"/>
  <c r="AM69" i="174"/>
  <c r="AK146" i="124" l="1"/>
  <c r="AK146" i="174" s="1"/>
  <c r="AK147" i="124"/>
  <c r="AK147" i="174" s="1"/>
  <c r="AK148" i="124"/>
  <c r="AK148" i="174" s="1"/>
  <c r="AO148" i="174" s="1"/>
  <c r="AM146" i="124" l="1"/>
  <c r="AM146" i="174" s="1"/>
  <c r="AM147" i="124"/>
  <c r="AM147" i="174" s="1"/>
  <c r="AM148" i="124"/>
  <c r="AM148" i="174" s="1"/>
  <c r="AD50" i="124" l="1"/>
  <c r="AD50" i="174" l="1"/>
  <c r="AE50" i="124"/>
  <c r="AE50" i="174" l="1"/>
  <c r="AI50" i="124"/>
  <c r="AC50" i="124"/>
  <c r="AB50" i="124"/>
  <c r="AJ50" i="124"/>
  <c r="AA50" i="124"/>
  <c r="AG50" i="124"/>
  <c r="AF50" i="124"/>
  <c r="AH50" i="124"/>
  <c r="Z50" i="124"/>
  <c r="Z50" i="174" l="1"/>
  <c r="AH50" i="174"/>
  <c r="AF50" i="174"/>
  <c r="AG50" i="174"/>
  <c r="AA50" i="174"/>
  <c r="AJ50" i="174"/>
  <c r="AB50" i="174"/>
  <c r="AC50" i="174"/>
  <c r="AI50" i="174"/>
  <c r="Y50" i="124"/>
  <c r="AM55" i="124"/>
  <c r="AM55" i="174" s="1"/>
  <c r="Y50" i="174" l="1"/>
  <c r="AK50" i="124"/>
  <c r="AK50" i="174" s="1"/>
  <c r="AK55" i="174"/>
  <c r="AO55" i="174" s="1"/>
  <c r="AM50" i="124" l="1"/>
  <c r="AM50" i="174" s="1"/>
  <c r="AM156" i="124" l="1"/>
  <c r="AM156" i="174" s="1"/>
  <c r="AM155" i="124"/>
  <c r="AM155" i="174" s="1"/>
  <c r="AM157" i="124"/>
  <c r="AM157" i="174" s="1"/>
  <c r="AM153" i="124"/>
  <c r="AM153" i="174" s="1"/>
  <c r="AM158" i="124" l="1"/>
  <c r="AM158" i="174" s="1"/>
  <c r="AM154" i="124"/>
  <c r="AM154" i="174" s="1"/>
  <c r="T114" i="124" l="1"/>
  <c r="U161" i="124"/>
  <c r="U161" i="174" s="1"/>
  <c r="AM120" i="124"/>
  <c r="AM120" i="174" s="1"/>
  <c r="U350" i="174" l="1"/>
  <c r="U352" i="174"/>
  <c r="T161" i="124"/>
  <c r="T161" i="174" s="1"/>
  <c r="T114" i="174"/>
  <c r="U162" i="124"/>
  <c r="U162" i="174" s="1"/>
  <c r="U164" i="124"/>
  <c r="U164" i="174" s="1"/>
  <c r="U163" i="124"/>
  <c r="U163" i="174" s="1"/>
  <c r="T164" i="124"/>
  <c r="T164" i="174" s="1"/>
  <c r="T162" i="124"/>
  <c r="T162" i="174" s="1"/>
  <c r="T163" i="124"/>
  <c r="T163" i="174" s="1"/>
  <c r="V114" i="124"/>
  <c r="W120" i="124"/>
  <c r="W120" i="174" s="1"/>
  <c r="V114" i="174" l="1"/>
  <c r="V161" i="124"/>
  <c r="V161" i="174" s="1"/>
  <c r="T350" i="174"/>
  <c r="T352" i="174"/>
  <c r="U353" i="174"/>
  <c r="U354" i="174"/>
  <c r="W114" i="124"/>
  <c r="W114" i="174" s="1"/>
  <c r="U355" i="174" l="1"/>
  <c r="U390" i="174"/>
  <c r="T353" i="174"/>
  <c r="T354" i="174"/>
  <c r="W161" i="124"/>
  <c r="W161" i="174" s="1"/>
  <c r="V162" i="124"/>
  <c r="V162" i="174" s="1"/>
  <c r="V163" i="124"/>
  <c r="V163" i="174" s="1"/>
  <c r="V164" i="124"/>
  <c r="V164" i="174" s="1"/>
  <c r="T355" i="174" l="1"/>
  <c r="T390" i="174"/>
  <c r="W164" i="174"/>
  <c r="V165" i="124"/>
  <c r="W165" i="124" s="1"/>
  <c r="W164" i="124"/>
  <c r="W163" i="124"/>
  <c r="W163" i="174" s="1"/>
  <c r="W162" i="124"/>
  <c r="W162" i="174" s="1"/>
  <c r="J161" i="124"/>
  <c r="J161" i="174" s="1"/>
  <c r="J163" i="124"/>
  <c r="J163" i="174" s="1"/>
  <c r="J352" i="174" l="1"/>
  <c r="J350" i="174"/>
  <c r="J164" i="124"/>
  <c r="J164" i="174" s="1"/>
  <c r="J162" i="124"/>
  <c r="J162" i="174" s="1"/>
  <c r="Z42" i="87"/>
  <c r="Z9" i="87" s="1"/>
  <c r="AA42" i="87"/>
  <c r="AA9" i="87" s="1"/>
  <c r="AB42" i="87"/>
  <c r="AB9" i="87" s="1"/>
  <c r="AC42" i="87"/>
  <c r="AC9" i="87" s="1"/>
  <c r="AD42" i="87"/>
  <c r="AD9" i="87" s="1"/>
  <c r="AE42" i="87"/>
  <c r="AE9" i="87" s="1"/>
  <c r="AF42" i="87"/>
  <c r="AF9" i="87" s="1"/>
  <c r="AG42" i="87"/>
  <c r="AG9" i="87" s="1"/>
  <c r="AH42" i="87"/>
  <c r="AH9" i="87" s="1"/>
  <c r="AI42" i="87"/>
  <c r="AI9" i="87" s="1"/>
  <c r="AJ42" i="87"/>
  <c r="AJ9" i="87" s="1"/>
  <c r="Z42" i="68"/>
  <c r="Z9" i="68" s="1"/>
  <c r="AA42" i="68"/>
  <c r="AA9" i="68" s="1"/>
  <c r="AB42" i="68"/>
  <c r="AB9" i="68" s="1"/>
  <c r="AC42" i="68"/>
  <c r="AC9" i="68" s="1"/>
  <c r="AD42" i="68"/>
  <c r="AD9" i="68" s="1"/>
  <c r="AE42" i="68"/>
  <c r="AE9" i="68" s="1"/>
  <c r="AF42" i="68"/>
  <c r="AF9" i="68" s="1"/>
  <c r="AG42" i="68"/>
  <c r="AG9" i="68" s="1"/>
  <c r="AH42" i="68"/>
  <c r="AH9" i="68" s="1"/>
  <c r="AI42" i="68"/>
  <c r="AI9" i="68" s="1"/>
  <c r="AJ42" i="68"/>
  <c r="AJ9" i="68" s="1"/>
  <c r="Z42" i="86"/>
  <c r="AA42" i="86"/>
  <c r="AB42" i="86"/>
  <c r="AC42" i="86"/>
  <c r="AD42" i="86"/>
  <c r="AE42" i="86"/>
  <c r="AF42" i="86"/>
  <c r="AG42" i="86"/>
  <c r="AH42" i="86"/>
  <c r="AI42" i="86"/>
  <c r="AJ42" i="86"/>
  <c r="Z42" i="84"/>
  <c r="Z9" i="84" s="1"/>
  <c r="AA42" i="84"/>
  <c r="AA9" i="84" s="1"/>
  <c r="AB42" i="84"/>
  <c r="AB9" i="84" s="1"/>
  <c r="AC42" i="84"/>
  <c r="AC9" i="84" s="1"/>
  <c r="AD42" i="84"/>
  <c r="AD9" i="84" s="1"/>
  <c r="AE42" i="84"/>
  <c r="AE9" i="84" s="1"/>
  <c r="AF42" i="84"/>
  <c r="AF9" i="84" s="1"/>
  <c r="AG42" i="84"/>
  <c r="AG9" i="84" s="1"/>
  <c r="AH42" i="84"/>
  <c r="AH9" i="84" s="1"/>
  <c r="AI42" i="84"/>
  <c r="AI9" i="84" s="1"/>
  <c r="AJ42" i="84"/>
  <c r="AJ9" i="84" s="1"/>
  <c r="Z42" i="74"/>
  <c r="Z9" i="74" s="1"/>
  <c r="AA42" i="74"/>
  <c r="AA9" i="74" s="1"/>
  <c r="AB42" i="74"/>
  <c r="AB9" i="74" s="1"/>
  <c r="AC42" i="74"/>
  <c r="AC9" i="74" s="1"/>
  <c r="AD42" i="74"/>
  <c r="AD9" i="74" s="1"/>
  <c r="AE42" i="74"/>
  <c r="AE9" i="74" s="1"/>
  <c r="AF42" i="74"/>
  <c r="AF9" i="74" s="1"/>
  <c r="AG42" i="74"/>
  <c r="AG9" i="74" s="1"/>
  <c r="AH42" i="74"/>
  <c r="AH9" i="74" s="1"/>
  <c r="AI42" i="74"/>
  <c r="AI9" i="74" s="1"/>
  <c r="AJ42" i="74"/>
  <c r="AJ9" i="74" s="1"/>
  <c r="Z42" i="83"/>
  <c r="Z9" i="83" s="1"/>
  <c r="AA42" i="83"/>
  <c r="AA9" i="83" s="1"/>
  <c r="AB42" i="83"/>
  <c r="AB9" i="83" s="1"/>
  <c r="AC42" i="83"/>
  <c r="AC9" i="83" s="1"/>
  <c r="AD42" i="83"/>
  <c r="AD9" i="83" s="1"/>
  <c r="AE42" i="83"/>
  <c r="AE9" i="83" s="1"/>
  <c r="AF42" i="83"/>
  <c r="AF9" i="83" s="1"/>
  <c r="AG42" i="83"/>
  <c r="AG9" i="83" s="1"/>
  <c r="AH42" i="83"/>
  <c r="AH9" i="83" s="1"/>
  <c r="AI42" i="83"/>
  <c r="AI9" i="83" s="1"/>
  <c r="AJ42" i="83"/>
  <c r="AJ9" i="83" s="1"/>
  <c r="Y42" i="83"/>
  <c r="Y9" i="83" s="1"/>
  <c r="Y42" i="74"/>
  <c r="Y9" i="74" s="1"/>
  <c r="Y42" i="84"/>
  <c r="Y9" i="84" s="1"/>
  <c r="Y42" i="86"/>
  <c r="Y42" i="68"/>
  <c r="Y9" i="68" s="1"/>
  <c r="Y42" i="87"/>
  <c r="Y9" i="87" s="1"/>
  <c r="Z41" i="87"/>
  <c r="Z8" i="87" s="1"/>
  <c r="AA41" i="87"/>
  <c r="AA8" i="87" s="1"/>
  <c r="AB41" i="87"/>
  <c r="AB8" i="87" s="1"/>
  <c r="AC41" i="87"/>
  <c r="AC8" i="87" s="1"/>
  <c r="AD41" i="87"/>
  <c r="AD8" i="87" s="1"/>
  <c r="AE41" i="87"/>
  <c r="AE8" i="87" s="1"/>
  <c r="AF41" i="87"/>
  <c r="AF8" i="87" s="1"/>
  <c r="AG41" i="87"/>
  <c r="AG8" i="87" s="1"/>
  <c r="AH41" i="87"/>
  <c r="AH8" i="87" s="1"/>
  <c r="AI41" i="87"/>
  <c r="AI8" i="87" s="1"/>
  <c r="AJ41" i="87"/>
  <c r="AJ8" i="87" s="1"/>
  <c r="Z41" i="68"/>
  <c r="Z8" i="68" s="1"/>
  <c r="AA41" i="68"/>
  <c r="AA8" i="68" s="1"/>
  <c r="AB41" i="68"/>
  <c r="AB8" i="68" s="1"/>
  <c r="AC41" i="68"/>
  <c r="AC8" i="68" s="1"/>
  <c r="AD41" i="68"/>
  <c r="AD8" i="68" s="1"/>
  <c r="AE41" i="68"/>
  <c r="AE8" i="68" s="1"/>
  <c r="AF41" i="68"/>
  <c r="AF8" i="68" s="1"/>
  <c r="AG41" i="68"/>
  <c r="AG8" i="68" s="1"/>
  <c r="AH41" i="68"/>
  <c r="AH8" i="68" s="1"/>
  <c r="AI41" i="68"/>
  <c r="AI8" i="68" s="1"/>
  <c r="AJ41" i="68"/>
  <c r="AJ8" i="68" s="1"/>
  <c r="Z41" i="86"/>
  <c r="AA41" i="86"/>
  <c r="AB41" i="86"/>
  <c r="AC41" i="86"/>
  <c r="AD41" i="86"/>
  <c r="AE41" i="86"/>
  <c r="AF41" i="86"/>
  <c r="AG41" i="86"/>
  <c r="AH41" i="86"/>
  <c r="AI41" i="86"/>
  <c r="AJ41" i="86"/>
  <c r="Z41" i="84"/>
  <c r="Z8" i="84" s="1"/>
  <c r="AA41" i="84"/>
  <c r="AA8" i="84" s="1"/>
  <c r="AB41" i="84"/>
  <c r="AB8" i="84" s="1"/>
  <c r="AC41" i="84"/>
  <c r="AC8" i="84" s="1"/>
  <c r="AD41" i="84"/>
  <c r="AD8" i="84" s="1"/>
  <c r="AE41" i="84"/>
  <c r="AE8" i="84" s="1"/>
  <c r="AF41" i="84"/>
  <c r="AF8" i="84" s="1"/>
  <c r="AG41" i="84"/>
  <c r="AG8" i="84" s="1"/>
  <c r="AH41" i="84"/>
  <c r="AH8" i="84" s="1"/>
  <c r="AI8" i="84"/>
  <c r="AJ41" i="84"/>
  <c r="AJ8" i="84" s="1"/>
  <c r="Z41" i="74"/>
  <c r="Z8" i="74" s="1"/>
  <c r="AA41" i="74"/>
  <c r="AA8" i="74" s="1"/>
  <c r="AB41" i="74"/>
  <c r="AB8" i="74" s="1"/>
  <c r="AC41" i="74"/>
  <c r="AC8" i="74" s="1"/>
  <c r="AD41" i="74"/>
  <c r="AD8" i="74" s="1"/>
  <c r="AE41" i="74"/>
  <c r="AE8" i="74" s="1"/>
  <c r="AF41" i="74"/>
  <c r="AF8" i="74" s="1"/>
  <c r="AG41" i="74"/>
  <c r="AG8" i="74" s="1"/>
  <c r="AH41" i="74"/>
  <c r="AH8" i="74" s="1"/>
  <c r="AI41" i="74"/>
  <c r="AI8" i="74" s="1"/>
  <c r="AJ41" i="74"/>
  <c r="AJ8" i="74" s="1"/>
  <c r="Z41" i="83"/>
  <c r="Z8" i="83" s="1"/>
  <c r="AA41" i="83"/>
  <c r="AA8" i="83" s="1"/>
  <c r="AB41" i="83"/>
  <c r="AB8" i="83" s="1"/>
  <c r="AC41" i="83"/>
  <c r="AC8" i="83" s="1"/>
  <c r="AD41" i="83"/>
  <c r="AD8" i="83" s="1"/>
  <c r="AE41" i="83"/>
  <c r="AE8" i="83" s="1"/>
  <c r="AF41" i="83"/>
  <c r="AF8" i="83" s="1"/>
  <c r="AG41" i="83"/>
  <c r="AG8" i="83" s="1"/>
  <c r="AH41" i="83"/>
  <c r="AH8" i="83" s="1"/>
  <c r="AI41" i="83"/>
  <c r="AI8" i="83" s="1"/>
  <c r="AJ41" i="83"/>
  <c r="AJ8" i="83" s="1"/>
  <c r="Y41" i="83"/>
  <c r="Y8" i="83" s="1"/>
  <c r="Y41" i="74"/>
  <c r="Y8" i="74" s="1"/>
  <c r="Y41" i="84"/>
  <c r="Y8" i="84" s="1"/>
  <c r="Y41" i="86"/>
  <c r="Y41" i="68"/>
  <c r="Y8" i="68" s="1"/>
  <c r="Y41" i="87"/>
  <c r="Y8" i="87" s="1"/>
  <c r="Z40" i="68"/>
  <c r="Z7" i="68" s="1"/>
  <c r="AA40" i="68"/>
  <c r="AA7" i="68" s="1"/>
  <c r="AB40" i="68"/>
  <c r="AB7" i="68" s="1"/>
  <c r="AC40" i="68"/>
  <c r="AC7" i="68" s="1"/>
  <c r="AD40" i="68"/>
  <c r="AD7" i="68" s="1"/>
  <c r="AE40" i="68"/>
  <c r="AE7" i="68" s="1"/>
  <c r="AF40" i="68"/>
  <c r="AF7" i="68" s="1"/>
  <c r="AG40" i="68"/>
  <c r="AG7" i="68" s="1"/>
  <c r="AH40" i="68"/>
  <c r="AH7" i="68" s="1"/>
  <c r="AI40" i="68"/>
  <c r="AI7" i="68" s="1"/>
  <c r="AJ40" i="68"/>
  <c r="AJ7" i="68" s="1"/>
  <c r="Z40" i="86"/>
  <c r="AA40" i="86"/>
  <c r="AB40" i="86"/>
  <c r="AC40" i="86"/>
  <c r="AD40" i="86"/>
  <c r="AE40" i="86"/>
  <c r="AF40" i="86"/>
  <c r="AG40" i="86"/>
  <c r="AH40" i="86"/>
  <c r="AI40" i="86"/>
  <c r="AJ40" i="86"/>
  <c r="Z40" i="84"/>
  <c r="Z7" i="84" s="1"/>
  <c r="AA40" i="84"/>
  <c r="AA7" i="84" s="1"/>
  <c r="AB40" i="84"/>
  <c r="AB7" i="84" s="1"/>
  <c r="AC40" i="84"/>
  <c r="AC7" i="84" s="1"/>
  <c r="AD40" i="84"/>
  <c r="AD7" i="84" s="1"/>
  <c r="AE40" i="84"/>
  <c r="AE7" i="84" s="1"/>
  <c r="AF40" i="84"/>
  <c r="AF7" i="84" s="1"/>
  <c r="AG40" i="84"/>
  <c r="AG7" i="84" s="1"/>
  <c r="AH40" i="84"/>
  <c r="AH7" i="84" s="1"/>
  <c r="AI7" i="84"/>
  <c r="AJ40" i="84"/>
  <c r="AJ7" i="84" s="1"/>
  <c r="Z40" i="74"/>
  <c r="Z7" i="74" s="1"/>
  <c r="AA40" i="74"/>
  <c r="AA7" i="74" s="1"/>
  <c r="AB40" i="74"/>
  <c r="AB7" i="74" s="1"/>
  <c r="AC40" i="74"/>
  <c r="AC7" i="74" s="1"/>
  <c r="AD40" i="74"/>
  <c r="AD7" i="74" s="1"/>
  <c r="AE40" i="74"/>
  <c r="AE7" i="74" s="1"/>
  <c r="AF40" i="74"/>
  <c r="AF7" i="74" s="1"/>
  <c r="AG40" i="74"/>
  <c r="AG7" i="74" s="1"/>
  <c r="AH40" i="74"/>
  <c r="AH7" i="74" s="1"/>
  <c r="AI40" i="74"/>
  <c r="AI7" i="74" s="1"/>
  <c r="AJ40" i="74"/>
  <c r="AJ7" i="74" s="1"/>
  <c r="Z40" i="83"/>
  <c r="Z7" i="83" s="1"/>
  <c r="AA40" i="83"/>
  <c r="AA7" i="83" s="1"/>
  <c r="AB40" i="83"/>
  <c r="AB7" i="83" s="1"/>
  <c r="AC40" i="83"/>
  <c r="AC7" i="83" s="1"/>
  <c r="AD40" i="83"/>
  <c r="AD7" i="83" s="1"/>
  <c r="AE40" i="83"/>
  <c r="AE7" i="83" s="1"/>
  <c r="AF40" i="83"/>
  <c r="AF7" i="83" s="1"/>
  <c r="AG40" i="83"/>
  <c r="AG7" i="83" s="1"/>
  <c r="AH40" i="83"/>
  <c r="AH7" i="83" s="1"/>
  <c r="AI40" i="83"/>
  <c r="AI7" i="83" s="1"/>
  <c r="AJ40" i="83"/>
  <c r="AJ7" i="83" s="1"/>
  <c r="Y40" i="83"/>
  <c r="Y7" i="83" s="1"/>
  <c r="Y40" i="74"/>
  <c r="Y7" i="74" s="1"/>
  <c r="Y40" i="84"/>
  <c r="Y7" i="84" s="1"/>
  <c r="Y40" i="86"/>
  <c r="Y40" i="68"/>
  <c r="Y7" i="68" s="1"/>
  <c r="Z40" i="87"/>
  <c r="Z7" i="87" s="1"/>
  <c r="AA40" i="87"/>
  <c r="AA7" i="87" s="1"/>
  <c r="AB40" i="87"/>
  <c r="AB7" i="87" s="1"/>
  <c r="AC40" i="87"/>
  <c r="AC7" i="87" s="1"/>
  <c r="AD40" i="87"/>
  <c r="AD7" i="87" s="1"/>
  <c r="AE40" i="87"/>
  <c r="AE7" i="87" s="1"/>
  <c r="AF40" i="87"/>
  <c r="AF7" i="87" s="1"/>
  <c r="AG40" i="87"/>
  <c r="AG7" i="87" s="1"/>
  <c r="AH40" i="87"/>
  <c r="AH7" i="87" s="1"/>
  <c r="AI40" i="87"/>
  <c r="AI7" i="87" s="1"/>
  <c r="AJ40" i="87"/>
  <c r="AJ7" i="87" s="1"/>
  <c r="Y40" i="87"/>
  <c r="Y7" i="87" s="1"/>
  <c r="J353" i="174" l="1"/>
  <c r="J354" i="174"/>
  <c r="Y7" i="86"/>
  <c r="Y7" i="175" s="1"/>
  <c r="Y40" i="175"/>
  <c r="AJ7" i="86"/>
  <c r="AJ7" i="175" s="1"/>
  <c r="AJ40" i="175"/>
  <c r="AI7" i="86"/>
  <c r="AI7" i="175" s="1"/>
  <c r="AI40" i="175"/>
  <c r="AH7" i="86"/>
  <c r="AH7" i="175" s="1"/>
  <c r="AH40" i="175"/>
  <c r="AG7" i="86"/>
  <c r="AG7" i="175" s="1"/>
  <c r="AG40" i="175"/>
  <c r="AF7" i="86"/>
  <c r="AF7" i="175" s="1"/>
  <c r="AF40" i="175"/>
  <c r="AE7" i="86"/>
  <c r="AE7" i="175" s="1"/>
  <c r="AE40" i="175"/>
  <c r="AD7" i="86"/>
  <c r="AD7" i="175" s="1"/>
  <c r="AD40" i="175"/>
  <c r="AC7" i="86"/>
  <c r="AC7" i="175" s="1"/>
  <c r="AC40" i="175"/>
  <c r="AB7" i="86"/>
  <c r="AB7" i="175" s="1"/>
  <c r="AB40" i="175"/>
  <c r="AA7" i="86"/>
  <c r="AA7" i="175" s="1"/>
  <c r="AA40" i="175"/>
  <c r="Z7" i="86"/>
  <c r="Z40" i="175"/>
  <c r="Y8" i="86"/>
  <c r="Y8" i="175" s="1"/>
  <c r="Y41" i="175"/>
  <c r="AJ8" i="86"/>
  <c r="AJ8" i="175" s="1"/>
  <c r="AJ41" i="175"/>
  <c r="AI8" i="86"/>
  <c r="AI8" i="175" s="1"/>
  <c r="AI41" i="175"/>
  <c r="AH8" i="86"/>
  <c r="AH8" i="175" s="1"/>
  <c r="AH41" i="175"/>
  <c r="AG8" i="86"/>
  <c r="AG8" i="175" s="1"/>
  <c r="AG41" i="175"/>
  <c r="AF8" i="86"/>
  <c r="AF8" i="175" s="1"/>
  <c r="AF41" i="175"/>
  <c r="AE8" i="86"/>
  <c r="AE8" i="175" s="1"/>
  <c r="AE41" i="175"/>
  <c r="AD8" i="86"/>
  <c r="AD8" i="175" s="1"/>
  <c r="AD41" i="175"/>
  <c r="AC8" i="86"/>
  <c r="AC8" i="175" s="1"/>
  <c r="AC41" i="175"/>
  <c r="AB8" i="86"/>
  <c r="AB8" i="175" s="1"/>
  <c r="AB41" i="175"/>
  <c r="AA8" i="86"/>
  <c r="AA8" i="175" s="1"/>
  <c r="AA41" i="175"/>
  <c r="Z8" i="86"/>
  <c r="Z8" i="175" s="1"/>
  <c r="Z41" i="175"/>
  <c r="Y9" i="86"/>
  <c r="Y9" i="175" s="1"/>
  <c r="Y42" i="175"/>
  <c r="AJ9" i="86"/>
  <c r="AJ9" i="175" s="1"/>
  <c r="AJ42" i="175"/>
  <c r="AI9" i="86"/>
  <c r="AI9" i="175" s="1"/>
  <c r="AI42" i="175"/>
  <c r="AH9" i="86"/>
  <c r="AH9" i="175" s="1"/>
  <c r="AH42" i="175"/>
  <c r="AG9" i="86"/>
  <c r="AG9" i="175" s="1"/>
  <c r="AG42" i="175"/>
  <c r="AF9" i="86"/>
  <c r="AF9" i="175" s="1"/>
  <c r="AF42" i="175"/>
  <c r="AE9" i="86"/>
  <c r="AE9" i="175" s="1"/>
  <c r="AE42" i="175"/>
  <c r="AD9" i="86"/>
  <c r="AD9" i="175" s="1"/>
  <c r="AD42" i="175"/>
  <c r="AC9" i="86"/>
  <c r="AC9" i="175" s="1"/>
  <c r="AC42" i="175"/>
  <c r="AB9" i="86"/>
  <c r="AB9" i="175" s="1"/>
  <c r="AB42" i="175"/>
  <c r="AA9" i="86"/>
  <c r="AA9" i="175" s="1"/>
  <c r="AA42" i="175"/>
  <c r="Z9" i="86"/>
  <c r="Z9" i="175" s="1"/>
  <c r="Z42" i="175"/>
  <c r="AJ150" i="87"/>
  <c r="AI150" i="87"/>
  <c r="AH150" i="87"/>
  <c r="AG150" i="87"/>
  <c r="AF150" i="87"/>
  <c r="AE150" i="87"/>
  <c r="AD150" i="87"/>
  <c r="AC150" i="87"/>
  <c r="AB150" i="87"/>
  <c r="Z150" i="87"/>
  <c r="AA150" i="87"/>
  <c r="Z28" i="83"/>
  <c r="AA28" i="83"/>
  <c r="AB28" i="83"/>
  <c r="AC28" i="83"/>
  <c r="AD28" i="83"/>
  <c r="AE28" i="83"/>
  <c r="AF28" i="83"/>
  <c r="AG28" i="83"/>
  <c r="AH28" i="83"/>
  <c r="AI28" i="83"/>
  <c r="AJ28" i="83"/>
  <c r="Z29" i="83"/>
  <c r="AA29" i="83"/>
  <c r="AB29" i="83"/>
  <c r="AC29" i="83"/>
  <c r="AD29" i="83"/>
  <c r="AE29" i="83"/>
  <c r="AF29" i="83"/>
  <c r="AG29" i="83"/>
  <c r="AH29" i="83"/>
  <c r="AI29" i="83"/>
  <c r="AJ29" i="83"/>
  <c r="Y28" i="83"/>
  <c r="Y29" i="83"/>
  <c r="Z28" i="74"/>
  <c r="AA28" i="74"/>
  <c r="AB28" i="74"/>
  <c r="AC28" i="74"/>
  <c r="AD28" i="74"/>
  <c r="AE28" i="74"/>
  <c r="AF28" i="74"/>
  <c r="AG28" i="74"/>
  <c r="AH28" i="74"/>
  <c r="AI28" i="74"/>
  <c r="AJ28" i="74"/>
  <c r="Z29" i="74"/>
  <c r="AA29" i="74"/>
  <c r="AB29" i="74"/>
  <c r="AC29" i="74"/>
  <c r="AD29" i="74"/>
  <c r="AE29" i="74"/>
  <c r="AF29" i="74"/>
  <c r="AG29" i="74"/>
  <c r="AH29" i="74"/>
  <c r="AI29" i="74"/>
  <c r="AJ29" i="74"/>
  <c r="Y28" i="74"/>
  <c r="Y29" i="74"/>
  <c r="Z28" i="84"/>
  <c r="AA28" i="84"/>
  <c r="AB28" i="84"/>
  <c r="AC28" i="84"/>
  <c r="AD28" i="84"/>
  <c r="AE28" i="84"/>
  <c r="AF28" i="84"/>
  <c r="AG28" i="84"/>
  <c r="AH28" i="84"/>
  <c r="AI28" i="84"/>
  <c r="AJ28" i="84"/>
  <c r="Z29" i="84"/>
  <c r="AA29" i="84"/>
  <c r="AB29" i="84"/>
  <c r="AC29" i="84"/>
  <c r="AD29" i="84"/>
  <c r="AE29" i="84"/>
  <c r="AF29" i="84"/>
  <c r="AG29" i="84"/>
  <c r="AH29" i="84"/>
  <c r="AI29" i="84"/>
  <c r="AJ29" i="84"/>
  <c r="Y28" i="84"/>
  <c r="Y29" i="84"/>
  <c r="Z28" i="86"/>
  <c r="AA28" i="86"/>
  <c r="AB28" i="86"/>
  <c r="AC28" i="86"/>
  <c r="AD28" i="86"/>
  <c r="AE28" i="86"/>
  <c r="AF28" i="86"/>
  <c r="AG28" i="86"/>
  <c r="AH28" i="86"/>
  <c r="AI28" i="86"/>
  <c r="AJ28" i="86"/>
  <c r="Z29" i="86"/>
  <c r="AA29" i="86"/>
  <c r="AB29" i="86"/>
  <c r="AC29" i="86"/>
  <c r="AD29" i="86"/>
  <c r="AE29" i="86"/>
  <c r="AF29" i="86"/>
  <c r="AG29" i="86"/>
  <c r="AH29" i="86"/>
  <c r="AI29" i="86"/>
  <c r="AJ29" i="86"/>
  <c r="Y28" i="86"/>
  <c r="Y29" i="86"/>
  <c r="Z28" i="68"/>
  <c r="AA28" i="68"/>
  <c r="AB28" i="68"/>
  <c r="AC28" i="68"/>
  <c r="AD28" i="68"/>
  <c r="AE28" i="68"/>
  <c r="AF28" i="68"/>
  <c r="AG28" i="68"/>
  <c r="AH28" i="68"/>
  <c r="AI28" i="68"/>
  <c r="AJ28" i="68"/>
  <c r="Z29" i="68"/>
  <c r="AA29" i="68"/>
  <c r="AB29" i="68"/>
  <c r="AC29" i="68"/>
  <c r="AD29" i="68"/>
  <c r="AE29" i="68"/>
  <c r="AF29" i="68"/>
  <c r="AG29" i="68"/>
  <c r="AH29" i="68"/>
  <c r="AI29" i="68"/>
  <c r="AJ29" i="68"/>
  <c r="Y28" i="68"/>
  <c r="Y29" i="68"/>
  <c r="Y28" i="87"/>
  <c r="AJ28" i="87"/>
  <c r="AI28" i="87"/>
  <c r="AH28" i="87"/>
  <c r="AG28" i="87"/>
  <c r="AF28" i="87"/>
  <c r="AE28" i="87"/>
  <c r="AD28" i="87"/>
  <c r="AC28" i="87"/>
  <c r="AB28" i="87"/>
  <c r="AA28" i="87"/>
  <c r="Z28" i="87"/>
  <c r="AJ29" i="87"/>
  <c r="AI29" i="87"/>
  <c r="AH29" i="87"/>
  <c r="AG29" i="87"/>
  <c r="AF29" i="87"/>
  <c r="AE29" i="87"/>
  <c r="AD29" i="87"/>
  <c r="AC29" i="87"/>
  <c r="AB29" i="87"/>
  <c r="AA29" i="87"/>
  <c r="Z29" i="87"/>
  <c r="Y29" i="87"/>
  <c r="Y6" i="87"/>
  <c r="AA39" i="83"/>
  <c r="AA25" i="83"/>
  <c r="AA23" i="83"/>
  <c r="AH39" i="68"/>
  <c r="AH25" i="68"/>
  <c r="AH23" i="68"/>
  <c r="AI26" i="68"/>
  <c r="AI24" i="68"/>
  <c r="AE25" i="87"/>
  <c r="AE39" i="87"/>
  <c r="AE23" i="87"/>
  <c r="AE40" i="124"/>
  <c r="AE40" i="174" s="1"/>
  <c r="AI39" i="74"/>
  <c r="AI25" i="74"/>
  <c r="AI23" i="74"/>
  <c r="Y26" i="83"/>
  <c r="Y24" i="83"/>
  <c r="AK41" i="83"/>
  <c r="AF26" i="68"/>
  <c r="AF24" i="68"/>
  <c r="Y27" i="83"/>
  <c r="AK42" i="83"/>
  <c r="AF27" i="68"/>
  <c r="AF37" i="68"/>
  <c r="AA39" i="87"/>
  <c r="AA23" i="87"/>
  <c r="AA25" i="87"/>
  <c r="AA40" i="124"/>
  <c r="AA40" i="174" s="1"/>
  <c r="AF39" i="83"/>
  <c r="AF25" i="83"/>
  <c r="AF23" i="83"/>
  <c r="AE25" i="74"/>
  <c r="AE39" i="74"/>
  <c r="AE23" i="74"/>
  <c r="AD39" i="84"/>
  <c r="AD25" i="84"/>
  <c r="AD23" i="84"/>
  <c r="AB25" i="86"/>
  <c r="AB23" i="86"/>
  <c r="AB39" i="86"/>
  <c r="AA39" i="68"/>
  <c r="AA25" i="68"/>
  <c r="AA23" i="68"/>
  <c r="AG24" i="83"/>
  <c r="AG26" i="83"/>
  <c r="AG36" i="83"/>
  <c r="AF26" i="74"/>
  <c r="AF24" i="74"/>
  <c r="AE24" i="84"/>
  <c r="AE26" i="84"/>
  <c r="AC26" i="86"/>
  <c r="AC24" i="86"/>
  <c r="AB26" i="68"/>
  <c r="AB24" i="68"/>
  <c r="AB36" i="68"/>
  <c r="AA24" i="87"/>
  <c r="AA26" i="87"/>
  <c r="AA41" i="124"/>
  <c r="AA41" i="174" s="1"/>
  <c r="AG27" i="83"/>
  <c r="AF27" i="74"/>
  <c r="AE27" i="84"/>
  <c r="AC27" i="86"/>
  <c r="AB27" i="68"/>
  <c r="AA27" i="87"/>
  <c r="AA42" i="124"/>
  <c r="AA42" i="174" s="1"/>
  <c r="AJ26" i="86"/>
  <c r="AJ24" i="86"/>
  <c r="Z27" i="84"/>
  <c r="AF23" i="86"/>
  <c r="AF39" i="86"/>
  <c r="AF25" i="86"/>
  <c r="AJ24" i="74"/>
  <c r="AJ26" i="74"/>
  <c r="AJ27" i="74"/>
  <c r="Z23" i="87"/>
  <c r="Z25" i="87"/>
  <c r="Z39" i="87"/>
  <c r="Z40" i="124"/>
  <c r="Z40" i="174" s="1"/>
  <c r="AE39" i="83"/>
  <c r="AE25" i="83"/>
  <c r="AE23" i="83"/>
  <c r="AD39" i="74"/>
  <c r="AD25" i="74"/>
  <c r="AD23" i="74"/>
  <c r="AC39" i="84"/>
  <c r="AC23" i="84"/>
  <c r="AC25" i="84"/>
  <c r="AA39" i="86"/>
  <c r="AA25" i="86"/>
  <c r="AA23" i="86"/>
  <c r="Z25" i="68"/>
  <c r="Z23" i="68"/>
  <c r="Z39" i="68"/>
  <c r="AF26" i="83"/>
  <c r="AF24" i="83"/>
  <c r="AF36" i="83"/>
  <c r="AE26" i="74"/>
  <c r="AE24" i="74"/>
  <c r="AD24" i="84"/>
  <c r="AD26" i="84"/>
  <c r="AB26" i="86"/>
  <c r="AB24" i="86"/>
  <c r="AA24" i="68"/>
  <c r="AA26" i="68"/>
  <c r="Z26" i="87"/>
  <c r="Z24" i="87"/>
  <c r="Z41" i="124"/>
  <c r="Z41" i="174" s="1"/>
  <c r="AF27" i="83"/>
  <c r="AF37" i="83"/>
  <c r="AE27" i="74"/>
  <c r="AD27" i="84"/>
  <c r="AB27" i="86"/>
  <c r="AA27" i="68"/>
  <c r="Z27" i="87"/>
  <c r="Z42" i="124"/>
  <c r="Z42" i="174" s="1"/>
  <c r="Y39" i="87"/>
  <c r="Y23" i="87"/>
  <c r="Y25" i="87"/>
  <c r="Y40" i="124"/>
  <c r="Y40" i="174" s="1"/>
  <c r="AK40" i="87"/>
  <c r="AB39" i="84"/>
  <c r="AB25" i="84"/>
  <c r="AB23" i="84"/>
  <c r="AE24" i="83"/>
  <c r="AE26" i="83"/>
  <c r="AD26" i="74"/>
  <c r="AD24" i="74"/>
  <c r="AC26" i="84"/>
  <c r="AC24" i="84"/>
  <c r="Z26" i="68"/>
  <c r="Z24" i="68"/>
  <c r="Y27" i="87"/>
  <c r="AK42" i="87"/>
  <c r="Y42" i="124"/>
  <c r="Y42" i="174" s="1"/>
  <c r="AE27" i="83"/>
  <c r="AE37" i="83"/>
  <c r="AD27" i="74"/>
  <c r="AC27" i="84"/>
  <c r="AA27" i="86"/>
  <c r="Z27" i="68"/>
  <c r="AD39" i="83"/>
  <c r="AD25" i="83"/>
  <c r="AD23" i="83"/>
  <c r="Z39" i="86"/>
  <c r="Z25" i="86"/>
  <c r="Z23" i="86"/>
  <c r="AA26" i="86"/>
  <c r="AA24" i="86"/>
  <c r="AJ24" i="87"/>
  <c r="AJ26" i="87"/>
  <c r="AJ41" i="124"/>
  <c r="AJ41" i="174" s="1"/>
  <c r="Y27" i="68"/>
  <c r="AK42" i="68"/>
  <c r="AD27" i="83"/>
  <c r="AC27" i="74"/>
  <c r="AB27" i="84"/>
  <c r="Z27" i="86"/>
  <c r="AJ27" i="87"/>
  <c r="AJ42" i="124"/>
  <c r="AJ42" i="174" s="1"/>
  <c r="Y25" i="68"/>
  <c r="Y39" i="68"/>
  <c r="Y23" i="68"/>
  <c r="AK40" i="68"/>
  <c r="AC25" i="74"/>
  <c r="AC39" i="74"/>
  <c r="AC23" i="74"/>
  <c r="Y41" i="124"/>
  <c r="Y41" i="174" s="1"/>
  <c r="Y26" i="87"/>
  <c r="Y24" i="87"/>
  <c r="AK41" i="87"/>
  <c r="AJ23" i="87"/>
  <c r="AJ39" i="87"/>
  <c r="AJ25" i="87"/>
  <c r="AJ40" i="124"/>
  <c r="AJ40" i="174" s="1"/>
  <c r="Y25" i="86"/>
  <c r="Y23" i="86"/>
  <c r="Y39" i="86"/>
  <c r="AK40" i="86"/>
  <c r="AC25" i="83"/>
  <c r="AC23" i="83"/>
  <c r="AC39" i="83"/>
  <c r="AB23" i="74"/>
  <c r="AB25" i="74"/>
  <c r="AB39" i="74"/>
  <c r="AA39" i="84"/>
  <c r="AA25" i="84"/>
  <c r="AA23" i="84"/>
  <c r="AJ23" i="68"/>
  <c r="AJ39" i="68"/>
  <c r="AJ25" i="68"/>
  <c r="Y26" i="68"/>
  <c r="Y24" i="68"/>
  <c r="AK41" i="68"/>
  <c r="AD24" i="83"/>
  <c r="AD26" i="83"/>
  <c r="AC26" i="74"/>
  <c r="AC24" i="74"/>
  <c r="AB26" i="84"/>
  <c r="AB24" i="84"/>
  <c r="Z26" i="86"/>
  <c r="Z24" i="86"/>
  <c r="AI39" i="87"/>
  <c r="AI23" i="87"/>
  <c r="AI25" i="87"/>
  <c r="AI40" i="124"/>
  <c r="AI40" i="174" s="1"/>
  <c r="AB23" i="83"/>
  <c r="AB39" i="83"/>
  <c r="AB25" i="83"/>
  <c r="AA23" i="74"/>
  <c r="AA39" i="74"/>
  <c r="AA25" i="74"/>
  <c r="Z39" i="84"/>
  <c r="Z25" i="84"/>
  <c r="Z23" i="84"/>
  <c r="AJ39" i="86"/>
  <c r="AJ25" i="86"/>
  <c r="AJ23" i="86"/>
  <c r="AI39" i="68"/>
  <c r="AI23" i="68"/>
  <c r="AI25" i="68"/>
  <c r="Y24" i="86"/>
  <c r="Y26" i="86"/>
  <c r="AK41" i="86"/>
  <c r="AC26" i="83"/>
  <c r="AC24" i="83"/>
  <c r="AB26" i="74"/>
  <c r="AB24" i="74"/>
  <c r="AA26" i="84"/>
  <c r="AA24" i="84"/>
  <c r="AJ24" i="68"/>
  <c r="AJ26" i="68"/>
  <c r="AI26" i="87"/>
  <c r="AI24" i="87"/>
  <c r="AI41" i="124"/>
  <c r="AI41" i="174" s="1"/>
  <c r="Y27" i="86"/>
  <c r="AK42" i="86"/>
  <c r="AC27" i="83"/>
  <c r="AB27" i="74"/>
  <c r="AA27" i="84"/>
  <c r="AJ27" i="68"/>
  <c r="AI27" i="87"/>
  <c r="AI42" i="124"/>
  <c r="AI42" i="174" s="1"/>
  <c r="Y25" i="84"/>
  <c r="Y23" i="84"/>
  <c r="Y39" i="84"/>
  <c r="AK40" i="84"/>
  <c r="Z24" i="84"/>
  <c r="Z26" i="84"/>
  <c r="AB27" i="83"/>
  <c r="AB37" i="83"/>
  <c r="AG23" i="87"/>
  <c r="AG39" i="87"/>
  <c r="AG25" i="87"/>
  <c r="AG40" i="124"/>
  <c r="AG40" i="174" s="1"/>
  <c r="Y23" i="74"/>
  <c r="Y39" i="74"/>
  <c r="Y25" i="74"/>
  <c r="AK40" i="74"/>
  <c r="Z25" i="83"/>
  <c r="Z23" i="83"/>
  <c r="Z39" i="83"/>
  <c r="AJ25" i="84"/>
  <c r="AJ39" i="84"/>
  <c r="AJ23" i="84"/>
  <c r="AH25" i="86"/>
  <c r="AH39" i="86"/>
  <c r="AH23" i="86"/>
  <c r="AG25" i="68"/>
  <c r="AG39" i="68"/>
  <c r="AG23" i="68"/>
  <c r="Y24" i="84"/>
  <c r="Y26" i="84"/>
  <c r="AK41" i="84"/>
  <c r="AA24" i="83"/>
  <c r="AA26" i="83"/>
  <c r="Z26" i="74"/>
  <c r="Z24" i="74"/>
  <c r="AI24" i="86"/>
  <c r="AI26" i="86"/>
  <c r="AH26" i="68"/>
  <c r="AH24" i="68"/>
  <c r="AG26" i="87"/>
  <c r="AG24" i="87"/>
  <c r="AG41" i="124"/>
  <c r="AG41" i="174" s="1"/>
  <c r="Y27" i="84"/>
  <c r="AK42" i="84"/>
  <c r="AA27" i="83"/>
  <c r="Z27" i="74"/>
  <c r="AI27" i="86"/>
  <c r="AI37" i="86"/>
  <c r="AH27" i="68"/>
  <c r="AG27" i="87"/>
  <c r="AG42" i="124"/>
  <c r="AG42" i="174" s="1"/>
  <c r="AB26" i="83"/>
  <c r="AB24" i="83"/>
  <c r="AF25" i="87"/>
  <c r="AF23" i="87"/>
  <c r="AF39" i="87"/>
  <c r="AF40" i="124"/>
  <c r="AF40" i="174" s="1"/>
  <c r="Y25" i="83"/>
  <c r="Y23" i="83"/>
  <c r="Y39" i="83"/>
  <c r="AK40" i="83"/>
  <c r="AJ25" i="74"/>
  <c r="AJ23" i="74"/>
  <c r="AJ39" i="74"/>
  <c r="AI23" i="84"/>
  <c r="AI39" i="84"/>
  <c r="AI25" i="84"/>
  <c r="AG23" i="86"/>
  <c r="AG39" i="86"/>
  <c r="AG25" i="86"/>
  <c r="AF23" i="68"/>
  <c r="AF25" i="68"/>
  <c r="AF39" i="68"/>
  <c r="Y24" i="74"/>
  <c r="Y26" i="74"/>
  <c r="AK41" i="74"/>
  <c r="Z26" i="83"/>
  <c r="Z24" i="83"/>
  <c r="AJ26" i="84"/>
  <c r="AJ24" i="84"/>
  <c r="AH26" i="86"/>
  <c r="AH24" i="86"/>
  <c r="AG26" i="68"/>
  <c r="AG24" i="68"/>
  <c r="AF26" i="87"/>
  <c r="AF24" i="87"/>
  <c r="AF41" i="124"/>
  <c r="AF41" i="174" s="1"/>
  <c r="Y27" i="74"/>
  <c r="AK42" i="74"/>
  <c r="Z27" i="83"/>
  <c r="AJ27" i="84"/>
  <c r="AH27" i="86"/>
  <c r="AG27" i="68"/>
  <c r="AF27" i="87"/>
  <c r="AF42" i="124"/>
  <c r="AF42" i="174" s="1"/>
  <c r="Z23" i="74"/>
  <c r="Z39" i="74"/>
  <c r="Z25" i="74"/>
  <c r="AA26" i="74"/>
  <c r="AA24" i="74"/>
  <c r="AJ27" i="86"/>
  <c r="AJ39" i="83"/>
  <c r="AJ25" i="83"/>
  <c r="AJ23" i="83"/>
  <c r="AE39" i="68"/>
  <c r="AE23" i="68"/>
  <c r="AE25" i="68"/>
  <c r="AI26" i="84"/>
  <c r="AI24" i="84"/>
  <c r="AE26" i="87"/>
  <c r="AE24" i="87"/>
  <c r="AE41" i="124"/>
  <c r="AE41" i="174" s="1"/>
  <c r="AE27" i="87"/>
  <c r="AE42" i="124"/>
  <c r="AE42" i="174" s="1"/>
  <c r="AD25" i="87"/>
  <c r="AD23" i="87"/>
  <c r="AD39" i="87"/>
  <c r="AD40" i="124"/>
  <c r="AD40" i="174" s="1"/>
  <c r="AI23" i="83"/>
  <c r="AI39" i="83"/>
  <c r="AI25" i="83"/>
  <c r="AH39" i="74"/>
  <c r="AH25" i="74"/>
  <c r="AH23" i="74"/>
  <c r="AG39" i="84"/>
  <c r="AG25" i="84"/>
  <c r="AG23" i="84"/>
  <c r="AE23" i="86"/>
  <c r="AE39" i="86"/>
  <c r="AE25" i="86"/>
  <c r="AD25" i="68"/>
  <c r="AD23" i="68"/>
  <c r="AD39" i="68"/>
  <c r="AJ26" i="83"/>
  <c r="AJ24" i="83"/>
  <c r="AI26" i="74"/>
  <c r="AI24" i="74"/>
  <c r="AH26" i="84"/>
  <c r="AH24" i="84"/>
  <c r="AF26" i="86"/>
  <c r="AF24" i="86"/>
  <c r="AE24" i="68"/>
  <c r="AE26" i="68"/>
  <c r="AD24" i="87"/>
  <c r="AD26" i="87"/>
  <c r="AD41" i="124"/>
  <c r="AD41" i="174" s="1"/>
  <c r="AJ27" i="83"/>
  <c r="AI27" i="74"/>
  <c r="AH27" i="84"/>
  <c r="AF27" i="86"/>
  <c r="AE27" i="68"/>
  <c r="AD27" i="87"/>
  <c r="AD42" i="124"/>
  <c r="AD42" i="174" s="1"/>
  <c r="AH39" i="87"/>
  <c r="AH25" i="87"/>
  <c r="AH23" i="87"/>
  <c r="AH40" i="124"/>
  <c r="AH40" i="174" s="1"/>
  <c r="AI39" i="86"/>
  <c r="AI25" i="86"/>
  <c r="AI25" i="175" s="1"/>
  <c r="AI23" i="86"/>
  <c r="AI23" i="175" s="1"/>
  <c r="AH26" i="87"/>
  <c r="AH24" i="87"/>
  <c r="AH41" i="124"/>
  <c r="AH41" i="174" s="1"/>
  <c r="AI27" i="68"/>
  <c r="AH25" i="84"/>
  <c r="AH23" i="84"/>
  <c r="AH39" i="84"/>
  <c r="AG26" i="86"/>
  <c r="AG24" i="86"/>
  <c r="AG27" i="86"/>
  <c r="AC23" i="87"/>
  <c r="AC25" i="87"/>
  <c r="AC39" i="87"/>
  <c r="AC40" i="124"/>
  <c r="AC40" i="174" s="1"/>
  <c r="AH39" i="83"/>
  <c r="AH25" i="83"/>
  <c r="AH23" i="83"/>
  <c r="AG39" i="74"/>
  <c r="AG25" i="74"/>
  <c r="AG23" i="74"/>
  <c r="AF39" i="84"/>
  <c r="AF25" i="84"/>
  <c r="AF23" i="84"/>
  <c r="AD23" i="86"/>
  <c r="AD23" i="175" s="1"/>
  <c r="AD25" i="86"/>
  <c r="AD25" i="175" s="1"/>
  <c r="AD39" i="86"/>
  <c r="AC39" i="68"/>
  <c r="AC23" i="68"/>
  <c r="AC25" i="68"/>
  <c r="AI26" i="83"/>
  <c r="AI24" i="83"/>
  <c r="AI36" i="83"/>
  <c r="AH26" i="74"/>
  <c r="AH24" i="74"/>
  <c r="AG26" i="84"/>
  <c r="AG24" i="84"/>
  <c r="AE26" i="86"/>
  <c r="AE26" i="175" s="1"/>
  <c r="AE24" i="86"/>
  <c r="AE24" i="175" s="1"/>
  <c r="AD26" i="68"/>
  <c r="AD24" i="68"/>
  <c r="AC24" i="87"/>
  <c r="AC26" i="87"/>
  <c r="AC41" i="124"/>
  <c r="AC41" i="174" s="1"/>
  <c r="AI27" i="83"/>
  <c r="AH27" i="74"/>
  <c r="AG27" i="84"/>
  <c r="AE27" i="86"/>
  <c r="AE27" i="175" s="1"/>
  <c r="AD27" i="68"/>
  <c r="AC27" i="87"/>
  <c r="AC42" i="124"/>
  <c r="AC42" i="174" s="1"/>
  <c r="AA27" i="74"/>
  <c r="AH27" i="87"/>
  <c r="AH42" i="124"/>
  <c r="AH42" i="174" s="1"/>
  <c r="AI27" i="84"/>
  <c r="AB25" i="87"/>
  <c r="AB23" i="87"/>
  <c r="AB39" i="87"/>
  <c r="AB40" i="124"/>
  <c r="AB40" i="174" s="1"/>
  <c r="AG23" i="83"/>
  <c r="AG39" i="83"/>
  <c r="AG25" i="83"/>
  <c r="AF39" i="74"/>
  <c r="AF23" i="74"/>
  <c r="AF25" i="74"/>
  <c r="AE39" i="84"/>
  <c r="AE25" i="84"/>
  <c r="AE23" i="84"/>
  <c r="AC25" i="86"/>
  <c r="AC25" i="175" s="1"/>
  <c r="AC23" i="86"/>
  <c r="AC23" i="175" s="1"/>
  <c r="AC39" i="86"/>
  <c r="AB25" i="68"/>
  <c r="AB39" i="68"/>
  <c r="AB23" i="68"/>
  <c r="AH26" i="83"/>
  <c r="AH24" i="83"/>
  <c r="AG26" i="74"/>
  <c r="AG24" i="74"/>
  <c r="AF26" i="84"/>
  <c r="AF24" i="84"/>
  <c r="AD26" i="86"/>
  <c r="AD26" i="175" s="1"/>
  <c r="AD24" i="86"/>
  <c r="AD24" i="175" s="1"/>
  <c r="AC24" i="68"/>
  <c r="AC26" i="68"/>
  <c r="AB24" i="87"/>
  <c r="AB26" i="87"/>
  <c r="AB41" i="124"/>
  <c r="AB41" i="174" s="1"/>
  <c r="AH27" i="83"/>
  <c r="AG27" i="74"/>
  <c r="AF27" i="84"/>
  <c r="AD27" i="86"/>
  <c r="AD27" i="175" s="1"/>
  <c r="AC27" i="68"/>
  <c r="AB27" i="87"/>
  <c r="AB42" i="124"/>
  <c r="AB42" i="174" s="1"/>
  <c r="Z7" i="175" l="1"/>
  <c r="Z150" i="86"/>
  <c r="AC39" i="175"/>
  <c r="AD39" i="175"/>
  <c r="AI39" i="175"/>
  <c r="J355" i="174"/>
  <c r="J390" i="174"/>
  <c r="AG24" i="175"/>
  <c r="AF24" i="175"/>
  <c r="AE39" i="175"/>
  <c r="AE23" i="175"/>
  <c r="AH24" i="175"/>
  <c r="AG39" i="175"/>
  <c r="AG23" i="175"/>
  <c r="AI24" i="175"/>
  <c r="AH23" i="175"/>
  <c r="AH39" i="175"/>
  <c r="Y24" i="175"/>
  <c r="AJ23" i="175"/>
  <c r="AJ39" i="175"/>
  <c r="Z24" i="175"/>
  <c r="Y39" i="175"/>
  <c r="Y23" i="175"/>
  <c r="AA24" i="175"/>
  <c r="Z23" i="175"/>
  <c r="Z39" i="175"/>
  <c r="AB24" i="175"/>
  <c r="AA23" i="175"/>
  <c r="AA39" i="175"/>
  <c r="AF39" i="175"/>
  <c r="AF23" i="175"/>
  <c r="AJ24" i="175"/>
  <c r="AC24" i="175"/>
  <c r="AB39" i="175"/>
  <c r="AB23" i="175"/>
  <c r="Y29" i="175"/>
  <c r="Y28" i="175"/>
  <c r="AJ29" i="175"/>
  <c r="AI29" i="175"/>
  <c r="AH29" i="175"/>
  <c r="AG29" i="175"/>
  <c r="AF29" i="175"/>
  <c r="AE29" i="175"/>
  <c r="AD29" i="175"/>
  <c r="AC29" i="175"/>
  <c r="AB29" i="175"/>
  <c r="AA29" i="175"/>
  <c r="Z29" i="175"/>
  <c r="AJ28" i="175"/>
  <c r="AI28" i="175"/>
  <c r="AH28" i="175"/>
  <c r="AG28" i="175"/>
  <c r="AF28" i="175"/>
  <c r="AE28" i="175"/>
  <c r="AD28" i="175"/>
  <c r="AC28" i="175"/>
  <c r="AB28" i="175"/>
  <c r="AA28" i="175"/>
  <c r="Z28" i="175"/>
  <c r="AK42" i="175"/>
  <c r="AK9" i="175"/>
  <c r="AK41" i="175"/>
  <c r="AK8" i="175"/>
  <c r="Z6" i="175"/>
  <c r="AA6" i="175"/>
  <c r="AB6" i="175"/>
  <c r="AC6" i="175"/>
  <c r="AD6" i="175"/>
  <c r="AE6" i="175"/>
  <c r="AF6" i="175"/>
  <c r="AG6" i="175"/>
  <c r="AH6" i="175"/>
  <c r="AI6" i="175"/>
  <c r="AJ6" i="175"/>
  <c r="AK40" i="175"/>
  <c r="Y6" i="175"/>
  <c r="AK7" i="175"/>
  <c r="AG27" i="175"/>
  <c r="AG26" i="175"/>
  <c r="AF27" i="175"/>
  <c r="AF26" i="175"/>
  <c r="AE25" i="175"/>
  <c r="AJ27" i="175"/>
  <c r="AH27" i="175"/>
  <c r="AH26" i="175"/>
  <c r="AG25" i="175"/>
  <c r="AI27" i="175"/>
  <c r="AI26" i="175"/>
  <c r="AH25" i="175"/>
  <c r="Y27" i="175"/>
  <c r="Y26" i="175"/>
  <c r="AJ25" i="175"/>
  <c r="Z26" i="175"/>
  <c r="Y25" i="175"/>
  <c r="Z27" i="175"/>
  <c r="AA26" i="175"/>
  <c r="Z25" i="175"/>
  <c r="AA27" i="175"/>
  <c r="AB27" i="175"/>
  <c r="AB26" i="175"/>
  <c r="AA25" i="175"/>
  <c r="AF25" i="175"/>
  <c r="AJ26" i="175"/>
  <c r="AC27" i="175"/>
  <c r="AC26" i="175"/>
  <c r="AB25" i="175"/>
  <c r="AJ150" i="68"/>
  <c r="AI150" i="68"/>
  <c r="AH150" i="68"/>
  <c r="AG150" i="68"/>
  <c r="AF150" i="68"/>
  <c r="AE150" i="68"/>
  <c r="AD150" i="68"/>
  <c r="AC150" i="68"/>
  <c r="AB150" i="68"/>
  <c r="AA150" i="68"/>
  <c r="Z150" i="68"/>
  <c r="AJ150" i="86"/>
  <c r="AI150" i="86"/>
  <c r="AH150" i="86"/>
  <c r="AG150" i="86"/>
  <c r="AF150" i="86"/>
  <c r="AE150" i="86"/>
  <c r="AD150" i="86"/>
  <c r="AC150" i="86"/>
  <c r="AB150" i="86"/>
  <c r="AA150" i="86"/>
  <c r="AJ150" i="84"/>
  <c r="AI150" i="84"/>
  <c r="AH150" i="84"/>
  <c r="AG150" i="84"/>
  <c r="AF150" i="84"/>
  <c r="AE150" i="84"/>
  <c r="AD150" i="84"/>
  <c r="AC150" i="84"/>
  <c r="AB150" i="84"/>
  <c r="AA150" i="84"/>
  <c r="Z150" i="84"/>
  <c r="AJ150" i="74"/>
  <c r="AI150" i="74"/>
  <c r="AH150" i="74"/>
  <c r="AG150" i="74"/>
  <c r="AF150" i="74"/>
  <c r="AE150" i="74"/>
  <c r="AD150" i="74"/>
  <c r="AC150" i="74"/>
  <c r="AB150" i="74"/>
  <c r="AA150" i="74"/>
  <c r="Z150" i="74"/>
  <c r="AJ150" i="83"/>
  <c r="AI150" i="83"/>
  <c r="AH150" i="83"/>
  <c r="AG150" i="83"/>
  <c r="AF150" i="83"/>
  <c r="AE150" i="83"/>
  <c r="AD150" i="83"/>
  <c r="AC150" i="83"/>
  <c r="AB150" i="83"/>
  <c r="AA150" i="83"/>
  <c r="Z150" i="83"/>
  <c r="Y150" i="87"/>
  <c r="AE16" i="83"/>
  <c r="AI15" i="83"/>
  <c r="AF16" i="68"/>
  <c r="AI16" i="86"/>
  <c r="AB16" i="83"/>
  <c r="AF16" i="83"/>
  <c r="AB15" i="68"/>
  <c r="AF15" i="83"/>
  <c r="AG15" i="83"/>
  <c r="AK24" i="83"/>
  <c r="AI37" i="68"/>
  <c r="AI16" i="68" s="1"/>
  <c r="AJ36" i="68"/>
  <c r="AJ15" i="68" s="1"/>
  <c r="AC37" i="84"/>
  <c r="AC16" i="84" s="1"/>
  <c r="AB36" i="86"/>
  <c r="AE36" i="84"/>
  <c r="AE15" i="84" s="1"/>
  <c r="AG37" i="74"/>
  <c r="AG16" i="74" s="1"/>
  <c r="AH36" i="84"/>
  <c r="AH15" i="84" s="1"/>
  <c r="Z36" i="83"/>
  <c r="Z15" i="83" s="1"/>
  <c r="AH37" i="83"/>
  <c r="AH16" i="83" s="1"/>
  <c r="AK26" i="83"/>
  <c r="AM26" i="83" s="1"/>
  <c r="AH37" i="86"/>
  <c r="AC36" i="74"/>
  <c r="AC15" i="74" s="1"/>
  <c r="AD37" i="84"/>
  <c r="AD16" i="84" s="1"/>
  <c r="AB37" i="68"/>
  <c r="AB16" i="68" s="1"/>
  <c r="AA36" i="74"/>
  <c r="AA15" i="74" s="1"/>
  <c r="AJ36" i="86"/>
  <c r="AI36" i="68"/>
  <c r="AI15" i="68" s="1"/>
  <c r="AF36" i="74"/>
  <c r="AF15" i="74" s="1"/>
  <c r="AD37" i="86"/>
  <c r="AJ37" i="83"/>
  <c r="AJ16" i="83" s="1"/>
  <c r="AB37" i="74"/>
  <c r="AB16" i="74" s="1"/>
  <c r="AC37" i="86"/>
  <c r="AA36" i="83"/>
  <c r="AA15" i="83" s="1"/>
  <c r="AD37" i="83"/>
  <c r="AD16" i="83" s="1"/>
  <c r="AC36" i="84"/>
  <c r="AC15" i="84" s="1"/>
  <c r="AJ37" i="74"/>
  <c r="AJ16" i="74" s="1"/>
  <c r="AC6" i="86"/>
  <c r="AC23" i="124"/>
  <c r="AC23" i="174" s="1"/>
  <c r="AD24" i="124"/>
  <c r="AD24" i="174" s="1"/>
  <c r="AM24" i="83"/>
  <c r="AE29" i="124"/>
  <c r="AE29" i="174" s="1"/>
  <c r="AA36" i="87"/>
  <c r="AA15" i="87" s="1"/>
  <c r="AA8" i="124"/>
  <c r="AA8" i="174" s="1"/>
  <c r="AH29" i="124"/>
  <c r="AH29" i="174" s="1"/>
  <c r="AG6" i="87"/>
  <c r="AG114" i="87" s="1"/>
  <c r="AG161" i="87" s="1"/>
  <c r="AG7" i="124"/>
  <c r="AG7" i="174" s="1"/>
  <c r="AK23" i="86"/>
  <c r="Y29" i="124"/>
  <c r="Y29" i="174" s="1"/>
  <c r="AK29" i="87"/>
  <c r="AD37" i="74"/>
  <c r="AD16" i="74" s="1"/>
  <c r="AA37" i="68"/>
  <c r="AA16" i="68" s="1"/>
  <c r="Z6" i="68"/>
  <c r="AE37" i="84"/>
  <c r="AE16" i="84" s="1"/>
  <c r="AB6" i="86"/>
  <c r="AK8" i="83"/>
  <c r="AB37" i="87"/>
  <c r="AB16" i="87" s="1"/>
  <c r="AB9" i="124"/>
  <c r="AB9" i="174" s="1"/>
  <c r="AB29" i="124"/>
  <c r="AB29" i="174" s="1"/>
  <c r="AF36" i="84"/>
  <c r="AF15" i="84" s="1"/>
  <c r="AC29" i="124"/>
  <c r="AC29" i="174" s="1"/>
  <c r="AH23" i="124"/>
  <c r="AH23" i="174" s="1"/>
  <c r="AE36" i="68"/>
  <c r="AE15" i="68" s="1"/>
  <c r="AK29" i="83"/>
  <c r="AI36" i="84"/>
  <c r="AI15" i="84" s="1"/>
  <c r="AH36" i="86"/>
  <c r="AI6" i="84"/>
  <c r="AF7" i="124"/>
  <c r="AF7" i="174" s="1"/>
  <c r="AF6" i="87"/>
  <c r="AF114" i="87" s="1"/>
  <c r="AF161" i="87" s="1"/>
  <c r="AI36" i="86"/>
  <c r="AJ6" i="84"/>
  <c r="AK39" i="84"/>
  <c r="AL42" i="84" s="1"/>
  <c r="AJ37" i="68"/>
  <c r="AJ16" i="68" s="1"/>
  <c r="AK9" i="86"/>
  <c r="AK25" i="86"/>
  <c r="Z36" i="86"/>
  <c r="AC6" i="83"/>
  <c r="AK41" i="124"/>
  <c r="AK41" i="174" s="1"/>
  <c r="AM40" i="68"/>
  <c r="AC37" i="74"/>
  <c r="AC16" i="74" s="1"/>
  <c r="AJ29" i="124"/>
  <c r="AJ29" i="174" s="1"/>
  <c r="AA36" i="86"/>
  <c r="Z36" i="68"/>
  <c r="Z15" i="68" s="1"/>
  <c r="AE36" i="74"/>
  <c r="AE15" i="74" s="1"/>
  <c r="AJ36" i="74"/>
  <c r="AJ15" i="74" s="1"/>
  <c r="Z37" i="84"/>
  <c r="Z16" i="84" s="1"/>
  <c r="AA24" i="124"/>
  <c r="AA24" i="174" s="1"/>
  <c r="AB24" i="124"/>
  <c r="AB24" i="174" s="1"/>
  <c r="AK27" i="74"/>
  <c r="AI27" i="124"/>
  <c r="AI27" i="174" s="1"/>
  <c r="AB36" i="74"/>
  <c r="AB15" i="74" s="1"/>
  <c r="AD36" i="74"/>
  <c r="AD15" i="74" s="1"/>
  <c r="Y39" i="124"/>
  <c r="Y160" i="173" s="1"/>
  <c r="AK39" i="87"/>
  <c r="AL41" i="87" s="1"/>
  <c r="AA26" i="124"/>
  <c r="AA26" i="174" s="1"/>
  <c r="AC36" i="68"/>
  <c r="AC15" i="68" s="1"/>
  <c r="AH37" i="87"/>
  <c r="AH16" i="87" s="1"/>
  <c r="AH9" i="124"/>
  <c r="AH9" i="174" s="1"/>
  <c r="AC24" i="124"/>
  <c r="AC24" i="174" s="1"/>
  <c r="AG36" i="84"/>
  <c r="AG15" i="84" s="1"/>
  <c r="AI6" i="86"/>
  <c r="AH25" i="124"/>
  <c r="AH25" i="174" s="1"/>
  <c r="AD27" i="124"/>
  <c r="AD27" i="174" s="1"/>
  <c r="AI37" i="74"/>
  <c r="AI16" i="74" s="1"/>
  <c r="AD6" i="87"/>
  <c r="AD114" i="87" s="1"/>
  <c r="AD161" i="87" s="1"/>
  <c r="AD7" i="124"/>
  <c r="AD7" i="174" s="1"/>
  <c r="AJ6" i="83"/>
  <c r="AM40" i="74"/>
  <c r="AK26" i="68"/>
  <c r="AK39" i="86"/>
  <c r="AL40" i="86" s="1"/>
  <c r="AJ9" i="124"/>
  <c r="AJ9" i="174" s="1"/>
  <c r="AJ37" i="87"/>
  <c r="AJ16" i="87" s="1"/>
  <c r="AJ26" i="124"/>
  <c r="AJ26" i="174" s="1"/>
  <c r="AD6" i="83"/>
  <c r="AC6" i="84"/>
  <c r="AD6" i="74"/>
  <c r="AA9" i="124"/>
  <c r="AA9" i="174" s="1"/>
  <c r="AA37" i="87"/>
  <c r="AA16" i="87" s="1"/>
  <c r="AA29" i="124"/>
  <c r="AA29" i="174" s="1"/>
  <c r="AM41" i="83"/>
  <c r="AB26" i="124"/>
  <c r="AB26" i="174" s="1"/>
  <c r="Y26" i="124"/>
  <c r="Y26" i="174" s="1"/>
  <c r="AK26" i="87"/>
  <c r="AB27" i="124"/>
  <c r="AB27" i="174" s="1"/>
  <c r="AB6" i="87"/>
  <c r="AB114" i="87" s="1"/>
  <c r="AB161" i="87" s="1"/>
  <c r="AB7" i="124"/>
  <c r="AB7" i="174" s="1"/>
  <c r="AC9" i="124"/>
  <c r="AC9" i="174" s="1"/>
  <c r="AC37" i="87"/>
  <c r="AC16" i="87" s="1"/>
  <c r="AH6" i="84"/>
  <c r="AH28" i="124"/>
  <c r="AH28" i="174" s="1"/>
  <c r="AD6" i="68"/>
  <c r="Y6" i="83"/>
  <c r="AK7" i="83"/>
  <c r="AF162" i="87"/>
  <c r="AF163" i="87" s="1"/>
  <c r="AF39" i="124"/>
  <c r="AF160" i="173" s="1"/>
  <c r="AG8" i="124"/>
  <c r="AG8" i="174" s="1"/>
  <c r="AG36" i="87"/>
  <c r="AG15" i="87" s="1"/>
  <c r="AK23" i="84"/>
  <c r="AG25" i="124"/>
  <c r="AG25" i="174" s="1"/>
  <c r="Z36" i="84"/>
  <c r="Z15" i="84" s="1"/>
  <c r="AK27" i="68"/>
  <c r="AM42" i="86"/>
  <c r="AK29" i="68"/>
  <c r="AC36" i="83"/>
  <c r="AC15" i="83" s="1"/>
  <c r="AI6" i="68"/>
  <c r="AK28" i="86"/>
  <c r="AI7" i="124"/>
  <c r="AI7" i="174" s="1"/>
  <c r="AI6" i="87"/>
  <c r="AI114" i="87" s="1"/>
  <c r="AI161" i="87" s="1"/>
  <c r="AD36" i="83"/>
  <c r="AD15" i="83" s="1"/>
  <c r="AJ7" i="124"/>
  <c r="AJ7" i="174" s="1"/>
  <c r="AJ6" i="87"/>
  <c r="AJ114" i="87" s="1"/>
  <c r="AJ161" i="87" s="1"/>
  <c r="AJ24" i="124"/>
  <c r="AJ24" i="174" s="1"/>
  <c r="Z37" i="68"/>
  <c r="Z16" i="68" s="1"/>
  <c r="AE36" i="83"/>
  <c r="AE15" i="83" s="1"/>
  <c r="AB37" i="86"/>
  <c r="Z39" i="124"/>
  <c r="Z160" i="173" s="1"/>
  <c r="AF6" i="86"/>
  <c r="AF37" i="74"/>
  <c r="AF16" i="74" s="1"/>
  <c r="AK9" i="83"/>
  <c r="AG6" i="68"/>
  <c r="AM40" i="84"/>
  <c r="AF6" i="74"/>
  <c r="AH27" i="124"/>
  <c r="AH27" i="174" s="1"/>
  <c r="AC27" i="124"/>
  <c r="AC27" i="174" s="1"/>
  <c r="AH37" i="74"/>
  <c r="AH16" i="74" s="1"/>
  <c r="AD36" i="68"/>
  <c r="AD15" i="68" s="1"/>
  <c r="AG6" i="74"/>
  <c r="AH39" i="124"/>
  <c r="AH160" i="173" s="1"/>
  <c r="AE37" i="68"/>
  <c r="AE16" i="68" s="1"/>
  <c r="AI36" i="74"/>
  <c r="AI15" i="74" s="1"/>
  <c r="AE37" i="87"/>
  <c r="AE16" i="87" s="1"/>
  <c r="AE9" i="124"/>
  <c r="AE9" i="174" s="1"/>
  <c r="AK23" i="83"/>
  <c r="AJ37" i="84"/>
  <c r="AJ16" i="84" s="1"/>
  <c r="AF8" i="124"/>
  <c r="AF8" i="174" s="1"/>
  <c r="AF36" i="87"/>
  <c r="AF15" i="87" s="1"/>
  <c r="AM41" i="74"/>
  <c r="AF28" i="124"/>
  <c r="AF28" i="174" s="1"/>
  <c r="AK8" i="84"/>
  <c r="AK28" i="84"/>
  <c r="Y6" i="74"/>
  <c r="AK7" i="74"/>
  <c r="AG162" i="87"/>
  <c r="AG163" i="87" s="1"/>
  <c r="AG39" i="124"/>
  <c r="AG160" i="173" s="1"/>
  <c r="AA37" i="84"/>
  <c r="AA16" i="84" s="1"/>
  <c r="AK24" i="68"/>
  <c r="AA6" i="74"/>
  <c r="AJ6" i="68"/>
  <c r="AC6" i="74"/>
  <c r="AJ27" i="124"/>
  <c r="AJ27" i="174" s="1"/>
  <c r="Z25" i="124"/>
  <c r="Z25" i="174" s="1"/>
  <c r="AA27" i="124"/>
  <c r="AA27" i="174" s="1"/>
  <c r="AE6" i="87"/>
  <c r="AE114" i="87" s="1"/>
  <c r="AE161" i="87" s="1"/>
  <c r="AE7" i="124"/>
  <c r="AE7" i="174" s="1"/>
  <c r="AA6" i="83"/>
  <c r="Y23" i="124"/>
  <c r="Y23" i="174" s="1"/>
  <c r="AK23" i="87"/>
  <c r="AB6" i="68"/>
  <c r="AA37" i="74"/>
  <c r="AA16" i="74" s="1"/>
  <c r="AD37" i="68"/>
  <c r="AD16" i="68" s="1"/>
  <c r="AI37" i="83"/>
  <c r="AI16" i="83" s="1"/>
  <c r="AC6" i="68"/>
  <c r="AC7" i="124"/>
  <c r="AC7" i="174" s="1"/>
  <c r="AC6" i="87"/>
  <c r="AC114" i="87" s="1"/>
  <c r="AC161" i="87" s="1"/>
  <c r="AK27" i="83"/>
  <c r="AG6" i="84"/>
  <c r="AH6" i="74"/>
  <c r="AE27" i="124"/>
  <c r="AE27" i="174" s="1"/>
  <c r="AK25" i="83"/>
  <c r="AK27" i="84"/>
  <c r="AF24" i="124"/>
  <c r="AF24" i="174" s="1"/>
  <c r="AK8" i="74"/>
  <c r="AM40" i="83"/>
  <c r="AF23" i="124"/>
  <c r="AF23" i="174" s="1"/>
  <c r="Z37" i="74"/>
  <c r="Z16" i="74" s="1"/>
  <c r="AG24" i="124"/>
  <c r="AG24" i="174" s="1"/>
  <c r="AG23" i="124"/>
  <c r="AG23" i="174" s="1"/>
  <c r="AA36" i="84"/>
  <c r="AA15" i="84" s="1"/>
  <c r="Z6" i="84"/>
  <c r="AK28" i="68"/>
  <c r="Z37" i="86"/>
  <c r="AA37" i="86"/>
  <c r="AK42" i="124"/>
  <c r="AK42" i="174" s="1"/>
  <c r="Z36" i="87"/>
  <c r="Z15" i="87" s="1"/>
  <c r="Z8" i="124"/>
  <c r="Z8" i="174" s="1"/>
  <c r="AE6" i="83"/>
  <c r="Z23" i="124"/>
  <c r="Z23" i="174" s="1"/>
  <c r="AG37" i="83"/>
  <c r="AG16" i="83" s="1"/>
  <c r="AA6" i="68"/>
  <c r="AM42" i="83"/>
  <c r="AH26" i="124"/>
  <c r="AH26" i="174" s="1"/>
  <c r="AJ6" i="86"/>
  <c r="Y27" i="124"/>
  <c r="Y27" i="174" s="1"/>
  <c r="AK27" i="87"/>
  <c r="AD6" i="86"/>
  <c r="AD29" i="124"/>
  <c r="AD29" i="174" s="1"/>
  <c r="AC37" i="68"/>
  <c r="AC16" i="68" s="1"/>
  <c r="AG36" i="74"/>
  <c r="AG15" i="74" s="1"/>
  <c r="AE6" i="84"/>
  <c r="AH36" i="74"/>
  <c r="AH15" i="74" s="1"/>
  <c r="AG37" i="86"/>
  <c r="AF37" i="86"/>
  <c r="AF36" i="86"/>
  <c r="AD162" i="87"/>
  <c r="AD163" i="87" s="1"/>
  <c r="AD39" i="124"/>
  <c r="AD160" i="173" s="1"/>
  <c r="AE36" i="87"/>
  <c r="AE15" i="87" s="1"/>
  <c r="AE8" i="124"/>
  <c r="AE8" i="174" s="1"/>
  <c r="AK28" i="83"/>
  <c r="AF9" i="124"/>
  <c r="AF9" i="174" s="1"/>
  <c r="AF37" i="87"/>
  <c r="AF16" i="87" s="1"/>
  <c r="Z37" i="83"/>
  <c r="Z16" i="83" s="1"/>
  <c r="AF29" i="124"/>
  <c r="AF29" i="174" s="1"/>
  <c r="AJ36" i="84"/>
  <c r="AJ15" i="84" s="1"/>
  <c r="AG6" i="86"/>
  <c r="AF25" i="124"/>
  <c r="AF25" i="174" s="1"/>
  <c r="AG9" i="124"/>
  <c r="AG9" i="174" s="1"/>
  <c r="AG37" i="87"/>
  <c r="AG16" i="87" s="1"/>
  <c r="AA37" i="83"/>
  <c r="AA16" i="83" s="1"/>
  <c r="AG29" i="124"/>
  <c r="AG29" i="174" s="1"/>
  <c r="AM41" i="84"/>
  <c r="AK25" i="84"/>
  <c r="AK25" i="74"/>
  <c r="AG28" i="124"/>
  <c r="AG28" i="174" s="1"/>
  <c r="AI25" i="124"/>
  <c r="AI25" i="174" s="1"/>
  <c r="AB36" i="84"/>
  <c r="AB15" i="84" s="1"/>
  <c r="AK25" i="68"/>
  <c r="AK9" i="68"/>
  <c r="AM40" i="87"/>
  <c r="Z28" i="124"/>
  <c r="Z28" i="174" s="1"/>
  <c r="AK24" i="86"/>
  <c r="AA6" i="87"/>
  <c r="AA114" i="87" s="1"/>
  <c r="AA161" i="87" s="1"/>
  <c r="AA7" i="124"/>
  <c r="AA7" i="174" s="1"/>
  <c r="AE23" i="124"/>
  <c r="AE23" i="174" s="1"/>
  <c r="AA162" i="87"/>
  <c r="AA163" i="87" s="1"/>
  <c r="AA39" i="124"/>
  <c r="AA160" i="173" s="1"/>
  <c r="AD9" i="124"/>
  <c r="AD9" i="174" s="1"/>
  <c r="AD37" i="87"/>
  <c r="AD16" i="87" s="1"/>
  <c r="AD36" i="86"/>
  <c r="AB162" i="87"/>
  <c r="AB163" i="87" s="1"/>
  <c r="AB39" i="124"/>
  <c r="AB160" i="173" s="1"/>
  <c r="AF6" i="84"/>
  <c r="AI6" i="83"/>
  <c r="AD23" i="124"/>
  <c r="AD23" i="174" s="1"/>
  <c r="AE6" i="68"/>
  <c r="AK39" i="83"/>
  <c r="AL40" i="83" s="1"/>
  <c r="AF26" i="124"/>
  <c r="AF26" i="174" s="1"/>
  <c r="AK26" i="74"/>
  <c r="AB36" i="83"/>
  <c r="AB15" i="83" s="1"/>
  <c r="AG26" i="124"/>
  <c r="AG26" i="174" s="1"/>
  <c r="AH6" i="86"/>
  <c r="AK28" i="74"/>
  <c r="AB6" i="83"/>
  <c r="AI23" i="124"/>
  <c r="AI23" i="174" s="1"/>
  <c r="AK39" i="68"/>
  <c r="AL42" i="68" s="1"/>
  <c r="AB6" i="74"/>
  <c r="AJ25" i="124"/>
  <c r="AJ25" i="174" s="1"/>
  <c r="AM42" i="68"/>
  <c r="Z6" i="86"/>
  <c r="Z29" i="124"/>
  <c r="Z29" i="174" s="1"/>
  <c r="AA6" i="86"/>
  <c r="AK26" i="86"/>
  <c r="AE6" i="74"/>
  <c r="AE28" i="124"/>
  <c r="AE28" i="174" s="1"/>
  <c r="AG37" i="84"/>
  <c r="AG16" i="84" s="1"/>
  <c r="AE26" i="124"/>
  <c r="AE26" i="174" s="1"/>
  <c r="AB23" i="124"/>
  <c r="AB23" i="174" s="1"/>
  <c r="AI37" i="84"/>
  <c r="AE37" i="86"/>
  <c r="AE36" i="86"/>
  <c r="AC162" i="87"/>
  <c r="AC163" i="87" s="1"/>
  <c r="AC39" i="124"/>
  <c r="AC160" i="173" s="1"/>
  <c r="AH8" i="124"/>
  <c r="AH8" i="174" s="1"/>
  <c r="AH36" i="87"/>
  <c r="AH15" i="87" s="1"/>
  <c r="AD36" i="87"/>
  <c r="AD15" i="87" s="1"/>
  <c r="AD8" i="124"/>
  <c r="AD8" i="174" s="1"/>
  <c r="AD28" i="124"/>
  <c r="AD28" i="174" s="1"/>
  <c r="AJ37" i="86"/>
  <c r="AF27" i="124"/>
  <c r="AF27" i="174" s="1"/>
  <c r="AG36" i="68"/>
  <c r="AG15" i="68" s="1"/>
  <c r="AK24" i="84"/>
  <c r="AK24" i="74"/>
  <c r="AG27" i="124"/>
  <c r="AG27" i="174" s="1"/>
  <c r="AH36" i="68"/>
  <c r="AH15" i="68" s="1"/>
  <c r="Z36" i="74"/>
  <c r="Z15" i="74" s="1"/>
  <c r="Z6" i="83"/>
  <c r="AK39" i="74"/>
  <c r="AL41" i="74" s="1"/>
  <c r="AI8" i="124"/>
  <c r="AI8" i="174" s="1"/>
  <c r="AI36" i="87"/>
  <c r="AI15" i="87" s="1"/>
  <c r="AK8" i="86"/>
  <c r="AI28" i="124"/>
  <c r="AI28" i="174" s="1"/>
  <c r="AK8" i="68"/>
  <c r="AK23" i="68"/>
  <c r="Y6" i="86"/>
  <c r="AK7" i="86"/>
  <c r="AJ28" i="124"/>
  <c r="AJ28" i="174" s="1"/>
  <c r="AM41" i="87"/>
  <c r="AB37" i="84"/>
  <c r="AB16" i="84" s="1"/>
  <c r="AK40" i="124"/>
  <c r="AK40" i="174" s="1"/>
  <c r="Z9" i="124"/>
  <c r="Z9" i="174" s="1"/>
  <c r="Z37" i="87"/>
  <c r="Z16" i="87" s="1"/>
  <c r="Z24" i="124"/>
  <c r="Z24" i="174" s="1"/>
  <c r="AK29" i="86"/>
  <c r="AC36" i="86"/>
  <c r="AD6" i="84"/>
  <c r="AA25" i="124"/>
  <c r="AA25" i="174" s="1"/>
  <c r="AF36" i="68"/>
  <c r="AF15" i="68" s="1"/>
  <c r="AE162" i="87"/>
  <c r="AE163" i="87" s="1"/>
  <c r="AE39" i="124"/>
  <c r="AE160" i="173" s="1"/>
  <c r="AH6" i="68"/>
  <c r="AF6" i="68"/>
  <c r="AM42" i="84"/>
  <c r="AI26" i="124"/>
  <c r="AI26" i="174" s="1"/>
  <c r="Z7" i="124"/>
  <c r="Z7" i="174" s="1"/>
  <c r="Z6" i="87"/>
  <c r="AC26" i="124"/>
  <c r="AC26" i="174" s="1"/>
  <c r="AB8" i="124"/>
  <c r="AB8" i="174" s="1"/>
  <c r="AB36" i="87"/>
  <c r="AB15" i="87" s="1"/>
  <c r="AG6" i="83"/>
  <c r="AB28" i="124"/>
  <c r="AB28" i="174" s="1"/>
  <c r="AC28" i="124"/>
  <c r="AC28" i="174" s="1"/>
  <c r="AG36" i="86"/>
  <c r="AH6" i="87"/>
  <c r="AH114" i="87" s="1"/>
  <c r="AH7" i="124"/>
  <c r="AH7" i="174" s="1"/>
  <c r="AH37" i="84"/>
  <c r="AH16" i="84" s="1"/>
  <c r="AD25" i="124"/>
  <c r="AD25" i="174" s="1"/>
  <c r="Z6" i="74"/>
  <c r="AG37" i="68"/>
  <c r="AG16" i="68" s="1"/>
  <c r="AM42" i="74"/>
  <c r="AK26" i="84"/>
  <c r="AK29" i="74"/>
  <c r="AJ6" i="74"/>
  <c r="AK9" i="84"/>
  <c r="AK23" i="74"/>
  <c r="Y6" i="84"/>
  <c r="AK7" i="84"/>
  <c r="AI24" i="124"/>
  <c r="AI24" i="174" s="1"/>
  <c r="AI162" i="87"/>
  <c r="AI163" i="87" s="1"/>
  <c r="AI39" i="124"/>
  <c r="AI160" i="173" s="1"/>
  <c r="AM40" i="86"/>
  <c r="AJ162" i="87"/>
  <c r="AJ163" i="87" s="1"/>
  <c r="AJ39" i="124"/>
  <c r="AJ160" i="173" s="1"/>
  <c r="Y9" i="124"/>
  <c r="Y9" i="174" s="1"/>
  <c r="AK9" i="87"/>
  <c r="Y25" i="124"/>
  <c r="Y25" i="174" s="1"/>
  <c r="AK25" i="87"/>
  <c r="Z26" i="124"/>
  <c r="Z26" i="174" s="1"/>
  <c r="AD36" i="84"/>
  <c r="AD15" i="84" s="1"/>
  <c r="AF6" i="83"/>
  <c r="AA28" i="124"/>
  <c r="AA28" i="174" s="1"/>
  <c r="AI6" i="74"/>
  <c r="AE25" i="124"/>
  <c r="AE25" i="174" s="1"/>
  <c r="Y6" i="68"/>
  <c r="AK7" i="68"/>
  <c r="AF37" i="84"/>
  <c r="AF16" i="84" s="1"/>
  <c r="AH36" i="83"/>
  <c r="AH15" i="83" s="1"/>
  <c r="AB25" i="124"/>
  <c r="AB25" i="174" s="1"/>
  <c r="AC8" i="124"/>
  <c r="AC8" i="174" s="1"/>
  <c r="AC36" i="87"/>
  <c r="AC15" i="87" s="1"/>
  <c r="AH6" i="83"/>
  <c r="AC25" i="124"/>
  <c r="AC25" i="174" s="1"/>
  <c r="AH24" i="124"/>
  <c r="AH24" i="174" s="1"/>
  <c r="AD26" i="124"/>
  <c r="AD26" i="174" s="1"/>
  <c r="AJ36" i="83"/>
  <c r="AJ15" i="83" s="1"/>
  <c r="AE6" i="86"/>
  <c r="AE149" i="124" s="1"/>
  <c r="AE149" i="174" s="1"/>
  <c r="AE24" i="124"/>
  <c r="AE24" i="174" s="1"/>
  <c r="AK27" i="86"/>
  <c r="AK9" i="74"/>
  <c r="AK29" i="84"/>
  <c r="AH37" i="68"/>
  <c r="AH16" i="68" s="1"/>
  <c r="AI9" i="124"/>
  <c r="AI9" i="174" s="1"/>
  <c r="AI37" i="87"/>
  <c r="AI16" i="87" s="1"/>
  <c r="AC37" i="83"/>
  <c r="AC16" i="83" s="1"/>
  <c r="AI29" i="124"/>
  <c r="AI29" i="174" s="1"/>
  <c r="AM41" i="86"/>
  <c r="AM41" i="68"/>
  <c r="AA6" i="84"/>
  <c r="AJ23" i="124"/>
  <c r="AJ23" i="174" s="1"/>
  <c r="Y24" i="124"/>
  <c r="AK24" i="87"/>
  <c r="AJ8" i="124"/>
  <c r="AJ8" i="174" s="1"/>
  <c r="AJ36" i="87"/>
  <c r="AJ15" i="87" s="1"/>
  <c r="AM42" i="87"/>
  <c r="AB6" i="84"/>
  <c r="Y28" i="124"/>
  <c r="AK28" i="87"/>
  <c r="Z27" i="124"/>
  <c r="Z27" i="174" s="1"/>
  <c r="AE37" i="74"/>
  <c r="AE16" i="74" s="1"/>
  <c r="AA36" i="68"/>
  <c r="AA15" i="68" s="1"/>
  <c r="AA23" i="124"/>
  <c r="AA23" i="174" s="1"/>
  <c r="AH161" i="87" l="1"/>
  <c r="AH162" i="87" s="1"/>
  <c r="AH163" i="87" s="1"/>
  <c r="AA149" i="124"/>
  <c r="AA149" i="174" s="1"/>
  <c r="Z149" i="124"/>
  <c r="Z149" i="174" s="1"/>
  <c r="AH149" i="124"/>
  <c r="AH149" i="174" s="1"/>
  <c r="AG149" i="124"/>
  <c r="AG149" i="174" s="1"/>
  <c r="AD149" i="124"/>
  <c r="AD149" i="174" s="1"/>
  <c r="AJ149" i="124"/>
  <c r="AJ149" i="174" s="1"/>
  <c r="AF149" i="124"/>
  <c r="AF149" i="174" s="1"/>
  <c r="AI149" i="124"/>
  <c r="AI149" i="174" s="1"/>
  <c r="AB149" i="124"/>
  <c r="AB149" i="174" s="1"/>
  <c r="AC149" i="124"/>
  <c r="AC149" i="174" s="1"/>
  <c r="Z150" i="124"/>
  <c r="AA150" i="124"/>
  <c r="AB150" i="124"/>
  <c r="AC150" i="124"/>
  <c r="AD150" i="124"/>
  <c r="AE150" i="124"/>
  <c r="AF150" i="124"/>
  <c r="AG150" i="124"/>
  <c r="AH150" i="124"/>
  <c r="AI150" i="124"/>
  <c r="AJ150" i="124"/>
  <c r="AK149" i="87"/>
  <c r="Z114" i="87"/>
  <c r="AK149" i="68"/>
  <c r="AA114" i="68"/>
  <c r="AB114" i="68"/>
  <c r="AC114" i="68"/>
  <c r="AD114" i="68"/>
  <c r="AE114" i="68"/>
  <c r="AF114" i="68"/>
  <c r="AG114" i="68"/>
  <c r="AH114" i="68"/>
  <c r="AI114" i="68"/>
  <c r="AJ114" i="68"/>
  <c r="AK149" i="83"/>
  <c r="AA114" i="83"/>
  <c r="AB114" i="83"/>
  <c r="AC114" i="83"/>
  <c r="AD114" i="83"/>
  <c r="AE114" i="83"/>
  <c r="AF114" i="83"/>
  <c r="AG114" i="83"/>
  <c r="AH114" i="83"/>
  <c r="AI114" i="83"/>
  <c r="AJ114" i="83"/>
  <c r="AK149" i="74"/>
  <c r="AA114" i="74"/>
  <c r="AB114" i="74"/>
  <c r="AC114" i="74"/>
  <c r="AD114" i="74"/>
  <c r="AE114" i="74"/>
  <c r="AF114" i="74"/>
  <c r="AG114" i="74"/>
  <c r="AH114" i="74"/>
  <c r="AI114" i="74"/>
  <c r="AJ114" i="74"/>
  <c r="AK149" i="84"/>
  <c r="AA114" i="84"/>
  <c r="AB114" i="84"/>
  <c r="AC114" i="84"/>
  <c r="AD114" i="84"/>
  <c r="AE114" i="84"/>
  <c r="AF114" i="84"/>
  <c r="AG114" i="84"/>
  <c r="AH114" i="84"/>
  <c r="AI114" i="84"/>
  <c r="AJ114" i="84"/>
  <c r="AK149" i="86"/>
  <c r="Z150" i="175"/>
  <c r="Z149" i="175" s="1"/>
  <c r="AA150" i="175"/>
  <c r="AA149" i="175" s="1"/>
  <c r="AB150" i="175"/>
  <c r="AB149" i="175" s="1"/>
  <c r="AC150" i="175"/>
  <c r="AC149" i="175" s="1"/>
  <c r="AD150" i="175"/>
  <c r="AD149" i="175" s="1"/>
  <c r="AE150" i="175"/>
  <c r="AE149" i="175" s="1"/>
  <c r="AF150" i="175"/>
  <c r="AF149" i="175" s="1"/>
  <c r="AG150" i="175"/>
  <c r="AG149" i="175" s="1"/>
  <c r="AH150" i="175"/>
  <c r="AH149" i="175" s="1"/>
  <c r="AI150" i="175"/>
  <c r="AI149" i="175" s="1"/>
  <c r="AJ150" i="175"/>
  <c r="AJ149" i="175" s="1"/>
  <c r="AJ39" i="174"/>
  <c r="AI39" i="174"/>
  <c r="AE39" i="174"/>
  <c r="AC39" i="174"/>
  <c r="AB39" i="174"/>
  <c r="AA39" i="174"/>
  <c r="AD39" i="174"/>
  <c r="AG39" i="174"/>
  <c r="AH39" i="174"/>
  <c r="Z39" i="174"/>
  <c r="AF39" i="174"/>
  <c r="AG15" i="86"/>
  <c r="AG15" i="175" s="1"/>
  <c r="AG36" i="175"/>
  <c r="AC15" i="86"/>
  <c r="AC15" i="175" s="1"/>
  <c r="AC36" i="175"/>
  <c r="AJ16" i="86"/>
  <c r="AJ16" i="175" s="1"/>
  <c r="AJ37" i="175"/>
  <c r="AE15" i="86"/>
  <c r="AE36" i="175"/>
  <c r="AE16" i="86"/>
  <c r="AE16" i="175" s="1"/>
  <c r="AE46" i="175" s="1"/>
  <c r="AE37" i="175"/>
  <c r="AI16" i="84"/>
  <c r="AI37" i="175"/>
  <c r="AD15" i="86"/>
  <c r="AD15" i="175" s="1"/>
  <c r="AD45" i="175" s="1"/>
  <c r="AD36" i="175"/>
  <c r="AF15" i="86"/>
  <c r="AF15" i="175" s="1"/>
  <c r="AF36" i="175"/>
  <c r="AF16" i="86"/>
  <c r="AF16" i="175" s="1"/>
  <c r="AF37" i="175"/>
  <c r="AG16" i="86"/>
  <c r="AG16" i="175" s="1"/>
  <c r="AG37" i="175"/>
  <c r="AA16" i="86"/>
  <c r="AA16" i="175" s="1"/>
  <c r="AA37" i="175"/>
  <c r="Z16" i="86"/>
  <c r="Z37" i="175"/>
  <c r="AB16" i="86"/>
  <c r="AB16" i="175" s="1"/>
  <c r="AB37" i="175"/>
  <c r="AA15" i="86"/>
  <c r="AA15" i="175" s="1"/>
  <c r="AA36" i="175"/>
  <c r="Z15" i="86"/>
  <c r="Z15" i="175" s="1"/>
  <c r="Z36" i="175"/>
  <c r="AI15" i="86"/>
  <c r="AI15" i="175" s="1"/>
  <c r="AI36" i="175"/>
  <c r="AH15" i="86"/>
  <c r="AH15" i="175" s="1"/>
  <c r="AH36" i="175"/>
  <c r="AC16" i="86"/>
  <c r="AC16" i="175" s="1"/>
  <c r="AC37" i="175"/>
  <c r="AD16" i="86"/>
  <c r="AD16" i="175" s="1"/>
  <c r="AD46" i="175" s="1"/>
  <c r="AD37" i="175"/>
  <c r="AJ15" i="86"/>
  <c r="AJ15" i="175" s="1"/>
  <c r="AJ36" i="175"/>
  <c r="AH16" i="86"/>
  <c r="AH16" i="175" s="1"/>
  <c r="AH37" i="175"/>
  <c r="AB15" i="86"/>
  <c r="AB36" i="175"/>
  <c r="AI16" i="175"/>
  <c r="Z148" i="175"/>
  <c r="AA148" i="175"/>
  <c r="AB148" i="175"/>
  <c r="AC148" i="175"/>
  <c r="AD148" i="175"/>
  <c r="AE148" i="175"/>
  <c r="AF148" i="175"/>
  <c r="AG148" i="175"/>
  <c r="AH148" i="175"/>
  <c r="AI148" i="175"/>
  <c r="AJ148" i="175"/>
  <c r="AC46" i="175"/>
  <c r="AJ45" i="175"/>
  <c r="AB46" i="175"/>
  <c r="AA46" i="175"/>
  <c r="AA45" i="175"/>
  <c r="Z45" i="175"/>
  <c r="AI46" i="175"/>
  <c r="AH45" i="175"/>
  <c r="AH46" i="175"/>
  <c r="AJ46" i="175"/>
  <c r="AF45" i="175"/>
  <c r="AF46" i="175"/>
  <c r="AG45" i="175"/>
  <c r="AG46" i="175"/>
  <c r="AM7" i="175"/>
  <c r="AK6" i="175"/>
  <c r="AL7" i="175"/>
  <c r="AM40" i="175"/>
  <c r="AM8" i="175"/>
  <c r="AL8" i="175"/>
  <c r="AM41" i="175"/>
  <c r="AM9" i="175"/>
  <c r="AL9" i="175"/>
  <c r="AM42" i="175"/>
  <c r="AK28" i="175"/>
  <c r="AK29" i="175"/>
  <c r="AK23" i="175"/>
  <c r="AK39" i="175"/>
  <c r="AK24" i="175"/>
  <c r="AC45" i="175"/>
  <c r="AK25" i="175"/>
  <c r="AK26" i="175"/>
  <c r="AK27" i="175"/>
  <c r="AI45" i="175"/>
  <c r="AK39" i="124"/>
  <c r="AO159" i="124" s="1"/>
  <c r="AK28" i="124"/>
  <c r="AK28" i="174" s="1"/>
  <c r="Y28" i="174"/>
  <c r="AK24" i="124"/>
  <c r="AK24" i="174" s="1"/>
  <c r="Y24" i="174"/>
  <c r="Y169" i="174"/>
  <c r="Y39" i="174"/>
  <c r="Y168" i="174"/>
  <c r="Y257" i="174" s="1"/>
  <c r="Y114" i="87"/>
  <c r="AK150" i="87"/>
  <c r="Y150" i="83"/>
  <c r="Z114" i="83"/>
  <c r="Y150" i="74"/>
  <c r="Z114" i="74"/>
  <c r="Y150" i="84"/>
  <c r="Z114" i="84"/>
  <c r="Y150" i="86"/>
  <c r="Z114" i="86"/>
  <c r="Z161" i="86" s="1"/>
  <c r="AA114" i="86"/>
  <c r="AA161" i="86" s="1"/>
  <c r="AB114" i="86"/>
  <c r="AB161" i="86" s="1"/>
  <c r="AC114" i="86"/>
  <c r="AC161" i="86" s="1"/>
  <c r="AD114" i="86"/>
  <c r="AD161" i="86" s="1"/>
  <c r="AE114" i="86"/>
  <c r="AE161" i="86" s="1"/>
  <c r="AF114" i="86"/>
  <c r="AF161" i="86" s="1"/>
  <c r="AG114" i="86"/>
  <c r="AG161" i="86" s="1"/>
  <c r="AH114" i="86"/>
  <c r="AH161" i="86" s="1"/>
  <c r="AI114" i="86"/>
  <c r="AI161" i="86" s="1"/>
  <c r="AJ114" i="86"/>
  <c r="AJ161" i="86" s="1"/>
  <c r="Y150" i="68"/>
  <c r="Z114" i="68"/>
  <c r="AA15" i="124"/>
  <c r="AA15" i="174" s="1"/>
  <c r="AH16" i="124"/>
  <c r="AH16" i="174" s="1"/>
  <c r="AF16" i="124"/>
  <c r="AF16" i="174" s="1"/>
  <c r="AD15" i="124"/>
  <c r="AD15" i="174" s="1"/>
  <c r="AG16" i="124"/>
  <c r="AG16" i="174" s="1"/>
  <c r="Z15" i="124"/>
  <c r="Z15" i="174" s="1"/>
  <c r="AG15" i="124"/>
  <c r="AG15" i="174" s="1"/>
  <c r="AJ16" i="124"/>
  <c r="AJ16" i="174" s="1"/>
  <c r="AA16" i="124"/>
  <c r="AA16" i="174" s="1"/>
  <c r="AB16" i="124"/>
  <c r="AB16" i="174" s="1"/>
  <c r="AJ15" i="124"/>
  <c r="AJ15" i="174" s="1"/>
  <c r="AI16" i="124"/>
  <c r="AI16" i="174" s="1"/>
  <c r="AC15" i="124"/>
  <c r="AC15" i="174" s="1"/>
  <c r="AI15" i="124"/>
  <c r="AI15" i="174" s="1"/>
  <c r="AH15" i="124"/>
  <c r="AH15" i="174" s="1"/>
  <c r="AD16" i="124"/>
  <c r="AD16" i="174" s="1"/>
  <c r="AF15" i="124"/>
  <c r="AF15" i="174" s="1"/>
  <c r="AE16" i="124"/>
  <c r="AE16" i="174" s="1"/>
  <c r="AC16" i="124"/>
  <c r="AC16" i="174" s="1"/>
  <c r="AK160" i="173"/>
  <c r="AN160" i="173" s="1"/>
  <c r="Y159" i="173"/>
  <c r="Y248" i="173" s="1"/>
  <c r="Y251" i="173" s="1"/>
  <c r="Y288" i="173" s="1"/>
  <c r="Y350" i="173" s="1"/>
  <c r="Y353" i="173" s="1"/>
  <c r="AK25" i="124"/>
  <c r="AK27" i="124"/>
  <c r="AK27" i="174" s="1"/>
  <c r="AK23" i="124"/>
  <c r="AK23" i="174" s="1"/>
  <c r="AK26" i="124"/>
  <c r="AK26" i="174" s="1"/>
  <c r="AK29" i="124"/>
  <c r="AK29" i="174" s="1"/>
  <c r="AD46" i="124"/>
  <c r="AD46" i="174" s="1"/>
  <c r="AL42" i="87"/>
  <c r="AL41" i="86"/>
  <c r="AL40" i="84"/>
  <c r="AL40" i="74"/>
  <c r="AL42" i="86"/>
  <c r="AL42" i="74"/>
  <c r="AL40" i="87"/>
  <c r="AL41" i="84"/>
  <c r="AL41" i="68"/>
  <c r="AA45" i="124"/>
  <c r="AA45" i="174" s="1"/>
  <c r="Y8" i="124"/>
  <c r="Y8" i="174" s="1"/>
  <c r="AG46" i="124"/>
  <c r="AG46" i="174" s="1"/>
  <c r="AH45" i="124"/>
  <c r="AH45" i="174" s="1"/>
  <c r="AI46" i="124"/>
  <c r="AI46" i="174" s="1"/>
  <c r="AC45" i="124"/>
  <c r="AC45" i="174" s="1"/>
  <c r="AH35" i="84"/>
  <c r="AA6" i="124"/>
  <c r="AA6" i="174" s="1"/>
  <c r="AC35" i="83"/>
  <c r="AC14" i="83" s="1"/>
  <c r="AC13" i="83" s="1"/>
  <c r="AC34" i="83" s="1"/>
  <c r="AJ36" i="124"/>
  <c r="AJ36" i="174" s="1"/>
  <c r="AM26" i="84"/>
  <c r="AM28" i="74"/>
  <c r="AD37" i="124"/>
  <c r="AD37" i="174" s="1"/>
  <c r="AM9" i="68"/>
  <c r="AM27" i="87"/>
  <c r="AL42" i="83"/>
  <c r="Z36" i="124"/>
  <c r="Z36" i="174" s="1"/>
  <c r="AG35" i="84"/>
  <c r="AE6" i="124"/>
  <c r="AE6" i="174" s="1"/>
  <c r="AJ35" i="68"/>
  <c r="AJ14" i="68" s="1"/>
  <c r="AJ13" i="68" s="1"/>
  <c r="AJ34" i="68" s="1"/>
  <c r="AM7" i="74"/>
  <c r="AK6" i="74"/>
  <c r="AM26" i="87"/>
  <c r="AJ35" i="84"/>
  <c r="AA36" i="124"/>
  <c r="AA36" i="174" s="1"/>
  <c r="AA35" i="86"/>
  <c r="Z45" i="124"/>
  <c r="Z45" i="174" s="1"/>
  <c r="AJ45" i="124"/>
  <c r="AJ45" i="174" s="1"/>
  <c r="Z35" i="86"/>
  <c r="AM25" i="74"/>
  <c r="AE36" i="124"/>
  <c r="AE36" i="174" s="1"/>
  <c r="AM28" i="86"/>
  <c r="AM23" i="84"/>
  <c r="AC37" i="124"/>
  <c r="AC37" i="174" s="1"/>
  <c r="AJ37" i="124"/>
  <c r="AJ37" i="174" s="1"/>
  <c r="AI35" i="86"/>
  <c r="AM25" i="86"/>
  <c r="AM29" i="83"/>
  <c r="AB46" i="124"/>
  <c r="AB46" i="174" s="1"/>
  <c r="AM8" i="83"/>
  <c r="AM23" i="86"/>
  <c r="AK9" i="124"/>
  <c r="AK9" i="174" s="1"/>
  <c r="AD35" i="86"/>
  <c r="AE35" i="87"/>
  <c r="AE14" i="87" s="1"/>
  <c r="AM29" i="84"/>
  <c r="AK6" i="84"/>
  <c r="AM7" i="84"/>
  <c r="AG35" i="83"/>
  <c r="AG14" i="83" s="1"/>
  <c r="AG13" i="83" s="1"/>
  <c r="AG34" i="83" s="1"/>
  <c r="AK6" i="86"/>
  <c r="AM7" i="86"/>
  <c r="AH35" i="86"/>
  <c r="AM25" i="84"/>
  <c r="Z35" i="84"/>
  <c r="AM8" i="74"/>
  <c r="AM27" i="83"/>
  <c r="AF36" i="124"/>
  <c r="AF36" i="174" s="1"/>
  <c r="AF35" i="86"/>
  <c r="AI35" i="68"/>
  <c r="AI14" i="68" s="1"/>
  <c r="AI13" i="68" s="1"/>
  <c r="AG36" i="124"/>
  <c r="AG36" i="174" s="1"/>
  <c r="AC46" i="124"/>
  <c r="AC46" i="174" s="1"/>
  <c r="AA37" i="124"/>
  <c r="AA37" i="174" s="1"/>
  <c r="AJ46" i="124"/>
  <c r="AJ46" i="174" s="1"/>
  <c r="AJ35" i="83"/>
  <c r="AJ14" i="83" s="1"/>
  <c r="AJ13" i="83" s="1"/>
  <c r="AJ34" i="83" s="1"/>
  <c r="AB37" i="124"/>
  <c r="AB37" i="174" s="1"/>
  <c r="AG6" i="124"/>
  <c r="AG6" i="174" s="1"/>
  <c r="AC35" i="86"/>
  <c r="AM28" i="68"/>
  <c r="AH35" i="74"/>
  <c r="AH14" i="74" s="1"/>
  <c r="AH13" i="74" s="1"/>
  <c r="AH34" i="74" s="1"/>
  <c r="AI35" i="87"/>
  <c r="AI14" i="87" s="1"/>
  <c r="AM24" i="87"/>
  <c r="AM9" i="74"/>
  <c r="AK6" i="68"/>
  <c r="AL160" i="68" s="1"/>
  <c r="AM7" i="68"/>
  <c r="AI35" i="74"/>
  <c r="AI14" i="74" s="1"/>
  <c r="AI13" i="74" s="1"/>
  <c r="AI34" i="74" s="1"/>
  <c r="AM40" i="124"/>
  <c r="AM40" i="174" s="1"/>
  <c r="AM8" i="86"/>
  <c r="AD45" i="124"/>
  <c r="AD45" i="174" s="1"/>
  <c r="AB35" i="74"/>
  <c r="AB14" i="74" s="1"/>
  <c r="AB13" i="74" s="1"/>
  <c r="AB34" i="74" s="1"/>
  <c r="AB43" i="74" s="1"/>
  <c r="AF35" i="84"/>
  <c r="AM24" i="86"/>
  <c r="AG35" i="86"/>
  <c r="AC35" i="87"/>
  <c r="AC14" i="87" s="1"/>
  <c r="AM28" i="84"/>
  <c r="AF45" i="124"/>
  <c r="AF45" i="174" s="1"/>
  <c r="AJ35" i="87"/>
  <c r="AJ14" i="87" s="1"/>
  <c r="AI34" i="68"/>
  <c r="AI43" i="68" s="1"/>
  <c r="AG45" i="124"/>
  <c r="AG45" i="174" s="1"/>
  <c r="AA46" i="124"/>
  <c r="AA46" i="174" s="1"/>
  <c r="AD6" i="124"/>
  <c r="AD6" i="174" s="1"/>
  <c r="AM39" i="87"/>
  <c r="AL38" i="87"/>
  <c r="AL39" i="87"/>
  <c r="AM9" i="86"/>
  <c r="AF35" i="87"/>
  <c r="AF14" i="87" s="1"/>
  <c r="AB35" i="86"/>
  <c r="AC36" i="124"/>
  <c r="AC36" i="174" s="1"/>
  <c r="AM29" i="74"/>
  <c r="Z37" i="124"/>
  <c r="Z37" i="174" s="1"/>
  <c r="Z35" i="83"/>
  <c r="Z14" i="83" s="1"/>
  <c r="Z13" i="83" s="1"/>
  <c r="Z34" i="83" s="1"/>
  <c r="AH35" i="87"/>
  <c r="AH14" i="87" s="1"/>
  <c r="AB36" i="124"/>
  <c r="AB36" i="174" s="1"/>
  <c r="AD35" i="84"/>
  <c r="AM24" i="74"/>
  <c r="AD36" i="124"/>
  <c r="AD36" i="174" s="1"/>
  <c r="AM39" i="83"/>
  <c r="AL39" i="83"/>
  <c r="AL38" i="83"/>
  <c r="AA35" i="68"/>
  <c r="AA14" i="68" s="1"/>
  <c r="AA13" i="68" s="1"/>
  <c r="AA34" i="68" s="1"/>
  <c r="AA43" i="68" s="1"/>
  <c r="AB35" i="68"/>
  <c r="AB14" i="68" s="1"/>
  <c r="AB13" i="68" s="1"/>
  <c r="AB34" i="68" s="1"/>
  <c r="AB43" i="68" s="1"/>
  <c r="AM8" i="84"/>
  <c r="AG35" i="68"/>
  <c r="AG14" i="68" s="1"/>
  <c r="AG13" i="68" s="1"/>
  <c r="AD35" i="87"/>
  <c r="AD14" i="87" s="1"/>
  <c r="AK39" i="174"/>
  <c r="AO39" i="174" s="1"/>
  <c r="AM27" i="74"/>
  <c r="AF6" i="124"/>
  <c r="AF6" i="174" s="1"/>
  <c r="AG35" i="87"/>
  <c r="AG14" i="87" s="1"/>
  <c r="AG35" i="74"/>
  <c r="AG14" i="74" s="1"/>
  <c r="AG13" i="74" s="1"/>
  <c r="AM29" i="87"/>
  <c r="AM25" i="87"/>
  <c r="AM27" i="86"/>
  <c r="AM23" i="74"/>
  <c r="AH6" i="124"/>
  <c r="AH6" i="174" s="1"/>
  <c r="AI36" i="124"/>
  <c r="AI36" i="174" s="1"/>
  <c r="AM24" i="84"/>
  <c r="AE35" i="74"/>
  <c r="AE14" i="74" s="1"/>
  <c r="AE13" i="74" s="1"/>
  <c r="AE34" i="74" s="1"/>
  <c r="AM39" i="68"/>
  <c r="AL38" i="68"/>
  <c r="AL39" i="68"/>
  <c r="AM25" i="68"/>
  <c r="AC6" i="124"/>
  <c r="AC6" i="174" s="1"/>
  <c r="AA35" i="74"/>
  <c r="AA14" i="74" s="1"/>
  <c r="AA13" i="74" s="1"/>
  <c r="AA34" i="74" s="1"/>
  <c r="AG34" i="68"/>
  <c r="AG43" i="68" s="1"/>
  <c r="AJ6" i="124"/>
  <c r="AJ6" i="174" s="1"/>
  <c r="AM29" i="68"/>
  <c r="AD35" i="68"/>
  <c r="AD14" i="68" s="1"/>
  <c r="AD13" i="68" s="1"/>
  <c r="AD34" i="68" s="1"/>
  <c r="AD43" i="68" s="1"/>
  <c r="AD35" i="74"/>
  <c r="AD14" i="74" s="1"/>
  <c r="AD13" i="74" s="1"/>
  <c r="AD34" i="74" s="1"/>
  <c r="AA35" i="87"/>
  <c r="AA14" i="87" s="1"/>
  <c r="AI6" i="124"/>
  <c r="AI6" i="174" s="1"/>
  <c r="AM28" i="83"/>
  <c r="AM28" i="87"/>
  <c r="AI37" i="124"/>
  <c r="AI37" i="174" s="1"/>
  <c r="Z35" i="74"/>
  <c r="Z14" i="74" s="1"/>
  <c r="Z13" i="74" s="1"/>
  <c r="Z34" i="74" s="1"/>
  <c r="AM23" i="68"/>
  <c r="AL23" i="68"/>
  <c r="AI45" i="124"/>
  <c r="AI45" i="174" s="1"/>
  <c r="AH36" i="124"/>
  <c r="AH36" i="174" s="1"/>
  <c r="AE35" i="68"/>
  <c r="AE14" i="68" s="1"/>
  <c r="AE13" i="68" s="1"/>
  <c r="AE34" i="68" s="1"/>
  <c r="AE43" i="68" s="1"/>
  <c r="AJ35" i="86"/>
  <c r="AM42" i="124"/>
  <c r="AM42" i="174" s="1"/>
  <c r="AM27" i="84"/>
  <c r="AL27" i="84"/>
  <c r="AM23" i="87"/>
  <c r="AM23" i="83"/>
  <c r="AB6" i="124"/>
  <c r="AB6" i="174" s="1"/>
  <c r="AL38" i="86"/>
  <c r="AL39" i="86"/>
  <c r="AM39" i="86"/>
  <c r="AL38" i="84"/>
  <c r="AM39" i="84"/>
  <c r="AL39" i="84"/>
  <c r="AC35" i="74"/>
  <c r="AC14" i="74" s="1"/>
  <c r="AC13" i="74" s="1"/>
  <c r="AM25" i="83"/>
  <c r="AC35" i="68"/>
  <c r="AC14" i="68" s="1"/>
  <c r="AC13" i="68" s="1"/>
  <c r="AM24" i="68"/>
  <c r="AE46" i="124"/>
  <c r="AE46" i="174" s="1"/>
  <c r="AM9" i="83"/>
  <c r="AB35" i="87"/>
  <c r="AB14" i="87" s="1"/>
  <c r="AM26" i="68"/>
  <c r="AH46" i="124"/>
  <c r="AH46" i="174" s="1"/>
  <c r="AL40" i="68"/>
  <c r="AI35" i="84"/>
  <c r="Z35" i="68"/>
  <c r="Z14" i="68" s="1"/>
  <c r="Z13" i="68" s="1"/>
  <c r="Z34" i="68" s="1"/>
  <c r="Z43" i="68" s="1"/>
  <c r="AM29" i="86"/>
  <c r="AM26" i="86"/>
  <c r="AL26" i="86"/>
  <c r="AB35" i="84"/>
  <c r="AA35" i="84"/>
  <c r="AM9" i="87"/>
  <c r="AL38" i="74"/>
  <c r="AM39" i="74"/>
  <c r="AL39" i="74"/>
  <c r="AF37" i="124"/>
  <c r="AF37" i="174" s="1"/>
  <c r="AE35" i="84"/>
  <c r="AC34" i="68"/>
  <c r="AC43" i="68" s="1"/>
  <c r="AE37" i="124"/>
  <c r="AE37" i="174" s="1"/>
  <c r="AK6" i="83"/>
  <c r="AM7" i="83"/>
  <c r="AL41" i="83"/>
  <c r="AC35" i="84"/>
  <c r="AH37" i="124"/>
  <c r="AH37" i="174" s="1"/>
  <c r="AE35" i="83"/>
  <c r="AE14" i="83" s="1"/>
  <c r="AE13" i="83" s="1"/>
  <c r="AD35" i="83"/>
  <c r="AD14" i="83" s="1"/>
  <c r="AD13" i="83" s="1"/>
  <c r="AF35" i="83"/>
  <c r="AF14" i="83" s="1"/>
  <c r="AF13" i="83" s="1"/>
  <c r="AF34" i="83" s="1"/>
  <c r="AF43" i="83" s="1"/>
  <c r="AM9" i="84"/>
  <c r="Z35" i="87"/>
  <c r="Z14" i="87" s="1"/>
  <c r="AF35" i="68"/>
  <c r="AF14" i="68" s="1"/>
  <c r="AF13" i="68" s="1"/>
  <c r="AF34" i="68" s="1"/>
  <c r="AF43" i="68" s="1"/>
  <c r="AM8" i="68"/>
  <c r="AE35" i="86"/>
  <c r="AH35" i="83"/>
  <c r="AH14" i="83" s="1"/>
  <c r="AH13" i="83" s="1"/>
  <c r="AH34" i="83" s="1"/>
  <c r="AH43" i="83" s="1"/>
  <c r="AJ35" i="74"/>
  <c r="AJ14" i="74" s="1"/>
  <c r="AJ13" i="74" s="1"/>
  <c r="AJ34" i="74" s="1"/>
  <c r="Z6" i="124"/>
  <c r="Z6" i="174" s="1"/>
  <c r="AH35" i="68"/>
  <c r="AH14" i="68" s="1"/>
  <c r="AH13" i="68" s="1"/>
  <c r="AH34" i="68" s="1"/>
  <c r="AH43" i="68" s="1"/>
  <c r="AB35" i="83"/>
  <c r="AB14" i="83" s="1"/>
  <c r="AB13" i="83" s="1"/>
  <c r="AB34" i="83" s="1"/>
  <c r="AB43" i="83" s="1"/>
  <c r="AM26" i="74"/>
  <c r="AI35" i="83"/>
  <c r="AI14" i="83" s="1"/>
  <c r="AI13" i="83" s="1"/>
  <c r="AI34" i="83" s="1"/>
  <c r="AG37" i="124"/>
  <c r="AG37" i="174" s="1"/>
  <c r="AF46" i="124"/>
  <c r="AF46" i="174" s="1"/>
  <c r="AE34" i="83"/>
  <c r="AE43" i="83" s="1"/>
  <c r="AA35" i="83"/>
  <c r="AA14" i="83" s="1"/>
  <c r="AA13" i="83" s="1"/>
  <c r="AA34" i="83" s="1"/>
  <c r="AC34" i="74"/>
  <c r="AC43" i="74" s="1"/>
  <c r="AG34" i="74"/>
  <c r="AG43" i="74" s="1"/>
  <c r="AF35" i="74"/>
  <c r="AF14" i="74" s="1"/>
  <c r="AF13" i="74" s="1"/>
  <c r="AF34" i="74" s="1"/>
  <c r="AF43" i="74" s="1"/>
  <c r="AM27" i="68"/>
  <c r="AD34" i="83"/>
  <c r="AD43" i="83" s="1"/>
  <c r="AM41" i="124"/>
  <c r="AM41" i="174" s="1"/>
  <c r="Z161" i="83" l="1"/>
  <c r="Z162" i="83" s="1"/>
  <c r="Z163" i="83" s="1"/>
  <c r="AJ161" i="83"/>
  <c r="AJ162" i="83" s="1"/>
  <c r="AJ163" i="83" s="1"/>
  <c r="AI161" i="83"/>
  <c r="AI162" i="83" s="1"/>
  <c r="AI163" i="83" s="1"/>
  <c r="AH161" i="83"/>
  <c r="AH162" i="83" s="1"/>
  <c r="AH163" i="83" s="1"/>
  <c r="AG161" i="83"/>
  <c r="AG162" i="83" s="1"/>
  <c r="AG163" i="83" s="1"/>
  <c r="AF161" i="83"/>
  <c r="AF162" i="83" s="1"/>
  <c r="AF163" i="83" s="1"/>
  <c r="AE161" i="83"/>
  <c r="AE162" i="83" s="1"/>
  <c r="AE163" i="83" s="1"/>
  <c r="AD161" i="83"/>
  <c r="AD162" i="83" s="1"/>
  <c r="AD163" i="83" s="1"/>
  <c r="AC161" i="83"/>
  <c r="AC162" i="83" s="1"/>
  <c r="AC163" i="83" s="1"/>
  <c r="AB161" i="83"/>
  <c r="AB162" i="83" s="1"/>
  <c r="AB163" i="83" s="1"/>
  <c r="AA161" i="83"/>
  <c r="AA162" i="83" s="1"/>
  <c r="AA163" i="83" s="1"/>
  <c r="Z161" i="74"/>
  <c r="Z162" i="74" s="1"/>
  <c r="Z163" i="74" s="1"/>
  <c r="AJ161" i="74"/>
  <c r="AJ162" i="74" s="1"/>
  <c r="AJ163" i="74" s="1"/>
  <c r="AI161" i="74"/>
  <c r="AI162" i="74" s="1"/>
  <c r="AI163" i="74" s="1"/>
  <c r="AH161" i="74"/>
  <c r="AH162" i="74" s="1"/>
  <c r="AH163" i="74" s="1"/>
  <c r="AG161" i="74"/>
  <c r="AG162" i="74" s="1"/>
  <c r="AG163" i="74" s="1"/>
  <c r="AF161" i="74"/>
  <c r="AF162" i="74" s="1"/>
  <c r="AF163" i="74" s="1"/>
  <c r="AE161" i="74"/>
  <c r="AE162" i="74" s="1"/>
  <c r="AE163" i="74" s="1"/>
  <c r="AD161" i="74"/>
  <c r="AC161" i="74"/>
  <c r="AC162" i="74" s="1"/>
  <c r="AC163" i="74" s="1"/>
  <c r="AB161" i="74"/>
  <c r="AB162" i="74" s="1"/>
  <c r="AB163" i="74" s="1"/>
  <c r="AA161" i="74"/>
  <c r="AA162" i="74" s="1"/>
  <c r="AA163" i="74" s="1"/>
  <c r="Z161" i="84"/>
  <c r="Z162" i="84" s="1"/>
  <c r="Z163" i="84" s="1"/>
  <c r="AJ161" i="84"/>
  <c r="AJ162" i="84" s="1"/>
  <c r="AJ163" i="84" s="1"/>
  <c r="AI161" i="84"/>
  <c r="AI162" i="84" s="1"/>
  <c r="AI163" i="84" s="1"/>
  <c r="AH161" i="84"/>
  <c r="AH162" i="84" s="1"/>
  <c r="AH163" i="84" s="1"/>
  <c r="AG161" i="84"/>
  <c r="AG162" i="84" s="1"/>
  <c r="AG163" i="84" s="1"/>
  <c r="AF161" i="84"/>
  <c r="AF162" i="84" s="1"/>
  <c r="AF163" i="84" s="1"/>
  <c r="AE161" i="84"/>
  <c r="AE162" i="84" s="1"/>
  <c r="AE163" i="84" s="1"/>
  <c r="AD161" i="84"/>
  <c r="AD162" i="84" s="1"/>
  <c r="AD163" i="84" s="1"/>
  <c r="AC161" i="84"/>
  <c r="AC162" i="84" s="1"/>
  <c r="AC163" i="84" s="1"/>
  <c r="AB161" i="84"/>
  <c r="AB162" i="84" s="1"/>
  <c r="AB163" i="84" s="1"/>
  <c r="AA161" i="84"/>
  <c r="AA162" i="84" s="1"/>
  <c r="AA163" i="84" s="1"/>
  <c r="Y161" i="87"/>
  <c r="Y162" i="87" s="1"/>
  <c r="Y163" i="87" s="1"/>
  <c r="Z161" i="87"/>
  <c r="Z162" i="87" s="1"/>
  <c r="Z163" i="87" s="1"/>
  <c r="Z161" i="68"/>
  <c r="Z162" i="68" s="1"/>
  <c r="Z163" i="68" s="1"/>
  <c r="AJ161" i="68"/>
  <c r="AJ162" i="68" s="1"/>
  <c r="AJ163" i="68" s="1"/>
  <c r="AI161" i="68"/>
  <c r="AI162" i="68" s="1"/>
  <c r="AI163" i="68" s="1"/>
  <c r="AH161" i="68"/>
  <c r="AH162" i="68" s="1"/>
  <c r="AH163" i="68" s="1"/>
  <c r="AG161" i="68"/>
  <c r="AG162" i="68" s="1"/>
  <c r="AG163" i="68" s="1"/>
  <c r="AF161" i="68"/>
  <c r="AF162" i="68" s="1"/>
  <c r="AF163" i="68" s="1"/>
  <c r="AE161" i="68"/>
  <c r="AE162" i="68" s="1"/>
  <c r="AE163" i="68" s="1"/>
  <c r="AD161" i="68"/>
  <c r="AD162" i="68" s="1"/>
  <c r="AD163" i="68" s="1"/>
  <c r="AC161" i="68"/>
  <c r="AC162" i="68" s="1"/>
  <c r="AC163" i="68" s="1"/>
  <c r="AB161" i="68"/>
  <c r="AB162" i="68" s="1"/>
  <c r="AB163" i="68" s="1"/>
  <c r="AA161" i="68"/>
  <c r="AA162" i="68" s="1"/>
  <c r="AA163" i="68" s="1"/>
  <c r="AL159" i="83"/>
  <c r="AL160" i="83"/>
  <c r="AL159" i="86"/>
  <c r="AL160" i="86"/>
  <c r="AL159" i="84"/>
  <c r="AL160" i="84"/>
  <c r="AL159" i="74"/>
  <c r="AL160" i="74"/>
  <c r="AL61" i="68"/>
  <c r="AL159" i="68"/>
  <c r="Y150" i="124"/>
  <c r="Y149" i="124"/>
  <c r="AM149" i="87"/>
  <c r="AM149" i="68"/>
  <c r="AL149" i="68"/>
  <c r="AM149" i="83"/>
  <c r="AL149" i="83"/>
  <c r="AM149" i="74"/>
  <c r="AL149" i="74"/>
  <c r="AM149" i="84"/>
  <c r="AL149" i="84"/>
  <c r="Y150" i="175"/>
  <c r="AJ152" i="174"/>
  <c r="AJ151" i="124"/>
  <c r="AJ151" i="174" s="1"/>
  <c r="AI152" i="174"/>
  <c r="AI151" i="124"/>
  <c r="AI151" i="174" s="1"/>
  <c r="AH152" i="174"/>
  <c r="AH151" i="124"/>
  <c r="AH151" i="174" s="1"/>
  <c r="AG152" i="174"/>
  <c r="AG151" i="124"/>
  <c r="AG151" i="174" s="1"/>
  <c r="AF152" i="174"/>
  <c r="AF151" i="124"/>
  <c r="AF151" i="174" s="1"/>
  <c r="AE152" i="174"/>
  <c r="AE151" i="124"/>
  <c r="AE151" i="174" s="1"/>
  <c r="AD152" i="174"/>
  <c r="AD151" i="124"/>
  <c r="AD151" i="174" s="1"/>
  <c r="AC152" i="174"/>
  <c r="AC151" i="124"/>
  <c r="AC151" i="174" s="1"/>
  <c r="AB152" i="174"/>
  <c r="AB151" i="124"/>
  <c r="AB151" i="174" s="1"/>
  <c r="AA152" i="174"/>
  <c r="AA151" i="124"/>
  <c r="AA151" i="174" s="1"/>
  <c r="Z152" i="174"/>
  <c r="Z151" i="124"/>
  <c r="Z151" i="174" s="1"/>
  <c r="AM149" i="86"/>
  <c r="AL149" i="86"/>
  <c r="AL23" i="83"/>
  <c r="AL61" i="83"/>
  <c r="AL7" i="74"/>
  <c r="AL61" i="74"/>
  <c r="AL7" i="84"/>
  <c r="AL61" i="84"/>
  <c r="AL25" i="86"/>
  <c r="AL61" i="86"/>
  <c r="AJ162" i="86"/>
  <c r="AJ163" i="86" s="1"/>
  <c r="AJ114" i="175"/>
  <c r="AJ115" i="174"/>
  <c r="AI162" i="86"/>
  <c r="AI163" i="86" s="1"/>
  <c r="AI114" i="175"/>
  <c r="AI115" i="174"/>
  <c r="AH162" i="86"/>
  <c r="AH163" i="86" s="1"/>
  <c r="AH114" i="175"/>
  <c r="AH115" i="174"/>
  <c r="AG162" i="86"/>
  <c r="AG163" i="86" s="1"/>
  <c r="AG114" i="175"/>
  <c r="AG115" i="174"/>
  <c r="AF162" i="86"/>
  <c r="AF163" i="86" s="1"/>
  <c r="AF114" i="175"/>
  <c r="AF115" i="174"/>
  <c r="AE162" i="86"/>
  <c r="AE163" i="86" s="1"/>
  <c r="AE114" i="175"/>
  <c r="AE115" i="174"/>
  <c r="AD162" i="86"/>
  <c r="AD163" i="86" s="1"/>
  <c r="AD114" i="175"/>
  <c r="AD115" i="174"/>
  <c r="AC162" i="86"/>
  <c r="AC163" i="86" s="1"/>
  <c r="AC114" i="175"/>
  <c r="AC115" i="174"/>
  <c r="AB162" i="86"/>
  <c r="AB163" i="86" s="1"/>
  <c r="AB114" i="175"/>
  <c r="AB115" i="174"/>
  <c r="AA162" i="86"/>
  <c r="AA163" i="86" s="1"/>
  <c r="AA114" i="175"/>
  <c r="AA115" i="174"/>
  <c r="Z162" i="86"/>
  <c r="Z163" i="86" s="1"/>
  <c r="Z114" i="175"/>
  <c r="Z115" i="174"/>
  <c r="AJ113" i="175"/>
  <c r="AJ157" i="175" s="1"/>
  <c r="AI113" i="175"/>
  <c r="AI157" i="175" s="1"/>
  <c r="AH113" i="175"/>
  <c r="AH157" i="175" s="1"/>
  <c r="AG113" i="175"/>
  <c r="AG157" i="175" s="1"/>
  <c r="AF113" i="175"/>
  <c r="AF157" i="175" s="1"/>
  <c r="AE113" i="175"/>
  <c r="AE157" i="175" s="1"/>
  <c r="AD113" i="175"/>
  <c r="AD157" i="175" s="1"/>
  <c r="AC113" i="175"/>
  <c r="AC157" i="175" s="1"/>
  <c r="AB113" i="175"/>
  <c r="AB157" i="175" s="1"/>
  <c r="AA113" i="175"/>
  <c r="AA157" i="175" s="1"/>
  <c r="Z113" i="175"/>
  <c r="Z157" i="175" s="1"/>
  <c r="AK25" i="174"/>
  <c r="Y351" i="174"/>
  <c r="AE14" i="86"/>
  <c r="AE35" i="175"/>
  <c r="AJ14" i="86"/>
  <c r="AJ35" i="175"/>
  <c r="AB14" i="86"/>
  <c r="AB35" i="175"/>
  <c r="AG14" i="86"/>
  <c r="AG35" i="175"/>
  <c r="AC14" i="86"/>
  <c r="AC35" i="175"/>
  <c r="AF14" i="86"/>
  <c r="AF35" i="175"/>
  <c r="AH14" i="86"/>
  <c r="AH35" i="175"/>
  <c r="AD14" i="86"/>
  <c r="AD35" i="175"/>
  <c r="AI14" i="86"/>
  <c r="AI35" i="175"/>
  <c r="Z14" i="86"/>
  <c r="Z35" i="175"/>
  <c r="AA14" i="86"/>
  <c r="AA35" i="175"/>
  <c r="Y148" i="175"/>
  <c r="AM24" i="175"/>
  <c r="AL24" i="175"/>
  <c r="AM39" i="175"/>
  <c r="AL39" i="175"/>
  <c r="AL38" i="175"/>
  <c r="AL40" i="175"/>
  <c r="AL41" i="175"/>
  <c r="AL42" i="175"/>
  <c r="AM23" i="175"/>
  <c r="AL23" i="175"/>
  <c r="AM29" i="175"/>
  <c r="AL29" i="175"/>
  <c r="AM28" i="175"/>
  <c r="AL28" i="175"/>
  <c r="AM6" i="175"/>
  <c r="AL6" i="175"/>
  <c r="AL11" i="175"/>
  <c r="AL12" i="175"/>
  <c r="AL17" i="175"/>
  <c r="AL18" i="175"/>
  <c r="AL19" i="175"/>
  <c r="AL20" i="175"/>
  <c r="AL21" i="175"/>
  <c r="AL22" i="175"/>
  <c r="AL31" i="175"/>
  <c r="AL32" i="175"/>
  <c r="AL33" i="175"/>
  <c r="AL53" i="175"/>
  <c r="AL59" i="175"/>
  <c r="AL60" i="175"/>
  <c r="AL61" i="175"/>
  <c r="AL62" i="175"/>
  <c r="AL64" i="175"/>
  <c r="AL67" i="175"/>
  <c r="AL68" i="175"/>
  <c r="AL70" i="175"/>
  <c r="AL72" i="175"/>
  <c r="AL73" i="175"/>
  <c r="AL74" i="175"/>
  <c r="AL77" i="175"/>
  <c r="AL80" i="175"/>
  <c r="AL82" i="175"/>
  <c r="AL83" i="175"/>
  <c r="AL84" i="175"/>
  <c r="AL86" i="175"/>
  <c r="AL104" i="175"/>
  <c r="AL115" i="175"/>
  <c r="AL116" i="175"/>
  <c r="AL119" i="175"/>
  <c r="AL121" i="175"/>
  <c r="AL123" i="175"/>
  <c r="AL129" i="175"/>
  <c r="AL131" i="175"/>
  <c r="AL132" i="175"/>
  <c r="AL133" i="175"/>
  <c r="AL135" i="175"/>
  <c r="AL137" i="175"/>
  <c r="AL138" i="175"/>
  <c r="AL142" i="175"/>
  <c r="AL145" i="175"/>
  <c r="AL146" i="175"/>
  <c r="AL151" i="175"/>
  <c r="AL152" i="175"/>
  <c r="AL153" i="175"/>
  <c r="AL154" i="175"/>
  <c r="AL155" i="175"/>
  <c r="AL156" i="175"/>
  <c r="AL79" i="175"/>
  <c r="AL89" i="175"/>
  <c r="AL10" i="175"/>
  <c r="AL78" i="175"/>
  <c r="AL51" i="175"/>
  <c r="AL76" i="175"/>
  <c r="AL81" i="175"/>
  <c r="AL75" i="175"/>
  <c r="AL57" i="175"/>
  <c r="AL107" i="175"/>
  <c r="AL106" i="175"/>
  <c r="AL105" i="175"/>
  <c r="AL103" i="175"/>
  <c r="AL100" i="175"/>
  <c r="AL99" i="175"/>
  <c r="AL98" i="175"/>
  <c r="AL97" i="175"/>
  <c r="AL96" i="175"/>
  <c r="AL95" i="175"/>
  <c r="AL94" i="175"/>
  <c r="AL93" i="175"/>
  <c r="AL112" i="175"/>
  <c r="AL111" i="175"/>
  <c r="AL110" i="175"/>
  <c r="AL102" i="175"/>
  <c r="AL101" i="175"/>
  <c r="AL54" i="175"/>
  <c r="AL85" i="175"/>
  <c r="AL87" i="175"/>
  <c r="AL117" i="175"/>
  <c r="AL118" i="175"/>
  <c r="AL122" i="175"/>
  <c r="AL124" i="175"/>
  <c r="AL125" i="175"/>
  <c r="AL128" i="175"/>
  <c r="AL130" i="175"/>
  <c r="AL136" i="175"/>
  <c r="AL139" i="175"/>
  <c r="AL140" i="175"/>
  <c r="AL141" i="175"/>
  <c r="AL143" i="175"/>
  <c r="AL144" i="175"/>
  <c r="AL147" i="175"/>
  <c r="AL56" i="175"/>
  <c r="AL63" i="175"/>
  <c r="AL66" i="175"/>
  <c r="AL127" i="175"/>
  <c r="AL134" i="175"/>
  <c r="AL55" i="175"/>
  <c r="AL65" i="175"/>
  <c r="AL69" i="175"/>
  <c r="AL71" i="175"/>
  <c r="AL90" i="175"/>
  <c r="AL126" i="175"/>
  <c r="AL88" i="175"/>
  <c r="AL58" i="175"/>
  <c r="AL109" i="175"/>
  <c r="AL92" i="175"/>
  <c r="AL120" i="175"/>
  <c r="AL52" i="175"/>
  <c r="AL30" i="175"/>
  <c r="AL91" i="175"/>
  <c r="AL108" i="175"/>
  <c r="AL50" i="175"/>
  <c r="AJ159" i="175"/>
  <c r="AJ158" i="175"/>
  <c r="AI159" i="175"/>
  <c r="AI158" i="175"/>
  <c r="AH159" i="175"/>
  <c r="AH158" i="175"/>
  <c r="AG159" i="175"/>
  <c r="AG158" i="175"/>
  <c r="AF159" i="175"/>
  <c r="AF158" i="175"/>
  <c r="AE159" i="175"/>
  <c r="AE158" i="175"/>
  <c r="AD159" i="175"/>
  <c r="AD158" i="175"/>
  <c r="AC159" i="175"/>
  <c r="AC158" i="175"/>
  <c r="AB159" i="175"/>
  <c r="AB158" i="175"/>
  <c r="AA159" i="175"/>
  <c r="AA158" i="175"/>
  <c r="Z159" i="175"/>
  <c r="Z158" i="175"/>
  <c r="AB15" i="175"/>
  <c r="AB45" i="175" s="1"/>
  <c r="AB15" i="124"/>
  <c r="Z16" i="175"/>
  <c r="Z46" i="175" s="1"/>
  <c r="Z16" i="124"/>
  <c r="AE15" i="175"/>
  <c r="AE45" i="175" s="1"/>
  <c r="AE15" i="124"/>
  <c r="AM27" i="175"/>
  <c r="AL27" i="175"/>
  <c r="AM26" i="175"/>
  <c r="AL26" i="175"/>
  <c r="AM25" i="175"/>
  <c r="AL25" i="175"/>
  <c r="AJ114" i="124"/>
  <c r="AJ161" i="124" s="1"/>
  <c r="AJ150" i="174"/>
  <c r="AI114" i="124"/>
  <c r="AI161" i="124" s="1"/>
  <c r="AI150" i="174"/>
  <c r="AH114" i="124"/>
  <c r="AH161" i="124" s="1"/>
  <c r="AH150" i="174"/>
  <c r="AG114" i="124"/>
  <c r="AG161" i="124" s="1"/>
  <c r="AG150" i="174"/>
  <c r="AF114" i="124"/>
  <c r="AF161" i="124" s="1"/>
  <c r="AF150" i="174"/>
  <c r="AE114" i="124"/>
  <c r="AE161" i="124" s="1"/>
  <c r="AE150" i="174"/>
  <c r="AD114" i="124"/>
  <c r="AD161" i="124" s="1"/>
  <c r="AD150" i="174"/>
  <c r="AC114" i="124"/>
  <c r="AC161" i="124" s="1"/>
  <c r="AC150" i="174"/>
  <c r="AB114" i="124"/>
  <c r="AB161" i="124" s="1"/>
  <c r="AB150" i="174"/>
  <c r="AA114" i="124"/>
  <c r="AA161" i="124" s="1"/>
  <c r="AA150" i="174"/>
  <c r="Z114" i="124"/>
  <c r="Z161" i="124" s="1"/>
  <c r="Z150" i="174"/>
  <c r="AJ162" i="124"/>
  <c r="AJ162" i="174" s="1"/>
  <c r="AJ114" i="174"/>
  <c r="AI162" i="124"/>
  <c r="AI162" i="174" s="1"/>
  <c r="AI114" i="174"/>
  <c r="AH162" i="124"/>
  <c r="AH162" i="174" s="1"/>
  <c r="AH114" i="174"/>
  <c r="AG162" i="124"/>
  <c r="AG162" i="174" s="1"/>
  <c r="AG114" i="174"/>
  <c r="AF162" i="124"/>
  <c r="AF162" i="174" s="1"/>
  <c r="AF114" i="174"/>
  <c r="AE162" i="124"/>
  <c r="AE162" i="174" s="1"/>
  <c r="AE114" i="174"/>
  <c r="AD162" i="124"/>
  <c r="AD162" i="174" s="1"/>
  <c r="AD114" i="174"/>
  <c r="AC162" i="124"/>
  <c r="AC162" i="174" s="1"/>
  <c r="AC114" i="174"/>
  <c r="AB162" i="124"/>
  <c r="AB162" i="174" s="1"/>
  <c r="AB114" i="174"/>
  <c r="AA162" i="124"/>
  <c r="AA162" i="174" s="1"/>
  <c r="AA114" i="174"/>
  <c r="Z162" i="124"/>
  <c r="Z162" i="174" s="1"/>
  <c r="Z114" i="174"/>
  <c r="AJ163" i="124"/>
  <c r="AJ163" i="174" s="1"/>
  <c r="AJ161" i="174"/>
  <c r="AI163" i="124"/>
  <c r="AI163" i="174" s="1"/>
  <c r="AI161" i="174"/>
  <c r="AH163" i="124"/>
  <c r="AH163" i="174" s="1"/>
  <c r="AH161" i="174"/>
  <c r="AG163" i="124"/>
  <c r="AG163" i="174" s="1"/>
  <c r="AG161" i="174"/>
  <c r="AF163" i="124"/>
  <c r="AF163" i="174" s="1"/>
  <c r="AF161" i="174"/>
  <c r="AE163" i="124"/>
  <c r="AE163" i="174" s="1"/>
  <c r="AE161" i="174"/>
  <c r="AD163" i="124"/>
  <c r="AD163" i="174" s="1"/>
  <c r="AD161" i="174"/>
  <c r="AC163" i="124"/>
  <c r="AC163" i="174" s="1"/>
  <c r="AC161" i="174"/>
  <c r="AB163" i="124"/>
  <c r="AB163" i="174" s="1"/>
  <c r="AB161" i="174"/>
  <c r="AA163" i="124"/>
  <c r="AA163" i="174" s="1"/>
  <c r="AA161" i="174"/>
  <c r="Z163" i="124"/>
  <c r="Z163" i="174" s="1"/>
  <c r="Z161" i="174"/>
  <c r="AF159" i="173"/>
  <c r="AF248" i="173" s="1"/>
  <c r="AF251" i="173" s="1"/>
  <c r="AF288" i="173" s="1"/>
  <c r="AF350" i="173" s="1"/>
  <c r="AF353" i="173" s="1"/>
  <c r="AF169" i="174"/>
  <c r="AF168" i="174" s="1"/>
  <c r="AF257" i="174" s="1"/>
  <c r="AF350" i="174" s="1"/>
  <c r="Z159" i="173"/>
  <c r="Z248" i="173" s="1"/>
  <c r="Z251" i="173" s="1"/>
  <c r="Z288" i="173" s="1"/>
  <c r="Z350" i="173" s="1"/>
  <c r="Z353" i="173" s="1"/>
  <c r="Z169" i="174"/>
  <c r="AH159" i="173"/>
  <c r="AH248" i="173" s="1"/>
  <c r="AH251" i="173" s="1"/>
  <c r="AH288" i="173" s="1"/>
  <c r="AH350" i="173" s="1"/>
  <c r="AH353" i="173" s="1"/>
  <c r="AH169" i="174"/>
  <c r="AH168" i="174" s="1"/>
  <c r="AH257" i="174" s="1"/>
  <c r="AH350" i="174" s="1"/>
  <c r="AG159" i="173"/>
  <c r="AG248" i="173" s="1"/>
  <c r="AG251" i="173" s="1"/>
  <c r="AG288" i="173" s="1"/>
  <c r="AG350" i="173" s="1"/>
  <c r="AG353" i="173" s="1"/>
  <c r="AG169" i="174"/>
  <c r="AG168" i="174" s="1"/>
  <c r="AG257" i="174" s="1"/>
  <c r="AG350" i="174" s="1"/>
  <c r="AD159" i="173"/>
  <c r="AD248" i="173" s="1"/>
  <c r="AD251" i="173" s="1"/>
  <c r="AD288" i="173" s="1"/>
  <c r="AD350" i="173" s="1"/>
  <c r="AD353" i="173" s="1"/>
  <c r="AD169" i="174"/>
  <c r="AD168" i="174" s="1"/>
  <c r="AD257" i="174" s="1"/>
  <c r="AD350" i="174" s="1"/>
  <c r="AA159" i="173"/>
  <c r="AA248" i="173" s="1"/>
  <c r="AA251" i="173" s="1"/>
  <c r="AA288" i="173" s="1"/>
  <c r="AA350" i="173" s="1"/>
  <c r="AA353" i="173" s="1"/>
  <c r="AA169" i="174"/>
  <c r="AA168" i="174" s="1"/>
  <c r="AA257" i="174" s="1"/>
  <c r="AA350" i="174" s="1"/>
  <c r="AB159" i="173"/>
  <c r="AB248" i="173" s="1"/>
  <c r="AB251" i="173" s="1"/>
  <c r="AB288" i="173" s="1"/>
  <c r="AB350" i="173" s="1"/>
  <c r="AB353" i="173" s="1"/>
  <c r="AB169" i="174"/>
  <c r="AB168" i="174" s="1"/>
  <c r="AB257" i="174" s="1"/>
  <c r="AB350" i="174" s="1"/>
  <c r="AC159" i="173"/>
  <c r="AC248" i="173" s="1"/>
  <c r="AC251" i="173" s="1"/>
  <c r="AC288" i="173" s="1"/>
  <c r="AC350" i="173" s="1"/>
  <c r="AC353" i="173" s="1"/>
  <c r="AC169" i="174"/>
  <c r="AC168" i="174" s="1"/>
  <c r="AC257" i="174" s="1"/>
  <c r="AC350" i="174" s="1"/>
  <c r="AE159" i="173"/>
  <c r="AE248" i="173" s="1"/>
  <c r="AE251" i="173" s="1"/>
  <c r="AE288" i="173" s="1"/>
  <c r="AE350" i="173" s="1"/>
  <c r="AE353" i="173" s="1"/>
  <c r="AE169" i="174"/>
  <c r="AE168" i="174" s="1"/>
  <c r="AE257" i="174" s="1"/>
  <c r="AE350" i="174" s="1"/>
  <c r="AI159" i="173"/>
  <c r="AI248" i="173" s="1"/>
  <c r="AI251" i="173" s="1"/>
  <c r="AI288" i="173" s="1"/>
  <c r="AI350" i="173" s="1"/>
  <c r="AI353" i="173" s="1"/>
  <c r="AI169" i="174"/>
  <c r="AI168" i="174" s="1"/>
  <c r="AI257" i="174" s="1"/>
  <c r="AI350" i="174" s="1"/>
  <c r="AJ159" i="173"/>
  <c r="AJ248" i="173" s="1"/>
  <c r="AJ251" i="173" s="1"/>
  <c r="AJ288" i="173" s="1"/>
  <c r="AJ350" i="173" s="1"/>
  <c r="AJ353" i="173" s="1"/>
  <c r="AJ169" i="174"/>
  <c r="AJ168" i="174" s="1"/>
  <c r="AJ257" i="174" s="1"/>
  <c r="AJ350" i="174" s="1"/>
  <c r="Y114" i="68"/>
  <c r="AK150" i="68"/>
  <c r="Y114" i="86"/>
  <c r="Y161" i="86" s="1"/>
  <c r="Y150" i="174"/>
  <c r="AK150" i="86"/>
  <c r="Y114" i="84"/>
  <c r="AK150" i="84"/>
  <c r="Y114" i="74"/>
  <c r="AK150" i="74"/>
  <c r="Y114" i="83"/>
  <c r="AK150" i="83"/>
  <c r="AM150" i="87"/>
  <c r="AK114" i="87"/>
  <c r="AK161" i="87" s="1"/>
  <c r="AC14" i="84"/>
  <c r="AC13" i="84" s="1"/>
  <c r="AC34" i="84" s="1"/>
  <c r="AE14" i="84"/>
  <c r="AE13" i="84" s="1"/>
  <c r="AE34" i="84" s="1"/>
  <c r="AA14" i="84"/>
  <c r="AA13" i="84" s="1"/>
  <c r="AA34" i="84" s="1"/>
  <c r="AB14" i="84"/>
  <c r="AB13" i="84" s="1"/>
  <c r="AB34" i="84" s="1"/>
  <c r="AI14" i="84"/>
  <c r="AI13" i="84" s="1"/>
  <c r="AI34" i="84" s="1"/>
  <c r="AD14" i="84"/>
  <c r="AD13" i="84" s="1"/>
  <c r="AD34" i="84" s="1"/>
  <c r="AF14" i="84"/>
  <c r="AF13" i="84" s="1"/>
  <c r="AF34" i="84" s="1"/>
  <c r="Z14" i="84"/>
  <c r="Z13" i="84" s="1"/>
  <c r="Z34" i="84" s="1"/>
  <c r="AJ14" i="84"/>
  <c r="AJ13" i="84" s="1"/>
  <c r="AJ34" i="84" s="1"/>
  <c r="AJ43" i="68"/>
  <c r="AJ164" i="68"/>
  <c r="AJ165" i="68" s="1"/>
  <c r="AG14" i="84"/>
  <c r="AG13" i="84" s="1"/>
  <c r="AG34" i="84" s="1"/>
  <c r="AH14" i="84"/>
  <c r="AH13" i="84" s="1"/>
  <c r="AH34" i="84" s="1"/>
  <c r="Z13" i="87"/>
  <c r="Z34" i="87" s="1"/>
  <c r="Z14" i="124"/>
  <c r="Z14" i="174" s="1"/>
  <c r="AB13" i="87"/>
  <c r="AB34" i="87" s="1"/>
  <c r="AB43" i="87" s="1"/>
  <c r="AB14" i="124"/>
  <c r="AB14" i="174" s="1"/>
  <c r="AA13" i="87"/>
  <c r="AA34" i="87" s="1"/>
  <c r="AA14" i="124"/>
  <c r="AA14" i="174" s="1"/>
  <c r="AG14" i="124"/>
  <c r="AG14" i="174" s="1"/>
  <c r="AG13" i="87"/>
  <c r="AG34" i="87" s="1"/>
  <c r="AD14" i="124"/>
  <c r="AD14" i="174" s="1"/>
  <c r="AD13" i="87"/>
  <c r="AD34" i="87" s="1"/>
  <c r="AD43" i="87" s="1"/>
  <c r="AH13" i="87"/>
  <c r="AH34" i="87" s="1"/>
  <c r="AH43" i="87" s="1"/>
  <c r="AH14" i="124"/>
  <c r="AH14" i="174" s="1"/>
  <c r="AF14" i="124"/>
  <c r="AF14" i="174" s="1"/>
  <c r="AF13" i="87"/>
  <c r="AF34" i="87" s="1"/>
  <c r="AF43" i="87" s="1"/>
  <c r="AJ13" i="87"/>
  <c r="AJ34" i="87" s="1"/>
  <c r="AJ14" i="124"/>
  <c r="AJ14" i="174" s="1"/>
  <c r="AC13" i="87"/>
  <c r="AC34" i="87" s="1"/>
  <c r="AC14" i="124"/>
  <c r="AC14" i="174" s="1"/>
  <c r="AI13" i="87"/>
  <c r="AI34" i="87" s="1"/>
  <c r="AI43" i="87" s="1"/>
  <c r="AI14" i="124"/>
  <c r="AI14" i="174" s="1"/>
  <c r="AE14" i="124"/>
  <c r="AE14" i="174" s="1"/>
  <c r="AE13" i="87"/>
  <c r="AE34" i="87" s="1"/>
  <c r="AE43" i="87" s="1"/>
  <c r="AH164" i="84"/>
  <c r="AH165" i="84" s="1"/>
  <c r="AH43" i="84"/>
  <c r="AI164" i="84"/>
  <c r="AI165" i="84" s="1"/>
  <c r="AI43" i="84"/>
  <c r="Z164" i="84"/>
  <c r="Z165" i="84" s="1"/>
  <c r="Z43" i="84"/>
  <c r="AF164" i="84"/>
  <c r="AF165" i="84" s="1"/>
  <c r="AF43" i="84"/>
  <c r="AA164" i="83"/>
  <c r="AA165" i="83" s="1"/>
  <c r="AA43" i="83"/>
  <c r="AH164" i="74"/>
  <c r="AH165" i="74" s="1"/>
  <c r="AH43" i="74"/>
  <c r="AJ43" i="74"/>
  <c r="AI164" i="83"/>
  <c r="AI165" i="83" s="1"/>
  <c r="AI43" i="83"/>
  <c r="AC164" i="83"/>
  <c r="AC165" i="83" s="1"/>
  <c r="AC43" i="83"/>
  <c r="AC164" i="84"/>
  <c r="AC165" i="84" s="1"/>
  <c r="AC43" i="84"/>
  <c r="AJ164" i="84"/>
  <c r="AJ165" i="84" s="1"/>
  <c r="AJ43" i="84"/>
  <c r="AB164" i="84"/>
  <c r="AB165" i="84" s="1"/>
  <c r="AB43" i="84"/>
  <c r="AE164" i="74"/>
  <c r="AE165" i="74" s="1"/>
  <c r="AE43" i="74"/>
  <c r="Z164" i="74"/>
  <c r="Z165" i="74" s="1"/>
  <c r="Z43" i="74"/>
  <c r="AD43" i="74"/>
  <c r="AJ164" i="83"/>
  <c r="AJ165" i="83" s="1"/>
  <c r="AJ43" i="83"/>
  <c r="AG164" i="83"/>
  <c r="AG165" i="83" s="1"/>
  <c r="AG43" i="83"/>
  <c r="Z164" i="83"/>
  <c r="Z165" i="83" s="1"/>
  <c r="Z43" i="83"/>
  <c r="AE164" i="84"/>
  <c r="AE165" i="84" s="1"/>
  <c r="AE43" i="84"/>
  <c r="AA164" i="84"/>
  <c r="AA165" i="84" s="1"/>
  <c r="AA43" i="84"/>
  <c r="AD164" i="84"/>
  <c r="AD165" i="84" s="1"/>
  <c r="AD43" i="84"/>
  <c r="AA43" i="74"/>
  <c r="AI164" i="74"/>
  <c r="AI165" i="74" s="1"/>
  <c r="AI43" i="74"/>
  <c r="AG164" i="84"/>
  <c r="AG165" i="84" s="1"/>
  <c r="AG43" i="84"/>
  <c r="AG43" i="87"/>
  <c r="AC164" i="87"/>
  <c r="AC165" i="87" s="1"/>
  <c r="AC43" i="87"/>
  <c r="AA43" i="87"/>
  <c r="AK159" i="173"/>
  <c r="AM160" i="173"/>
  <c r="AL160" i="173"/>
  <c r="AL7" i="86"/>
  <c r="AL8" i="86"/>
  <c r="AL9" i="86"/>
  <c r="AL24" i="86"/>
  <c r="AL29" i="86"/>
  <c r="AA164" i="74"/>
  <c r="AA165" i="74" s="1"/>
  <c r="AA164" i="87"/>
  <c r="AA165" i="87" s="1"/>
  <c r="AL9" i="74"/>
  <c r="AL26" i="74"/>
  <c r="AL27" i="74"/>
  <c r="AL23" i="74"/>
  <c r="AL24" i="74"/>
  <c r="AL8" i="74"/>
  <c r="AJ164" i="74"/>
  <c r="AJ165" i="74" s="1"/>
  <c r="AL29" i="74"/>
  <c r="AL9" i="83"/>
  <c r="AL25" i="74"/>
  <c r="AL28" i="86"/>
  <c r="AL27" i="86"/>
  <c r="AL24" i="68"/>
  <c r="AL25" i="68"/>
  <c r="AL26" i="68"/>
  <c r="AL27" i="68"/>
  <c r="AL7" i="68"/>
  <c r="AL8" i="68"/>
  <c r="AL29" i="68"/>
  <c r="AG164" i="87"/>
  <c r="AG165" i="87" s="1"/>
  <c r="AK8" i="124"/>
  <c r="AK8" i="87"/>
  <c r="AM8" i="87" s="1"/>
  <c r="Y7" i="124"/>
  <c r="Y7" i="174" s="1"/>
  <c r="AK7" i="87"/>
  <c r="AL28" i="68"/>
  <c r="AL25" i="83"/>
  <c r="AL23" i="86"/>
  <c r="AL28" i="83"/>
  <c r="AL8" i="84"/>
  <c r="AL27" i="83"/>
  <c r="Z35" i="124"/>
  <c r="Z35" i="174" s="1"/>
  <c r="AF35" i="124"/>
  <c r="AF35" i="174" s="1"/>
  <c r="AB164" i="87"/>
  <c r="AB165" i="87" s="1"/>
  <c r="AH164" i="68"/>
  <c r="AH165" i="68" s="1"/>
  <c r="AH35" i="124"/>
  <c r="AH35" i="174" s="1"/>
  <c r="AJ35" i="124"/>
  <c r="AJ35" i="174" s="1"/>
  <c r="AM9" i="124"/>
  <c r="AM9" i="174" s="1"/>
  <c r="AM26" i="124"/>
  <c r="AM26" i="174" s="1"/>
  <c r="AB164" i="83"/>
  <c r="AB165" i="83" s="1"/>
  <c r="AL39" i="124"/>
  <c r="AL39" i="174" s="1"/>
  <c r="AL38" i="124"/>
  <c r="AL38" i="174" s="1"/>
  <c r="AM39" i="124"/>
  <c r="AM39" i="174" s="1"/>
  <c r="AL9" i="68"/>
  <c r="AM25" i="124"/>
  <c r="AM25" i="174" s="1"/>
  <c r="AL12" i="83"/>
  <c r="AL59" i="83"/>
  <c r="AL81" i="83"/>
  <c r="AL132" i="83"/>
  <c r="AL157" i="83"/>
  <c r="AL137" i="83"/>
  <c r="AL115" i="83"/>
  <c r="AL67" i="83"/>
  <c r="AL113" i="83"/>
  <c r="AL106" i="83"/>
  <c r="AL33" i="83"/>
  <c r="AL17" i="83"/>
  <c r="AL60" i="83"/>
  <c r="AL83" i="83"/>
  <c r="AL133" i="83"/>
  <c r="AL156" i="83"/>
  <c r="AL135" i="83"/>
  <c r="AL91" i="83"/>
  <c r="AL66" i="83"/>
  <c r="AL93" i="83"/>
  <c r="AL107" i="83"/>
  <c r="AL30" i="83"/>
  <c r="AL124" i="83"/>
  <c r="AL18" i="83"/>
  <c r="AL62" i="83"/>
  <c r="AL84" i="83"/>
  <c r="AL134" i="83"/>
  <c r="AL155" i="83"/>
  <c r="AL131" i="83"/>
  <c r="AL89" i="83"/>
  <c r="AL64" i="83"/>
  <c r="AL94" i="83"/>
  <c r="AL108" i="83"/>
  <c r="AL92" i="83"/>
  <c r="AL154" i="83"/>
  <c r="AL142" i="83"/>
  <c r="AL76" i="83"/>
  <c r="AL110" i="83"/>
  <c r="AL19" i="83"/>
  <c r="AL63" i="83"/>
  <c r="AL85" i="83"/>
  <c r="AL136" i="83"/>
  <c r="AL153" i="83"/>
  <c r="AL129" i="83"/>
  <c r="AL88" i="83"/>
  <c r="AL58" i="83"/>
  <c r="AL95" i="83"/>
  <c r="AL10" i="83"/>
  <c r="AL109" i="83"/>
  <c r="AL122" i="83"/>
  <c r="AL53" i="83"/>
  <c r="AL20" i="83"/>
  <c r="AL65" i="83"/>
  <c r="AL87" i="83"/>
  <c r="AL138" i="83"/>
  <c r="AL152" i="83"/>
  <c r="AL128" i="83"/>
  <c r="AL86" i="83"/>
  <c r="AL57" i="83"/>
  <c r="AL96" i="83"/>
  <c r="AL50" i="83"/>
  <c r="AL101" i="83"/>
  <c r="AL119" i="83"/>
  <c r="AL21" i="83"/>
  <c r="AL68" i="83"/>
  <c r="AL90" i="83"/>
  <c r="AL139" i="83"/>
  <c r="AL150" i="83"/>
  <c r="AL127" i="83"/>
  <c r="AL82" i="83"/>
  <c r="AL56" i="83"/>
  <c r="AL97" i="83"/>
  <c r="AL121" i="83"/>
  <c r="AL22" i="83"/>
  <c r="AL69" i="83"/>
  <c r="AL116" i="83"/>
  <c r="AL143" i="83"/>
  <c r="AL148" i="83"/>
  <c r="AL126" i="83"/>
  <c r="AL80" i="83"/>
  <c r="AL54" i="83"/>
  <c r="AL98" i="83"/>
  <c r="AL151" i="83"/>
  <c r="AL6" i="83"/>
  <c r="AL75" i="83"/>
  <c r="AL141" i="83"/>
  <c r="AL111" i="83"/>
  <c r="AL104" i="83"/>
  <c r="AL31" i="83"/>
  <c r="AL71" i="83"/>
  <c r="AL117" i="83"/>
  <c r="AL146" i="83"/>
  <c r="AL145" i="83"/>
  <c r="AL125" i="83"/>
  <c r="AL79" i="83"/>
  <c r="AL52" i="83"/>
  <c r="AL99" i="83"/>
  <c r="AM6" i="83"/>
  <c r="AL105" i="83"/>
  <c r="AL32" i="83"/>
  <c r="AL73" i="83"/>
  <c r="AL120" i="83"/>
  <c r="AL147" i="83"/>
  <c r="AL144" i="83"/>
  <c r="AL123" i="83"/>
  <c r="AL77" i="83"/>
  <c r="AL51" i="83"/>
  <c r="AL100" i="83"/>
  <c r="AL74" i="83"/>
  <c r="AL118" i="83"/>
  <c r="AL78" i="83"/>
  <c r="AL72" i="83"/>
  <c r="AL70" i="83"/>
  <c r="AL130" i="83"/>
  <c r="AL140" i="83"/>
  <c r="AL11" i="83"/>
  <c r="AL112" i="83"/>
  <c r="AL103" i="83"/>
  <c r="AL102" i="83"/>
  <c r="AL158" i="83"/>
  <c r="AL55" i="83"/>
  <c r="AL24" i="83"/>
  <c r="AL26" i="83"/>
  <c r="AL24" i="84"/>
  <c r="AG164" i="74"/>
  <c r="AG165" i="74" s="1"/>
  <c r="AL9" i="84"/>
  <c r="AF164" i="74"/>
  <c r="AF165" i="74" s="1"/>
  <c r="AM23" i="124"/>
  <c r="AM23" i="174" s="1"/>
  <c r="AG164" i="68"/>
  <c r="AG165" i="68" s="1"/>
  <c r="AE164" i="68"/>
  <c r="AE165" i="68" s="1"/>
  <c r="AG35" i="124"/>
  <c r="AG35" i="174" s="1"/>
  <c r="AD164" i="68"/>
  <c r="AD165" i="68" s="1"/>
  <c r="AA164" i="68"/>
  <c r="AA165" i="68" s="1"/>
  <c r="AL6" i="86"/>
  <c r="AL53" i="86"/>
  <c r="AL75" i="86"/>
  <c r="AL124" i="86"/>
  <c r="AL141" i="86"/>
  <c r="AL119" i="86"/>
  <c r="AL72" i="86"/>
  <c r="AL111" i="86"/>
  <c r="AL102" i="86"/>
  <c r="AL117" i="86"/>
  <c r="AL11" i="86"/>
  <c r="AL55" i="86"/>
  <c r="AL78" i="86"/>
  <c r="AL130" i="86"/>
  <c r="AL158" i="86"/>
  <c r="AL140" i="86"/>
  <c r="AL118" i="86"/>
  <c r="AL70" i="86"/>
  <c r="AL112" i="86"/>
  <c r="AL105" i="86"/>
  <c r="AL71" i="86"/>
  <c r="AL104" i="86"/>
  <c r="AL144" i="86"/>
  <c r="AL12" i="86"/>
  <c r="AL59" i="86"/>
  <c r="AL81" i="86"/>
  <c r="AL132" i="86"/>
  <c r="AL157" i="86"/>
  <c r="AL137" i="86"/>
  <c r="AL115" i="86"/>
  <c r="AL67" i="86"/>
  <c r="AL113" i="86"/>
  <c r="AL106" i="86"/>
  <c r="AL125" i="86"/>
  <c r="AL17" i="86"/>
  <c r="AL60" i="86"/>
  <c r="AL83" i="86"/>
  <c r="AL133" i="86"/>
  <c r="AL156" i="86"/>
  <c r="AL135" i="86"/>
  <c r="AL91" i="86"/>
  <c r="AL66" i="86"/>
  <c r="AL93" i="86"/>
  <c r="AL107" i="86"/>
  <c r="AL30" i="86"/>
  <c r="AL146" i="86"/>
  <c r="AL32" i="86"/>
  <c r="AL18" i="86"/>
  <c r="AL62" i="86"/>
  <c r="AL84" i="86"/>
  <c r="AL134" i="86"/>
  <c r="AL155" i="86"/>
  <c r="AL131" i="86"/>
  <c r="AL89" i="86"/>
  <c r="AL64" i="86"/>
  <c r="AL94" i="86"/>
  <c r="AL108" i="86"/>
  <c r="AL92" i="86"/>
  <c r="AL120" i="86"/>
  <c r="AL123" i="86"/>
  <c r="AL19" i="86"/>
  <c r="AL63" i="86"/>
  <c r="AL85" i="86"/>
  <c r="AL136" i="86"/>
  <c r="AL153" i="86"/>
  <c r="AL129" i="86"/>
  <c r="AL88" i="86"/>
  <c r="AL58" i="86"/>
  <c r="AL95" i="86"/>
  <c r="AL10" i="86"/>
  <c r="AL109" i="86"/>
  <c r="AL79" i="86"/>
  <c r="AL77" i="86"/>
  <c r="AL20" i="86"/>
  <c r="AL65" i="86"/>
  <c r="AL87" i="86"/>
  <c r="AL138" i="86"/>
  <c r="AL152" i="86"/>
  <c r="AL128" i="86"/>
  <c r="AL86" i="86"/>
  <c r="AL57" i="86"/>
  <c r="AL96" i="86"/>
  <c r="AL50" i="86"/>
  <c r="AL103" i="86"/>
  <c r="AL51" i="86"/>
  <c r="AL21" i="86"/>
  <c r="AL68" i="86"/>
  <c r="AL90" i="86"/>
  <c r="AL139" i="86"/>
  <c r="AL150" i="86"/>
  <c r="AL127" i="86"/>
  <c r="AL82" i="86"/>
  <c r="AL56" i="86"/>
  <c r="AL97" i="86"/>
  <c r="AL31" i="86"/>
  <c r="AL145" i="86"/>
  <c r="AL52" i="86"/>
  <c r="AL99" i="86"/>
  <c r="AL73" i="86"/>
  <c r="AL100" i="86"/>
  <c r="AL22" i="86"/>
  <c r="AL69" i="86"/>
  <c r="AL116" i="86"/>
  <c r="AL143" i="86"/>
  <c r="AL148" i="86"/>
  <c r="AL126" i="86"/>
  <c r="AL80" i="86"/>
  <c r="AL54" i="86"/>
  <c r="AL98" i="86"/>
  <c r="AL151" i="86"/>
  <c r="AL147" i="86"/>
  <c r="AL154" i="86"/>
  <c r="AL142" i="86"/>
  <c r="AL74" i="86"/>
  <c r="AL121" i="86"/>
  <c r="AL76" i="86"/>
  <c r="AL110" i="86"/>
  <c r="AL101" i="86"/>
  <c r="AM6" i="86"/>
  <c r="AL33" i="86"/>
  <c r="AL122" i="86"/>
  <c r="AB164" i="68"/>
  <c r="AB165" i="68" s="1"/>
  <c r="AL41" i="124"/>
  <c r="AL41" i="174" s="1"/>
  <c r="AB35" i="124"/>
  <c r="AB35" i="174" s="1"/>
  <c r="AF164" i="87"/>
  <c r="AF165" i="87" s="1"/>
  <c r="AL26" i="84"/>
  <c r="AE164" i="83"/>
  <c r="AE165" i="83" s="1"/>
  <c r="AC164" i="74"/>
  <c r="AC165" i="74" s="1"/>
  <c r="AM28" i="124"/>
  <c r="AM28" i="174" s="1"/>
  <c r="AE35" i="124"/>
  <c r="AE35" i="174" s="1"/>
  <c r="AF164" i="68"/>
  <c r="AF165" i="68" s="1"/>
  <c r="AM29" i="124"/>
  <c r="AM29" i="174" s="1"/>
  <c r="AC164" i="68"/>
  <c r="AC165" i="68" s="1"/>
  <c r="AH164" i="83"/>
  <c r="AH165" i="83" s="1"/>
  <c r="AD164" i="87"/>
  <c r="AD165" i="87" s="1"/>
  <c r="AL28" i="84"/>
  <c r="AI35" i="124"/>
  <c r="AI35" i="174" s="1"/>
  <c r="AD164" i="83"/>
  <c r="AD165" i="83" s="1"/>
  <c r="AH164" i="87"/>
  <c r="AH165" i="87" s="1"/>
  <c r="AL40" i="124"/>
  <c r="AL40" i="174" s="1"/>
  <c r="AM6" i="68"/>
  <c r="AL33" i="68"/>
  <c r="AL74" i="68"/>
  <c r="AL122" i="68"/>
  <c r="AL141" i="68"/>
  <c r="AL119" i="68"/>
  <c r="AL72" i="68"/>
  <c r="AL111" i="68"/>
  <c r="AL102" i="68"/>
  <c r="AL6" i="68"/>
  <c r="AL53" i="68"/>
  <c r="AL75" i="68"/>
  <c r="AL124" i="68"/>
  <c r="AL158" i="68"/>
  <c r="AL140" i="68"/>
  <c r="AL118" i="68"/>
  <c r="AL70" i="68"/>
  <c r="AL112" i="68"/>
  <c r="AL103" i="68"/>
  <c r="AL71" i="68"/>
  <c r="AL11" i="68"/>
  <c r="AL55" i="68"/>
  <c r="AL78" i="68"/>
  <c r="AL130" i="68"/>
  <c r="AL156" i="68"/>
  <c r="AL137" i="68"/>
  <c r="AL115" i="68"/>
  <c r="AL67" i="68"/>
  <c r="AL113" i="68"/>
  <c r="AL104" i="68"/>
  <c r="AL144" i="68"/>
  <c r="AL12" i="68"/>
  <c r="AL59" i="68"/>
  <c r="AL81" i="68"/>
  <c r="AL132" i="68"/>
  <c r="AL155" i="68"/>
  <c r="AL135" i="68"/>
  <c r="AL91" i="68"/>
  <c r="AL66" i="68"/>
  <c r="AL93" i="68"/>
  <c r="AL105" i="68"/>
  <c r="AL123" i="68"/>
  <c r="AL51" i="68"/>
  <c r="AL17" i="68"/>
  <c r="AL60" i="68"/>
  <c r="AL83" i="68"/>
  <c r="AL133" i="68"/>
  <c r="AL154" i="68"/>
  <c r="AL131" i="68"/>
  <c r="AL89" i="68"/>
  <c r="AL64" i="68"/>
  <c r="AL94" i="68"/>
  <c r="AL107" i="68"/>
  <c r="AL30" i="68"/>
  <c r="AL146" i="68"/>
  <c r="AL18" i="68"/>
  <c r="AL62" i="68"/>
  <c r="AL84" i="68"/>
  <c r="AL134" i="68"/>
  <c r="AL153" i="68"/>
  <c r="AL129" i="68"/>
  <c r="AL88" i="68"/>
  <c r="AL58" i="68"/>
  <c r="AL95" i="68"/>
  <c r="AL108" i="68"/>
  <c r="AL92" i="68"/>
  <c r="AL19" i="68"/>
  <c r="AL63" i="68"/>
  <c r="AL85" i="68"/>
  <c r="AL136" i="68"/>
  <c r="AL152" i="68"/>
  <c r="AL128" i="68"/>
  <c r="AL86" i="68"/>
  <c r="AL57" i="68"/>
  <c r="AL96" i="68"/>
  <c r="AL10" i="68"/>
  <c r="AL109" i="68"/>
  <c r="AL106" i="68"/>
  <c r="AL116" i="68"/>
  <c r="AL145" i="68"/>
  <c r="AL79" i="68"/>
  <c r="AL99" i="68"/>
  <c r="AL31" i="68"/>
  <c r="AL20" i="68"/>
  <c r="AL65" i="68"/>
  <c r="AL87" i="68"/>
  <c r="AL138" i="68"/>
  <c r="AL150" i="68"/>
  <c r="AL127" i="68"/>
  <c r="AL82" i="68"/>
  <c r="AL56" i="68"/>
  <c r="AL97" i="68"/>
  <c r="AL50" i="68"/>
  <c r="AL22" i="68"/>
  <c r="AL69" i="68"/>
  <c r="AL143" i="68"/>
  <c r="AL125" i="68"/>
  <c r="AL52" i="68"/>
  <c r="AL151" i="68"/>
  <c r="AL117" i="68"/>
  <c r="AL100" i="68"/>
  <c r="AL21" i="68"/>
  <c r="AL68" i="68"/>
  <c r="AL90" i="68"/>
  <c r="AL139" i="68"/>
  <c r="AL148" i="68"/>
  <c r="AL126" i="68"/>
  <c r="AL80" i="68"/>
  <c r="AL54" i="68"/>
  <c r="AL98" i="68"/>
  <c r="AL77" i="68"/>
  <c r="AL147" i="68"/>
  <c r="AL73" i="68"/>
  <c r="AL142" i="68"/>
  <c r="AL121" i="68"/>
  <c r="AL120" i="68"/>
  <c r="AL76" i="68"/>
  <c r="AL110" i="68"/>
  <c r="AL32" i="68"/>
  <c r="AL101" i="68"/>
  <c r="AL25" i="84"/>
  <c r="AL8" i="83"/>
  <c r="AE164" i="87"/>
  <c r="AE165" i="87" s="1"/>
  <c r="AL50" i="74"/>
  <c r="AL151" i="74"/>
  <c r="AL92" i="74"/>
  <c r="AL109" i="74"/>
  <c r="AL20" i="74"/>
  <c r="AL65" i="74"/>
  <c r="AL87" i="74"/>
  <c r="AL138" i="74"/>
  <c r="AL99" i="74"/>
  <c r="AL145" i="74"/>
  <c r="AL125" i="74"/>
  <c r="AL79" i="74"/>
  <c r="AL52" i="74"/>
  <c r="AL83" i="74"/>
  <c r="AL106" i="74"/>
  <c r="AL128" i="74"/>
  <c r="AL100" i="74"/>
  <c r="AL84" i="74"/>
  <c r="AL136" i="74"/>
  <c r="AL21" i="74"/>
  <c r="AL68" i="74"/>
  <c r="AL90" i="74"/>
  <c r="AL139" i="74"/>
  <c r="AL113" i="74"/>
  <c r="AL144" i="74"/>
  <c r="AL123" i="74"/>
  <c r="AL77" i="74"/>
  <c r="AL51" i="74"/>
  <c r="AL12" i="74"/>
  <c r="AL107" i="74"/>
  <c r="AL88" i="74"/>
  <c r="AL133" i="74"/>
  <c r="AL57" i="74"/>
  <c r="AL105" i="74"/>
  <c r="AL56" i="74"/>
  <c r="AL101" i="74"/>
  <c r="AL19" i="74"/>
  <c r="AL102" i="74"/>
  <c r="AL22" i="74"/>
  <c r="AL69" i="74"/>
  <c r="AL116" i="74"/>
  <c r="AL143" i="74"/>
  <c r="AL112" i="74"/>
  <c r="AL142" i="74"/>
  <c r="AL121" i="74"/>
  <c r="AL76" i="74"/>
  <c r="AL110" i="74"/>
  <c r="AL10" i="74"/>
  <c r="AL153" i="74"/>
  <c r="AL62" i="74"/>
  <c r="AL103" i="74"/>
  <c r="AL31" i="74"/>
  <c r="AL71" i="74"/>
  <c r="AL117" i="74"/>
  <c r="AL146" i="74"/>
  <c r="AL111" i="74"/>
  <c r="AL141" i="74"/>
  <c r="AL119" i="74"/>
  <c r="AL72" i="74"/>
  <c r="AL93" i="74"/>
  <c r="AL30" i="74"/>
  <c r="AL58" i="74"/>
  <c r="AL32" i="74"/>
  <c r="AL73" i="74"/>
  <c r="AL120" i="74"/>
  <c r="AL147" i="74"/>
  <c r="AL150" i="74"/>
  <c r="AL140" i="74"/>
  <c r="AL118" i="74"/>
  <c r="AL70" i="74"/>
  <c r="AL94" i="74"/>
  <c r="AL60" i="74"/>
  <c r="AL134" i="74"/>
  <c r="AM6" i="74"/>
  <c r="AL33" i="74"/>
  <c r="AL74" i="74"/>
  <c r="AL122" i="74"/>
  <c r="AL154" i="74"/>
  <c r="AL158" i="74"/>
  <c r="AL137" i="74"/>
  <c r="AL115" i="74"/>
  <c r="AL67" i="74"/>
  <c r="AL95" i="74"/>
  <c r="AL81" i="74"/>
  <c r="AL132" i="74"/>
  <c r="AL129" i="74"/>
  <c r="AL98" i="74"/>
  <c r="AL82" i="74"/>
  <c r="AL148" i="74"/>
  <c r="AL54" i="74"/>
  <c r="AL6" i="74"/>
  <c r="AL53" i="74"/>
  <c r="AL75" i="74"/>
  <c r="AL124" i="74"/>
  <c r="AL157" i="74"/>
  <c r="AL135" i="74"/>
  <c r="AL91" i="74"/>
  <c r="AL66" i="74"/>
  <c r="AL96" i="74"/>
  <c r="AL59" i="74"/>
  <c r="AL155" i="74"/>
  <c r="AL17" i="74"/>
  <c r="AL152" i="74"/>
  <c r="AL85" i="74"/>
  <c r="AL104" i="74"/>
  <c r="AL126" i="74"/>
  <c r="AL80" i="74"/>
  <c r="AL11" i="74"/>
  <c r="AL55" i="74"/>
  <c r="AL78" i="74"/>
  <c r="AL130" i="74"/>
  <c r="AL108" i="74"/>
  <c r="AL156" i="74"/>
  <c r="AL131" i="74"/>
  <c r="AL89" i="74"/>
  <c r="AL64" i="74"/>
  <c r="AL97" i="74"/>
  <c r="AL86" i="74"/>
  <c r="AL18" i="74"/>
  <c r="AL127" i="74"/>
  <c r="AL63" i="74"/>
  <c r="AL28" i="74"/>
  <c r="AL6" i="84"/>
  <c r="AL53" i="84"/>
  <c r="AL75" i="84"/>
  <c r="AL124" i="84"/>
  <c r="AL54" i="84"/>
  <c r="AL80" i="84"/>
  <c r="AL127" i="84"/>
  <c r="AL150" i="84"/>
  <c r="AL96" i="84"/>
  <c r="AL146" i="84"/>
  <c r="AL11" i="84"/>
  <c r="AL55" i="84"/>
  <c r="AL78" i="84"/>
  <c r="AL130" i="84"/>
  <c r="AL108" i="84"/>
  <c r="AL56" i="84"/>
  <c r="AL82" i="84"/>
  <c r="AL128" i="84"/>
  <c r="AL153" i="84"/>
  <c r="AL97" i="84"/>
  <c r="AL31" i="84"/>
  <c r="AL102" i="84"/>
  <c r="AL12" i="84"/>
  <c r="AL59" i="84"/>
  <c r="AL81" i="84"/>
  <c r="AL132" i="84"/>
  <c r="AL107" i="84"/>
  <c r="AL57" i="84"/>
  <c r="AL86" i="84"/>
  <c r="AL129" i="84"/>
  <c r="AL155" i="84"/>
  <c r="AL98" i="84"/>
  <c r="AL112" i="84"/>
  <c r="AL32" i="84"/>
  <c r="AL17" i="84"/>
  <c r="AL60" i="84"/>
  <c r="AL83" i="84"/>
  <c r="AL133" i="84"/>
  <c r="AL106" i="84"/>
  <c r="AL58" i="84"/>
  <c r="AL88" i="84"/>
  <c r="AL131" i="84"/>
  <c r="AL156" i="84"/>
  <c r="AL100" i="84"/>
  <c r="AL10" i="84"/>
  <c r="AL151" i="84"/>
  <c r="AL77" i="84"/>
  <c r="AL145" i="84"/>
  <c r="AL18" i="84"/>
  <c r="AL62" i="84"/>
  <c r="AL84" i="84"/>
  <c r="AL134" i="84"/>
  <c r="AL105" i="84"/>
  <c r="AL64" i="84"/>
  <c r="AL89" i="84"/>
  <c r="AL135" i="84"/>
  <c r="AL157" i="84"/>
  <c r="AL101" i="84"/>
  <c r="AL30" i="84"/>
  <c r="AL76" i="84"/>
  <c r="AL147" i="84"/>
  <c r="AL92" i="84"/>
  <c r="AL19" i="84"/>
  <c r="AL63" i="84"/>
  <c r="AL85" i="84"/>
  <c r="AL136" i="84"/>
  <c r="AL104" i="84"/>
  <c r="AL66" i="84"/>
  <c r="AL91" i="84"/>
  <c r="AL137" i="84"/>
  <c r="AL158" i="84"/>
  <c r="AL103" i="84"/>
  <c r="AL144" i="84"/>
  <c r="AL73" i="84"/>
  <c r="AL109" i="84"/>
  <c r="AL20" i="84"/>
  <c r="AL65" i="84"/>
  <c r="AL87" i="84"/>
  <c r="AL138" i="84"/>
  <c r="AL99" i="84"/>
  <c r="AL67" i="84"/>
  <c r="AL118" i="84"/>
  <c r="AL140" i="84"/>
  <c r="AL152" i="84"/>
  <c r="AL120" i="84"/>
  <c r="AL125" i="84"/>
  <c r="AL93" i="84"/>
  <c r="AL50" i="84"/>
  <c r="AL21" i="84"/>
  <c r="AL68" i="84"/>
  <c r="AL90" i="84"/>
  <c r="AL139" i="84"/>
  <c r="AL94" i="84"/>
  <c r="AL70" i="84"/>
  <c r="AL119" i="84"/>
  <c r="AL141" i="84"/>
  <c r="AL115" i="84"/>
  <c r="AL117" i="84"/>
  <c r="AL123" i="84"/>
  <c r="AL110" i="84"/>
  <c r="AL22" i="84"/>
  <c r="AL69" i="84"/>
  <c r="AL116" i="84"/>
  <c r="AL143" i="84"/>
  <c r="AL113" i="84"/>
  <c r="AL72" i="84"/>
  <c r="AL121" i="84"/>
  <c r="AL142" i="84"/>
  <c r="AL51" i="84"/>
  <c r="AL71" i="84"/>
  <c r="AL111" i="84"/>
  <c r="AL122" i="84"/>
  <c r="AL154" i="84"/>
  <c r="AL52" i="84"/>
  <c r="AM6" i="84"/>
  <c r="AL79" i="84"/>
  <c r="AL126" i="84"/>
  <c r="AL74" i="84"/>
  <c r="AL148" i="84"/>
  <c r="AL33" i="84"/>
  <c r="AL95" i="84"/>
  <c r="AM27" i="124"/>
  <c r="AM27" i="174" s="1"/>
  <c r="AL42" i="124"/>
  <c r="AL42" i="174" s="1"/>
  <c r="AF164" i="83"/>
  <c r="AF165" i="83" s="1"/>
  <c r="AL29" i="83"/>
  <c r="AI164" i="87"/>
  <c r="AI165" i="87" s="1"/>
  <c r="AL7" i="83"/>
  <c r="Z164" i="68"/>
  <c r="Z165" i="68" s="1"/>
  <c r="AA35" i="124"/>
  <c r="AA35" i="174" s="1"/>
  <c r="AD35" i="124"/>
  <c r="AD35" i="174" s="1"/>
  <c r="AI164" i="68"/>
  <c r="AI165" i="68" s="1"/>
  <c r="AC35" i="124"/>
  <c r="AC35" i="174" s="1"/>
  <c r="AM24" i="124"/>
  <c r="AM24" i="174" s="1"/>
  <c r="AB164" i="74"/>
  <c r="AB165" i="74" s="1"/>
  <c r="AL29" i="84"/>
  <c r="AL23" i="84"/>
  <c r="Y161" i="83" l="1"/>
  <c r="Y162" i="83" s="1"/>
  <c r="Y163" i="83" s="1"/>
  <c r="Y161" i="74"/>
  <c r="Y162" i="74" s="1"/>
  <c r="Y163" i="74" s="1"/>
  <c r="AD164" i="74"/>
  <c r="AD165" i="74" s="1"/>
  <c r="AD162" i="74"/>
  <c r="AD163" i="74" s="1"/>
  <c r="Y161" i="84"/>
  <c r="Y162" i="84" s="1"/>
  <c r="Y163" i="84" s="1"/>
  <c r="Y161" i="68"/>
  <c r="Y162" i="68" s="1"/>
  <c r="Y163" i="68" s="1"/>
  <c r="AK149" i="124"/>
  <c r="Y149" i="174"/>
  <c r="Y149" i="175"/>
  <c r="AK150" i="175"/>
  <c r="Y152" i="174"/>
  <c r="AK152" i="124"/>
  <c r="Y151" i="124"/>
  <c r="Y151" i="174" s="1"/>
  <c r="Y162" i="86"/>
  <c r="Y163" i="86" s="1"/>
  <c r="Y114" i="175"/>
  <c r="AK114" i="175"/>
  <c r="AJ352" i="174"/>
  <c r="AJ351" i="174"/>
  <c r="AI352" i="174"/>
  <c r="AI351" i="174"/>
  <c r="AE352" i="174"/>
  <c r="AE351" i="174"/>
  <c r="AC352" i="174"/>
  <c r="AC351" i="174"/>
  <c r="AB352" i="174"/>
  <c r="AB351" i="174"/>
  <c r="AA352" i="174"/>
  <c r="AA351" i="174"/>
  <c r="AD352" i="174"/>
  <c r="AD351" i="174"/>
  <c r="AG352" i="174"/>
  <c r="AG351" i="174"/>
  <c r="AH352" i="174"/>
  <c r="AH351" i="174"/>
  <c r="AF352" i="174"/>
  <c r="AF351" i="174"/>
  <c r="AE15" i="174"/>
  <c r="AE45" i="124"/>
  <c r="AE45" i="174" s="1"/>
  <c r="Z16" i="174"/>
  <c r="Z46" i="124"/>
  <c r="Z46" i="174" s="1"/>
  <c r="AB15" i="174"/>
  <c r="AB45" i="124"/>
  <c r="AB45" i="174" s="1"/>
  <c r="AK148" i="175"/>
  <c r="Y113" i="175"/>
  <c r="Y157" i="175" s="1"/>
  <c r="AA13" i="86"/>
  <c r="AA34" i="86" s="1"/>
  <c r="AA14" i="175"/>
  <c r="Z13" i="86"/>
  <c r="Z34" i="86" s="1"/>
  <c r="Z14" i="175"/>
  <c r="AI13" i="86"/>
  <c r="AI34" i="86" s="1"/>
  <c r="AI14" i="175"/>
  <c r="AD13" i="86"/>
  <c r="AD34" i="86" s="1"/>
  <c r="AD14" i="175"/>
  <c r="AH13" i="86"/>
  <c r="AH34" i="86" s="1"/>
  <c r="AH14" i="175"/>
  <c r="AF13" i="86"/>
  <c r="AF34" i="86" s="1"/>
  <c r="AF14" i="175"/>
  <c r="AC13" i="86"/>
  <c r="AC34" i="86" s="1"/>
  <c r="AC14" i="175"/>
  <c r="AG13" i="86"/>
  <c r="AG34" i="86" s="1"/>
  <c r="AG14" i="175"/>
  <c r="AB13" i="86"/>
  <c r="AB34" i="86" s="1"/>
  <c r="AB14" i="175"/>
  <c r="AJ13" i="86"/>
  <c r="AJ34" i="86" s="1"/>
  <c r="AJ14" i="175"/>
  <c r="AE13" i="86"/>
  <c r="AE34" i="86" s="1"/>
  <c r="AE14" i="175"/>
  <c r="AM8" i="124"/>
  <c r="AM8" i="174" s="1"/>
  <c r="AK8" i="174"/>
  <c r="Z168" i="174"/>
  <c r="Z257" i="174" s="1"/>
  <c r="Z350" i="174" s="1"/>
  <c r="AK169" i="174"/>
  <c r="AO169" i="174" s="1"/>
  <c r="AM114" i="87"/>
  <c r="AM150" i="83"/>
  <c r="AK114" i="83"/>
  <c r="AK161" i="83" s="1"/>
  <c r="AM150" i="74"/>
  <c r="AK114" i="74"/>
  <c r="AK161" i="74" s="1"/>
  <c r="AM150" i="84"/>
  <c r="AK114" i="84"/>
  <c r="AK161" i="84" s="1"/>
  <c r="AM150" i="86"/>
  <c r="AK114" i="86"/>
  <c r="AK161" i="86" s="1"/>
  <c r="Y114" i="124"/>
  <c r="Y161" i="124" s="1"/>
  <c r="AK150" i="124"/>
  <c r="AK150" i="174" s="1"/>
  <c r="AO150" i="174" s="1"/>
  <c r="AM150" i="68"/>
  <c r="AK114" i="68"/>
  <c r="AK161" i="68" s="1"/>
  <c r="AE13" i="124"/>
  <c r="AE44" i="124"/>
  <c r="AE44" i="174" s="1"/>
  <c r="AI13" i="124"/>
  <c r="AI44" i="124"/>
  <c r="AI44" i="174" s="1"/>
  <c r="AC13" i="124"/>
  <c r="AC44" i="124"/>
  <c r="AC44" i="174" s="1"/>
  <c r="AJ13" i="124"/>
  <c r="AJ44" i="124"/>
  <c r="AJ44" i="174" s="1"/>
  <c r="AF13" i="124"/>
  <c r="AF44" i="124"/>
  <c r="AF44" i="174" s="1"/>
  <c r="AH13" i="124"/>
  <c r="AH44" i="124"/>
  <c r="AH44" i="174" s="1"/>
  <c r="AD13" i="124"/>
  <c r="AD44" i="124"/>
  <c r="AD44" i="174" s="1"/>
  <c r="AG13" i="124"/>
  <c r="AG44" i="124"/>
  <c r="AG44" i="174" s="1"/>
  <c r="AA13" i="124"/>
  <c r="AA44" i="124"/>
  <c r="AA44" i="174" s="1"/>
  <c r="AB13" i="124"/>
  <c r="AB44" i="124"/>
  <c r="AB44" i="174" s="1"/>
  <c r="Z13" i="124"/>
  <c r="Z44" i="124"/>
  <c r="Z44" i="174" s="1"/>
  <c r="Z43" i="87"/>
  <c r="Z164" i="87"/>
  <c r="Z165" i="87" s="1"/>
  <c r="AK248" i="173"/>
  <c r="AM159" i="173"/>
  <c r="AL159" i="173"/>
  <c r="Y6" i="124"/>
  <c r="Y6" i="174" s="1"/>
  <c r="AK7" i="124"/>
  <c r="AK7" i="174" s="1"/>
  <c r="AM7" i="87"/>
  <c r="AK6" i="87"/>
  <c r="AL159" i="87" l="1"/>
  <c r="AL160" i="87"/>
  <c r="AK149" i="174"/>
  <c r="AO149" i="174" s="1"/>
  <c r="AM149" i="124"/>
  <c r="AM149" i="174" s="1"/>
  <c r="AL61" i="87"/>
  <c r="AL149" i="87"/>
  <c r="AK152" i="174"/>
  <c r="AK151" i="124"/>
  <c r="AM152" i="124"/>
  <c r="AM152" i="174" s="1"/>
  <c r="AK149" i="175"/>
  <c r="AM150" i="175"/>
  <c r="AL150" i="175"/>
  <c r="AN114" i="175"/>
  <c r="AM114" i="175"/>
  <c r="AL114" i="175"/>
  <c r="Y115" i="174"/>
  <c r="AK115" i="124"/>
  <c r="Z352" i="174"/>
  <c r="Z351" i="174"/>
  <c r="AF353" i="174"/>
  <c r="AH353" i="174"/>
  <c r="AG353" i="174"/>
  <c r="AD353" i="174"/>
  <c r="AA353" i="174"/>
  <c r="AB353" i="174"/>
  <c r="AC353" i="174"/>
  <c r="AE353" i="174"/>
  <c r="AI353" i="174"/>
  <c r="AJ353" i="174"/>
  <c r="AE13" i="175"/>
  <c r="AE34" i="175" s="1"/>
  <c r="AE44" i="175"/>
  <c r="AE43" i="86"/>
  <c r="AE164" i="86"/>
  <c r="AE165" i="86" s="1"/>
  <c r="AJ13" i="175"/>
  <c r="AJ34" i="175" s="1"/>
  <c r="AJ44" i="175"/>
  <c r="AJ43" i="86"/>
  <c r="AJ164" i="86"/>
  <c r="AJ165" i="86" s="1"/>
  <c r="AB13" i="175"/>
  <c r="AB34" i="175" s="1"/>
  <c r="AB44" i="175"/>
  <c r="AB43" i="86"/>
  <c r="AB164" i="86"/>
  <c r="AB165" i="86" s="1"/>
  <c r="AG13" i="175"/>
  <c r="AG34" i="175" s="1"/>
  <c r="AG44" i="175"/>
  <c r="AG43" i="86"/>
  <c r="AG164" i="86"/>
  <c r="AG165" i="86" s="1"/>
  <c r="AC44" i="175"/>
  <c r="AC13" i="175"/>
  <c r="AC34" i="175" s="1"/>
  <c r="AC43" i="86"/>
  <c r="AC164" i="86"/>
  <c r="AC165" i="86" s="1"/>
  <c r="AF13" i="175"/>
  <c r="AF34" i="175" s="1"/>
  <c r="AF44" i="175"/>
  <c r="AF43" i="86"/>
  <c r="AF164" i="86"/>
  <c r="AF165" i="86" s="1"/>
  <c r="AH13" i="175"/>
  <c r="AH34" i="175" s="1"/>
  <c r="AH44" i="175"/>
  <c r="AH164" i="86"/>
  <c r="AH165" i="86" s="1"/>
  <c r="AH43" i="86"/>
  <c r="AD13" i="175"/>
  <c r="AD34" i="175" s="1"/>
  <c r="AD44" i="175"/>
  <c r="AD164" i="86"/>
  <c r="AD165" i="86" s="1"/>
  <c r="AD43" i="86"/>
  <c r="AI44" i="175"/>
  <c r="AI13" i="175"/>
  <c r="AI34" i="175" s="1"/>
  <c r="AI43" i="86"/>
  <c r="AI164" i="86"/>
  <c r="AI165" i="86" s="1"/>
  <c r="Z13" i="175"/>
  <c r="Z34" i="175" s="1"/>
  <c r="Z44" i="175"/>
  <c r="Z43" i="86"/>
  <c r="Z164" i="86"/>
  <c r="Z165" i="86" s="1"/>
  <c r="AA13" i="175"/>
  <c r="AA34" i="175" s="1"/>
  <c r="AA44" i="175"/>
  <c r="AA164" i="86"/>
  <c r="AA165" i="86" s="1"/>
  <c r="AA43" i="86"/>
  <c r="Y159" i="175"/>
  <c r="Y158" i="175"/>
  <c r="AM148" i="175"/>
  <c r="AL148" i="175"/>
  <c r="AK113" i="175"/>
  <c r="AL11" i="87"/>
  <c r="AL12" i="87"/>
  <c r="Z34" i="124"/>
  <c r="Z13" i="174"/>
  <c r="AB34" i="124"/>
  <c r="AB13" i="174"/>
  <c r="AA34" i="124"/>
  <c r="AA13" i="174"/>
  <c r="AG34" i="124"/>
  <c r="AG13" i="174"/>
  <c r="AD34" i="124"/>
  <c r="AD13" i="174"/>
  <c r="AH34" i="124"/>
  <c r="AH13" i="174"/>
  <c r="AF34" i="124"/>
  <c r="AF13" i="174"/>
  <c r="AJ34" i="124"/>
  <c r="AJ13" i="174"/>
  <c r="AC34" i="124"/>
  <c r="AC13" i="174"/>
  <c r="AI34" i="124"/>
  <c r="AI13" i="174"/>
  <c r="AE34" i="124"/>
  <c r="AE13" i="174"/>
  <c r="Y161" i="174"/>
  <c r="Y114" i="174"/>
  <c r="AL7" i="87"/>
  <c r="AL103" i="87"/>
  <c r="AL91" i="87"/>
  <c r="AM169" i="174"/>
  <c r="AK168" i="174"/>
  <c r="AM114" i="68"/>
  <c r="AL114" i="68"/>
  <c r="AM150" i="124"/>
  <c r="AM150" i="174" s="1"/>
  <c r="AK114" i="124"/>
  <c r="AK114" i="174" s="1"/>
  <c r="Y163" i="124"/>
  <c r="Y163" i="174" s="1"/>
  <c r="Y162" i="124"/>
  <c r="Y162" i="174" s="1"/>
  <c r="AM114" i="86"/>
  <c r="AL114" i="86"/>
  <c r="AM114" i="84"/>
  <c r="AL114" i="84"/>
  <c r="AM114" i="74"/>
  <c r="AL114" i="74"/>
  <c r="AM114" i="83"/>
  <c r="AL114" i="83"/>
  <c r="AM161" i="87"/>
  <c r="AK163" i="87"/>
  <c r="AM163" i="87" s="1"/>
  <c r="AK162" i="87"/>
  <c r="AM162" i="87" s="1"/>
  <c r="AK250" i="173"/>
  <c r="AM248" i="173"/>
  <c r="AL248" i="173"/>
  <c r="AK251" i="173"/>
  <c r="AM7" i="124"/>
  <c r="AM7" i="174" s="1"/>
  <c r="AK6" i="124"/>
  <c r="AL160" i="124" s="1"/>
  <c r="AL9" i="87"/>
  <c r="AL24" i="87"/>
  <c r="AL105" i="87"/>
  <c r="AL131" i="87"/>
  <c r="AL148" i="87"/>
  <c r="AL119" i="87"/>
  <c r="AL161" i="87"/>
  <c r="AL143" i="87"/>
  <c r="AL17" i="87"/>
  <c r="AL110" i="87"/>
  <c r="AL58" i="87"/>
  <c r="AL136" i="87"/>
  <c r="AL153" i="87"/>
  <c r="AL78" i="87"/>
  <c r="AL63" i="87"/>
  <c r="AL134" i="87"/>
  <c r="AL21" i="87"/>
  <c r="AL158" i="87"/>
  <c r="AL124" i="87"/>
  <c r="AL137" i="87"/>
  <c r="AL163" i="87"/>
  <c r="AL19" i="87"/>
  <c r="AL52" i="87"/>
  <c r="AL22" i="87"/>
  <c r="AL88" i="87"/>
  <c r="AL116" i="87"/>
  <c r="AL69" i="87"/>
  <c r="AL115" i="87"/>
  <c r="AL74" i="87"/>
  <c r="AL147" i="87"/>
  <c r="AL62" i="87"/>
  <c r="AL77" i="87"/>
  <c r="AL101" i="87"/>
  <c r="AL154" i="87"/>
  <c r="AL53" i="87"/>
  <c r="AL111" i="87"/>
  <c r="AL95" i="87"/>
  <c r="AL121" i="87"/>
  <c r="AL82" i="87"/>
  <c r="AL89" i="87"/>
  <c r="AL64" i="87"/>
  <c r="AL162" i="87"/>
  <c r="AL150" i="87"/>
  <c r="AL73" i="87"/>
  <c r="AL94" i="87"/>
  <c r="AL123" i="87"/>
  <c r="AL108" i="87"/>
  <c r="AL144" i="87"/>
  <c r="AL56" i="87"/>
  <c r="AL72" i="87"/>
  <c r="AL139" i="87"/>
  <c r="AL26" i="87"/>
  <c r="AL92" i="87"/>
  <c r="AL87" i="87"/>
  <c r="AL113" i="87"/>
  <c r="AL107" i="87"/>
  <c r="AL146" i="87"/>
  <c r="AL120" i="87"/>
  <c r="AL157" i="87"/>
  <c r="AL97" i="87"/>
  <c r="AL84" i="87"/>
  <c r="AL10" i="87"/>
  <c r="AL23" i="87"/>
  <c r="AL117" i="87"/>
  <c r="AL32" i="87"/>
  <c r="AL20" i="87"/>
  <c r="AL142" i="87"/>
  <c r="AL75" i="87"/>
  <c r="AL156" i="87"/>
  <c r="AL90" i="87"/>
  <c r="AL122" i="87"/>
  <c r="AL99" i="87"/>
  <c r="AL127" i="87"/>
  <c r="AL25" i="87"/>
  <c r="AL28" i="87"/>
  <c r="AL140" i="87"/>
  <c r="AL66" i="87"/>
  <c r="AL128" i="87"/>
  <c r="AL155" i="87"/>
  <c r="AL129" i="87"/>
  <c r="AM6" i="87"/>
  <c r="AL60" i="87"/>
  <c r="AL145" i="87"/>
  <c r="AL112" i="87"/>
  <c r="AL86" i="87"/>
  <c r="AL51" i="87"/>
  <c r="AL6" i="87"/>
  <c r="AL93" i="87"/>
  <c r="AL132" i="87"/>
  <c r="AL71" i="87"/>
  <c r="AL133" i="87"/>
  <c r="AL81" i="87"/>
  <c r="AL151" i="87"/>
  <c r="AL102" i="87"/>
  <c r="AL85" i="87"/>
  <c r="AL76" i="87"/>
  <c r="AL31" i="87"/>
  <c r="AL80" i="87"/>
  <c r="AL59" i="87"/>
  <c r="AL100" i="87"/>
  <c r="AL98" i="87"/>
  <c r="AL109" i="87"/>
  <c r="AL125" i="87"/>
  <c r="AL130" i="87"/>
  <c r="AL18" i="87"/>
  <c r="AL106" i="87"/>
  <c r="AL33" i="87"/>
  <c r="AL83" i="87"/>
  <c r="AL68" i="87"/>
  <c r="AL55" i="87"/>
  <c r="AL50" i="87"/>
  <c r="AL104" i="87"/>
  <c r="AL114" i="87"/>
  <c r="AL152" i="87"/>
  <c r="AL27" i="87"/>
  <c r="AL8" i="87"/>
  <c r="AL126" i="87"/>
  <c r="AL118" i="87"/>
  <c r="AL67" i="87"/>
  <c r="AL57" i="87"/>
  <c r="AL96" i="87"/>
  <c r="AL135" i="87"/>
  <c r="AL30" i="87"/>
  <c r="AL29" i="87"/>
  <c r="AL65" i="87"/>
  <c r="AL141" i="87"/>
  <c r="AL79" i="87"/>
  <c r="AL54" i="87"/>
  <c r="AL70" i="87"/>
  <c r="AL138" i="87"/>
  <c r="AL159" i="124" l="1"/>
  <c r="AL105" i="124"/>
  <c r="AL93" i="124"/>
  <c r="AL94" i="124"/>
  <c r="AL95" i="124"/>
  <c r="AL96" i="124"/>
  <c r="AL97" i="124"/>
  <c r="AL98" i="124"/>
  <c r="AL99" i="124"/>
  <c r="AL100" i="124"/>
  <c r="AL101" i="124"/>
  <c r="AL102" i="124"/>
  <c r="AL103" i="124"/>
  <c r="AL104" i="124"/>
  <c r="AL106" i="124"/>
  <c r="AL107" i="124"/>
  <c r="AL108" i="124"/>
  <c r="AL92" i="124"/>
  <c r="AL109" i="124"/>
  <c r="AK161" i="124"/>
  <c r="AK161" i="174" s="1"/>
  <c r="AL61" i="124"/>
  <c r="AL61" i="174" s="1"/>
  <c r="AL149" i="124"/>
  <c r="AL149" i="174" s="1"/>
  <c r="AK6" i="174"/>
  <c r="AL160" i="174" s="1"/>
  <c r="AM149" i="175"/>
  <c r="AL149" i="175"/>
  <c r="AK151" i="174"/>
  <c r="AM151" i="124"/>
  <c r="AM151" i="174" s="1"/>
  <c r="AK115" i="174"/>
  <c r="AO115" i="174" s="1"/>
  <c r="AM115" i="124"/>
  <c r="AM115" i="174" s="1"/>
  <c r="AL374" i="174"/>
  <c r="AL357" i="174"/>
  <c r="AL383" i="174"/>
  <c r="AL384" i="174"/>
  <c r="AL385" i="174"/>
  <c r="AL386" i="174"/>
  <c r="AL387" i="174"/>
  <c r="AL388" i="174"/>
  <c r="AL381" i="174"/>
  <c r="AL382" i="174"/>
  <c r="AL375" i="174"/>
  <c r="AL376" i="174"/>
  <c r="AL377" i="174"/>
  <c r="AL378" i="174"/>
  <c r="AL379" i="174"/>
  <c r="AL359" i="174"/>
  <c r="AL360" i="174"/>
  <c r="AL361" i="174"/>
  <c r="AL362" i="174"/>
  <c r="AL363" i="174"/>
  <c r="AL364" i="174"/>
  <c r="AL365" i="174"/>
  <c r="AL366" i="174"/>
  <c r="AL367" i="174"/>
  <c r="AL368" i="174"/>
  <c r="AL369" i="174"/>
  <c r="AL370" i="174"/>
  <c r="AL371" i="174"/>
  <c r="AL358" i="174"/>
  <c r="AL373" i="174"/>
  <c r="Y350" i="174"/>
  <c r="Y352" i="174"/>
  <c r="Z353" i="174"/>
  <c r="AL347" i="174"/>
  <c r="AL346" i="174"/>
  <c r="AL345" i="174"/>
  <c r="AL344" i="174"/>
  <c r="AL342" i="174"/>
  <c r="AL340" i="174"/>
  <c r="AL339" i="174"/>
  <c r="AL338" i="174"/>
  <c r="AL337" i="174"/>
  <c r="AL336" i="174"/>
  <c r="AL335" i="174"/>
  <c r="AL334" i="174"/>
  <c r="AL333" i="174"/>
  <c r="AL332" i="174"/>
  <c r="AL331" i="174"/>
  <c r="AL329" i="174"/>
  <c r="AL328" i="174"/>
  <c r="AL327" i="174"/>
  <c r="AL326" i="174"/>
  <c r="AL324" i="174"/>
  <c r="AL323" i="174"/>
  <c r="AL322" i="174"/>
  <c r="AL321" i="174"/>
  <c r="AL320" i="174"/>
  <c r="AL319" i="174"/>
  <c r="AL318" i="174"/>
  <c r="AL317" i="174"/>
  <c r="AL316" i="174"/>
  <c r="AL315" i="174"/>
  <c r="AL314" i="174"/>
  <c r="AL313" i="174"/>
  <c r="AL312" i="174"/>
  <c r="AL311" i="174"/>
  <c r="AL310" i="174"/>
  <c r="AL309" i="174"/>
  <c r="AL307" i="174"/>
  <c r="AL306" i="174"/>
  <c r="AL305" i="174"/>
  <c r="AL304" i="174"/>
  <c r="AL303" i="174"/>
  <c r="AL302" i="174"/>
  <c r="AL301" i="174"/>
  <c r="AL300" i="174"/>
  <c r="AL299" i="174"/>
  <c r="AL298" i="174"/>
  <c r="AL297" i="174"/>
  <c r="AL296" i="174"/>
  <c r="AL295" i="174"/>
  <c r="AL294" i="174"/>
  <c r="AL293" i="174"/>
  <c r="AL292" i="174"/>
  <c r="AL291" i="174"/>
  <c r="AL290" i="174"/>
  <c r="AL289" i="174"/>
  <c r="AL288" i="174"/>
  <c r="AL287" i="174"/>
  <c r="AL286" i="174"/>
  <c r="AL285" i="174"/>
  <c r="AL284" i="174"/>
  <c r="AL283" i="174"/>
  <c r="AL282" i="174"/>
  <c r="AL281" i="174"/>
  <c r="AL280" i="174"/>
  <c r="AL279" i="174"/>
  <c r="AL278" i="174"/>
  <c r="AL277" i="174"/>
  <c r="AL276" i="174"/>
  <c r="AL275" i="174"/>
  <c r="AL274" i="174"/>
  <c r="AL273" i="174"/>
  <c r="AL272" i="174"/>
  <c r="AL271" i="174"/>
  <c r="AL270" i="174"/>
  <c r="AL269" i="174"/>
  <c r="AL268" i="174"/>
  <c r="AL267" i="174"/>
  <c r="AL265" i="174"/>
  <c r="AL264" i="174"/>
  <c r="AL263" i="174"/>
  <c r="AL262" i="174"/>
  <c r="AL343" i="174"/>
  <c r="AL308" i="174"/>
  <c r="AL325" i="174"/>
  <c r="AL330" i="174"/>
  <c r="AL266" i="174"/>
  <c r="AL341" i="174"/>
  <c r="AL261" i="174"/>
  <c r="AL348" i="174"/>
  <c r="AM113" i="175"/>
  <c r="AL113" i="175"/>
  <c r="AK157" i="175"/>
  <c r="AA43" i="175"/>
  <c r="AA160" i="175"/>
  <c r="Z43" i="175"/>
  <c r="Z160" i="175"/>
  <c r="AI43" i="175"/>
  <c r="AI160" i="175"/>
  <c r="AD43" i="175"/>
  <c r="AD160" i="175"/>
  <c r="AH43" i="175"/>
  <c r="AH160" i="175"/>
  <c r="AF43" i="175"/>
  <c r="AF160" i="175"/>
  <c r="AC43" i="175"/>
  <c r="AC160" i="175"/>
  <c r="AG43" i="175"/>
  <c r="AG160" i="175"/>
  <c r="AB43" i="175"/>
  <c r="AB160" i="175"/>
  <c r="AJ43" i="175"/>
  <c r="AJ160" i="175"/>
  <c r="AE43" i="175"/>
  <c r="AE160" i="175"/>
  <c r="AE43" i="124"/>
  <c r="AE43" i="174" s="1"/>
  <c r="AE34" i="174"/>
  <c r="AE354" i="174" s="1"/>
  <c r="AE164" i="124"/>
  <c r="AE164" i="174" s="1"/>
  <c r="AI34" i="174"/>
  <c r="AI354" i="174" s="1"/>
  <c r="AI43" i="124"/>
  <c r="AI43" i="174" s="1"/>
  <c r="AI164" i="124"/>
  <c r="AI164" i="174" s="1"/>
  <c r="AC34" i="174"/>
  <c r="AC354" i="174" s="1"/>
  <c r="AC43" i="124"/>
  <c r="AC43" i="174" s="1"/>
  <c r="AC164" i="124"/>
  <c r="AC164" i="174" s="1"/>
  <c r="AJ34" i="174"/>
  <c r="AJ354" i="174" s="1"/>
  <c r="AJ43" i="124"/>
  <c r="AJ43" i="174" s="1"/>
  <c r="AJ164" i="124"/>
  <c r="AJ164" i="174" s="1"/>
  <c r="AF43" i="124"/>
  <c r="AF43" i="174" s="1"/>
  <c r="AF34" i="174"/>
  <c r="AF354" i="174" s="1"/>
  <c r="AF164" i="124"/>
  <c r="AF164" i="174" s="1"/>
  <c r="AH43" i="124"/>
  <c r="AH43" i="174" s="1"/>
  <c r="AH34" i="174"/>
  <c r="AH354" i="174" s="1"/>
  <c r="AH164" i="124"/>
  <c r="AH164" i="174" s="1"/>
  <c r="AD34" i="174"/>
  <c r="AD354" i="174" s="1"/>
  <c r="AD43" i="124"/>
  <c r="AD43" i="174" s="1"/>
  <c r="AD164" i="124"/>
  <c r="AD164" i="174" s="1"/>
  <c r="AG164" i="124"/>
  <c r="AG164" i="174" s="1"/>
  <c r="AG34" i="174"/>
  <c r="AG354" i="174" s="1"/>
  <c r="AG43" i="124"/>
  <c r="AG43" i="174" s="1"/>
  <c r="AA43" i="124"/>
  <c r="AA43" i="174" s="1"/>
  <c r="AA34" i="174"/>
  <c r="AA354" i="174" s="1"/>
  <c r="AA164" i="124"/>
  <c r="AA164" i="174" s="1"/>
  <c r="AB34" i="174"/>
  <c r="AB354" i="174" s="1"/>
  <c r="AB43" i="124"/>
  <c r="AB43" i="174" s="1"/>
  <c r="AB164" i="124"/>
  <c r="AB164" i="174" s="1"/>
  <c r="Z43" i="124"/>
  <c r="Z43" i="174" s="1"/>
  <c r="Z34" i="174"/>
  <c r="Z354" i="174" s="1"/>
  <c r="Z164" i="124"/>
  <c r="Z164" i="174" s="1"/>
  <c r="AK257" i="174"/>
  <c r="AM161" i="83"/>
  <c r="AK163" i="83"/>
  <c r="AK162" i="83"/>
  <c r="AL161" i="83"/>
  <c r="AM161" i="74"/>
  <c r="AK163" i="74"/>
  <c r="AK162" i="74"/>
  <c r="AL161" i="74"/>
  <c r="AM161" i="84"/>
  <c r="AK163" i="84"/>
  <c r="AK162" i="84"/>
  <c r="AL161" i="84"/>
  <c r="AM161" i="86"/>
  <c r="AK162" i="86"/>
  <c r="AK163" i="86"/>
  <c r="AL161" i="86"/>
  <c r="AM114" i="124"/>
  <c r="AM114" i="174" s="1"/>
  <c r="AM161" i="68"/>
  <c r="AK162" i="68"/>
  <c r="AK163" i="68"/>
  <c r="AL161" i="68"/>
  <c r="AK288" i="173"/>
  <c r="AK253" i="173"/>
  <c r="AM251" i="173"/>
  <c r="AL251" i="173"/>
  <c r="AK252" i="173"/>
  <c r="AM250" i="173"/>
  <c r="AL250" i="173"/>
  <c r="AL23" i="124"/>
  <c r="AL23" i="174" s="1"/>
  <c r="AL9" i="124"/>
  <c r="AL9" i="174" s="1"/>
  <c r="AL102" i="174"/>
  <c r="AL101" i="174"/>
  <c r="AL12" i="124"/>
  <c r="AL12" i="174" s="1"/>
  <c r="AL135" i="124"/>
  <c r="AL135" i="174" s="1"/>
  <c r="AL117" i="124"/>
  <c r="AL117" i="174" s="1"/>
  <c r="AM6" i="124"/>
  <c r="AM6" i="174" s="1"/>
  <c r="AL103" i="174"/>
  <c r="AL139" i="124"/>
  <c r="AL139" i="174" s="1"/>
  <c r="AL82" i="124"/>
  <c r="AL82" i="174" s="1"/>
  <c r="AL155" i="124"/>
  <c r="AL155" i="174" s="1"/>
  <c r="AL83" i="124"/>
  <c r="AL83" i="174" s="1"/>
  <c r="AL20" i="124"/>
  <c r="AL20" i="174" s="1"/>
  <c r="AL111" i="124"/>
  <c r="AL111" i="174" s="1"/>
  <c r="AL64" i="124"/>
  <c r="AL64" i="174" s="1"/>
  <c r="AL19" i="124"/>
  <c r="AL19" i="174" s="1"/>
  <c r="AL109" i="174"/>
  <c r="AL73" i="124"/>
  <c r="AL73" i="174" s="1"/>
  <c r="AL62" i="124"/>
  <c r="AL62" i="174" s="1"/>
  <c r="AL106" i="174"/>
  <c r="AL150" i="124"/>
  <c r="AL150" i="174" s="1"/>
  <c r="AL153" i="124"/>
  <c r="AL153" i="174" s="1"/>
  <c r="AL141" i="124"/>
  <c r="AL141" i="174" s="1"/>
  <c r="AL27" i="124"/>
  <c r="AL27" i="174" s="1"/>
  <c r="AL28" i="124"/>
  <c r="AL28" i="174" s="1"/>
  <c r="AL63" i="124"/>
  <c r="AL63" i="174" s="1"/>
  <c r="AL126" i="124"/>
  <c r="AL126" i="174" s="1"/>
  <c r="AL53" i="124"/>
  <c r="AL53" i="174" s="1"/>
  <c r="AL145" i="124"/>
  <c r="AL145" i="174" s="1"/>
  <c r="AL107" i="174"/>
  <c r="AL133" i="124"/>
  <c r="AL133" i="174" s="1"/>
  <c r="AL10" i="124"/>
  <c r="AL10" i="174" s="1"/>
  <c r="AL118" i="124"/>
  <c r="AL118" i="174" s="1"/>
  <c r="AL58" i="124"/>
  <c r="AL58" i="174" s="1"/>
  <c r="AL157" i="124"/>
  <c r="AL157" i="174" s="1"/>
  <c r="AL77" i="124"/>
  <c r="AL77" i="174" s="1"/>
  <c r="AL26" i="124"/>
  <c r="AL26" i="174" s="1"/>
  <c r="AL114" i="124"/>
  <c r="AL114" i="174" s="1"/>
  <c r="AL18" i="124"/>
  <c r="AL18" i="174" s="1"/>
  <c r="AL129" i="124"/>
  <c r="AL129" i="174" s="1"/>
  <c r="AL130" i="124"/>
  <c r="AL130" i="174" s="1"/>
  <c r="AL11" i="124"/>
  <c r="AL11" i="174" s="1"/>
  <c r="AL70" i="124"/>
  <c r="AL70" i="174" s="1"/>
  <c r="AL127" i="124"/>
  <c r="AL127" i="174" s="1"/>
  <c r="AL134" i="124"/>
  <c r="AL134" i="174" s="1"/>
  <c r="AL86" i="124"/>
  <c r="AL86" i="174" s="1"/>
  <c r="AL119" i="124"/>
  <c r="AL119" i="174" s="1"/>
  <c r="AL95" i="174"/>
  <c r="AL69" i="124"/>
  <c r="AL69" i="174" s="1"/>
  <c r="AL158" i="124"/>
  <c r="AL158" i="174" s="1"/>
  <c r="AL24" i="124"/>
  <c r="AL24" i="174" s="1"/>
  <c r="AL90" i="124"/>
  <c r="AL90" i="174" s="1"/>
  <c r="AL33" i="124"/>
  <c r="AL33" i="174" s="1"/>
  <c r="AL31" i="124"/>
  <c r="AL31" i="174" s="1"/>
  <c r="AL104" i="174"/>
  <c r="AL147" i="124"/>
  <c r="AL147" i="174" s="1"/>
  <c r="AL67" i="124"/>
  <c r="AL67" i="174" s="1"/>
  <c r="AL110" i="124"/>
  <c r="AL110" i="174" s="1"/>
  <c r="AL54" i="124"/>
  <c r="AL54" i="174" s="1"/>
  <c r="AL74" i="124"/>
  <c r="AL74" i="174" s="1"/>
  <c r="AL140" i="124"/>
  <c r="AL140" i="174" s="1"/>
  <c r="AL137" i="124"/>
  <c r="AL137" i="174" s="1"/>
  <c r="AL136" i="124"/>
  <c r="AL136" i="174" s="1"/>
  <c r="AL87" i="124"/>
  <c r="AL87" i="174" s="1"/>
  <c r="AL138" i="124"/>
  <c r="AL138" i="174" s="1"/>
  <c r="AL85" i="124"/>
  <c r="AL85" i="174" s="1"/>
  <c r="AL32" i="124"/>
  <c r="AL32" i="174" s="1"/>
  <c r="AL80" i="124"/>
  <c r="AL80" i="174" s="1"/>
  <c r="AL66" i="124"/>
  <c r="AL66" i="174" s="1"/>
  <c r="AL146" i="124"/>
  <c r="AL146" i="174" s="1"/>
  <c r="AL154" i="124"/>
  <c r="AL154" i="174" s="1"/>
  <c r="AL8" i="124"/>
  <c r="AL8" i="174" s="1"/>
  <c r="AL89" i="124"/>
  <c r="AL89" i="174" s="1"/>
  <c r="AL121" i="124"/>
  <c r="AL121" i="174" s="1"/>
  <c r="AL65" i="124"/>
  <c r="AL65" i="174" s="1"/>
  <c r="AL142" i="124"/>
  <c r="AL142" i="174" s="1"/>
  <c r="AL144" i="124"/>
  <c r="AL144" i="174" s="1"/>
  <c r="AL151" i="124"/>
  <c r="AL151" i="174" s="1"/>
  <c r="AL78" i="124"/>
  <c r="AL78" i="174" s="1"/>
  <c r="AL131" i="124"/>
  <c r="AL131" i="174" s="1"/>
  <c r="AL115" i="124"/>
  <c r="AL115" i="174" s="1"/>
  <c r="AL92" i="174"/>
  <c r="AL51" i="124"/>
  <c r="AL51" i="174" s="1"/>
  <c r="AL96" i="174"/>
  <c r="AL57" i="124"/>
  <c r="AL57" i="174" s="1"/>
  <c r="AL148" i="124"/>
  <c r="AL148" i="174" s="1"/>
  <c r="AL161" i="124"/>
  <c r="AL161" i="174" s="1"/>
  <c r="AL81" i="124"/>
  <c r="AL81" i="174" s="1"/>
  <c r="AL113" i="124"/>
  <c r="AL113" i="174" s="1"/>
  <c r="AL143" i="124"/>
  <c r="AL143" i="174" s="1"/>
  <c r="AL22" i="124"/>
  <c r="AL22" i="174" s="1"/>
  <c r="AL72" i="124"/>
  <c r="AL72" i="174" s="1"/>
  <c r="AL100" i="174"/>
  <c r="AL125" i="124"/>
  <c r="AL125" i="174" s="1"/>
  <c r="AL17" i="124"/>
  <c r="AL17" i="174" s="1"/>
  <c r="AL112" i="124"/>
  <c r="AL112" i="174" s="1"/>
  <c r="AL120" i="124"/>
  <c r="AL120" i="174" s="1"/>
  <c r="AL68" i="124"/>
  <c r="AL68" i="174" s="1"/>
  <c r="AL124" i="124"/>
  <c r="AL124" i="174" s="1"/>
  <c r="AL75" i="124"/>
  <c r="AL75" i="174" s="1"/>
  <c r="AL152" i="124"/>
  <c r="AL152" i="174" s="1"/>
  <c r="AL25" i="124"/>
  <c r="AL25" i="174" s="1"/>
  <c r="AL71" i="124"/>
  <c r="AL71" i="174" s="1"/>
  <c r="AL93" i="174"/>
  <c r="AL122" i="124"/>
  <c r="AL122" i="174" s="1"/>
  <c r="AL116" i="124"/>
  <c r="AL116" i="174" s="1"/>
  <c r="AL105" i="174"/>
  <c r="AL6" i="124"/>
  <c r="AL6" i="174" s="1"/>
  <c r="AL94" i="174"/>
  <c r="AL128" i="124"/>
  <c r="AL128" i="174" s="1"/>
  <c r="AL91" i="124"/>
  <c r="AL91" i="174" s="1"/>
  <c r="AL55" i="124"/>
  <c r="AL55" i="174" s="1"/>
  <c r="AL98" i="174"/>
  <c r="AL56" i="124"/>
  <c r="AL56" i="174" s="1"/>
  <c r="AL60" i="124"/>
  <c r="AL60" i="174" s="1"/>
  <c r="AL132" i="124"/>
  <c r="AL132" i="174" s="1"/>
  <c r="AL97" i="174"/>
  <c r="AL108" i="174"/>
  <c r="AL30" i="124"/>
  <c r="AL30" i="174" s="1"/>
  <c r="AL79" i="124"/>
  <c r="AL79" i="174" s="1"/>
  <c r="AL156" i="124"/>
  <c r="AL156" i="174" s="1"/>
  <c r="AL7" i="124"/>
  <c r="AL7" i="174" s="1"/>
  <c r="AL76" i="124"/>
  <c r="AL76" i="174" s="1"/>
  <c r="AL21" i="124"/>
  <c r="AL21" i="174" s="1"/>
  <c r="AL99" i="174"/>
  <c r="AL59" i="124"/>
  <c r="AL59" i="174" s="1"/>
  <c r="AL29" i="124"/>
  <c r="AL29" i="174" s="1"/>
  <c r="AL88" i="124"/>
  <c r="AL88" i="174" s="1"/>
  <c r="AL52" i="124"/>
  <c r="AL52" i="174" s="1"/>
  <c r="AL84" i="124"/>
  <c r="AL84" i="174" s="1"/>
  <c r="AL50" i="124"/>
  <c r="AL50" i="174" s="1"/>
  <c r="AL123" i="124"/>
  <c r="AL123" i="174" s="1"/>
  <c r="AL159" i="174" l="1"/>
  <c r="AO47" i="174"/>
  <c r="Z355" i="174"/>
  <c r="Z390" i="174"/>
  <c r="AB355" i="174"/>
  <c r="AB390" i="174"/>
  <c r="AA355" i="174"/>
  <c r="AA390" i="174"/>
  <c r="AG355" i="174"/>
  <c r="AG390" i="174"/>
  <c r="AD355" i="174"/>
  <c r="AD390" i="174"/>
  <c r="AH355" i="174"/>
  <c r="AH390" i="174"/>
  <c r="AF355" i="174"/>
  <c r="AF390" i="174"/>
  <c r="AJ355" i="174"/>
  <c r="AJ390" i="174"/>
  <c r="AC355" i="174"/>
  <c r="AC390" i="174"/>
  <c r="AI355" i="174"/>
  <c r="AI390" i="174"/>
  <c r="AE355" i="174"/>
  <c r="AE390" i="174"/>
  <c r="Y353" i="174"/>
  <c r="AK351" i="174"/>
  <c r="AK159" i="175"/>
  <c r="AK158" i="175"/>
  <c r="AM157" i="175"/>
  <c r="AN160" i="175"/>
  <c r="AO160" i="175" s="1"/>
  <c r="AL157" i="175"/>
  <c r="AK163" i="124"/>
  <c r="AK163" i="174" s="1"/>
  <c r="AK350" i="174"/>
  <c r="AM163" i="68"/>
  <c r="AL163" i="68"/>
  <c r="AM162" i="68"/>
  <c r="AL162" i="68"/>
  <c r="AM161" i="124"/>
  <c r="AM161" i="174" s="1"/>
  <c r="AK162" i="124"/>
  <c r="AK162" i="174" s="1"/>
  <c r="AM163" i="86"/>
  <c r="AL163" i="86"/>
  <c r="AM162" i="86"/>
  <c r="AL162" i="86"/>
  <c r="AM162" i="84"/>
  <c r="AL162" i="84"/>
  <c r="AM163" i="84"/>
  <c r="AL163" i="84"/>
  <c r="AL162" i="74"/>
  <c r="AM162" i="74"/>
  <c r="AM163" i="74"/>
  <c r="AL163" i="74"/>
  <c r="AM162" i="83"/>
  <c r="AL162" i="83"/>
  <c r="AM163" i="83"/>
  <c r="AL163" i="83"/>
  <c r="AK254" i="173"/>
  <c r="AM252" i="173"/>
  <c r="AL252" i="173"/>
  <c r="AK255" i="173"/>
  <c r="AM253" i="173"/>
  <c r="AL253" i="173"/>
  <c r="AK350" i="173"/>
  <c r="AM288" i="173"/>
  <c r="AL288" i="173"/>
  <c r="AK352" i="174" l="1"/>
  <c r="AL350" i="174"/>
  <c r="AK353" i="174"/>
  <c r="AM158" i="175"/>
  <c r="AL158" i="175"/>
  <c r="AM159" i="175"/>
  <c r="AL159" i="175"/>
  <c r="AM162" i="124"/>
  <c r="AM162" i="174" s="1"/>
  <c r="AL162" i="124"/>
  <c r="AL162" i="174" s="1"/>
  <c r="AM163" i="124"/>
  <c r="AM163" i="174" s="1"/>
  <c r="AL163" i="124"/>
  <c r="AL163" i="174" s="1"/>
  <c r="AK353" i="173"/>
  <c r="AM350" i="173"/>
  <c r="AL350" i="173"/>
  <c r="AM255" i="173"/>
  <c r="AL255" i="173"/>
  <c r="AK256" i="173"/>
  <c r="AM254" i="173"/>
  <c r="AL254" i="173"/>
  <c r="Y35" i="87"/>
  <c r="Y14" i="87" s="1"/>
  <c r="AK14" i="87" s="1"/>
  <c r="AM256" i="173" l="1"/>
  <c r="AL256" i="173"/>
  <c r="AM353" i="173"/>
  <c r="AL353" i="173"/>
  <c r="AK35" i="87"/>
  <c r="AK44" i="87" l="1"/>
  <c r="AO44" i="87" s="1"/>
  <c r="AL35" i="87"/>
  <c r="AM35" i="87"/>
  <c r="AL353" i="174" l="1"/>
  <c r="AL351" i="174"/>
  <c r="AL237" i="174"/>
  <c r="AL238" i="174"/>
  <c r="AL239" i="174"/>
  <c r="AL236" i="174"/>
  <c r="AL220" i="174"/>
  <c r="AL221" i="174"/>
  <c r="AL222" i="174"/>
  <c r="AL223" i="174"/>
  <c r="AL224" i="174"/>
  <c r="AL225" i="174"/>
  <c r="AL226" i="174"/>
  <c r="AL227" i="174"/>
  <c r="AL228" i="174"/>
  <c r="AL229" i="174"/>
  <c r="AL230" i="174"/>
  <c r="AL231" i="174"/>
  <c r="AL232" i="174"/>
  <c r="AL233" i="174"/>
  <c r="AL234" i="174"/>
  <c r="AL219" i="174"/>
  <c r="AL170" i="174"/>
  <c r="AL171" i="174"/>
  <c r="AL172" i="174"/>
  <c r="AL173" i="174"/>
  <c r="AL174" i="174"/>
  <c r="AL175" i="174"/>
  <c r="AL176" i="174"/>
  <c r="AL177" i="174"/>
  <c r="AL178" i="174"/>
  <c r="AL179" i="174"/>
  <c r="AL180" i="174"/>
  <c r="AL181" i="174"/>
  <c r="AL182" i="174"/>
  <c r="AL183" i="174"/>
  <c r="AL184" i="174"/>
  <c r="AL185" i="174"/>
  <c r="AL186" i="174"/>
  <c r="AL187" i="174"/>
  <c r="AL188" i="174"/>
  <c r="AL189" i="174"/>
  <c r="AL190" i="174"/>
  <c r="AL191" i="174"/>
  <c r="AL192" i="174"/>
  <c r="AL193" i="174"/>
  <c r="AL194" i="174"/>
  <c r="AL195" i="174"/>
  <c r="AL196" i="174"/>
  <c r="AL197" i="174"/>
  <c r="AL198" i="174"/>
  <c r="AL199" i="174"/>
  <c r="AL200" i="174"/>
  <c r="AL201" i="174"/>
  <c r="AL202" i="174"/>
  <c r="AL203" i="174"/>
  <c r="AL204" i="174"/>
  <c r="AL205" i="174"/>
  <c r="AL206" i="174"/>
  <c r="AL207" i="174"/>
  <c r="AL208" i="174"/>
  <c r="AL209" i="174"/>
  <c r="AL210" i="174"/>
  <c r="AL211" i="174"/>
  <c r="AL212" i="174"/>
  <c r="AL213" i="174"/>
  <c r="AL214" i="174"/>
  <c r="AL215" i="174"/>
  <c r="AL216" i="174"/>
  <c r="AL217" i="174"/>
  <c r="AL241" i="174"/>
  <c r="AL242" i="174"/>
  <c r="AL243" i="174"/>
  <c r="AL244" i="174"/>
  <c r="AL245" i="174"/>
  <c r="AL246" i="174"/>
  <c r="AL247" i="174"/>
  <c r="AL248" i="174"/>
  <c r="AL249" i="174"/>
  <c r="AL252" i="174"/>
  <c r="AL253" i="174"/>
  <c r="AL254" i="174"/>
  <c r="AL255" i="174"/>
  <c r="AL256" i="174"/>
  <c r="AL251" i="174"/>
  <c r="AL169" i="174"/>
  <c r="AL352" i="174"/>
  <c r="AL44" i="87"/>
  <c r="AM44" i="87"/>
  <c r="AL14" i="87"/>
  <c r="AM14" i="87"/>
  <c r="Y37" i="87" l="1"/>
  <c r="Y16" i="87" s="1"/>
  <c r="Y36" i="87"/>
  <c r="Y15" i="87" s="1"/>
  <c r="Y13" i="87" l="1"/>
  <c r="Y34" i="87" s="1"/>
  <c r="Y43" i="87" s="1"/>
  <c r="Y164" i="87"/>
  <c r="Y165" i="87" s="1"/>
  <c r="AK37" i="87"/>
  <c r="AK46" i="87" s="1"/>
  <c r="AO46" i="87" s="1"/>
  <c r="AK16" i="87"/>
  <c r="AK15" i="87"/>
  <c r="AK36" i="87"/>
  <c r="AM46" i="87" l="1"/>
  <c r="AL46" i="87"/>
  <c r="AK13" i="87"/>
  <c r="AL13" i="87" s="1"/>
  <c r="AL36" i="87"/>
  <c r="AK45" i="87"/>
  <c r="AO45" i="87" s="1"/>
  <c r="AM36" i="87"/>
  <c r="AM16" i="87"/>
  <c r="AL16" i="87"/>
  <c r="AM15" i="87"/>
  <c r="AL15" i="87"/>
  <c r="AL37" i="87"/>
  <c r="AM37" i="87"/>
  <c r="AM13" i="87" l="1"/>
  <c r="AK34" i="87"/>
  <c r="AL34" i="87"/>
  <c r="AK43" i="87"/>
  <c r="AO43" i="87" s="1"/>
  <c r="AK164" i="87"/>
  <c r="AK165" i="87" s="1"/>
  <c r="AM34" i="87"/>
  <c r="AL45" i="87"/>
  <c r="AM45" i="87"/>
  <c r="AM164" i="87" l="1"/>
  <c r="AL164" i="87"/>
  <c r="AL43" i="87"/>
  <c r="AM43" i="87"/>
  <c r="AL165" i="87"/>
  <c r="AM165" i="87"/>
  <c r="Y36" i="68"/>
  <c r="AK36" i="68" s="1"/>
  <c r="Y37" i="68"/>
  <c r="Y16" i="68" s="1"/>
  <c r="AK16" i="68" s="1"/>
  <c r="Y35" i="68"/>
  <c r="Y14" i="68" s="1"/>
  <c r="AK14" i="68" s="1"/>
  <c r="Y15" i="68" l="1"/>
  <c r="Y13" i="68" s="1"/>
  <c r="Y34" i="68" s="1"/>
  <c r="Y43" i="68" s="1"/>
  <c r="AL16" i="68"/>
  <c r="AM16" i="68"/>
  <c r="AK37" i="68"/>
  <c r="AK46" i="68" s="1"/>
  <c r="AO46" i="68" s="1"/>
  <c r="AM14" i="68"/>
  <c r="AL14" i="68"/>
  <c r="AK35" i="68"/>
  <c r="AM36" i="68"/>
  <c r="AL36" i="68"/>
  <c r="AK45" i="68"/>
  <c r="AO45" i="68" s="1"/>
  <c r="AK15" i="68" l="1"/>
  <c r="AL46" i="68"/>
  <c r="AM46" i="68"/>
  <c r="Y164" i="68"/>
  <c r="Y165" i="68" s="1"/>
  <c r="AL15" i="68"/>
  <c r="AM15" i="68"/>
  <c r="AK13" i="68"/>
  <c r="AM37" i="68"/>
  <c r="AL37" i="68"/>
  <c r="AL45" i="68"/>
  <c r="AM45" i="68"/>
  <c r="AM35" i="68"/>
  <c r="AL35" i="68"/>
  <c r="AK44" i="68"/>
  <c r="AO44" i="68" s="1"/>
  <c r="AK34" i="68" l="1"/>
  <c r="AK43" i="68" s="1"/>
  <c r="AO43" i="68" s="1"/>
  <c r="AL13" i="68"/>
  <c r="AM13" i="68"/>
  <c r="AM44" i="68"/>
  <c r="AL44" i="68"/>
  <c r="AM34" i="68" l="1"/>
  <c r="AL34" i="68"/>
  <c r="AK164" i="68"/>
  <c r="AK165" i="68" s="1"/>
  <c r="AL164" i="68" l="1"/>
  <c r="AM164" i="68"/>
  <c r="AL165" i="68"/>
  <c r="AM165" i="68"/>
  <c r="AM43" i="68"/>
  <c r="AL43" i="68"/>
  <c r="Y36" i="86"/>
  <c r="Y15" i="86"/>
  <c r="Y35" i="86"/>
  <c r="Y37" i="86"/>
  <c r="AK37" i="86" l="1"/>
  <c r="AK46" i="86" s="1"/>
  <c r="AO46" i="86" s="1"/>
  <c r="Y14" i="86"/>
  <c r="AK35" i="86"/>
  <c r="AM35" i="86" s="1"/>
  <c r="AM46" i="86"/>
  <c r="AL46" i="86"/>
  <c r="AM37" i="86"/>
  <c r="AL37" i="86"/>
  <c r="AK44" i="86"/>
  <c r="AO44" i="86" s="1"/>
  <c r="AK15" i="86"/>
  <c r="AL35" i="86"/>
  <c r="AK36" i="86"/>
  <c r="Y16" i="86"/>
  <c r="Y13" i="86" l="1"/>
  <c r="Y34" i="86" s="1"/>
  <c r="Y43" i="86" s="1"/>
  <c r="AK14" i="86"/>
  <c r="AL44" i="86"/>
  <c r="AM44" i="86"/>
  <c r="Y164" i="86"/>
  <c r="Y165" i="86" s="1"/>
  <c r="AK45" i="86"/>
  <c r="AO45" i="86" s="1"/>
  <c r="AL36" i="86"/>
  <c r="AM36" i="86"/>
  <c r="AK16" i="86"/>
  <c r="AM15" i="86"/>
  <c r="AL15" i="86"/>
  <c r="AM14" i="86" l="1"/>
  <c r="AL14" i="86"/>
  <c r="AM16" i="86"/>
  <c r="AL16" i="86"/>
  <c r="AK13" i="86"/>
  <c r="AM45" i="86"/>
  <c r="AL45" i="86"/>
  <c r="AK34" i="86" l="1"/>
  <c r="AK43" i="86" s="1"/>
  <c r="AO43" i="86" s="1"/>
  <c r="AM13" i="86"/>
  <c r="AL13" i="86"/>
  <c r="AM34" i="86" l="1"/>
  <c r="AK164" i="86"/>
  <c r="AL34" i="86"/>
  <c r="AK165" i="86" l="1"/>
  <c r="AM164" i="86"/>
  <c r="AL164" i="86"/>
  <c r="AL165" i="86"/>
  <c r="AM165" i="86"/>
  <c r="AM43" i="86"/>
  <c r="AL43" i="86"/>
  <c r="AK15" i="85"/>
  <c r="AK36" i="85" l="1"/>
  <c r="AK45" i="85" s="1"/>
  <c r="AM36" i="85"/>
  <c r="AL36" i="85"/>
  <c r="AK37" i="85"/>
  <c r="AK46" i="85" s="1"/>
  <c r="AO46" i="85" s="1"/>
  <c r="AK16" i="85"/>
  <c r="AM15" i="85"/>
  <c r="AL15" i="85"/>
  <c r="AK35" i="85"/>
  <c r="AM45" i="85" l="1"/>
  <c r="AO45" i="85"/>
  <c r="AM46" i="85"/>
  <c r="AL46" i="85"/>
  <c r="AL45" i="85"/>
  <c r="AM16" i="85"/>
  <c r="AL16" i="85"/>
  <c r="AL37" i="85"/>
  <c r="AM37" i="85"/>
  <c r="AK14" i="85"/>
  <c r="AL35" i="85"/>
  <c r="AM35" i="85"/>
  <c r="AK44" i="85"/>
  <c r="AO44" i="85" s="1"/>
  <c r="AL44" i="85" l="1"/>
  <c r="AM44" i="85"/>
  <c r="AK13" i="85"/>
  <c r="AM14" i="85"/>
  <c r="AL14" i="85"/>
  <c r="AK34" i="85" l="1"/>
  <c r="AK43" i="85" s="1"/>
  <c r="AO43" i="85" s="1"/>
  <c r="AL13" i="85"/>
  <c r="AM13" i="85"/>
  <c r="AM34" i="85" l="1"/>
  <c r="AL34" i="85"/>
  <c r="AK164" i="85"/>
  <c r="AK165" i="85" l="1"/>
  <c r="AL164" i="85"/>
  <c r="AM164" i="85"/>
  <c r="AM43" i="85"/>
  <c r="AL43" i="85"/>
  <c r="AM165" i="85"/>
  <c r="AL165" i="85"/>
  <c r="Y37" i="84"/>
  <c r="Y16" i="84"/>
  <c r="Y36" i="84"/>
  <c r="Y35" i="84"/>
  <c r="Y14" i="84" l="1"/>
  <c r="AK36" i="84"/>
  <c r="AL36" i="84" s="1"/>
  <c r="AK16" i="84"/>
  <c r="AK37" i="84"/>
  <c r="AL37" i="84"/>
  <c r="AK46" i="84"/>
  <c r="AO46" i="84" s="1"/>
  <c r="AM37" i="84"/>
  <c r="Y15" i="84"/>
  <c r="AL16" i="84"/>
  <c r="AM16" i="84"/>
  <c r="AK35" i="84"/>
  <c r="AM36" i="84"/>
  <c r="AK45" i="84"/>
  <c r="AO45" i="84" s="1"/>
  <c r="Y13" i="84"/>
  <c r="Y34" i="84" s="1"/>
  <c r="AK14" i="84"/>
  <c r="AK15" i="84" l="1"/>
  <c r="Y164" i="84"/>
  <c r="Y165" i="84" s="1"/>
  <c r="Y43" i="84"/>
  <c r="AM46" i="84"/>
  <c r="AL46" i="84"/>
  <c r="AL14" i="84"/>
  <c r="AM14" i="84"/>
  <c r="AK13" i="84"/>
  <c r="AL45" i="84"/>
  <c r="AM45" i="84"/>
  <c r="AK44" i="84"/>
  <c r="AO44" i="84" s="1"/>
  <c r="AM35" i="84"/>
  <c r="AL35" i="84"/>
  <c r="AM15" i="84" l="1"/>
  <c r="AL15" i="84"/>
  <c r="AL44" i="84"/>
  <c r="AM44" i="84"/>
  <c r="AK34" i="84"/>
  <c r="AK43" i="84" s="1"/>
  <c r="AL13" i="84"/>
  <c r="AM13" i="84"/>
  <c r="AM43" i="84" l="1"/>
  <c r="AO43" i="84"/>
  <c r="AL34" i="84"/>
  <c r="AM34" i="84"/>
  <c r="AK164" i="84"/>
  <c r="AK165" i="84" l="1"/>
  <c r="AL164" i="84"/>
  <c r="AM164" i="84"/>
  <c r="AL43" i="84"/>
  <c r="AL165" i="84" l="1"/>
  <c r="AM165" i="84"/>
  <c r="Y37" i="74"/>
  <c r="Y35" i="74"/>
  <c r="Y14" i="74"/>
  <c r="Y36" i="74"/>
  <c r="AK14" i="74" l="1"/>
  <c r="AK37" i="74"/>
  <c r="AL37" i="74"/>
  <c r="AK46" i="74"/>
  <c r="AO46" i="74" s="1"/>
  <c r="AM14" i="74"/>
  <c r="AL14" i="74"/>
  <c r="Y15" i="74"/>
  <c r="Y16" i="74"/>
  <c r="AM37" i="74"/>
  <c r="AK36" i="74"/>
  <c r="AK35" i="74"/>
  <c r="AM46" i="74" l="1"/>
  <c r="AL46" i="74"/>
  <c r="AM35" i="74"/>
  <c r="AK44" i="74"/>
  <c r="AO44" i="74" s="1"/>
  <c r="AL35" i="74"/>
  <c r="AM36" i="74"/>
  <c r="AL36" i="74"/>
  <c r="AK16" i="74"/>
  <c r="AK15" i="74"/>
  <c r="Y13" i="74"/>
  <c r="Y34" i="74" s="1"/>
  <c r="Y43" i="74" s="1"/>
  <c r="AM16" i="74" l="1"/>
  <c r="AL16" i="74"/>
  <c r="AL45" i="74"/>
  <c r="AM45" i="74"/>
  <c r="AL44" i="74"/>
  <c r="AM44" i="74"/>
  <c r="AL15" i="74"/>
  <c r="AM15" i="74"/>
  <c r="AK13" i="74"/>
  <c r="Y164" i="74"/>
  <c r="Y165" i="74" s="1"/>
  <c r="AL13" i="74" l="1"/>
  <c r="AM13" i="74"/>
  <c r="AK34" i="74"/>
  <c r="AK43" i="74" s="1"/>
  <c r="AO43" i="74" s="1"/>
  <c r="AM34" i="74" l="1"/>
  <c r="AM165" i="74" s="1"/>
  <c r="AK164" i="74"/>
  <c r="AL34" i="74"/>
  <c r="AL165" i="74" s="1"/>
  <c r="AK165" i="74" l="1"/>
  <c r="AM164" i="74"/>
  <c r="AL164" i="74"/>
  <c r="AM43" i="74"/>
  <c r="AL43" i="74"/>
  <c r="Y36" i="83"/>
  <c r="AK36" i="83"/>
  <c r="AM36" i="83" s="1"/>
  <c r="Y37" i="83"/>
  <c r="Y37" i="124"/>
  <c r="Y35" i="83"/>
  <c r="Y35" i="124" l="1"/>
  <c r="Y35" i="175"/>
  <c r="AK35" i="175" s="1"/>
  <c r="AK37" i="83"/>
  <c r="Y37" i="175"/>
  <c r="AK37" i="175" s="1"/>
  <c r="Y15" i="83"/>
  <c r="Y15" i="175" s="1"/>
  <c r="Y36" i="175"/>
  <c r="AK36" i="175" s="1"/>
  <c r="AK35" i="124"/>
  <c r="Y35" i="174"/>
  <c r="AK37" i="124"/>
  <c r="Y37" i="174"/>
  <c r="AL37" i="83"/>
  <c r="AK46" i="83"/>
  <c r="AK35" i="83"/>
  <c r="AL35" i="83" s="1"/>
  <c r="Y14" i="83"/>
  <c r="AL37" i="124"/>
  <c r="AL37" i="174" s="1"/>
  <c r="AM37" i="124"/>
  <c r="AM37" i="174" s="1"/>
  <c r="AM37" i="83"/>
  <c r="Y15" i="124"/>
  <c r="Y15" i="174" s="1"/>
  <c r="AK15" i="83"/>
  <c r="AK44" i="83"/>
  <c r="AM35" i="83"/>
  <c r="AL36" i="83"/>
  <c r="AK45" i="83"/>
  <c r="Y36" i="124"/>
  <c r="AK14" i="83"/>
  <c r="AM35" i="124"/>
  <c r="AM35" i="174" s="1"/>
  <c r="AL35" i="124"/>
  <c r="AL35" i="174" s="1"/>
  <c r="Y16" i="83"/>
  <c r="Y16" i="175" s="1"/>
  <c r="AM45" i="83" l="1"/>
  <c r="AO45" i="83"/>
  <c r="AM44" i="83"/>
  <c r="AO44" i="83"/>
  <c r="AM46" i="83"/>
  <c r="AO46" i="83"/>
  <c r="AK16" i="175"/>
  <c r="Y46" i="175"/>
  <c r="Y14" i="124"/>
  <c r="Y14" i="175"/>
  <c r="AK45" i="175"/>
  <c r="AM36" i="175"/>
  <c r="AL36" i="175"/>
  <c r="AK15" i="175"/>
  <c r="Y45" i="175"/>
  <c r="AK46" i="175"/>
  <c r="AM37" i="175"/>
  <c r="AL37" i="175"/>
  <c r="AK44" i="175"/>
  <c r="AM35" i="175"/>
  <c r="AL35" i="175"/>
  <c r="AK36" i="124"/>
  <c r="Y36" i="174"/>
  <c r="AK14" i="124"/>
  <c r="Y14" i="174"/>
  <c r="AK46" i="124"/>
  <c r="AK46" i="174" s="1"/>
  <c r="AK37" i="174"/>
  <c r="AK44" i="124"/>
  <c r="AK44" i="174" s="1"/>
  <c r="AK35" i="174"/>
  <c r="AL46" i="83"/>
  <c r="Y45" i="124"/>
  <c r="Y45" i="174" s="1"/>
  <c r="AK15" i="124"/>
  <c r="AK15" i="174" s="1"/>
  <c r="AL44" i="83"/>
  <c r="AM15" i="83"/>
  <c r="AL15" i="83"/>
  <c r="Y44" i="124"/>
  <c r="Y44" i="174" s="1"/>
  <c r="AM14" i="83"/>
  <c r="AL14" i="83"/>
  <c r="AL36" i="124"/>
  <c r="AL36" i="174" s="1"/>
  <c r="AM36" i="124"/>
  <c r="AM36" i="174" s="1"/>
  <c r="AL45" i="83"/>
  <c r="AK16" i="83"/>
  <c r="AK13" i="83" s="1"/>
  <c r="Y16" i="124"/>
  <c r="Y13" i="83"/>
  <c r="Y34" i="83" s="1"/>
  <c r="Y43" i="83" s="1"/>
  <c r="AK14" i="174" l="1"/>
  <c r="AM44" i="175"/>
  <c r="AL44" i="175"/>
  <c r="AM46" i="175"/>
  <c r="AL46" i="175"/>
  <c r="AM15" i="175"/>
  <c r="AL15" i="175"/>
  <c r="AM45" i="175"/>
  <c r="AL45" i="175"/>
  <c r="AK14" i="175"/>
  <c r="Y13" i="175"/>
  <c r="Y44" i="175"/>
  <c r="AM16" i="175"/>
  <c r="AL16" i="175"/>
  <c r="AK16" i="124"/>
  <c r="Y16" i="174"/>
  <c r="AK45" i="124"/>
  <c r="AK45" i="174" s="1"/>
  <c r="AK36" i="174"/>
  <c r="Y46" i="124"/>
  <c r="Y46" i="174" s="1"/>
  <c r="Y13" i="124"/>
  <c r="AM14" i="124"/>
  <c r="AM14" i="174" s="1"/>
  <c r="AL14" i="124"/>
  <c r="AL14" i="174" s="1"/>
  <c r="AM16" i="83"/>
  <c r="AL16" i="83"/>
  <c r="AM13" i="83"/>
  <c r="AL13" i="83"/>
  <c r="AK34" i="83"/>
  <c r="AK43" i="83" s="1"/>
  <c r="AM15" i="124"/>
  <c r="AM15" i="174" s="1"/>
  <c r="AL15" i="124"/>
  <c r="AL15" i="174" s="1"/>
  <c r="Y164" i="83"/>
  <c r="Y165" i="83" s="1"/>
  <c r="AM43" i="83" l="1"/>
  <c r="AO43" i="83"/>
  <c r="AK16" i="174"/>
  <c r="AK13" i="124"/>
  <c r="Y13" i="174"/>
  <c r="AK13" i="175"/>
  <c r="Y34" i="175"/>
  <c r="AM14" i="175"/>
  <c r="AL14" i="175"/>
  <c r="AK164" i="83"/>
  <c r="AL34" i="83"/>
  <c r="AM34" i="83"/>
  <c r="AL16" i="124"/>
  <c r="AL16" i="174" s="1"/>
  <c r="AM16" i="124"/>
  <c r="AM16" i="174" s="1"/>
  <c r="AM45" i="124"/>
  <c r="AM45" i="174" s="1"/>
  <c r="AL45" i="124"/>
  <c r="AL45" i="174" s="1"/>
  <c r="Y34" i="124"/>
  <c r="Y34" i="174" s="1"/>
  <c r="Y354" i="174" s="1"/>
  <c r="AK13" i="174"/>
  <c r="AL44" i="124"/>
  <c r="AL44" i="174" s="1"/>
  <c r="AM44" i="124"/>
  <c r="AM44" i="174" s="1"/>
  <c r="AK165" i="83" l="1"/>
  <c r="AK166" i="124"/>
  <c r="Y355" i="174"/>
  <c r="Y390" i="174"/>
  <c r="Y43" i="175"/>
  <c r="Y160" i="175"/>
  <c r="AM13" i="175"/>
  <c r="AK34" i="175"/>
  <c r="AL13" i="175"/>
  <c r="AM13" i="124"/>
  <c r="AM13" i="174" s="1"/>
  <c r="AL13" i="124"/>
  <c r="AL13" i="174" s="1"/>
  <c r="AK34" i="124"/>
  <c r="AK164" i="124" s="1"/>
  <c r="AK164" i="174" s="1"/>
  <c r="AM46" i="124"/>
  <c r="AM46" i="174" s="1"/>
  <c r="AL46" i="124"/>
  <c r="AL46" i="174" s="1"/>
  <c r="AL43" i="83"/>
  <c r="Y164" i="124"/>
  <c r="Y164" i="174" s="1"/>
  <c r="Y43" i="124"/>
  <c r="Y43" i="174" s="1"/>
  <c r="AL165" i="83"/>
  <c r="AM165" i="83"/>
  <c r="AM164" i="83"/>
  <c r="AL164" i="83"/>
  <c r="AK167" i="124" l="1"/>
  <c r="AK43" i="175"/>
  <c r="AM34" i="175"/>
  <c r="AL34" i="175"/>
  <c r="AK160" i="175"/>
  <c r="AK43" i="124"/>
  <c r="AK43" i="174" s="1"/>
  <c r="AK34" i="174"/>
  <c r="AK354" i="174" s="1"/>
  <c r="AM34" i="124"/>
  <c r="AM34" i="174" s="1"/>
  <c r="AL34" i="124"/>
  <c r="AL34" i="174" s="1"/>
  <c r="AL354" i="174" l="1"/>
  <c r="AK393" i="174"/>
  <c r="AK390" i="174"/>
  <c r="AL390" i="174" s="1"/>
  <c r="AK355" i="174"/>
  <c r="AK350" i="175"/>
  <c r="AM160" i="175"/>
  <c r="AL160" i="175"/>
  <c r="AM43" i="175"/>
  <c r="AL43" i="175"/>
  <c r="AK165" i="124"/>
  <c r="AL164" i="124"/>
  <c r="AL164" i="174" s="1"/>
  <c r="AM164" i="124"/>
  <c r="AM164" i="174" s="1"/>
  <c r="AM43" i="124"/>
  <c r="AM43" i="174" s="1"/>
  <c r="AL43" i="124"/>
  <c r="AL43" i="174" s="1"/>
  <c r="AJ164" i="87"/>
  <c r="AJ165" i="87" s="1"/>
  <c r="AJ43" i="87"/>
  <c r="AL355" i="174" l="1"/>
  <c r="AM350" i="175"/>
  <c r="AL350" i="175"/>
  <c r="AM165" i="124"/>
  <c r="AL165" i="124"/>
  <c r="AM168" i="174"/>
  <c r="W168" i="174"/>
  <c r="V257" i="174"/>
  <c r="V351" i="174" s="1"/>
  <c r="W257" i="174"/>
  <c r="V350" i="174" l="1"/>
  <c r="AM350" i="174" s="1"/>
  <c r="V352" i="174"/>
  <c r="AM257" i="174"/>
  <c r="AM351" i="174" l="1"/>
  <c r="W351" i="174"/>
  <c r="V354" i="174"/>
  <c r="V353" i="174"/>
  <c r="AM352" i="174"/>
  <c r="V390" i="174" l="1"/>
  <c r="AM354" i="174"/>
  <c r="AM390" i="174"/>
  <c r="W390" i="174"/>
  <c r="AM353" i="174"/>
  <c r="W353" i="174"/>
  <c r="V355" i="174"/>
  <c r="W354" i="174"/>
  <c r="AM355" i="174" l="1"/>
  <c r="W355" i="174"/>
</calcChain>
</file>

<file path=xl/sharedStrings.xml><?xml version="1.0" encoding="utf-8"?>
<sst xmlns="http://schemas.openxmlformats.org/spreadsheetml/2006/main" count="5349" uniqueCount="483">
  <si>
    <t>ESTIMULO FISCAL</t>
  </si>
  <si>
    <t>IEPS</t>
  </si>
  <si>
    <t>REGULAR</t>
  </si>
  <si>
    <t>*Aumento en los ingresos en proporcion minima a la inflacion</t>
  </si>
  <si>
    <t>PREMIUM</t>
  </si>
  <si>
    <t>DIESEL</t>
  </si>
  <si>
    <t>Precio de venta sin IVA</t>
  </si>
  <si>
    <t>PRECIO DE VENTA sin IVA por LITRO</t>
  </si>
  <si>
    <t>Juarez</t>
  </si>
  <si>
    <t>P.V.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</si>
  <si>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</si>
  <si>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</si>
  <si>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</si>
  <si>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</si>
  <si>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</si>
  <si>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</si>
  <si>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</si>
  <si>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</si>
  <si>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</si>
  <si>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</si>
  <si>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</si>
  <si>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</si>
  <si>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MAXIMA</t>
  </si>
  <si>
    <t>SUPER</t>
  </si>
  <si>
    <t>MARGEN estimado por litro</t>
  </si>
  <si>
    <t>Margen comercial  ( precio - costo según factura )</t>
  </si>
  <si>
    <t>Porcentaje</t>
  </si>
  <si>
    <t>CENTAVOS POR LITRO (FLETE)</t>
  </si>
  <si>
    <t>DESCUENTOS</t>
  </si>
  <si>
    <t>PRECIO REGULAR</t>
  </si>
  <si>
    <t>HERMANOS ESCOBAR</t>
  </si>
  <si>
    <t>LERDO</t>
  </si>
  <si>
    <t>TECNOLOGICO</t>
  </si>
  <si>
    <t>DELICIAS</t>
  </si>
  <si>
    <t>PARRAL</t>
  </si>
  <si>
    <t>LOPEZ</t>
  </si>
  <si>
    <t>GEMELA CH</t>
  </si>
  <si>
    <t>GEMELA G</t>
  </si>
  <si>
    <t>MUNICIPIO</t>
  </si>
  <si>
    <t>MISIONES</t>
  </si>
  <si>
    <t>P PALOS</t>
  </si>
  <si>
    <t>M MADRID</t>
  </si>
  <si>
    <t>AZTECAS</t>
  </si>
  <si>
    <t>PERMUTA</t>
  </si>
  <si>
    <t>ELECTROLUX</t>
  </si>
  <si>
    <t>AERONAUTICA</t>
  </si>
  <si>
    <t>CUSTODIA</t>
  </si>
  <si>
    <t>ANAPRA</t>
  </si>
  <si>
    <t>PLUTARCO</t>
  </si>
  <si>
    <t>AGUASCALIENTES</t>
  </si>
  <si>
    <t>TRAVEL</t>
  </si>
  <si>
    <t>AHUMADA</t>
  </si>
  <si>
    <t>CASTAÑO</t>
  </si>
  <si>
    <t>PICACHOS</t>
  </si>
  <si>
    <t>VENTANAS</t>
  </si>
  <si>
    <t>PRAXEDIS</t>
  </si>
  <si>
    <t>PRECIO PREMIUM</t>
  </si>
  <si>
    <t>PRECIO DIESEL</t>
  </si>
  <si>
    <t>WINDSTAR- REGULAR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</si>
  <si>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</si>
  <si>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</si>
  <si>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</si>
  <si>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</si>
  <si>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</si>
  <si>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</si>
  <si>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</si>
  <si>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</si>
  <si>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</si>
  <si>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</si>
  <si>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</si>
  <si>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</si>
  <si>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MALECON</t>
  </si>
  <si>
    <t>LA 79</t>
  </si>
  <si>
    <t>LA 88</t>
  </si>
  <si>
    <t>HERBANO</t>
  </si>
  <si>
    <t>PALOS</t>
  </si>
  <si>
    <t>MADRID</t>
  </si>
  <si>
    <t>INDEPENDENCIA</t>
  </si>
  <si>
    <t xml:space="preserve">AGUAS C.  </t>
  </si>
  <si>
    <t>WINDSTAR- PREMIUM</t>
  </si>
  <si>
    <t>WINDSTAR- DIESEL</t>
  </si>
  <si>
    <t xml:space="preserve">TOTAL ANUAL </t>
  </si>
  <si>
    <t>% Part</t>
  </si>
  <si>
    <t>Var vs AA%</t>
  </si>
  <si>
    <t>INGRESOS</t>
  </si>
  <si>
    <t>A - INGRESOS</t>
  </si>
  <si>
    <t>( mas )</t>
  </si>
  <si>
    <t xml:space="preserve">A - INGRESOS </t>
  </si>
  <si>
    <t>estaciones</t>
  </si>
  <si>
    <t>INGRESOS MAGNA</t>
  </si>
  <si>
    <t>INGRESOS FORANEOS MAGNA</t>
  </si>
  <si>
    <t>INGRESOS PREMIUM</t>
  </si>
  <si>
    <t>INGRESOS FORANEOS PREMIUM</t>
  </si>
  <si>
    <t>INGRESOS DIESEL</t>
  </si>
  <si>
    <t>INGRESOS FORANEOS DIESEL</t>
  </si>
  <si>
    <t>INGRESOS ACEITES Y LUBRICANTES</t>
  </si>
  <si>
    <t>SOBRANTE COMBUSTIBLE</t>
  </si>
  <si>
    <t>B - COSTO DE VENTA</t>
  </si>
  <si>
    <t>( menos )</t>
  </si>
  <si>
    <t xml:space="preserve">B - COSTO DE VENTA </t>
  </si>
  <si>
    <t>COSTO MAGNA</t>
  </si>
  <si>
    <t>COSTO FORANEO MAGNA</t>
  </si>
  <si>
    <t>GASOLINA REGULAR</t>
  </si>
  <si>
    <t>COSTO PREMIUM</t>
  </si>
  <si>
    <t>COSTO FORANEO PREMIUM</t>
  </si>
  <si>
    <t>GASOLINA PREMIUM</t>
  </si>
  <si>
    <t>COSTO DIESEL</t>
  </si>
  <si>
    <t>COSTO FORANEO DIESEL</t>
  </si>
  <si>
    <t>Merma Magna</t>
  </si>
  <si>
    <t>MERMA GASOLINA REGULAR</t>
  </si>
  <si>
    <t>Merma Premium</t>
  </si>
  <si>
    <t>MERMA GASOLINA PREMIUM</t>
  </si>
  <si>
    <t>Merma Diesel</t>
  </si>
  <si>
    <t>MERMA DIESEL</t>
  </si>
  <si>
    <t>SOBRANTE MAGNA</t>
  </si>
  <si>
    <t>SOBRANTE PREMIUM</t>
  </si>
  <si>
    <t>SOBRANTE DIESEL</t>
  </si>
  <si>
    <t>ADITIVO PARA GASOLINA TMAXIMA (REGULAR)</t>
  </si>
  <si>
    <t>ADITIVO PARA GASOLINA TMAXIMA( REGULAR)</t>
  </si>
  <si>
    <t>ADITIVO TOTAL POWER GASOLINA REG</t>
  </si>
  <si>
    <t>ADITIVO PARA GASOLINA TSUPER (PREMIUM)</t>
  </si>
  <si>
    <t>ADITIVO TOTAL POWER GASOLINA PREM</t>
  </si>
  <si>
    <t>FLETE MAGNA</t>
  </si>
  <si>
    <t>FLETE GASOLINA REGULAR</t>
  </si>
  <si>
    <t>FLETE PREMIUM</t>
  </si>
  <si>
    <t>FLETE GASOLINA PREMIUM</t>
  </si>
  <si>
    <t>FLETE DIESEL</t>
  </si>
  <si>
    <t>Estimulo IEPS Magna</t>
  </si>
  <si>
    <t>ESTIMULO REGULAR</t>
  </si>
  <si>
    <t>Estimulo IEPS Premium</t>
  </si>
  <si>
    <t>ESTIMULO PREMIUM</t>
  </si>
  <si>
    <t>COSTO ACEITES Y LUBRICANTES</t>
  </si>
  <si>
    <t>BONIFICACION COMPRA DE COMBUSTIBLE MAGNA</t>
  </si>
  <si>
    <t>BONIFICACION COMPRA DE COMBUSTIBLE PREMIUM</t>
  </si>
  <si>
    <t>BONIFICACION COMPRA DE COMBUSTIBLE DIESEL</t>
  </si>
  <si>
    <t>MARGEN DE UTILIDAD</t>
  </si>
  <si>
    <t>*Regular</t>
  </si>
  <si>
    <t>*Premium</t>
  </si>
  <si>
    <t>*Diesel</t>
  </si>
  <si>
    <t>* Aceites y Lubricantes</t>
  </si>
  <si>
    <t>Litros vendidos</t>
  </si>
  <si>
    <t>Maxima</t>
  </si>
  <si>
    <t>Super</t>
  </si>
  <si>
    <t>Diesel</t>
  </si>
  <si>
    <t>Margen de utilidad por combustible</t>
  </si>
  <si>
    <t>GASTO ESTACIONES</t>
  </si>
  <si>
    <t>E - GASTOS DE OPERACIÓN</t>
  </si>
  <si>
    <t xml:space="preserve">E - GASTOS DE OPERACIÓN </t>
  </si>
  <si>
    <t>Servicios Administrativos</t>
  </si>
  <si>
    <t>Traslado de Valores</t>
  </si>
  <si>
    <t>Nueva Cotizacion Armstrong</t>
  </si>
  <si>
    <t>Ok, dentro premisa</t>
  </si>
  <si>
    <t>Asesoría en sistemas</t>
  </si>
  <si>
    <t>Otros Gastos</t>
  </si>
  <si>
    <t>Ok Revisado</t>
  </si>
  <si>
    <t>Costo Marketing</t>
  </si>
  <si>
    <t>Otros impuestos y derechos</t>
  </si>
  <si>
    <t>Satelite IP y Pruebas Mecanicas tanques</t>
  </si>
  <si>
    <t>Limpieza</t>
  </si>
  <si>
    <t>Propaganda y publicidad</t>
  </si>
  <si>
    <t>Capacitacion al personal</t>
  </si>
  <si>
    <t>Honorarios Administrativos P.F.</t>
  </si>
  <si>
    <t>Honorarios Administrativos P.M.</t>
  </si>
  <si>
    <t>Asistencia técnica</t>
  </si>
  <si>
    <t>Gastos no deducibles (sin requisitos fiscales)</t>
  </si>
  <si>
    <t>Papelería y artículos de oficina</t>
  </si>
  <si>
    <t>Rollos termicos</t>
  </si>
  <si>
    <t>Faltantes</t>
  </si>
  <si>
    <t>Licencias y Permisos</t>
  </si>
  <si>
    <t>Ok, Revisado (Licencia de suelo, funcionamiento, CANACO, SIEM y aguas residuales</t>
  </si>
  <si>
    <t>Licencias, Software, Antivirus</t>
  </si>
  <si>
    <t>Fletes Combustible</t>
  </si>
  <si>
    <t>Viáticos y gastos de viaje</t>
  </si>
  <si>
    <t>Recoleccion de Basura</t>
  </si>
  <si>
    <t>Honorarios de Consultoria</t>
  </si>
  <si>
    <t>Agua para consumo</t>
  </si>
  <si>
    <t>Fletes Mensajeria</t>
  </si>
  <si>
    <t>Honorarios Admvos P.F.</t>
  </si>
  <si>
    <t>Consumos Propios Combustibles</t>
  </si>
  <si>
    <t>Renta Equipo de Sistemas</t>
  </si>
  <si>
    <t>Timbrado Facturas</t>
  </si>
  <si>
    <t>Rentas No Deducibles</t>
  </si>
  <si>
    <t>Uniformes</t>
  </si>
  <si>
    <t>Contratacion Empleados</t>
  </si>
  <si>
    <t>Multas y Recargos</t>
  </si>
  <si>
    <t>Seguros y fianzas</t>
  </si>
  <si>
    <t>Vigilancia y seguridad</t>
  </si>
  <si>
    <t>Honorarios Fiscales P.F.</t>
  </si>
  <si>
    <t>Honorarios Legales P.M.</t>
  </si>
  <si>
    <t>Calcamonias y senalamientos</t>
  </si>
  <si>
    <t>Cuotas y suscripciones</t>
  </si>
  <si>
    <t>Cumplimiento Sat Anexo 30 y 31</t>
  </si>
  <si>
    <t>Eventos</t>
  </si>
  <si>
    <t>Asesoria Acehico</t>
  </si>
  <si>
    <t>Prediales</t>
  </si>
  <si>
    <t>C - NOMINA</t>
  </si>
  <si>
    <t xml:space="preserve">C - NOMINA </t>
  </si>
  <si>
    <t>Aguinaldo</t>
  </si>
  <si>
    <t>Compensaciones</t>
  </si>
  <si>
    <t>Días festivos</t>
  </si>
  <si>
    <t>Fondo de ahorro</t>
  </si>
  <si>
    <t>Gratificaciones</t>
  </si>
  <si>
    <t>Premios de asistencia</t>
  </si>
  <si>
    <t>Premios de puntualidad</t>
  </si>
  <si>
    <t>Previsión social</t>
  </si>
  <si>
    <t>Prima dominical</t>
  </si>
  <si>
    <t>Falta Ajustar (Quitar a Gtes)</t>
  </si>
  <si>
    <t>Prima vacacional</t>
  </si>
  <si>
    <t>Primas de antigüedad</t>
  </si>
  <si>
    <t>Indemnizaciones</t>
  </si>
  <si>
    <t>Otras prestaciones al personal</t>
  </si>
  <si>
    <t>Sueldos y salarios</t>
  </si>
  <si>
    <t>Falta Revisar Plantilla</t>
  </si>
  <si>
    <t>Tiempos extras</t>
  </si>
  <si>
    <t>Vacaciones</t>
  </si>
  <si>
    <t>D - COSTO SOCIAL</t>
  </si>
  <si>
    <t xml:space="preserve">D - COSTO SOCIAL </t>
  </si>
  <si>
    <t>Aportaciones al infonavit</t>
  </si>
  <si>
    <t>Aportaciones al SAR</t>
  </si>
  <si>
    <t>Cuotas al IMSS</t>
  </si>
  <si>
    <t>Impuesto Estatal</t>
  </si>
  <si>
    <t>F - MANTENIMIENTO</t>
  </si>
  <si>
    <t>Mantenimiento de Imagen</t>
  </si>
  <si>
    <t xml:space="preserve">F - MANTENIMIENTO </t>
  </si>
  <si>
    <t>TI</t>
  </si>
  <si>
    <t>Mantenimiento de Equipo de Computo</t>
  </si>
  <si>
    <t>En Feb 2024 se compraron UROVO</t>
  </si>
  <si>
    <t>Mantenimiento de Vehiculos</t>
  </si>
  <si>
    <t>Seguridad e Higiene Ambiental</t>
  </si>
  <si>
    <t>Certificacion SASISOPA</t>
  </si>
  <si>
    <t>En 2024 se paga la CURR</t>
  </si>
  <si>
    <t>Protección Cívil, Bomberos y Municipales</t>
  </si>
  <si>
    <t>Verificaciones de estaciones</t>
  </si>
  <si>
    <t>Gastos CRE</t>
  </si>
  <si>
    <t>Certificacion Asea</t>
  </si>
  <si>
    <t>Dictamen de Operación y Mantenimiento NOM-005-ASEA-2026</t>
  </si>
  <si>
    <t>Gastos ASEA</t>
  </si>
  <si>
    <t>Mantenimiento General</t>
  </si>
  <si>
    <t>Extintores</t>
  </si>
  <si>
    <t>Cedula de Operaciones (COA)</t>
  </si>
  <si>
    <t>Analisis de la Calidad de Combustible NOM-016-CRE-2016</t>
  </si>
  <si>
    <t>Limpieza faldon, totem, baños</t>
  </si>
  <si>
    <t>Refacciones dispensarios</t>
  </si>
  <si>
    <t>Plomeria y ferreteria</t>
  </si>
  <si>
    <t>Mantenimiento eléctrico</t>
  </si>
  <si>
    <t>Mantenimiento equipo de estación</t>
  </si>
  <si>
    <t>Mantenimiento de edificios</t>
  </si>
  <si>
    <t>Calibraciones</t>
  </si>
  <si>
    <t>Ok, Se hacen Calibraciones para reducir mermas por cambio de temperatura (HMLD)</t>
  </si>
  <si>
    <t>Accesorios</t>
  </si>
  <si>
    <t>Pinturas y Acabados</t>
  </si>
  <si>
    <t>Herramientas de trabajo</t>
  </si>
  <si>
    <t>Mantenimiento a los tanques</t>
  </si>
  <si>
    <t>Pruebas hermeticidad</t>
  </si>
  <si>
    <t>Verificación eléctrica</t>
  </si>
  <si>
    <t>Jardineria</t>
  </si>
  <si>
    <t>Fumigación</t>
  </si>
  <si>
    <t>Limpieza ecológica</t>
  </si>
  <si>
    <t>Recolección de residuos</t>
  </si>
  <si>
    <t>Basura y Recolección</t>
  </si>
  <si>
    <t>Limpieza de baños</t>
  </si>
  <si>
    <t>Dictamen de Calidad de los Petroliferos NOM-016-CRE-2016</t>
  </si>
  <si>
    <t>Mantenimiento de Estaciones</t>
  </si>
  <si>
    <t>H - GASTOS FIJOS</t>
  </si>
  <si>
    <t xml:space="preserve">H - GASTOS FIJOS </t>
  </si>
  <si>
    <t>Arrendamiento Extranjeros</t>
  </si>
  <si>
    <t>Energía eléctrica</t>
  </si>
  <si>
    <t>Arrendamiento a personas físicas resid nal</t>
  </si>
  <si>
    <t>Agua (Servicio)</t>
  </si>
  <si>
    <t>Agua Servicio</t>
  </si>
  <si>
    <t>Teléfono, internet</t>
  </si>
  <si>
    <t>TOTAL GASTO DE ESTACION</t>
  </si>
  <si>
    <t>Gasto en estación por litro</t>
  </si>
  <si>
    <t>Gasto en estación por litro sin rentas Ext</t>
  </si>
  <si>
    <t>UTILIDAD DE ESTACIONES</t>
  </si>
  <si>
    <t>GASTO STAFF</t>
  </si>
  <si>
    <t>Responsabilidad social</t>
  </si>
  <si>
    <t>Honorarios Legales P.F.</t>
  </si>
  <si>
    <t>Honorarios Fiscales P.M.</t>
  </si>
  <si>
    <t>Gastos Extranjeros</t>
  </si>
  <si>
    <t>Recargos Fiscales</t>
  </si>
  <si>
    <t xml:space="preserve">Combustibles Reembolso </t>
  </si>
  <si>
    <t>Capacitación al personal</t>
  </si>
  <si>
    <t>Donativos y ayudas</t>
  </si>
  <si>
    <t>Servicio médico</t>
  </si>
  <si>
    <t>Contingencia Covid</t>
  </si>
  <si>
    <t>Gastos de Representacion</t>
  </si>
  <si>
    <t>Gas Natural</t>
  </si>
  <si>
    <t>Comisiones por tarjetas de crédito</t>
  </si>
  <si>
    <t>PTU</t>
  </si>
  <si>
    <t>Impuesto estatal sobre nóminas</t>
  </si>
  <si>
    <t>Analisis de combustible</t>
  </si>
  <si>
    <t>Arrendamiento a personas morales resid nal</t>
  </si>
  <si>
    <t>Arrendamiento a residentes en el extranjero</t>
  </si>
  <si>
    <t>Arrendamiento Vehiculos</t>
  </si>
  <si>
    <t>TOTAL GASTO STAFF</t>
  </si>
  <si>
    <t>GASTO CORPORATIVO</t>
  </si>
  <si>
    <t>Se meten Asesorias Directivas</t>
  </si>
  <si>
    <t>Partidas Extraordinarias</t>
  </si>
  <si>
    <t>Renta Suburban</t>
  </si>
  <si>
    <t>TOTAL GASTO CORPORATIVO</t>
  </si>
  <si>
    <t xml:space="preserve">TOTAL GASTO </t>
  </si>
  <si>
    <t>Gasto Corporativo por litro</t>
  </si>
  <si>
    <t>UTILIDAD DE OPERACIÓN</t>
  </si>
  <si>
    <t>Gasto total por litro ( estaciones +  staff )</t>
  </si>
  <si>
    <t>Utilidad de operación por litro</t>
  </si>
  <si>
    <t>UTILIDAD DE OPERACIÓN sin rentas Ext</t>
  </si>
  <si>
    <t>Gasto total por litro ( estaciones +  staff ) sin rentas Ext</t>
  </si>
  <si>
    <t>Utilidad de operación por litro sin rentas Ext</t>
  </si>
  <si>
    <t>Centavos por litro utilidad</t>
  </si>
  <si>
    <t xml:space="preserve">I - INGRESOS NO OPERATIVOS </t>
  </si>
  <si>
    <t>Utilidad cambiaria</t>
  </si>
  <si>
    <t>Otros Ingresos</t>
  </si>
  <si>
    <t>Sobrantes</t>
  </si>
  <si>
    <t>Intereses a favor bancarios nacional</t>
  </si>
  <si>
    <t>Intereses a favor por inversiones</t>
  </si>
  <si>
    <t>Ingresos por Rentas</t>
  </si>
  <si>
    <t>Ingresos por servicios admin Alianza Comercial</t>
  </si>
  <si>
    <t>Ganancia en vta y/o baja de autom autob camion</t>
  </si>
  <si>
    <t>Actualización en Devolución SAT</t>
  </si>
  <si>
    <t xml:space="preserve">Ingresos por servicios Intercompañias </t>
  </si>
  <si>
    <t>Otros ingresos propios</t>
  </si>
  <si>
    <t>Indemnizaciones de Seguro No acumuables</t>
  </si>
  <si>
    <t>Ingresos por intereses (actividad propia)</t>
  </si>
  <si>
    <t xml:space="preserve">K - CIF </t>
  </si>
  <si>
    <t>Pérdida cambiaria</t>
  </si>
  <si>
    <t>Intereses a cargo bancario nacional</t>
  </si>
  <si>
    <t>Pérdida en vta y/o baja de autom autob camion</t>
  </si>
  <si>
    <t>Comisiones bancarias</t>
  </si>
  <si>
    <t>Intereses a cargo de personas morales nacional</t>
  </si>
  <si>
    <t>J - DEPRECIACIONES Y AMORTIZACIONES</t>
  </si>
  <si>
    <t>Depr de autom, autob, camiones, tractoc</t>
  </si>
  <si>
    <t>Depreciación de adaptaciones y mejoras</t>
  </si>
  <si>
    <t>Depreciación de edificios</t>
  </si>
  <si>
    <t>Depreciación de equipo de cómputo</t>
  </si>
  <si>
    <t>Depreciación de maquinaria y equipo</t>
  </si>
  <si>
    <t>Depreciación de mobiliario y eq de ofic</t>
  </si>
  <si>
    <t>Amortización contable</t>
  </si>
  <si>
    <t xml:space="preserve">L - PARTIDAS EXTRAORDINARIAS </t>
  </si>
  <si>
    <t>Ingresos por arrendamiento</t>
  </si>
  <si>
    <t>Egresos Extraordinario</t>
  </si>
  <si>
    <t>M - OTROS PROYECTOS</t>
  </si>
  <si>
    <t>UTILIDAD DESPUES DE GASTO CORPORATIVO</t>
  </si>
  <si>
    <t>T-MAXIMA REGULAR</t>
  </si>
  <si>
    <t>T-SUPER PREMIUM</t>
  </si>
  <si>
    <t>DIESEL AUTOMOTRIZ</t>
  </si>
  <si>
    <t>INGRESOS ADITIVOS</t>
  </si>
  <si>
    <t>INGRESOS ESPECIALES</t>
  </si>
  <si>
    <t>INGRESOS FORANEOS ESPECIALES</t>
  </si>
  <si>
    <t>INGRESOS FORANEOS LUBRICANTES</t>
  </si>
  <si>
    <t>INGRESOS LUBRICANTES</t>
  </si>
  <si>
    <t>PREPAGO facturación (neto)</t>
  </si>
  <si>
    <t>INGRESOS FORANEOS ADITIVOS</t>
  </si>
  <si>
    <t>SOBRANTE REGULAR</t>
  </si>
  <si>
    <t>DESCUENTO SOBRE VENTA</t>
  </si>
  <si>
    <t>COSTO UNIFORMES</t>
  </si>
  <si>
    <t>Regular</t>
  </si>
  <si>
    <t>Premium</t>
  </si>
  <si>
    <t>*Otros Conceptos</t>
  </si>
  <si>
    <t>Margen de utilidad por litro</t>
  </si>
  <si>
    <t>Combustibles Reembolsos</t>
  </si>
  <si>
    <t>Protección Civil, Bomberos y Municipales</t>
  </si>
  <si>
    <t>gastos CRE</t>
  </si>
  <si>
    <t>gastos ASEA</t>
  </si>
  <si>
    <t>Gastos de administración de construcción</t>
  </si>
  <si>
    <t>Cedula COA</t>
  </si>
  <si>
    <t>Analisis calidad de combustible</t>
  </si>
  <si>
    <t>Mantenimiento de oficina estacion</t>
  </si>
  <si>
    <t xml:space="preserve">Verificaciones profeco </t>
  </si>
  <si>
    <t>Arrendamiento</t>
  </si>
  <si>
    <t>staff</t>
  </si>
  <si>
    <t>Reconocimiento al cliente</t>
  </si>
  <si>
    <t>Mantenimiento de cartera</t>
  </si>
  <si>
    <t>Impuesto estatal</t>
  </si>
  <si>
    <t>TOTAL GASTO</t>
  </si>
  <si>
    <t>I - INGRESOS NO OPERATIVOS</t>
  </si>
  <si>
    <t>Actualización en Devolución de IVA SAT</t>
  </si>
  <si>
    <t>Ingresos por Uniformes</t>
  </si>
  <si>
    <t>K - CIF</t>
  </si>
  <si>
    <t>UTILIDAD NETA DE OPERACIÓN</t>
  </si>
  <si>
    <t>UAFIRDA (sin rentas extranjeras)</t>
  </si>
  <si>
    <t>L - PARTIDAS EXTRAORDINARIAS TOTAL 2.0</t>
  </si>
  <si>
    <t>Aeronautica</t>
  </si>
  <si>
    <t>Anapra</t>
  </si>
  <si>
    <t>Aztecas</t>
  </si>
  <si>
    <t>Custodia</t>
  </si>
  <si>
    <t>Electrolux</t>
  </si>
  <si>
    <t>Hermanos Escobar</t>
  </si>
  <si>
    <t>Estacion Custodia</t>
  </si>
  <si>
    <t>Estacion Delicias</t>
  </si>
  <si>
    <t>Gemela Chica</t>
  </si>
  <si>
    <t>Gemela Grande</t>
  </si>
  <si>
    <t>Lerdo</t>
  </si>
  <si>
    <t>Lopez Mateos</t>
  </si>
  <si>
    <t>Malecon</t>
  </si>
  <si>
    <t>Miguel de la Madrid</t>
  </si>
  <si>
    <t>Misiones</t>
  </si>
  <si>
    <t>Municipio Libre</t>
  </si>
  <si>
    <t>Parral</t>
  </si>
  <si>
    <t>Permuta</t>
  </si>
  <si>
    <t>Plutarco</t>
  </si>
  <si>
    <t>Puerto de Palos</t>
  </si>
  <si>
    <t>Tecnologico</t>
  </si>
  <si>
    <t>Operativo</t>
  </si>
  <si>
    <t>Ventas</t>
  </si>
  <si>
    <t>Expansión</t>
  </si>
  <si>
    <t>Administración</t>
  </si>
  <si>
    <t>Estación Hermanos Escobar</t>
  </si>
  <si>
    <t>Gasomex</t>
  </si>
  <si>
    <t>TOP TIER</t>
  </si>
  <si>
    <t>Kilometro 30</t>
  </si>
  <si>
    <t>Bodega de Aditivo</t>
  </si>
  <si>
    <t>Praxedis</t>
  </si>
  <si>
    <t>Petrotal</t>
  </si>
  <si>
    <t>Aduana</t>
  </si>
  <si>
    <t>Expansión 22-26</t>
  </si>
  <si>
    <t xml:space="preserve">San Miguel de Allende </t>
  </si>
  <si>
    <t>Zona Bajio</t>
  </si>
  <si>
    <t>Estación Km 30</t>
  </si>
  <si>
    <t>Fletes Mexico</t>
  </si>
  <si>
    <t>Total Gas de Juárez</t>
  </si>
  <si>
    <t>Estación Praxedis</t>
  </si>
  <si>
    <t>Proyecto 6947</t>
  </si>
  <si>
    <t>Estación Aduana</t>
  </si>
  <si>
    <t>Sistema de documentación y procesos web</t>
  </si>
  <si>
    <t>Proyecto 2 Estaciones en San Miguel Allende</t>
  </si>
  <si>
    <t>Paneles solares</t>
  </si>
  <si>
    <t>Facturacion 4.0</t>
  </si>
  <si>
    <t>Proyecto Oficinas</t>
  </si>
  <si>
    <t xml:space="preserve">casa de cambio </t>
  </si>
  <si>
    <t>NFC</t>
  </si>
  <si>
    <t>Estandarización de Procesos</t>
  </si>
  <si>
    <t>OMA Aeropuerto</t>
  </si>
  <si>
    <t>Fletes México</t>
  </si>
  <si>
    <t>Santiago Troncoso</t>
  </si>
  <si>
    <t>El castaño</t>
  </si>
  <si>
    <t>Assesment</t>
  </si>
  <si>
    <t>Proyecto Vallas Publicitarias</t>
  </si>
  <si>
    <t>One Goal</t>
  </si>
  <si>
    <t>Autolavado Tecnológico</t>
  </si>
  <si>
    <t>Estacion Tijuana</t>
  </si>
  <si>
    <t>Villa Ahumada</t>
  </si>
  <si>
    <t>UTILIDAD DESPUES DE TOTAL 2.0</t>
  </si>
  <si>
    <t>Corporativo</t>
  </si>
  <si>
    <t>UTILIDAD DESPUES GASTO CORPORATIVO</t>
  </si>
  <si>
    <t>PPTO ANUAL MISMAS EST</t>
  </si>
  <si>
    <t>Pruebas de Integridad Mecanica</t>
  </si>
  <si>
    <t>Listo</t>
  </si>
  <si>
    <t>Listo, confirmar con Hizel Vybro</t>
  </si>
  <si>
    <t>ver con Diana</t>
  </si>
  <si>
    <t>OK, INCREMENTO FIANZA LOBO Y FIANZA MGC, NO EN AÑO COMPLETO 2025</t>
  </si>
  <si>
    <t>FALTA</t>
  </si>
  <si>
    <t>VER CON SISTEMAS ($371k) Y AUDITORIA ($217k)</t>
  </si>
  <si>
    <t>Correspondiente Analsis de Riesgo y Protocolo respuesta de Emergencia, Vencimiento Abril Junio</t>
  </si>
  <si>
    <t>Listo, visto con Oliver</t>
  </si>
  <si>
    <t>Listo, visto con Operaciones</t>
  </si>
  <si>
    <t>Aumento en el Costo del tramite</t>
  </si>
  <si>
    <t>Se ejerce Gasto en Noviembre total $64K, SALMA</t>
  </si>
  <si>
    <t>Listo, Mantenimiento hara este Labor</t>
  </si>
  <si>
    <t>Se reviso con Auditoria sigue alto</t>
  </si>
  <si>
    <t>Revisar para no dejarlo muy corto, se Ajusta</t>
  </si>
  <si>
    <t>Listo, Clima - lluvias, Antes se llevaban 50Kg  ahora es arriba de 450kg SALMA</t>
  </si>
  <si>
    <t>Listo, SELICSA nos da Descuento por volumen de Estaciones SALMA</t>
  </si>
  <si>
    <t>Listo, visto con Operaciones SALMA</t>
  </si>
  <si>
    <t>Dictamen Instalacion Electricas NOM-001-SEDE-2012</t>
  </si>
  <si>
    <t>LISTO, No toca en 2026 Robert</t>
  </si>
  <si>
    <t xml:space="preserve">I - COMISIONES BANCARIAS </t>
  </si>
  <si>
    <t> </t>
  </si>
  <si>
    <t>Gasto en staff por litro</t>
  </si>
  <si>
    <t>TOTAL GASTO (estaciones + staff)</t>
  </si>
  <si>
    <t>x</t>
  </si>
  <si>
    <t>est</t>
  </si>
  <si>
    <t>Fuentes</t>
  </si>
  <si>
    <t>SOBRANTE COMBUSTIBLES</t>
  </si>
  <si>
    <t xml:space="preserve"> (Verificaciones de estaciones)</t>
  </si>
  <si>
    <t>Satélite</t>
  </si>
  <si>
    <t>Ejercito</t>
  </si>
  <si>
    <t xml:space="preserve"> -   </t>
  </si>
  <si>
    <t>Solís</t>
  </si>
  <si>
    <t xml:space="preserve">-   </t>
  </si>
  <si>
    <t>Santiago</t>
  </si>
  <si>
    <t>CLara</t>
  </si>
  <si>
    <t>Jarudo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</si>
</sst>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0.0%"/>
    <numFmt numFmtId="168" formatCode="[$$-80A]#,##0.00;\-[$$-80A]#,##0.00;[$$-80A]#,##0.00;@"/>
    <numFmt numFmtId="169" formatCode="#,##0_ ;[Red]\-#,##0\ "/>
    <numFmt numFmtId="170" formatCode="_-* #,##0_-;\-* #,##0_-;_-* &quot;-&quot;??_-;_-@_-"/>
    <numFmt numFmtId="171" formatCode="_-[$€-2]* #,##0.00_-;\-[$€-2]* #,##0.00_-;_-[$€-2]* &quot;-&quot;??_-"/>
    <numFmt numFmtId="172" formatCode="0.00_)"/>
    <numFmt numFmtId="173" formatCode="_-* #,##0.000_-;\-* #,##0.000_-;_-* &quot;-&quot;??_-;_-@_-"/>
    <numFmt numFmtId="174" formatCode="_-* #,##0.0000_-;\-* #,##0.0000_-;_-* &quot;-&quot;??_-;_-@_-"/>
    <numFmt numFmtId="175" formatCode="#,##0.00_ ;[Red]\-#,##0.00\ "/>
    <numFmt numFmtId="176" formatCode="0.000"/>
    <numFmt numFmtId="177" formatCode="_(* #,##0_);_(* \(#,##0\);_(* &quot;-&quot;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 Narrow"/>
      <family val="2"/>
    </font>
    <font>
      <sz val="8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Arial Narrow"/>
      <family val="2"/>
    </font>
    <font>
      <sz val="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 Narrow"/>
      <family val="2"/>
    </font>
    <font>
      <sz val="8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9"/>
      <color theme="0"/>
      <name val="Arial Narrow"/>
      <family val="2"/>
    </font>
    <font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i/>
      <sz val="16"/>
      <name val="Helv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b/>
      <sz val="11"/>
      <color rgb="FFFFFFFF"/>
      <name val="Calibri"/>
      <family val="2"/>
    </font>
    <font>
      <sz val="9"/>
      <color theme="1"/>
      <name val="Arial Narrow"/>
    </font>
    <font>
      <sz val="11"/>
      <color rgb="FF000000"/>
      <name val="Calibri"/>
    </font>
    <font>
      <sz val="11"/>
      <color rgb="FFFF0000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7E7A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FFF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FFE699"/>
        <bgColor rgb="FF000000"/>
      </patternFill>
    </fill>
    <fill>
      <patternFill patternType="solid">
        <fgColor rgb="FFC7E7A3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/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/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indexed="64"/>
      </top>
      <bottom style="thick">
        <color theme="1"/>
      </bottom>
      <diagonal/>
    </border>
    <border>
      <left/>
      <right style="hair">
        <color theme="0" tint="-4.9989318521683403E-2"/>
      </right>
      <top style="thin">
        <color indexed="64"/>
      </top>
      <bottom style="thick">
        <color theme="1"/>
      </bottom>
      <diagonal/>
    </border>
    <border>
      <left/>
      <right style="hair">
        <color theme="0" tint="-4.9989318521683403E-2"/>
      </right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indexed="64"/>
      </top>
      <bottom style="double">
        <color indexed="64"/>
      </bottom>
      <diagonal/>
    </border>
    <border>
      <left/>
      <right style="hair">
        <color theme="0" tint="-4.9989318521683403E-2"/>
      </right>
      <top style="thin">
        <color indexed="64"/>
      </top>
      <bottom style="double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/>
      <diagonal/>
    </border>
    <border>
      <left/>
      <right style="hair">
        <color theme="0" tint="-0.14996795556505021"/>
      </right>
      <top/>
      <bottom/>
      <diagonal/>
    </border>
    <border>
      <left/>
      <right style="hair">
        <color theme="0" tint="-0.14996795556505021"/>
      </right>
      <top style="hair">
        <color theme="0" tint="-0.14996795556505021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/>
      <diagonal/>
    </border>
    <border>
      <left/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thin">
        <color indexed="64"/>
      </top>
      <bottom style="double">
        <color indexed="64"/>
      </bottom>
      <diagonal/>
    </border>
    <border>
      <left style="hair">
        <color theme="0" tint="-4.9989318521683403E-2"/>
      </left>
      <right/>
      <top/>
      <bottom style="hair">
        <color theme="0" tint="-4.9989318521683403E-2"/>
      </bottom>
      <diagonal/>
    </border>
    <border>
      <left style="hair">
        <color theme="0" tint="-4.9989318521683403E-2"/>
      </left>
      <right/>
      <top/>
      <bottom/>
      <diagonal/>
    </border>
    <border>
      <left style="hair">
        <color theme="0" tint="-4.9989318521683403E-2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rgb="FFF2F2F2"/>
      </right>
      <top/>
      <bottom style="hair">
        <color rgb="FFF2F2F2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F2F2F2"/>
      </right>
      <top style="hair">
        <color rgb="FFF2F2F2"/>
      </top>
      <bottom style="hair">
        <color rgb="FFF2F2F2"/>
      </bottom>
      <diagonal/>
    </border>
    <border>
      <left/>
      <right style="hair">
        <color rgb="FFF2F2F2"/>
      </right>
      <top style="thin">
        <color indexed="64"/>
      </top>
      <bottom style="double">
        <color indexed="64"/>
      </bottom>
      <diagonal/>
    </border>
    <border>
      <left style="hair">
        <color rgb="FFF2F2F2"/>
      </left>
      <right style="hair">
        <color rgb="FFF2F2F2"/>
      </right>
      <top style="hair">
        <color rgb="FFF2F2F2"/>
      </top>
      <bottom style="hair">
        <color rgb="FFF2F2F2"/>
      </bottom>
      <diagonal/>
    </border>
    <border>
      <left style="hair">
        <color rgb="FFF2F2F2"/>
      </left>
      <right style="hair">
        <color rgb="FFF2F2F2"/>
      </right>
      <top/>
      <bottom style="hair">
        <color rgb="FFF2F2F2"/>
      </bottom>
      <diagonal/>
    </border>
    <border>
      <left/>
      <right style="hair">
        <color rgb="FFD9D9D9"/>
      </right>
      <top/>
      <bottom/>
      <diagonal/>
    </border>
    <border>
      <left style="hair">
        <color rgb="FFF2F2F2"/>
      </left>
      <right style="hair">
        <color rgb="FFF2F2F2"/>
      </right>
      <top style="thin">
        <color indexed="64"/>
      </top>
      <bottom style="double">
        <color indexed="64"/>
      </bottom>
      <diagonal/>
    </border>
  </borders>
  <cellStyleXfs count="70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34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1" fillId="0" borderId="0"/>
    <xf numFmtId="0" fontId="40" fillId="18" borderId="0" applyNumberFormat="0" applyBorder="0" applyAlignment="0" applyProtection="0"/>
    <xf numFmtId="0" fontId="48" fillId="19" borderId="0" applyNumberFormat="0" applyBorder="0" applyAlignment="0" applyProtection="0"/>
  </cellStyleXfs>
  <cellXfs count="320">
    <xf numFmtId="0" fontId="0" fillId="0" borderId="0" xfId="0"/>
    <xf numFmtId="0" fontId="0" fillId="0" borderId="1" xfId="0" applyBorder="1"/>
    <xf numFmtId="167" fontId="6" fillId="0" borderId="1" xfId="0" applyNumberFormat="1" applyFont="1" applyBorder="1" applyAlignment="1">
      <alignment vertical="center"/>
    </xf>
    <xf numFmtId="168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5" fillId="0" borderId="0" xfId="0" applyFont="1"/>
    <xf numFmtId="0" fontId="3" fillId="0" borderId="0" xfId="0" applyFont="1"/>
    <xf numFmtId="0" fontId="2" fillId="0" borderId="0" xfId="0" applyFont="1"/>
    <xf numFmtId="169" fontId="0" fillId="0" borderId="1" xfId="0" applyNumberFormat="1" applyBorder="1"/>
    <xf numFmtId="167" fontId="6" fillId="3" borderId="1" xfId="3" applyNumberFormat="1" applyFont="1" applyFill="1" applyBorder="1" applyAlignment="1">
      <alignment horizontal="center" vertical="center"/>
    </xf>
    <xf numFmtId="169" fontId="10" fillId="4" borderId="1" xfId="2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67" fontId="6" fillId="0" borderId="1" xfId="3" applyNumberFormat="1" applyFont="1" applyBorder="1" applyAlignment="1">
      <alignment horizontal="center" vertical="center"/>
    </xf>
    <xf numFmtId="167" fontId="6" fillId="4" borderId="1" xfId="3" applyNumberFormat="1" applyFont="1" applyFill="1" applyBorder="1" applyAlignment="1">
      <alignment horizontal="center" vertical="center"/>
    </xf>
    <xf numFmtId="169" fontId="0" fillId="3" borderId="1" xfId="2" applyNumberFormat="1" applyFont="1" applyFill="1" applyBorder="1" applyAlignment="1">
      <alignment vertical="center"/>
    </xf>
    <xf numFmtId="167" fontId="15" fillId="6" borderId="1" xfId="3" applyNumberFormat="1" applyFont="1" applyFill="1" applyBorder="1" applyAlignment="1">
      <alignment horizontal="center" vertical="center"/>
    </xf>
    <xf numFmtId="166" fontId="17" fillId="6" borderId="1" xfId="1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left" vertical="center" indent="5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8" fontId="2" fillId="0" borderId="0" xfId="0" applyNumberFormat="1" applyFont="1" applyAlignment="1">
      <alignment vertical="center"/>
    </xf>
    <xf numFmtId="168" fontId="19" fillId="0" borderId="0" xfId="0" applyNumberFormat="1" applyFont="1" applyAlignment="1">
      <alignment vertical="center"/>
    </xf>
    <xf numFmtId="167" fontId="8" fillId="9" borderId="1" xfId="3" applyNumberFormat="1" applyFont="1" applyFill="1" applyBorder="1" applyAlignment="1">
      <alignment horizontal="center" vertical="center"/>
    </xf>
    <xf numFmtId="169" fontId="9" fillId="9" borderId="1" xfId="2" applyNumberFormat="1" applyFont="1" applyFill="1" applyBorder="1" applyAlignment="1">
      <alignment vertical="center"/>
    </xf>
    <xf numFmtId="0" fontId="20" fillId="9" borderId="2" xfId="0" applyFont="1" applyFill="1" applyBorder="1" applyAlignment="1">
      <alignment horizontal="left" vertical="center"/>
    </xf>
    <xf numFmtId="0" fontId="17" fillId="6" borderId="4" xfId="0" applyFont="1" applyFill="1" applyBorder="1" applyAlignment="1">
      <alignment horizontal="left" vertical="center" indent="5"/>
    </xf>
    <xf numFmtId="169" fontId="0" fillId="3" borderId="2" xfId="2" applyNumberFormat="1" applyFont="1" applyFill="1" applyBorder="1" applyAlignment="1">
      <alignment vertical="center"/>
    </xf>
    <xf numFmtId="0" fontId="14" fillId="3" borderId="0" xfId="0" applyFont="1" applyFill="1" applyAlignment="1">
      <alignment horizontal="left" vertical="center"/>
    </xf>
    <xf numFmtId="167" fontId="15" fillId="10" borderId="1" xfId="3" applyNumberFormat="1" applyFont="1" applyFill="1" applyBorder="1" applyAlignment="1">
      <alignment horizontal="center" vertical="center"/>
    </xf>
    <xf numFmtId="166" fontId="17" fillId="10" borderId="1" xfId="1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left" vertical="center" indent="8"/>
    </xf>
    <xf numFmtId="170" fontId="17" fillId="10" borderId="1" xfId="1" applyNumberFormat="1" applyFont="1" applyFill="1" applyBorder="1" applyAlignment="1">
      <alignment horizontal="center" vertical="center"/>
    </xf>
    <xf numFmtId="170" fontId="17" fillId="6" borderId="1" xfId="1" applyNumberFormat="1" applyFont="1" applyFill="1" applyBorder="1" applyAlignment="1">
      <alignment horizontal="center" vertical="center"/>
    </xf>
    <xf numFmtId="167" fontId="8" fillId="11" borderId="1" xfId="3" applyNumberFormat="1" applyFont="1" applyFill="1" applyBorder="1" applyAlignment="1">
      <alignment horizontal="center" vertical="center"/>
    </xf>
    <xf numFmtId="169" fontId="9" fillId="11" borderId="1" xfId="2" applyNumberFormat="1" applyFont="1" applyFill="1" applyBorder="1" applyAlignment="1">
      <alignment vertical="center"/>
    </xf>
    <xf numFmtId="0" fontId="20" fillId="11" borderId="2" xfId="0" applyFont="1" applyFill="1" applyBorder="1" applyAlignment="1">
      <alignment horizontal="left"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67" fontId="6" fillId="0" borderId="1" xfId="0" applyNumberFormat="1" applyFont="1" applyBorder="1"/>
    <xf numFmtId="0" fontId="0" fillId="0" borderId="2" xfId="0" applyBorder="1"/>
    <xf numFmtId="0" fontId="19" fillId="0" borderId="0" xfId="0" applyFont="1"/>
    <xf numFmtId="0" fontId="4" fillId="0" borderId="2" xfId="0" applyFont="1" applyBorder="1"/>
    <xf numFmtId="0" fontId="0" fillId="0" borderId="1" xfId="0" applyBorder="1" applyAlignment="1">
      <alignment horizontal="center"/>
    </xf>
    <xf numFmtId="167" fontId="24" fillId="12" borderId="1" xfId="0" applyNumberFormat="1" applyFont="1" applyFill="1" applyBorder="1" applyAlignment="1">
      <alignment horizontal="center"/>
    </xf>
    <xf numFmtId="0" fontId="25" fillId="12" borderId="2" xfId="0" applyFont="1" applyFill="1" applyBorder="1" applyAlignment="1">
      <alignment horizontal="center"/>
    </xf>
    <xf numFmtId="0" fontId="26" fillId="8" borderId="2" xfId="0" applyFont="1" applyFill="1" applyBorder="1" applyAlignment="1">
      <alignment horizontal="center"/>
    </xf>
    <xf numFmtId="0" fontId="25" fillId="8" borderId="2" xfId="0" applyFont="1" applyFill="1" applyBorder="1" applyAlignment="1">
      <alignment horizontal="center"/>
    </xf>
    <xf numFmtId="0" fontId="27" fillId="8" borderId="2" xfId="0" applyFont="1" applyFill="1" applyBorder="1" applyAlignment="1">
      <alignment horizontal="center"/>
    </xf>
    <xf numFmtId="0" fontId="25" fillId="8" borderId="0" xfId="0" applyFont="1" applyFill="1" applyAlignment="1">
      <alignment horizontal="center"/>
    </xf>
    <xf numFmtId="0" fontId="28" fillId="8" borderId="0" xfId="0" applyFont="1" applyFill="1" applyAlignment="1">
      <alignment horizontal="center"/>
    </xf>
    <xf numFmtId="0" fontId="29" fillId="0" borderId="1" xfId="0" applyFont="1" applyBorder="1"/>
    <xf numFmtId="167" fontId="24" fillId="13" borderId="1" xfId="0" applyNumberFormat="1" applyFont="1" applyFill="1" applyBorder="1" applyAlignment="1">
      <alignment vertical="center"/>
    </xf>
    <xf numFmtId="0" fontId="30" fillId="7" borderId="2" xfId="0" applyFont="1" applyFill="1" applyBorder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5" fillId="0" borderId="1" xfId="0" applyFont="1" applyBorder="1"/>
    <xf numFmtId="167" fontId="24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68" fontId="30" fillId="7" borderId="15" xfId="0" applyNumberFormat="1" applyFont="1" applyFill="1" applyBorder="1" applyAlignment="1">
      <alignment horizontal="center" vertical="center"/>
    </xf>
    <xf numFmtId="168" fontId="30" fillId="7" borderId="2" xfId="0" applyNumberFormat="1" applyFont="1" applyFill="1" applyBorder="1" applyAlignment="1">
      <alignment horizontal="center" vertical="center"/>
    </xf>
    <xf numFmtId="168" fontId="30" fillId="7" borderId="16" xfId="0" applyNumberFormat="1" applyFont="1" applyFill="1" applyBorder="1" applyAlignment="1">
      <alignment horizontal="center" vertical="center"/>
    </xf>
    <xf numFmtId="0" fontId="30" fillId="7" borderId="15" xfId="0" applyFont="1" applyFill="1" applyBorder="1" applyAlignment="1">
      <alignment horizontal="center" vertical="center"/>
    </xf>
    <xf numFmtId="166" fontId="10" fillId="4" borderId="1" xfId="1" applyFont="1" applyFill="1" applyBorder="1" applyAlignment="1">
      <alignment vertical="center"/>
    </xf>
    <xf numFmtId="166" fontId="18" fillId="4" borderId="1" xfId="1" applyFont="1" applyFill="1" applyBorder="1" applyAlignment="1">
      <alignment vertical="center"/>
    </xf>
    <xf numFmtId="166" fontId="10" fillId="4" borderId="2" xfId="1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12" borderId="15" xfId="0" applyFont="1" applyFill="1" applyBorder="1" applyAlignment="1">
      <alignment horizontal="center"/>
    </xf>
    <xf numFmtId="169" fontId="7" fillId="0" borderId="16" xfId="0" applyNumberFormat="1" applyFont="1" applyBorder="1"/>
    <xf numFmtId="169" fontId="7" fillId="3" borderId="16" xfId="2" applyNumberFormat="1" applyFont="1" applyFill="1" applyBorder="1" applyAlignment="1">
      <alignment vertical="center"/>
    </xf>
    <xf numFmtId="167" fontId="7" fillId="3" borderId="16" xfId="3" applyNumberFormat="1" applyFont="1" applyFill="1" applyBorder="1" applyAlignment="1">
      <alignment horizontal="center" vertical="center"/>
    </xf>
    <xf numFmtId="167" fontId="7" fillId="6" borderId="16" xfId="3" applyNumberFormat="1" applyFont="1" applyFill="1" applyBorder="1" applyAlignment="1">
      <alignment horizontal="center" vertical="center"/>
    </xf>
    <xf numFmtId="167" fontId="16" fillId="6" borderId="16" xfId="3" applyNumberFormat="1" applyFont="1" applyFill="1" applyBorder="1" applyAlignment="1">
      <alignment horizontal="center" vertical="center"/>
    </xf>
    <xf numFmtId="167" fontId="7" fillId="0" borderId="16" xfId="3" applyNumberFormat="1" applyFont="1" applyBorder="1" applyAlignment="1">
      <alignment horizontal="center" vertical="center"/>
    </xf>
    <xf numFmtId="167" fontId="7" fillId="3" borderId="15" xfId="3" applyNumberFormat="1" applyFont="1" applyFill="1" applyBorder="1" applyAlignment="1">
      <alignment horizontal="center" vertical="center"/>
    </xf>
    <xf numFmtId="167" fontId="7" fillId="9" borderId="16" xfId="3" applyNumberFormat="1" applyFont="1" applyFill="1" applyBorder="1" applyAlignment="1">
      <alignment horizontal="center" vertical="center"/>
    </xf>
    <xf numFmtId="167" fontId="7" fillId="0" borderId="18" xfId="3" applyNumberFormat="1" applyFont="1" applyBorder="1" applyAlignment="1">
      <alignment horizontal="center" vertical="center"/>
    </xf>
    <xf numFmtId="167" fontId="7" fillId="3" borderId="19" xfId="3" applyNumberFormat="1" applyFont="1" applyFill="1" applyBorder="1" applyAlignment="1">
      <alignment horizontal="center" vertical="center"/>
    </xf>
    <xf numFmtId="167" fontId="7" fillId="5" borderId="17" xfId="3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169" fontId="7" fillId="0" borderId="16" xfId="0" applyNumberFormat="1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12" fillId="14" borderId="0" xfId="0" applyFont="1" applyFill="1" applyAlignment="1">
      <alignment vertical="center"/>
    </xf>
    <xf numFmtId="168" fontId="30" fillId="14" borderId="0" xfId="0" applyNumberFormat="1" applyFont="1" applyFill="1" applyAlignment="1">
      <alignment vertical="center"/>
    </xf>
    <xf numFmtId="0" fontId="12" fillId="14" borderId="0" xfId="0" applyFont="1" applyFill="1" applyAlignment="1">
      <alignment horizontal="center"/>
    </xf>
    <xf numFmtId="169" fontId="7" fillId="14" borderId="0" xfId="0" applyNumberFormat="1" applyFont="1" applyFill="1"/>
    <xf numFmtId="169" fontId="7" fillId="14" borderId="0" xfId="2" applyNumberFormat="1" applyFont="1" applyFill="1" applyBorder="1" applyAlignment="1">
      <alignment vertical="center"/>
    </xf>
    <xf numFmtId="167" fontId="7" fillId="14" borderId="0" xfId="3" applyNumberFormat="1" applyFont="1" applyFill="1" applyBorder="1" applyAlignment="1">
      <alignment horizontal="center" vertical="center"/>
    </xf>
    <xf numFmtId="167" fontId="16" fillId="14" borderId="0" xfId="3" applyNumberFormat="1" applyFont="1" applyFill="1" applyBorder="1" applyAlignment="1">
      <alignment horizontal="center" vertical="center"/>
    </xf>
    <xf numFmtId="167" fontId="12" fillId="14" borderId="0" xfId="3" applyNumberFormat="1" applyFont="1" applyFill="1" applyBorder="1" applyAlignment="1">
      <alignment horizontal="center" vertical="center"/>
    </xf>
    <xf numFmtId="167" fontId="7" fillId="14" borderId="0" xfId="3" applyNumberFormat="1" applyFont="1" applyFill="1" applyBorder="1" applyAlignment="1">
      <alignment horizontal="center"/>
    </xf>
    <xf numFmtId="0" fontId="7" fillId="14" borderId="0" xfId="0" applyFont="1" applyFill="1" applyAlignment="1">
      <alignment vertical="center"/>
    </xf>
    <xf numFmtId="169" fontId="7" fillId="14" borderId="0" xfId="0" applyNumberFormat="1" applyFont="1" applyFill="1" applyAlignment="1">
      <alignment vertical="center"/>
    </xf>
    <xf numFmtId="166" fontId="0" fillId="0" borderId="0" xfId="1" applyFont="1"/>
    <xf numFmtId="174" fontId="0" fillId="0" borderId="0" xfId="1" applyNumberFormat="1" applyFont="1"/>
    <xf numFmtId="174" fontId="0" fillId="0" borderId="0" xfId="0" applyNumberFormat="1"/>
    <xf numFmtId="166" fontId="0" fillId="0" borderId="0" xfId="1" applyFont="1" applyFill="1" applyBorder="1"/>
    <xf numFmtId="0" fontId="5" fillId="14" borderId="0" xfId="0" applyFont="1" applyFill="1"/>
    <xf numFmtId="0" fontId="2" fillId="14" borderId="0" xfId="0" applyFont="1" applyFill="1"/>
    <xf numFmtId="0" fontId="35" fillId="15" borderId="0" xfId="0" applyFont="1" applyFill="1"/>
    <xf numFmtId="2" fontId="5" fillId="14" borderId="0" xfId="0" applyNumberFormat="1" applyFont="1" applyFill="1"/>
    <xf numFmtId="9" fontId="0" fillId="0" borderId="0" xfId="3" applyFont="1"/>
    <xf numFmtId="0" fontId="35" fillId="15" borderId="21" xfId="0" applyFont="1" applyFill="1" applyBorder="1"/>
    <xf numFmtId="0" fontId="0" fillId="0" borderId="21" xfId="0" applyBorder="1"/>
    <xf numFmtId="2" fontId="0" fillId="0" borderId="21" xfId="0" applyNumberFormat="1" applyBorder="1"/>
    <xf numFmtId="10" fontId="0" fillId="0" borderId="21" xfId="3" applyNumberFormat="1" applyFont="1" applyBorder="1"/>
    <xf numFmtId="10" fontId="36" fillId="0" borderId="0" xfId="3" applyNumberFormat="1" applyFont="1" applyBorder="1"/>
    <xf numFmtId="10" fontId="0" fillId="0" borderId="0" xfId="3" applyNumberFormat="1" applyFont="1" applyBorder="1"/>
    <xf numFmtId="173" fontId="0" fillId="0" borderId="0" xfId="1" applyNumberFormat="1" applyFont="1" applyBorder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166" fontId="0" fillId="0" borderId="0" xfId="1" applyFont="1" applyBorder="1"/>
    <xf numFmtId="10" fontId="37" fillId="0" borderId="0" xfId="3" applyNumberFormat="1" applyFont="1" applyFill="1" applyBorder="1"/>
    <xf numFmtId="9" fontId="0" fillId="0" borderId="0" xfId="3" applyFont="1" applyFill="1" applyBorder="1"/>
    <xf numFmtId="0" fontId="23" fillId="0" borderId="2" xfId="0" applyFont="1" applyBorder="1" applyAlignment="1">
      <alignment horizontal="left" vertical="center" indent="5"/>
    </xf>
    <xf numFmtId="166" fontId="0" fillId="17" borderId="0" xfId="1" applyFont="1" applyFill="1" applyBorder="1"/>
    <xf numFmtId="2" fontId="0" fillId="0" borderId="0" xfId="0" applyNumberFormat="1"/>
    <xf numFmtId="166" fontId="0" fillId="0" borderId="0" xfId="0" applyNumberFormat="1"/>
    <xf numFmtId="0" fontId="14" fillId="0" borderId="13" xfId="0" applyFont="1" applyBorder="1" applyAlignment="1">
      <alignment horizontal="left" vertical="center" indent="3"/>
    </xf>
    <xf numFmtId="0" fontId="14" fillId="0" borderId="7" xfId="0" applyFont="1" applyBorder="1" applyAlignment="1">
      <alignment horizontal="left" vertical="center" indent="3"/>
    </xf>
    <xf numFmtId="0" fontId="14" fillId="0" borderId="4" xfId="0" applyFont="1" applyBorder="1" applyAlignment="1">
      <alignment horizontal="left" vertical="center" indent="3"/>
    </xf>
    <xf numFmtId="170" fontId="10" fillId="4" borderId="1" xfId="1" applyNumberFormat="1" applyFont="1" applyFill="1" applyBorder="1" applyAlignment="1">
      <alignment vertical="center"/>
    </xf>
    <xf numFmtId="173" fontId="0" fillId="0" borderId="0" xfId="1" applyNumberFormat="1" applyFont="1" applyFill="1" applyBorder="1"/>
    <xf numFmtId="165" fontId="0" fillId="0" borderId="1" xfId="2" applyFont="1" applyBorder="1"/>
    <xf numFmtId="0" fontId="3" fillId="16" borderId="0" xfId="0" applyFont="1" applyFill="1"/>
    <xf numFmtId="0" fontId="14" fillId="0" borderId="4" xfId="0" applyFont="1" applyBorder="1" applyAlignment="1">
      <alignment horizontal="left" vertical="center"/>
    </xf>
    <xf numFmtId="166" fontId="0" fillId="0" borderId="1" xfId="0" applyNumberFormat="1" applyBorder="1"/>
    <xf numFmtId="173" fontId="0" fillId="0" borderId="1" xfId="0" applyNumberFormat="1" applyBorder="1"/>
    <xf numFmtId="176" fontId="0" fillId="0" borderId="0" xfId="0" applyNumberFormat="1"/>
    <xf numFmtId="0" fontId="30" fillId="7" borderId="15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8" fontId="0" fillId="0" borderId="3" xfId="0" applyNumberFormat="1" applyBorder="1" applyAlignment="1">
      <alignment vertical="center"/>
    </xf>
    <xf numFmtId="169" fontId="13" fillId="7" borderId="8" xfId="0" applyNumberFormat="1" applyFont="1" applyFill="1" applyBorder="1" applyAlignment="1">
      <alignment vertical="center"/>
    </xf>
    <xf numFmtId="169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left" vertical="center" indent="3"/>
    </xf>
    <xf numFmtId="168" fontId="4" fillId="0" borderId="2" xfId="0" applyNumberFormat="1" applyFont="1" applyBorder="1" applyAlignment="1">
      <alignment vertical="center"/>
    </xf>
    <xf numFmtId="0" fontId="13" fillId="7" borderId="9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2" xfId="0" applyFont="1" applyBorder="1" applyAlignment="1">
      <alignment horizontal="left" vertical="center" indent="3"/>
    </xf>
    <xf numFmtId="0" fontId="0" fillId="0" borderId="7" xfId="0" applyBorder="1" applyAlignment="1">
      <alignment vertical="center"/>
    </xf>
    <xf numFmtId="0" fontId="14" fillId="3" borderId="2" xfId="0" applyFont="1" applyFill="1" applyBorder="1" applyAlignment="1">
      <alignment horizontal="left" vertical="center" indent="3"/>
    </xf>
    <xf numFmtId="0" fontId="23" fillId="3" borderId="2" xfId="0" applyFont="1" applyFill="1" applyBorder="1" applyAlignment="1">
      <alignment horizontal="left" vertical="center" indent="5"/>
    </xf>
    <xf numFmtId="0" fontId="14" fillId="3" borderId="14" xfId="0" applyFont="1" applyFill="1" applyBorder="1" applyAlignment="1">
      <alignment horizontal="left" vertical="center" indent="3"/>
    </xf>
    <xf numFmtId="0" fontId="14" fillId="3" borderId="13" xfId="0" applyFont="1" applyFill="1" applyBorder="1" applyAlignment="1">
      <alignment horizontal="left" vertical="center" indent="3"/>
    </xf>
    <xf numFmtId="0" fontId="14" fillId="3" borderId="12" xfId="0" applyFont="1" applyFill="1" applyBorder="1" applyAlignment="1">
      <alignment horizontal="left" vertical="center" indent="3"/>
    </xf>
    <xf numFmtId="0" fontId="14" fillId="3" borderId="11" xfId="0" applyFont="1" applyFill="1" applyBorder="1" applyAlignment="1">
      <alignment horizontal="left" vertical="center" indent="3"/>
    </xf>
    <xf numFmtId="0" fontId="9" fillId="5" borderId="9" xfId="0" applyFont="1" applyFill="1" applyBorder="1" applyAlignment="1">
      <alignment vertical="center"/>
    </xf>
    <xf numFmtId="169" fontId="9" fillId="5" borderId="8" xfId="0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169" fontId="9" fillId="2" borderId="5" xfId="0" applyNumberFormat="1" applyFont="1" applyFill="1" applyBorder="1" applyAlignment="1">
      <alignment vertical="center"/>
    </xf>
    <xf numFmtId="167" fontId="11" fillId="7" borderId="8" xfId="3" applyNumberFormat="1" applyFont="1" applyFill="1" applyBorder="1" applyAlignment="1">
      <alignment horizontal="center" vertical="center"/>
    </xf>
    <xf numFmtId="167" fontId="6" fillId="0" borderId="3" xfId="3" applyNumberFormat="1" applyFont="1" applyBorder="1" applyAlignment="1">
      <alignment horizontal="center" vertical="center"/>
    </xf>
    <xf numFmtId="167" fontId="6" fillId="0" borderId="0" xfId="3" applyNumberFormat="1" applyFont="1" applyBorder="1" applyAlignment="1">
      <alignment horizontal="center"/>
    </xf>
    <xf numFmtId="167" fontId="6" fillId="0" borderId="0" xfId="3" applyNumberFormat="1" applyFont="1" applyBorder="1" applyAlignment="1">
      <alignment horizontal="center" vertical="center"/>
    </xf>
    <xf numFmtId="167" fontId="6" fillId="4" borderId="10" xfId="3" applyNumberFormat="1" applyFont="1" applyFill="1" applyBorder="1" applyAlignment="1">
      <alignment horizontal="center" vertical="center"/>
    </xf>
    <xf numFmtId="167" fontId="6" fillId="3" borderId="10" xfId="3" applyNumberFormat="1" applyFont="1" applyFill="1" applyBorder="1" applyAlignment="1">
      <alignment horizontal="center" vertical="center"/>
    </xf>
    <xf numFmtId="167" fontId="8" fillId="5" borderId="8" xfId="3" applyNumberFormat="1" applyFont="1" applyFill="1" applyBorder="1" applyAlignment="1">
      <alignment horizontal="center" vertical="center"/>
    </xf>
    <xf numFmtId="167" fontId="8" fillId="2" borderId="5" xfId="3" applyNumberFormat="1" applyFont="1" applyFill="1" applyBorder="1" applyAlignment="1">
      <alignment horizontal="center" vertical="center"/>
    </xf>
    <xf numFmtId="167" fontId="6" fillId="0" borderId="3" xfId="0" applyNumberFormat="1" applyFont="1" applyBorder="1" applyAlignment="1">
      <alignment vertical="center"/>
    </xf>
    <xf numFmtId="167" fontId="7" fillId="0" borderId="0" xfId="3" applyNumberFormat="1" applyFont="1" applyBorder="1" applyAlignment="1">
      <alignment horizontal="center"/>
    </xf>
    <xf numFmtId="167" fontId="7" fillId="0" borderId="0" xfId="3" applyNumberFormat="1" applyFont="1" applyBorder="1" applyAlignment="1">
      <alignment horizontal="center" vertical="center"/>
    </xf>
    <xf numFmtId="169" fontId="0" fillId="0" borderId="0" xfId="0" applyNumberFormat="1" applyAlignment="1">
      <alignment vertical="center"/>
    </xf>
    <xf numFmtId="0" fontId="14" fillId="0" borderId="14" xfId="0" applyFont="1" applyBorder="1" applyAlignment="1">
      <alignment horizontal="left" vertical="center" indent="3"/>
    </xf>
    <xf numFmtId="0" fontId="14" fillId="0" borderId="2" xfId="0" applyFont="1" applyBorder="1" applyAlignment="1">
      <alignment horizontal="left" vertical="center" indent="3"/>
    </xf>
    <xf numFmtId="167" fontId="12" fillId="7" borderId="17" xfId="3" applyNumberFormat="1" applyFont="1" applyFill="1" applyBorder="1" applyAlignment="1">
      <alignment horizontal="center" vertical="center"/>
    </xf>
    <xf numFmtId="167" fontId="7" fillId="4" borderId="15" xfId="3" applyNumberFormat="1" applyFont="1" applyFill="1" applyBorder="1" applyAlignment="1">
      <alignment horizontal="center" vertical="center"/>
    </xf>
    <xf numFmtId="167" fontId="7" fillId="2" borderId="20" xfId="3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 indent="3"/>
    </xf>
    <xf numFmtId="0" fontId="21" fillId="0" borderId="2" xfId="0" applyFont="1" applyBorder="1" applyAlignment="1">
      <alignment horizontal="left" vertical="center" indent="3"/>
    </xf>
    <xf numFmtId="175" fontId="0" fillId="0" borderId="1" xfId="0" applyNumberFormat="1" applyBorder="1"/>
    <xf numFmtId="167" fontId="6" fillId="0" borderId="16" xfId="3" applyNumberFormat="1" applyFont="1" applyBorder="1" applyAlignment="1">
      <alignment horizontal="center" vertical="center"/>
    </xf>
    <xf numFmtId="10" fontId="36" fillId="0" borderId="0" xfId="3" applyNumberFormat="1" applyFont="1" applyFill="1" applyBorder="1"/>
    <xf numFmtId="165" fontId="36" fillId="0" borderId="0" xfId="2" applyFont="1" applyFill="1" applyBorder="1"/>
    <xf numFmtId="165" fontId="0" fillId="0" borderId="0" xfId="0" applyNumberFormat="1"/>
    <xf numFmtId="165" fontId="0" fillId="0" borderId="0" xfId="2" applyFont="1" applyFill="1"/>
    <xf numFmtId="0" fontId="7" fillId="0" borderId="0" xfId="0" applyFont="1" applyAlignment="1">
      <alignment vertical="center"/>
    </xf>
    <xf numFmtId="0" fontId="18" fillId="0" borderId="0" xfId="0" applyFont="1"/>
    <xf numFmtId="0" fontId="38" fillId="7" borderId="0" xfId="0" applyFont="1" applyFill="1" applyAlignment="1">
      <alignment horizontal="center" vertical="center"/>
    </xf>
    <xf numFmtId="0" fontId="18" fillId="8" borderId="2" xfId="0" applyFont="1" applyFill="1" applyBorder="1" applyAlignment="1">
      <alignment horizontal="center"/>
    </xf>
    <xf numFmtId="0" fontId="38" fillId="0" borderId="0" xfId="0" applyFont="1"/>
    <xf numFmtId="0" fontId="18" fillId="0" borderId="0" xfId="0" applyFont="1" applyAlignment="1">
      <alignment vertical="center"/>
    </xf>
    <xf numFmtId="168" fontId="38" fillId="0" borderId="0" xfId="0" applyNumberFormat="1" applyFont="1" applyAlignment="1">
      <alignment vertical="center"/>
    </xf>
    <xf numFmtId="0" fontId="39" fillId="6" borderId="2" xfId="0" applyFont="1" applyFill="1" applyBorder="1" applyAlignment="1">
      <alignment horizontal="left" vertical="center" indent="2"/>
    </xf>
    <xf numFmtId="167" fontId="7" fillId="0" borderId="16" xfId="3" applyNumberFormat="1" applyFont="1" applyFill="1" applyBorder="1" applyAlignment="1">
      <alignment horizontal="center" vertical="center"/>
    </xf>
    <xf numFmtId="0" fontId="40" fillId="18" borderId="0" xfId="68"/>
    <xf numFmtId="0" fontId="0" fillId="0" borderId="0" xfId="0" applyAlignment="1">
      <alignment horizontal="center" vertical="center"/>
    </xf>
    <xf numFmtId="166" fontId="1" fillId="0" borderId="0" xfId="1" applyFont="1" applyBorder="1"/>
    <xf numFmtId="9" fontId="1" fillId="0" borderId="0" xfId="3" applyFont="1" applyFill="1" applyBorder="1"/>
    <xf numFmtId="10" fontId="4" fillId="0" borderId="0" xfId="3" applyNumberFormat="1" applyFont="1" applyFill="1" applyBorder="1"/>
    <xf numFmtId="10" fontId="4" fillId="0" borderId="0" xfId="3" applyNumberFormat="1" applyFont="1" applyFill="1"/>
    <xf numFmtId="10" fontId="4" fillId="0" borderId="0" xfId="3" applyNumberFormat="1" applyFont="1"/>
    <xf numFmtId="10" fontId="4" fillId="0" borderId="0" xfId="3" applyNumberFormat="1" applyFont="1" applyBorder="1"/>
    <xf numFmtId="10" fontId="0" fillId="0" borderId="0" xfId="0" applyNumberFormat="1"/>
    <xf numFmtId="0" fontId="41" fillId="3" borderId="2" xfId="0" applyFont="1" applyFill="1" applyBorder="1" applyAlignment="1">
      <alignment horizontal="left" vertical="center" indent="5"/>
    </xf>
    <xf numFmtId="0" fontId="41" fillId="3" borderId="2" xfId="0" applyFont="1" applyFill="1" applyBorder="1" applyAlignment="1">
      <alignment horizontal="left" vertical="center" indent="3"/>
    </xf>
    <xf numFmtId="167" fontId="7" fillId="6" borderId="0" xfId="3" applyNumberFormat="1" applyFont="1" applyFill="1" applyBorder="1" applyAlignment="1">
      <alignment horizontal="center" vertical="center"/>
    </xf>
    <xf numFmtId="167" fontId="6" fillId="4" borderId="0" xfId="3" applyNumberFormat="1" applyFont="1" applyFill="1" applyBorder="1" applyAlignment="1">
      <alignment horizontal="center" vertical="center"/>
    </xf>
    <xf numFmtId="0" fontId="41" fillId="3" borderId="0" xfId="0" applyFont="1" applyFill="1" applyAlignment="1">
      <alignment vertical="center"/>
    </xf>
    <xf numFmtId="0" fontId="42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3" fillId="5" borderId="9" xfId="0" applyFont="1" applyFill="1" applyBorder="1" applyAlignment="1">
      <alignment vertical="center"/>
    </xf>
    <xf numFmtId="0" fontId="44" fillId="0" borderId="0" xfId="0" applyFont="1"/>
    <xf numFmtId="169" fontId="45" fillId="5" borderId="8" xfId="0" applyNumberFormat="1" applyFont="1" applyFill="1" applyBorder="1" applyAlignment="1">
      <alignment vertical="center"/>
    </xf>
    <xf numFmtId="167" fontId="46" fillId="5" borderId="8" xfId="3" applyNumberFormat="1" applyFont="1" applyFill="1" applyBorder="1" applyAlignment="1">
      <alignment horizontal="center" vertical="center"/>
    </xf>
    <xf numFmtId="167" fontId="8" fillId="0" borderId="8" xfId="3" applyNumberFormat="1" applyFont="1" applyFill="1" applyBorder="1" applyAlignment="1">
      <alignment horizontal="center" vertical="center"/>
    </xf>
    <xf numFmtId="0" fontId="46" fillId="0" borderId="1" xfId="0" applyFont="1" applyBorder="1"/>
    <xf numFmtId="0" fontId="43" fillId="0" borderId="4" xfId="0" applyFont="1" applyBorder="1" applyAlignment="1">
      <alignment horizontal="left" vertical="center" indent="3"/>
    </xf>
    <xf numFmtId="0" fontId="41" fillId="0" borderId="0" xfId="0" applyFont="1"/>
    <xf numFmtId="0" fontId="47" fillId="10" borderId="2" xfId="0" applyFont="1" applyFill="1" applyBorder="1" applyAlignment="1">
      <alignment horizontal="left" vertical="center" indent="8"/>
    </xf>
    <xf numFmtId="0" fontId="23" fillId="3" borderId="0" xfId="0" applyFont="1" applyFill="1"/>
    <xf numFmtId="0" fontId="23" fillId="3" borderId="0" xfId="0" applyFont="1" applyFill="1" applyAlignment="1">
      <alignment horizontal="left" vertical="center" indent="5"/>
    </xf>
    <xf numFmtId="0" fontId="17" fillId="6" borderId="1" xfId="1" applyNumberFormat="1" applyFont="1" applyFill="1" applyBorder="1" applyAlignment="1">
      <alignment horizontal="center" vertical="center"/>
    </xf>
    <xf numFmtId="2" fontId="0" fillId="0" borderId="0" xfId="3" applyNumberFormat="1" applyFont="1"/>
    <xf numFmtId="2" fontId="0" fillId="0" borderId="0" xfId="3" applyNumberFormat="1" applyFont="1" applyFill="1" applyBorder="1"/>
    <xf numFmtId="2" fontId="17" fillId="6" borderId="1" xfId="1" applyNumberFormat="1" applyFont="1" applyFill="1" applyBorder="1" applyAlignment="1">
      <alignment horizontal="center" vertical="center"/>
    </xf>
    <xf numFmtId="169" fontId="48" fillId="19" borderId="1" xfId="69" applyNumberFormat="1" applyBorder="1"/>
    <xf numFmtId="170" fontId="0" fillId="0" borderId="1" xfId="0" applyNumberFormat="1" applyBorder="1"/>
    <xf numFmtId="9" fontId="0" fillId="0" borderId="1" xfId="3" applyFont="1" applyBorder="1"/>
    <xf numFmtId="169" fontId="0" fillId="3" borderId="1" xfId="45" applyNumberFormat="1" applyFont="1" applyFill="1" applyBorder="1" applyAlignment="1">
      <alignment vertical="center"/>
    </xf>
    <xf numFmtId="169" fontId="7" fillId="3" borderId="16" xfId="45" applyNumberFormat="1" applyFont="1" applyFill="1" applyBorder="1" applyAlignment="1">
      <alignment vertical="center"/>
    </xf>
    <xf numFmtId="169" fontId="7" fillId="14" borderId="0" xfId="45" applyNumberFormat="1" applyFont="1" applyFill="1" applyBorder="1" applyAlignment="1">
      <alignment vertical="center"/>
    </xf>
    <xf numFmtId="43" fontId="10" fillId="4" borderId="1" xfId="65" applyFont="1" applyFill="1" applyBorder="1" applyAlignment="1">
      <alignment vertical="center"/>
    </xf>
    <xf numFmtId="169" fontId="10" fillId="4" borderId="1" xfId="45" applyNumberFormat="1" applyFont="1" applyFill="1" applyBorder="1" applyAlignment="1">
      <alignment vertical="center"/>
    </xf>
    <xf numFmtId="43" fontId="18" fillId="4" borderId="1" xfId="65" applyFont="1" applyFill="1" applyBorder="1" applyAlignment="1">
      <alignment vertical="center"/>
    </xf>
    <xf numFmtId="169" fontId="9" fillId="11" borderId="1" xfId="45" applyNumberFormat="1" applyFont="1" applyFill="1" applyBorder="1" applyAlignment="1">
      <alignment vertical="center"/>
    </xf>
    <xf numFmtId="43" fontId="17" fillId="10" borderId="1" xfId="65" applyFont="1" applyFill="1" applyBorder="1" applyAlignment="1">
      <alignment horizontal="center" vertical="center"/>
    </xf>
    <xf numFmtId="170" fontId="17" fillId="10" borderId="1" xfId="65" applyNumberFormat="1" applyFont="1" applyFill="1" applyBorder="1" applyAlignment="1">
      <alignment horizontal="center" vertical="center"/>
    </xf>
    <xf numFmtId="170" fontId="17" fillId="6" borderId="1" xfId="65" applyNumberFormat="1" applyFont="1" applyFill="1" applyBorder="1" applyAlignment="1">
      <alignment horizontal="center" vertical="center"/>
    </xf>
    <xf numFmtId="43" fontId="17" fillId="6" borderId="1" xfId="65" applyFont="1" applyFill="1" applyBorder="1" applyAlignment="1">
      <alignment horizontal="center" vertical="center"/>
    </xf>
    <xf numFmtId="43" fontId="10" fillId="4" borderId="2" xfId="65" applyFont="1" applyFill="1" applyBorder="1" applyAlignment="1">
      <alignment vertical="center"/>
    </xf>
    <xf numFmtId="169" fontId="0" fillId="3" borderId="2" xfId="45" applyNumberFormat="1" applyFont="1" applyFill="1" applyBorder="1" applyAlignment="1">
      <alignment vertical="center"/>
    </xf>
    <xf numFmtId="169" fontId="9" fillId="9" borderId="1" xfId="45" applyNumberFormat="1" applyFont="1" applyFill="1" applyBorder="1" applyAlignment="1">
      <alignment vertical="center"/>
    </xf>
    <xf numFmtId="164" fontId="10" fillId="4" borderId="1" xfId="65" applyNumberFormat="1" applyFont="1" applyFill="1" applyBorder="1" applyAlignment="1">
      <alignment vertical="center"/>
    </xf>
    <xf numFmtId="169" fontId="10" fillId="4" borderId="2" xfId="45" applyNumberFormat="1" applyFont="1" applyFill="1" applyBorder="1" applyAlignment="1">
      <alignment vertical="center"/>
    </xf>
    <xf numFmtId="43" fontId="10" fillId="4" borderId="0" xfId="65" applyFont="1" applyFill="1" applyBorder="1" applyAlignment="1">
      <alignment vertical="center"/>
    </xf>
    <xf numFmtId="169" fontId="10" fillId="4" borderId="0" xfId="45" applyNumberFormat="1" applyFont="1" applyFill="1" applyBorder="1" applyAlignment="1">
      <alignment vertical="center"/>
    </xf>
    <xf numFmtId="43" fontId="44" fillId="0" borderId="0" xfId="65" applyFont="1" applyFill="1" applyBorder="1" applyAlignment="1"/>
    <xf numFmtId="43" fontId="46" fillId="0" borderId="0" xfId="65" applyFont="1"/>
    <xf numFmtId="169" fontId="1" fillId="3" borderId="1" xfId="45" applyNumberFormat="1" applyFont="1" applyFill="1" applyBorder="1" applyAlignment="1">
      <alignment vertical="center"/>
    </xf>
    <xf numFmtId="169" fontId="1" fillId="3" borderId="10" xfId="45" applyNumberFormat="1" applyFont="1" applyFill="1" applyBorder="1" applyAlignment="1">
      <alignment vertical="center"/>
    </xf>
    <xf numFmtId="169" fontId="0" fillId="0" borderId="1" xfId="45" applyNumberFormat="1" applyFont="1" applyFill="1" applyBorder="1" applyAlignment="1">
      <alignment vertical="center"/>
    </xf>
    <xf numFmtId="44" fontId="0" fillId="0" borderId="1" xfId="45" applyFont="1" applyBorder="1" applyAlignment="1">
      <alignment vertical="center"/>
    </xf>
    <xf numFmtId="0" fontId="49" fillId="0" borderId="0" xfId="0" applyFont="1"/>
    <xf numFmtId="0" fontId="49" fillId="20" borderId="22" xfId="0" applyFont="1" applyFill="1" applyBorder="1"/>
    <xf numFmtId="9" fontId="4" fillId="0" borderId="0" xfId="0" applyNumberFormat="1" applyFont="1"/>
    <xf numFmtId="9" fontId="4" fillId="0" borderId="0" xfId="3" applyFont="1"/>
    <xf numFmtId="0" fontId="50" fillId="0" borderId="24" xfId="0" applyFont="1" applyBorder="1"/>
    <xf numFmtId="0" fontId="50" fillId="0" borderId="0" xfId="0" applyFont="1"/>
    <xf numFmtId="0" fontId="50" fillId="21" borderId="23" xfId="0" applyFont="1" applyFill="1" applyBorder="1"/>
    <xf numFmtId="0" fontId="51" fillId="0" borderId="0" xfId="0" applyFont="1"/>
    <xf numFmtId="43" fontId="0" fillId="0" borderId="1" xfId="0" applyNumberFormat="1" applyBorder="1"/>
    <xf numFmtId="0" fontId="4" fillId="0" borderId="1" xfId="0" applyFont="1" applyBorder="1"/>
    <xf numFmtId="10" fontId="0" fillId="0" borderId="1" xfId="0" applyNumberFormat="1" applyBorder="1"/>
    <xf numFmtId="0" fontId="52" fillId="0" borderId="25" xfId="0" applyFont="1" applyBorder="1"/>
    <xf numFmtId="0" fontId="53" fillId="0" borderId="0" xfId="0" applyFont="1"/>
    <xf numFmtId="0" fontId="52" fillId="20" borderId="22" xfId="0" applyFont="1" applyFill="1" applyBorder="1"/>
    <xf numFmtId="0" fontId="52" fillId="20" borderId="0" xfId="0" applyFont="1" applyFill="1"/>
    <xf numFmtId="0" fontId="52" fillId="0" borderId="0" xfId="0" applyFont="1"/>
    <xf numFmtId="0" fontId="49" fillId="20" borderId="0" xfId="0" applyFont="1" applyFill="1"/>
    <xf numFmtId="0" fontId="50" fillId="0" borderId="25" xfId="0" applyFont="1" applyBorder="1"/>
    <xf numFmtId="0" fontId="52" fillId="0" borderId="22" xfId="0" applyFont="1" applyBorder="1"/>
    <xf numFmtId="0" fontId="52" fillId="22" borderId="26" xfId="0" applyFont="1" applyFill="1" applyBorder="1"/>
    <xf numFmtId="169" fontId="9" fillId="7" borderId="1" xfId="2" applyNumberFormat="1" applyFont="1" applyFill="1" applyBorder="1" applyAlignment="1">
      <alignment vertical="center"/>
    </xf>
    <xf numFmtId="167" fontId="7" fillId="7" borderId="16" xfId="3" applyNumberFormat="1" applyFont="1" applyFill="1" applyBorder="1" applyAlignment="1">
      <alignment horizontal="center" vertical="center"/>
    </xf>
    <xf numFmtId="167" fontId="8" fillId="7" borderId="1" xfId="3" applyNumberFormat="1" applyFont="1" applyFill="1" applyBorder="1" applyAlignment="1">
      <alignment horizontal="center" vertical="center"/>
    </xf>
    <xf numFmtId="0" fontId="3" fillId="16" borderId="1" xfId="0" applyFont="1" applyFill="1" applyBorder="1"/>
    <xf numFmtId="169" fontId="19" fillId="16" borderId="1" xfId="0" applyNumberFormat="1" applyFont="1" applyFill="1" applyBorder="1"/>
    <xf numFmtId="2" fontId="17" fillId="6" borderId="4" xfId="0" applyNumberFormat="1" applyFont="1" applyFill="1" applyBorder="1" applyAlignment="1">
      <alignment horizontal="left" vertical="center" indent="5"/>
    </xf>
    <xf numFmtId="2" fontId="7" fillId="6" borderId="16" xfId="3" applyNumberFormat="1" applyFont="1" applyFill="1" applyBorder="1" applyAlignment="1">
      <alignment horizontal="center" vertical="center"/>
    </xf>
    <xf numFmtId="2" fontId="7" fillId="14" borderId="0" xfId="3" applyNumberFormat="1" applyFont="1" applyFill="1" applyBorder="1" applyAlignment="1">
      <alignment horizontal="center" vertical="center"/>
    </xf>
    <xf numFmtId="177" fontId="17" fillId="6" borderId="1" xfId="65" applyNumberFormat="1" applyFont="1" applyFill="1" applyBorder="1" applyAlignment="1">
      <alignment horizontal="center" vertical="center"/>
    </xf>
    <xf numFmtId="3" fontId="50" fillId="20" borderId="27" xfId="0" applyNumberFormat="1" applyFont="1" applyFill="1" applyBorder="1"/>
    <xf numFmtId="0" fontId="50" fillId="23" borderId="28" xfId="0" applyFont="1" applyFill="1" applyBorder="1"/>
    <xf numFmtId="3" fontId="50" fillId="23" borderId="28" xfId="0" applyNumberFormat="1" applyFont="1" applyFill="1" applyBorder="1"/>
    <xf numFmtId="0" fontId="50" fillId="23" borderId="22" xfId="0" applyFont="1" applyFill="1" applyBorder="1"/>
    <xf numFmtId="3" fontId="50" fillId="23" borderId="22" xfId="0" applyNumberFormat="1" applyFont="1" applyFill="1" applyBorder="1"/>
    <xf numFmtId="0" fontId="52" fillId="20" borderId="29" xfId="0" applyFont="1" applyFill="1" applyBorder="1"/>
    <xf numFmtId="0" fontId="52" fillId="24" borderId="26" xfId="0" applyFont="1" applyFill="1" applyBorder="1"/>
    <xf numFmtId="3" fontId="50" fillId="0" borderId="0" xfId="0" applyNumberFormat="1" applyFont="1"/>
    <xf numFmtId="3" fontId="50" fillId="23" borderId="25" xfId="0" applyNumberFormat="1" applyFont="1" applyFill="1" applyBorder="1"/>
    <xf numFmtId="3" fontId="54" fillId="24" borderId="30" xfId="0" applyNumberFormat="1" applyFont="1" applyFill="1" applyBorder="1"/>
    <xf numFmtId="3" fontId="50" fillId="23" borderId="27" xfId="0" applyNumberFormat="1" applyFont="1" applyFill="1" applyBorder="1"/>
    <xf numFmtId="3" fontId="0" fillId="0" borderId="1" xfId="0" applyNumberFormat="1" applyBorder="1" applyAlignment="1">
      <alignment vertical="center"/>
    </xf>
    <xf numFmtId="169" fontId="0" fillId="16" borderId="1" xfId="2" applyNumberFormat="1" applyFont="1" applyFill="1" applyBorder="1" applyAlignment="1">
      <alignment vertical="center"/>
    </xf>
    <xf numFmtId="0" fontId="49" fillId="16" borderId="0" xfId="0" applyFont="1" applyFill="1"/>
    <xf numFmtId="0" fontId="49" fillId="25" borderId="0" xfId="0" applyFont="1" applyFill="1"/>
    <xf numFmtId="0" fontId="50" fillId="25" borderId="0" xfId="0" applyFont="1" applyFill="1"/>
    <xf numFmtId="43" fontId="15" fillId="16" borderId="1" xfId="3" applyNumberFormat="1" applyFont="1" applyFill="1" applyBorder="1" applyAlignment="1">
      <alignment horizontal="center" vertical="center"/>
    </xf>
    <xf numFmtId="166" fontId="10" fillId="16" borderId="1" xfId="1" applyFont="1" applyFill="1" applyBorder="1" applyAlignment="1">
      <alignment vertical="center"/>
    </xf>
    <xf numFmtId="9" fontId="0" fillId="0" borderId="1" xfId="0" applyNumberFormat="1" applyBorder="1"/>
    <xf numFmtId="166" fontId="10" fillId="26" borderId="1" xfId="1" applyFont="1" applyFill="1" applyBorder="1" applyAlignment="1">
      <alignment vertical="center"/>
    </xf>
    <xf numFmtId="0" fontId="0" fillId="16" borderId="1" xfId="0" applyFill="1" applyBorder="1"/>
    <xf numFmtId="43" fontId="0" fillId="16" borderId="1" xfId="0" applyNumberFormat="1" applyFill="1" applyBorder="1"/>
    <xf numFmtId="167" fontId="55" fillId="3" borderId="1" xfId="3" applyNumberFormat="1" applyFont="1" applyFill="1" applyBorder="1" applyAlignment="1">
      <alignment horizontal="center" vertical="center"/>
    </xf>
    <xf numFmtId="3" fontId="56" fillId="23" borderId="27" xfId="0" applyNumberFormat="1" applyFont="1" applyFill="1" applyBorder="1"/>
    <xf numFmtId="0" fontId="56" fillId="23" borderId="25" xfId="0" applyFont="1" applyFill="1" applyBorder="1"/>
    <xf numFmtId="3" fontId="56" fillId="23" borderId="25" xfId="0" applyNumberFormat="1" applyFont="1" applyFill="1" applyBorder="1"/>
    <xf numFmtId="3" fontId="57" fillId="23" borderId="25" xfId="0" applyNumberFormat="1" applyFont="1" applyFill="1" applyBorder="1"/>
    <xf numFmtId="3" fontId="56" fillId="23" borderId="22" xfId="0" applyNumberFormat="1" applyFont="1" applyFill="1" applyBorder="1"/>
    <xf numFmtId="3" fontId="56" fillId="23" borderId="28" xfId="0" applyNumberFormat="1" applyFont="1" applyFill="1" applyBorder="1"/>
    <xf numFmtId="169" fontId="0" fillId="16" borderId="1" xfId="0" applyNumberFormat="1" applyFill="1" applyBorder="1"/>
    <xf numFmtId="168" fontId="30" fillId="13" borderId="16" xfId="0" applyNumberFormat="1" applyFont="1" applyFill="1" applyBorder="1" applyAlignment="1">
      <alignment horizontal="center" vertical="center"/>
    </xf>
    <xf numFmtId="43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50" fillId="16" borderId="0" xfId="0" applyFont="1" applyFill="1"/>
    <xf numFmtId="0" fontId="30" fillId="7" borderId="16" xfId="0" applyFont="1" applyFill="1" applyBorder="1" applyAlignment="1">
      <alignment horizontal="center" vertical="center" wrapText="1"/>
    </xf>
    <xf numFmtId="0" fontId="30" fillId="7" borderId="15" xfId="0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 wrapText="1"/>
    </xf>
    <xf numFmtId="168" fontId="30" fillId="13" borderId="16" xfId="0" applyNumberFormat="1" applyFont="1" applyFill="1" applyBorder="1" applyAlignment="1">
      <alignment horizontal="center" vertical="center"/>
    </xf>
    <xf numFmtId="168" fontId="30" fillId="13" borderId="15" xfId="0" applyNumberFormat="1" applyFont="1" applyFill="1" applyBorder="1" applyAlignment="1">
      <alignment horizontal="center" vertical="center"/>
    </xf>
    <xf numFmtId="168" fontId="30" fillId="13" borderId="2" xfId="0" applyNumberFormat="1" applyFont="1" applyFill="1" applyBorder="1" applyAlignment="1">
      <alignment horizontal="center" vertical="center"/>
    </xf>
    <xf numFmtId="10" fontId="37" fillId="0" borderId="0" xfId="3" applyNumberFormat="1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10" fontId="37" fillId="0" borderId="0" xfId="3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8" fillId="14" borderId="0" xfId="0" applyFont="1" applyFill="1" applyAlignment="1">
      <alignment horizontal="center"/>
    </xf>
  </cellXfs>
  <cellStyles count="70">
    <cellStyle name="Bueno" xfId="69" builtinId="26"/>
    <cellStyle name="Euro" xfId="4" xr:uid="{00000000-0005-0000-0000-000001000000}"/>
    <cellStyle name="Millares" xfId="1" builtinId="3"/>
    <cellStyle name="Millares 11 2 4" xfId="5" xr:uid="{00000000-0005-0000-0000-000004000000}"/>
    <cellStyle name="Millares 11 2 4 2" xfId="6" xr:uid="{00000000-0005-0000-0000-000005000000}"/>
    <cellStyle name="Millares 12 3" xfId="7" xr:uid="{00000000-0005-0000-0000-000006000000}"/>
    <cellStyle name="Millares 12 3 2" xfId="8" xr:uid="{00000000-0005-0000-0000-000007000000}"/>
    <cellStyle name="Millares 12 3 3" xfId="9" xr:uid="{00000000-0005-0000-0000-000008000000}"/>
    <cellStyle name="Millares 2" xfId="10" xr:uid="{00000000-0005-0000-0000-000009000000}"/>
    <cellStyle name="Millares 2 2" xfId="11" xr:uid="{00000000-0005-0000-0000-00000A000000}"/>
    <cellStyle name="Millares 2 3" xfId="12" xr:uid="{00000000-0005-0000-0000-00000B000000}"/>
    <cellStyle name="Millares 2 4" xfId="66" xr:uid="{00000000-0005-0000-0000-00000C000000}"/>
    <cellStyle name="Millares 20" xfId="47" xr:uid="{00000000-0005-0000-0000-00000D000000}"/>
    <cellStyle name="Millares 3" xfId="13" xr:uid="{00000000-0005-0000-0000-00000E000000}"/>
    <cellStyle name="Millares 3 2" xfId="43" xr:uid="{00000000-0005-0000-0000-00000F000000}"/>
    <cellStyle name="Millares 4" xfId="14" xr:uid="{00000000-0005-0000-0000-000010000000}"/>
    <cellStyle name="Millares 5" xfId="65" xr:uid="{00000000-0005-0000-0000-000011000000}"/>
    <cellStyle name="Moneda" xfId="2" builtinId="4"/>
    <cellStyle name="Moneda 2" xfId="15" xr:uid="{00000000-0005-0000-0000-000013000000}"/>
    <cellStyle name="Moneda 2 2" xfId="16" xr:uid="{00000000-0005-0000-0000-000014000000}"/>
    <cellStyle name="Moneda 2 3" xfId="17" xr:uid="{00000000-0005-0000-0000-000015000000}"/>
    <cellStyle name="Moneda 3" xfId="18" xr:uid="{00000000-0005-0000-0000-000016000000}"/>
    <cellStyle name="Moneda 3 2" xfId="44" xr:uid="{00000000-0005-0000-0000-000017000000}"/>
    <cellStyle name="Moneda 4" xfId="19" xr:uid="{00000000-0005-0000-0000-000018000000}"/>
    <cellStyle name="Moneda 5" xfId="20" xr:uid="{00000000-0005-0000-0000-000019000000}"/>
    <cellStyle name="Moneda 6" xfId="45" xr:uid="{00000000-0005-0000-0000-00001A000000}"/>
    <cellStyle name="Neutral" xfId="68" builtinId="28"/>
    <cellStyle name="Normal" xfId="0" builtinId="0"/>
    <cellStyle name="Normal - Style1" xfId="21" xr:uid="{00000000-0005-0000-0000-00001D000000}"/>
    <cellStyle name="Normal 10" xfId="22" xr:uid="{00000000-0005-0000-0000-00001E000000}"/>
    <cellStyle name="Normal 11" xfId="23" xr:uid="{00000000-0005-0000-0000-00001F000000}"/>
    <cellStyle name="Normal 12" xfId="48" xr:uid="{00000000-0005-0000-0000-000020000000}"/>
    <cellStyle name="Normal 15" xfId="50" xr:uid="{00000000-0005-0000-0000-000021000000}"/>
    <cellStyle name="Normal 16 2" xfId="24" xr:uid="{00000000-0005-0000-0000-000022000000}"/>
    <cellStyle name="Normal 17" xfId="55" xr:uid="{00000000-0005-0000-0000-000023000000}"/>
    <cellStyle name="Normal 19" xfId="59" xr:uid="{00000000-0005-0000-0000-000024000000}"/>
    <cellStyle name="Normal 2" xfId="25" xr:uid="{00000000-0005-0000-0000-000025000000}"/>
    <cellStyle name="Normal 2 2" xfId="26" xr:uid="{00000000-0005-0000-0000-000026000000}"/>
    <cellStyle name="Normal 21" xfId="61" xr:uid="{00000000-0005-0000-0000-000027000000}"/>
    <cellStyle name="Normal 23" xfId="62" xr:uid="{00000000-0005-0000-0000-000028000000}"/>
    <cellStyle name="Normal 25" xfId="54" xr:uid="{00000000-0005-0000-0000-000029000000}"/>
    <cellStyle name="Normal 27" xfId="60" xr:uid="{00000000-0005-0000-0000-00002A000000}"/>
    <cellStyle name="Normal 28 2" xfId="46" xr:uid="{00000000-0005-0000-0000-00002B000000}"/>
    <cellStyle name="Normal 29" xfId="64" xr:uid="{00000000-0005-0000-0000-00002C000000}"/>
    <cellStyle name="Normal 3" xfId="27" xr:uid="{00000000-0005-0000-0000-00002D000000}"/>
    <cellStyle name="Normal 3 2" xfId="40" xr:uid="{00000000-0005-0000-0000-00002E000000}"/>
    <cellStyle name="Normal 31" xfId="57" xr:uid="{00000000-0005-0000-0000-00002F000000}"/>
    <cellStyle name="Normal 33" xfId="58" xr:uid="{00000000-0005-0000-0000-000030000000}"/>
    <cellStyle name="Normal 36" xfId="56" xr:uid="{00000000-0005-0000-0000-000031000000}"/>
    <cellStyle name="Normal 38" xfId="53" xr:uid="{00000000-0005-0000-0000-000032000000}"/>
    <cellStyle name="Normal 4" xfId="28" xr:uid="{00000000-0005-0000-0000-000033000000}"/>
    <cellStyle name="Normal 4 2" xfId="41" xr:uid="{00000000-0005-0000-0000-000034000000}"/>
    <cellStyle name="Normal 4 2 2" xfId="67" xr:uid="{00000000-0005-0000-0000-000035000000}"/>
    <cellStyle name="Normal 40" xfId="52" xr:uid="{00000000-0005-0000-0000-000036000000}"/>
    <cellStyle name="Normal 42" xfId="49" xr:uid="{00000000-0005-0000-0000-000037000000}"/>
    <cellStyle name="Normal 44" xfId="51" xr:uid="{00000000-0005-0000-0000-000038000000}"/>
    <cellStyle name="Normal 46" xfId="63" xr:uid="{00000000-0005-0000-0000-000039000000}"/>
    <cellStyle name="Normal 48" xfId="29" xr:uid="{00000000-0005-0000-0000-00003A000000}"/>
    <cellStyle name="Normal 5" xfId="30" xr:uid="{00000000-0005-0000-0000-00003B000000}"/>
    <cellStyle name="Normal 5 2" xfId="42" xr:uid="{00000000-0005-0000-0000-00003C000000}"/>
    <cellStyle name="Normal 6" xfId="31" xr:uid="{00000000-0005-0000-0000-00003D000000}"/>
    <cellStyle name="Normal 7" xfId="32" xr:uid="{00000000-0005-0000-0000-00003E000000}"/>
    <cellStyle name="Normal 8" xfId="33" xr:uid="{00000000-0005-0000-0000-00003F000000}"/>
    <cellStyle name="Normal 9" xfId="34" xr:uid="{00000000-0005-0000-0000-000040000000}"/>
    <cellStyle name="Porcentaje" xfId="3" builtinId="5"/>
    <cellStyle name="Porcentaje 2" xfId="35" xr:uid="{00000000-0005-0000-0000-000042000000}"/>
    <cellStyle name="Porcentaje 2 2" xfId="36" xr:uid="{00000000-0005-0000-0000-000043000000}"/>
    <cellStyle name="Porcentaje 2 3" xfId="37" xr:uid="{00000000-0005-0000-0000-000044000000}"/>
    <cellStyle name="Porcentaje 5" xfId="38" xr:uid="{00000000-0005-0000-0000-000045000000}"/>
    <cellStyle name="Standard_NEGS" xfId="39" xr:uid="{00000000-0005-0000-0000-000046000000}"/>
  </cellStyles>
  <dxfs count="6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30A1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5.xml"/><Relationship Id="rId34" Type="http://schemas.openxmlformats.org/officeDocument/2006/relationships/externalLink" Target="externalLinks/externalLink1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externalLink" Target="externalLinks/externalLink17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astos/Parametros%20Margen%20por%20Litro.xlsx" TargetMode="External"/><Relationship Id="rId1" Type="http://schemas.microsoft.com/office/2019/04/relationships/externalLinkLongPath" Target="Abastos/Parametros%20Margen%20por%20Litr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CORPORATIVO%20GASOMEX/Gastos%20Corporativos.xlsx" TargetMode="External"/><Relationship Id="rId1" Type="http://schemas.microsoft.com/office/2019/04/relationships/externalLinkLongPath" Target="CORPORATIVO%20GASOMEX/Gastos%20Corporativo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Mantenimiento%20y%20Operaciones/Ventas.xlsx" TargetMode="External"/><Relationship Id="rId1" Type="http://schemas.microsoft.com/office/2019/04/relationships/externalLinkLongPath" Target="Mantenimiento%20y%20Operaciones/Venta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GASOMEX/Ingresos/E_TRASLADOVALORES25.xlsx" TargetMode="External"/><Relationship Id="rId1" Type="http://schemas.openxmlformats.org/officeDocument/2006/relationships/externalLinkPath" Target="Ingresos/E_TRASLADOVALORES2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GASOMEX/Administracion/Arrendamientos.xlsx" TargetMode="External"/><Relationship Id="rId1" Type="http://schemas.openxmlformats.org/officeDocument/2006/relationships/externalLinkPath" Target="Administracion/Arrendamiento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Auditoria/Gastos%20Auditoria%20Operaciones.xlsx" TargetMode="External"/><Relationship Id="rId1" Type="http://schemas.microsoft.com/office/2019/04/relationships/externalLinkLongPath" Target="Auditoria/Gastos%20Auditoria%20Operacione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Mantenimiento%20y%20Operaciones/Otros%20Gastos%20Operaciones.xlsx" TargetMode="External"/><Relationship Id="rId1" Type="http://schemas.microsoft.com/office/2019/04/relationships/externalLinkLongPath" Target="Mantenimiento%20y%20Operaciones/Otros%20Gastos%20Operacione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Administracion/Gastos%20Admin%20Operaciones.xlsx" TargetMode="External"/><Relationship Id="rId1" Type="http://schemas.microsoft.com/office/2019/04/relationships/externalLinkLongPath" Target="Administracion/Gastos%20Admin%20Operacion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Mantenimiento%20y%20Operaciones/Operaciones-Mantenimiento%20Varios.xlsx" TargetMode="External"/><Relationship Id="rId1" Type="http://schemas.microsoft.com/office/2019/04/relationships/externalLinkLongPath" Target="Mantenimiento%20y%20Operaciones/Operaciones-Mantenimiento%20Vario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GASOMEX/Mkt/Propaganda%20y%20Publicidad.xlsx" TargetMode="External"/><Relationship Id="rId1" Type="http://schemas.openxmlformats.org/officeDocument/2006/relationships/externalLinkPath" Target="Mkt/Propaganda%20y%20Publicidad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Capital%20Humano/Capacitacion%20Operaciones.xlsx" TargetMode="External"/><Relationship Id="rId1" Type="http://schemas.microsoft.com/office/2019/04/relationships/externalLinkLongPath" Target="Capital%20Humano/Capacitacion%20Operacion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Sistemas/Licencias,%20Software,%20Antivirus.xlsx" TargetMode="External"/><Relationship Id="rId1" Type="http://schemas.microsoft.com/office/2019/04/relationships/externalLinkLongPath" Target="Sistemas/Licencias,%20Software,%20Antiviru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Sistemas/Renta%20Equipos%20(Impresoras).xlsx" TargetMode="External"/><Relationship Id="rId1" Type="http://schemas.microsoft.com/office/2019/04/relationships/externalLinkLongPath" Target="Sistemas/Renta%20Equipos%20(Impresoras)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GASOMEX/Capital%20Humano/Uniformes.xlsx" TargetMode="External"/><Relationship Id="rId1" Type="http://schemas.openxmlformats.org/officeDocument/2006/relationships/externalLinkPath" Target="Capital%20Humano/Uniform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Capital%20Humano/Contratacion%20Empleados.xlsx" TargetMode="External"/><Relationship Id="rId1" Type="http://schemas.microsoft.com/office/2019/04/relationships/externalLinkLongPath" Target="Capital%20Humano/Contratacion%20Empleado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Capital%20Humano/Eventos%20Operaciones.xlsx" TargetMode="External"/><Relationship Id="rId1" Type="http://schemas.microsoft.com/office/2019/04/relationships/externalLinkLongPath" Target="Capital%20Humano/Eventos%20Operacione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GASOMEX/Nominas/PPTO%20NOMINA%20Y%20COSTO%20SOCIAL%20GASOMEX%20TERMINADO.xlsx" TargetMode="External"/><Relationship Id="rId1" Type="http://schemas.openxmlformats.org/officeDocument/2006/relationships/externalLinkPath" Target="Nominas/PPTO%20NOMINA%20Y%20COSTO%20SOCIAL%20GASOMEX%20TERMINADO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Sistemas/Mantenimiento%20Equipo%20de%20Computo.xlsx" TargetMode="External"/><Relationship Id="rId1" Type="http://schemas.microsoft.com/office/2019/04/relationships/externalLinkLongPath" Target="Sistemas/Mantenimiento%20Equipo%20de%20Computo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otalgasgroup-my.sharepoint.com/personal/veronicaolvera_totalgasgroup_onmicrosoft_com/Documents/Presupuesto%202026%20V2/GASOMEX/Sistemas/Telefono%20e%20Internet.xlsx" TargetMode="External"/><Relationship Id="rId1" Type="http://schemas.openxmlformats.org/officeDocument/2006/relationships/externalLinkPath" Target="Sistemas/Telefono%20e%20Intern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UQGK5DTA5AUJAZSKUI7KN7QXDK">
      <xxl21:absoluteUrl r:id="rId2"/>
    </xxl21:alternateUrls>
    <sheetNames>
      <sheetName val="Parametros Jrz"/>
    </sheetNames>
    <sheetDataSet>
      <sheetData sheetId="0">
        <row r="2">
          <cell r="B2">
            <v>3.41</v>
          </cell>
          <cell r="E2">
            <v>0.52247900000000003</v>
          </cell>
        </row>
        <row r="3">
          <cell r="B3">
            <v>2.86</v>
          </cell>
          <cell r="E3">
            <v>0.63752200000000003</v>
          </cell>
        </row>
        <row r="4">
          <cell r="B4">
            <v>0</v>
          </cell>
          <cell r="E4">
            <v>0.43362600000000001</v>
          </cell>
        </row>
        <row r="6">
          <cell r="A6" t="str">
            <v>Precio final al 04 de sep 2024</v>
          </cell>
        </row>
        <row r="7">
          <cell r="B7">
            <v>18.989999999999998</v>
          </cell>
          <cell r="D7">
            <v>17.583333333333332</v>
          </cell>
        </row>
        <row r="8">
          <cell r="B8">
            <v>20.99</v>
          </cell>
          <cell r="D8">
            <v>19.435185185185183</v>
          </cell>
        </row>
        <row r="9">
          <cell r="B9">
            <v>23.79</v>
          </cell>
          <cell r="D9">
            <v>22.027777777777775</v>
          </cell>
        </row>
        <row r="12">
          <cell r="B12">
            <v>5.0000000000000001E-3</v>
          </cell>
          <cell r="C12">
            <v>5.0000000000000001E-3</v>
          </cell>
          <cell r="D12">
            <v>5.0000000000000001E-3</v>
          </cell>
          <cell r="E12">
            <v>5.0000000000000001E-3</v>
          </cell>
          <cell r="F12">
            <v>5.0000000000000001E-3</v>
          </cell>
          <cell r="G12">
            <v>5.0000000000000001E-3</v>
          </cell>
          <cell r="H12">
            <v>5.0000000000000001E-3</v>
          </cell>
          <cell r="I12">
            <v>5.0000000000000001E-3</v>
          </cell>
          <cell r="J12">
            <v>5.0000000000000001E-3</v>
          </cell>
          <cell r="K12">
            <v>5.0000000000000001E-3</v>
          </cell>
          <cell r="L12">
            <v>5.0000000000000001E-3</v>
          </cell>
          <cell r="M12">
            <v>5.0000000000000001E-3</v>
          </cell>
        </row>
        <row r="14">
          <cell r="B14">
            <v>17.583333333333332</v>
          </cell>
          <cell r="C14">
            <v>17.671249999999997</v>
          </cell>
          <cell r="D14">
            <v>17.759606249999994</v>
          </cell>
          <cell r="E14">
            <v>17.848404281249991</v>
          </cell>
          <cell r="F14">
            <v>17.93764630265624</v>
          </cell>
          <cell r="G14">
            <v>18.027334534169519</v>
          </cell>
          <cell r="H14">
            <v>18.117471206840364</v>
          </cell>
          <cell r="I14">
            <v>18.208058562874562</v>
          </cell>
          <cell r="J14">
            <v>18.299098855688932</v>
          </cell>
          <cell r="K14">
            <v>18.390594349967376</v>
          </cell>
          <cell r="L14">
            <v>18.48254732171721</v>
          </cell>
          <cell r="M14">
            <v>18.574960058325793</v>
          </cell>
        </row>
        <row r="15">
          <cell r="B15">
            <v>19.435185185185183</v>
          </cell>
          <cell r="C15">
            <v>19.532361111111108</v>
          </cell>
          <cell r="D15">
            <v>19.630022916666661</v>
          </cell>
          <cell r="E15">
            <v>19.728173031249991</v>
          </cell>
          <cell r="F15">
            <v>19.826813896406239</v>
          </cell>
          <cell r="G15">
            <v>19.92594796588827</v>
          </cell>
          <cell r="H15">
            <v>20.025577705717708</v>
          </cell>
          <cell r="I15">
            <v>20.125705594246295</v>
          </cell>
          <cell r="J15">
            <v>20.226334122217523</v>
          </cell>
          <cell r="K15">
            <v>20.327465792828608</v>
          </cell>
          <cell r="L15">
            <v>20.42910312179275</v>
          </cell>
          <cell r="M15">
            <v>20.53124863740171</v>
          </cell>
        </row>
        <row r="16">
          <cell r="B16">
            <v>22.027777777777775</v>
          </cell>
          <cell r="C16">
            <v>22.137916666666662</v>
          </cell>
          <cell r="D16">
            <v>22.248606249999995</v>
          </cell>
          <cell r="E16">
            <v>22.359849281249993</v>
          </cell>
          <cell r="F16">
            <v>22.471648527656239</v>
          </cell>
          <cell r="G16">
            <v>22.584006770294518</v>
          </cell>
          <cell r="H16">
            <v>22.696926804145988</v>
          </cell>
          <cell r="I16">
            <v>22.810411438166717</v>
          </cell>
          <cell r="J16">
            <v>22.92446349535755</v>
          </cell>
          <cell r="K16">
            <v>23.039085812834337</v>
          </cell>
          <cell r="L16">
            <v>23.154281241898506</v>
          </cell>
          <cell r="M16">
            <v>23.270052648107995</v>
          </cell>
        </row>
        <row r="18">
          <cell r="A18" t="str">
            <v>Inflación 2024</v>
          </cell>
          <cell r="B18">
            <v>1.04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8">
          <cell r="B28" t="str">
            <v>Margen por contrato de volumen con TESORO</v>
          </cell>
        </row>
        <row r="30">
          <cell r="B30">
            <v>2.08</v>
          </cell>
          <cell r="C30">
            <v>2.2799999999999998</v>
          </cell>
          <cell r="D30">
            <v>2.58</v>
          </cell>
          <cell r="E30">
            <v>2.21</v>
          </cell>
          <cell r="F30">
            <v>2.34</v>
          </cell>
          <cell r="G30">
            <v>2.06</v>
          </cell>
          <cell r="H30">
            <v>2.2599999999999998</v>
          </cell>
          <cell r="I30">
            <v>2</v>
          </cell>
          <cell r="J30">
            <v>2.68</v>
          </cell>
          <cell r="K30">
            <v>2.72</v>
          </cell>
          <cell r="L30">
            <v>2.84</v>
          </cell>
          <cell r="M30">
            <v>3.01</v>
          </cell>
          <cell r="N30">
            <v>0.48</v>
          </cell>
        </row>
        <row r="31">
          <cell r="B31">
            <v>3.37</v>
          </cell>
          <cell r="C31">
            <v>2.79</v>
          </cell>
          <cell r="D31">
            <v>2.2000000000000002</v>
          </cell>
          <cell r="E31">
            <v>2.04</v>
          </cell>
          <cell r="F31">
            <v>2.95</v>
          </cell>
          <cell r="G31">
            <v>2.63</v>
          </cell>
          <cell r="H31">
            <v>2.63</v>
          </cell>
          <cell r="I31">
            <v>2.33</v>
          </cell>
          <cell r="J31">
            <v>2.69</v>
          </cell>
          <cell r="K31">
            <v>3.67</v>
          </cell>
          <cell r="L31">
            <v>4.3099999999999996</v>
          </cell>
          <cell r="M31">
            <v>4.21</v>
          </cell>
          <cell r="N31">
            <v>0.47</v>
          </cell>
        </row>
        <row r="32">
          <cell r="B32">
            <v>1.08</v>
          </cell>
          <cell r="C32">
            <v>2.2999999999999998</v>
          </cell>
          <cell r="D32">
            <v>2.84</v>
          </cell>
          <cell r="E32">
            <v>2.82</v>
          </cell>
          <cell r="F32">
            <v>3.38</v>
          </cell>
          <cell r="G32">
            <v>2.79</v>
          </cell>
          <cell r="H32">
            <v>2.4900000000000002</v>
          </cell>
          <cell r="I32">
            <v>2.4500000000000002</v>
          </cell>
          <cell r="J32">
            <v>1.99</v>
          </cell>
          <cell r="K32">
            <v>1.97</v>
          </cell>
          <cell r="L32">
            <v>1.85</v>
          </cell>
          <cell r="M32">
            <v>1.36</v>
          </cell>
          <cell r="N32">
            <v>0.8</v>
          </cell>
        </row>
        <row r="34">
          <cell r="B34" t="str">
            <v>Margen por contrato de volumen con MGC</v>
          </cell>
        </row>
        <row r="36">
          <cell r="B36">
            <v>1.93</v>
          </cell>
          <cell r="C36">
            <v>2.19</v>
          </cell>
          <cell r="D36">
            <v>2.5099999999999998</v>
          </cell>
          <cell r="E36">
            <v>2.16</v>
          </cell>
          <cell r="F36">
            <v>2.23</v>
          </cell>
          <cell r="G36">
            <v>2.04</v>
          </cell>
          <cell r="H36">
            <v>2.16</v>
          </cell>
          <cell r="I36">
            <v>1.98</v>
          </cell>
          <cell r="J36">
            <v>2.1800000000000002</v>
          </cell>
          <cell r="K36">
            <v>2.2799999999999998</v>
          </cell>
          <cell r="L36">
            <v>2.69</v>
          </cell>
          <cell r="M36">
            <v>2.8</v>
          </cell>
          <cell r="N36">
            <v>0.21</v>
          </cell>
        </row>
        <row r="37">
          <cell r="B37">
            <v>2.75</v>
          </cell>
          <cell r="C37">
            <v>2.08</v>
          </cell>
          <cell r="D37">
            <v>1.52</v>
          </cell>
          <cell r="E37">
            <v>1.44</v>
          </cell>
          <cell r="F37">
            <v>2.4300000000000002</v>
          </cell>
          <cell r="G37">
            <v>1.63</v>
          </cell>
          <cell r="H37">
            <v>1.6</v>
          </cell>
          <cell r="I37">
            <v>1.82</v>
          </cell>
          <cell r="J37">
            <v>1.7</v>
          </cell>
          <cell r="K37">
            <v>2.0499999999999998</v>
          </cell>
          <cell r="L37">
            <v>3.62</v>
          </cell>
          <cell r="M37">
            <v>3.85</v>
          </cell>
          <cell r="N37">
            <v>0.39</v>
          </cell>
        </row>
        <row r="38">
          <cell r="B38">
            <v>0.62</v>
          </cell>
          <cell r="C38">
            <v>1.71</v>
          </cell>
          <cell r="D38">
            <v>2.66</v>
          </cell>
          <cell r="E38">
            <v>2.71</v>
          </cell>
          <cell r="F38">
            <v>3.36</v>
          </cell>
          <cell r="G38">
            <v>2.63</v>
          </cell>
          <cell r="H38">
            <v>2.41</v>
          </cell>
          <cell r="I38"/>
          <cell r="J38">
            <v>1.87</v>
          </cell>
          <cell r="K38">
            <v>1.51</v>
          </cell>
          <cell r="L38">
            <v>1.63</v>
          </cell>
          <cell r="M38">
            <v>1.46</v>
          </cell>
          <cell r="N38">
            <v>0.1</v>
          </cell>
        </row>
        <row r="40">
          <cell r="B40" t="str">
            <v>Margen por contrato de volumen PREMIERGAS</v>
          </cell>
        </row>
        <row r="42">
          <cell r="B42">
            <v>2.2599999999999998</v>
          </cell>
          <cell r="C42">
            <v>2.71</v>
          </cell>
          <cell r="D42">
            <v>3.09</v>
          </cell>
          <cell r="E42">
            <v>2.69</v>
          </cell>
          <cell r="F42">
            <v>2.69</v>
          </cell>
          <cell r="G42">
            <v>2.48</v>
          </cell>
          <cell r="H42">
            <v>2.5499999999999998</v>
          </cell>
          <cell r="I42">
            <v>2.38</v>
          </cell>
          <cell r="J42">
            <v>2.66</v>
          </cell>
          <cell r="K42">
            <v>2.62</v>
          </cell>
          <cell r="L42">
            <v>3.13</v>
          </cell>
          <cell r="M42">
            <v>3.45</v>
          </cell>
          <cell r="N42">
            <v>0.23</v>
          </cell>
        </row>
        <row r="43">
          <cell r="B43">
            <v>2.89</v>
          </cell>
          <cell r="C43">
            <v>2.42</v>
          </cell>
          <cell r="D43">
            <v>2.38</v>
          </cell>
          <cell r="E43">
            <v>2.1</v>
          </cell>
          <cell r="F43">
            <v>2.84</v>
          </cell>
          <cell r="G43">
            <v>2.74</v>
          </cell>
          <cell r="H43">
            <v>2.02</v>
          </cell>
          <cell r="I43">
            <v>2.02</v>
          </cell>
          <cell r="J43">
            <v>2.1</v>
          </cell>
          <cell r="K43">
            <v>2.82</v>
          </cell>
          <cell r="L43">
            <v>4.24</v>
          </cell>
          <cell r="M43">
            <v>4.45</v>
          </cell>
          <cell r="N43">
            <v>0.14000000000000001</v>
          </cell>
        </row>
        <row r="44">
          <cell r="B44">
            <v>1.93</v>
          </cell>
          <cell r="C44">
            <v>2.89</v>
          </cell>
          <cell r="D44">
            <v>3.55</v>
          </cell>
          <cell r="E44">
            <v>3.43</v>
          </cell>
          <cell r="F44">
            <v>3.82</v>
          </cell>
          <cell r="G44">
            <v>2.9</v>
          </cell>
          <cell r="H44">
            <v>3.38</v>
          </cell>
          <cell r="I44">
            <v>3.01</v>
          </cell>
          <cell r="J44">
            <v>2.64</v>
          </cell>
          <cell r="K44">
            <v>2.4500000000000002</v>
          </cell>
          <cell r="L44"/>
          <cell r="M44">
            <v>2.09</v>
          </cell>
          <cell r="N44">
            <v>0.05</v>
          </cell>
        </row>
        <row r="46">
          <cell r="B46" t="str">
            <v>Margen por contrato de volumen AMCA</v>
          </cell>
        </row>
        <row r="48">
          <cell r="B48">
            <v>1.74</v>
          </cell>
          <cell r="C48">
            <v>2.48</v>
          </cell>
          <cell r="D48">
            <v>2.41</v>
          </cell>
          <cell r="E48">
            <v>2.34</v>
          </cell>
          <cell r="F48">
            <v>2.56</v>
          </cell>
          <cell r="G48">
            <v>2.46</v>
          </cell>
          <cell r="H48">
            <v>2.42</v>
          </cell>
          <cell r="I48">
            <v>2.89</v>
          </cell>
          <cell r="J48">
            <v>2.46</v>
          </cell>
          <cell r="K48">
            <v>2.1800000000000002</v>
          </cell>
          <cell r="L48">
            <v>2.9</v>
          </cell>
          <cell r="M48"/>
          <cell r="N48">
            <v>0.05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2">
          <cell r="B52" t="str">
            <v>Margen por contrato de volumen OTROS</v>
          </cell>
        </row>
        <row r="54">
          <cell r="B54">
            <v>2.86</v>
          </cell>
          <cell r="C54">
            <v>2.99</v>
          </cell>
          <cell r="D54">
            <v>2.31</v>
          </cell>
          <cell r="E54">
            <v>2.2599999999999998</v>
          </cell>
          <cell r="F54">
            <v>2.75</v>
          </cell>
          <cell r="G54">
            <v>0</v>
          </cell>
          <cell r="H54">
            <v>0</v>
          </cell>
          <cell r="I54">
            <v>2.37</v>
          </cell>
          <cell r="J54">
            <v>2.5</v>
          </cell>
          <cell r="K54">
            <v>2.15</v>
          </cell>
          <cell r="L54">
            <v>2.94</v>
          </cell>
          <cell r="M54">
            <v>1.93</v>
          </cell>
          <cell r="N54">
            <v>0.03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B56">
            <v>2.98</v>
          </cell>
          <cell r="C56">
            <v>0</v>
          </cell>
          <cell r="D56">
            <v>3.22</v>
          </cell>
          <cell r="E56">
            <v>0</v>
          </cell>
          <cell r="F56">
            <v>3.13</v>
          </cell>
          <cell r="G56">
            <v>2.56</v>
          </cell>
          <cell r="H56">
            <v>1.96</v>
          </cell>
          <cell r="I56">
            <v>0</v>
          </cell>
          <cell r="J56">
            <v>2.82</v>
          </cell>
          <cell r="K56">
            <v>1.81</v>
          </cell>
          <cell r="L56">
            <v>2.74</v>
          </cell>
          <cell r="M56">
            <v>1.4</v>
          </cell>
          <cell r="N56">
            <v>0.05</v>
          </cell>
        </row>
        <row r="59">
          <cell r="N59">
            <v>1</v>
          </cell>
        </row>
        <row r="60">
          <cell r="B60">
            <v>0</v>
          </cell>
          <cell r="N60">
            <v>1</v>
          </cell>
        </row>
        <row r="61">
          <cell r="B61">
            <v>0</v>
          </cell>
          <cell r="N61">
            <v>1</v>
          </cell>
        </row>
        <row r="62">
          <cell r="B62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</row>
        <row r="111"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</row>
        <row r="112"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</row>
        <row r="140"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UF3QPTRMH3TBGKC3ADDS66P5UB">
      <xxl21:absoluteUrl r:id="rId2"/>
    </xxl21:alternateUrls>
    <sheetNames>
      <sheetName val="Resumen"/>
      <sheetName val="Detalle"/>
      <sheetName val="Evidencias"/>
    </sheetNames>
    <sheetDataSet>
      <sheetData sheetId="0">
        <row r="7">
          <cell r="V7" t="str">
            <v>Alias</v>
          </cell>
          <cell r="W7" t="str">
            <v>Ene</v>
          </cell>
          <cell r="X7" t="str">
            <v>Feb</v>
          </cell>
          <cell r="Y7" t="str">
            <v>Mar</v>
          </cell>
          <cell r="Z7" t="str">
            <v>Abr</v>
          </cell>
          <cell r="AA7" t="str">
            <v>May</v>
          </cell>
          <cell r="AB7" t="str">
            <v>Jun</v>
          </cell>
          <cell r="AC7" t="str">
            <v>Jul</v>
          </cell>
          <cell r="AD7" t="str">
            <v>Ago</v>
          </cell>
          <cell r="AE7" t="str">
            <v>Sep</v>
          </cell>
          <cell r="AF7" t="str">
            <v>Oct</v>
          </cell>
          <cell r="AG7" t="str">
            <v>Nov</v>
          </cell>
          <cell r="AH7" t="str">
            <v>Dic</v>
          </cell>
        </row>
        <row r="8">
          <cell r="V8" t="str">
            <v>Honorarios Administrativos P.M.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14">
          <cell r="V14" t="str">
            <v>Arrendamiento a personas morales resid nal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</row>
      </sheetData>
      <sheetData sheetId="1">
        <row r="12">
          <cell r="C12" t="str">
            <v>Alias</v>
          </cell>
          <cell r="D12" t="str">
            <v>Ene</v>
          </cell>
          <cell r="E12" t="str">
            <v>Feb</v>
          </cell>
          <cell r="F12" t="str">
            <v>Mar</v>
          </cell>
          <cell r="G12" t="str">
            <v>Abr</v>
          </cell>
          <cell r="H12" t="str">
            <v>May</v>
          </cell>
          <cell r="I12" t="str">
            <v>Jun</v>
          </cell>
          <cell r="J12" t="str">
            <v>Jul</v>
          </cell>
          <cell r="K12" t="str">
            <v>Ago</v>
          </cell>
          <cell r="L12" t="str">
            <v>Sep</v>
          </cell>
          <cell r="M12" t="str">
            <v>Oct</v>
          </cell>
          <cell r="N12" t="str">
            <v>Nov</v>
          </cell>
          <cell r="O12" t="str">
            <v>Dic</v>
          </cell>
        </row>
        <row r="13">
          <cell r="C13" t="str">
            <v>Arrendamiento a personas morales resid nal</v>
          </cell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TZ5OUDVZI665ELRETRSFUFOWDI">
      <xxl21:absoluteUrl r:id="rId2"/>
    </xxl21:alternateUrls>
    <sheetNames>
      <sheetName val="Resumen Ventas"/>
      <sheetName val="Ventas combustibles (Ltr)"/>
      <sheetName val="Margen ctvs-lit"/>
      <sheetName val="Margen ($)"/>
      <sheetName val="Resumen Margen ($)"/>
      <sheetName val="Aceites"/>
      <sheetName val="Resumen x Tipo Combustible"/>
      <sheetName val="Hoja1"/>
    </sheetNames>
    <sheetDataSet>
      <sheetData sheetId="0"/>
      <sheetData sheetId="1"/>
      <sheetData sheetId="2">
        <row r="2">
          <cell r="T2"/>
        </row>
        <row r="3">
          <cell r="T3"/>
        </row>
        <row r="10">
          <cell r="J10" t="str">
            <v>Ene</v>
          </cell>
          <cell r="K10">
            <v>2.5099999999999998</v>
          </cell>
          <cell r="L10">
            <v>5.4621848739495826E-2</v>
          </cell>
          <cell r="M10">
            <v>2.5299999999999998</v>
          </cell>
          <cell r="N10">
            <v>-0.27920227920227925</v>
          </cell>
          <cell r="O10">
            <v>2.44</v>
          </cell>
        </row>
        <row r="11">
          <cell r="J11" t="str">
            <v>Feb</v>
          </cell>
          <cell r="K11">
            <v>2.5</v>
          </cell>
          <cell r="L11">
            <v>-8.0882352941176516E-2</v>
          </cell>
          <cell r="M11">
            <v>2.5099999999999998</v>
          </cell>
          <cell r="N11">
            <v>-0.24397590361445787</v>
          </cell>
          <cell r="O11">
            <v>2.25</v>
          </cell>
        </row>
        <row r="12">
          <cell r="J12" t="str">
            <v>Mar</v>
          </cell>
          <cell r="K12">
            <v>2.59</v>
          </cell>
          <cell r="L12">
            <v>3.6000000000000032E-2</v>
          </cell>
          <cell r="M12">
            <v>2.68</v>
          </cell>
          <cell r="N12">
            <v>-0.23646723646723633</v>
          </cell>
          <cell r="O12">
            <v>2.5</v>
          </cell>
        </row>
        <row r="13">
          <cell r="J13" t="str">
            <v>Abr</v>
          </cell>
          <cell r="K13">
            <v>2.4500000000000002</v>
          </cell>
          <cell r="L13">
            <v>-7.5471698113207419E-2</v>
          </cell>
          <cell r="M13">
            <v>2.4700000000000002</v>
          </cell>
          <cell r="N13">
            <v>-0.326975476839237</v>
          </cell>
          <cell r="O13">
            <v>2.4300000000000002</v>
          </cell>
          <cell r="W13">
            <v>17.399999999999999</v>
          </cell>
          <cell r="X13">
            <v>17.601839999999999</v>
          </cell>
          <cell r="Y13">
            <v>17.806021344000001</v>
          </cell>
          <cell r="Z13">
            <v>18.012571191590403</v>
          </cell>
          <cell r="AA13">
            <v>18.221517017412854</v>
          </cell>
          <cell r="AB13">
            <v>18.432886614814844</v>
          </cell>
          <cell r="AC13">
            <v>18.646708099546697</v>
          </cell>
          <cell r="AD13">
            <v>18.86300991350144</v>
          </cell>
          <cell r="AE13">
            <v>19.081820828498056</v>
          </cell>
          <cell r="AF13">
            <v>19.303169950108636</v>
          </cell>
          <cell r="AG13">
            <v>19.527086721529898</v>
          </cell>
          <cell r="AH13">
            <v>19.753600927499647</v>
          </cell>
        </row>
        <row r="14">
          <cell r="J14" t="str">
            <v>May</v>
          </cell>
          <cell r="K14">
            <v>2.64</v>
          </cell>
          <cell r="L14">
            <v>-9.5890410958904049E-2</v>
          </cell>
          <cell r="M14">
            <v>2.4300000000000002</v>
          </cell>
          <cell r="N14">
            <v>-0.20327868852459008</v>
          </cell>
          <cell r="O14">
            <v>2.5299999999999998</v>
          </cell>
          <cell r="W14">
            <v>19.34</v>
          </cell>
          <cell r="X14">
            <v>19.564344000000002</v>
          </cell>
          <cell r="Y14">
            <v>19.791290390400004</v>
          </cell>
          <cell r="Z14">
            <v>20.020869358928646</v>
          </cell>
          <cell r="AA14">
            <v>20.253111443492219</v>
          </cell>
          <cell r="AB14">
            <v>20.488047536236731</v>
          </cell>
          <cell r="AC14">
            <v>20.725708887657078</v>
          </cell>
          <cell r="AD14">
            <v>20.966127110753902</v>
          </cell>
          <cell r="AE14">
            <v>21.209334185238649</v>
          </cell>
          <cell r="AF14">
            <v>21.45536246178742</v>
          </cell>
          <cell r="AG14">
            <v>21.704244666344156</v>
          </cell>
          <cell r="AH14">
            <v>21.95601390447375</v>
          </cell>
        </row>
        <row r="15">
          <cell r="J15" t="str">
            <v>Jun</v>
          </cell>
          <cell r="K15">
            <v>2.4700000000000002</v>
          </cell>
          <cell r="L15">
            <v>-1.9841269841269771E-2</v>
          </cell>
          <cell r="M15">
            <v>2.86</v>
          </cell>
          <cell r="N15">
            <v>-0.12269938650306744</v>
          </cell>
          <cell r="O15">
            <v>2.44</v>
          </cell>
          <cell r="W15">
            <v>21.84</v>
          </cell>
          <cell r="X15">
            <v>22.093344000000002</v>
          </cell>
          <cell r="Y15">
            <v>22.349626790400002</v>
          </cell>
          <cell r="Z15">
            <v>22.608882461168644</v>
          </cell>
          <cell r="AA15">
            <v>22.871145497718203</v>
          </cell>
          <cell r="AB15">
            <v>23.136450785491736</v>
          </cell>
          <cell r="AC15">
            <v>23.40483361460344</v>
          </cell>
          <cell r="AD15">
            <v>23.676329684532842</v>
          </cell>
          <cell r="AE15">
            <v>23.950975108873426</v>
          </cell>
          <cell r="AF15">
            <v>24.228806420136358</v>
          </cell>
          <cell r="AG15">
            <v>24.509860574609942</v>
          </cell>
          <cell r="AH15">
            <v>24.79417495727542</v>
          </cell>
        </row>
        <row r="16">
          <cell r="J16" t="str">
            <v>Jul</v>
          </cell>
          <cell r="K16">
            <v>2.54</v>
          </cell>
          <cell r="L16">
            <v>0.11894273127753308</v>
          </cell>
          <cell r="M16">
            <v>2.38</v>
          </cell>
          <cell r="N16">
            <v>-0.22727272727272729</v>
          </cell>
          <cell r="O16">
            <v>2.4500000000000002</v>
          </cell>
        </row>
        <row r="17">
          <cell r="J17" t="str">
            <v>Ago</v>
          </cell>
          <cell r="K17">
            <v>2.5499999999999998</v>
          </cell>
          <cell r="L17">
            <v>0.11353711790392995</v>
          </cell>
          <cell r="M17">
            <v>2.5299999999999998</v>
          </cell>
          <cell r="N17">
            <v>-7.6642335766423542E-2</v>
          </cell>
          <cell r="O17">
            <v>2.44</v>
          </cell>
        </row>
        <row r="18">
          <cell r="J18" t="str">
            <v>Sep</v>
          </cell>
          <cell r="K18">
            <v>2.4700000000000002</v>
          </cell>
          <cell r="L18">
            <v>-4.0322580645160144E-3</v>
          </cell>
          <cell r="M18">
            <v>2.52</v>
          </cell>
          <cell r="N18">
            <v>3.7037037037036979E-2</v>
          </cell>
          <cell r="O18">
            <v>2.4500000000000002</v>
          </cell>
        </row>
        <row r="19">
          <cell r="J19" t="str">
            <v>Oct</v>
          </cell>
          <cell r="K19">
            <v>2.52</v>
          </cell>
          <cell r="L19">
            <v>8.7887990851704956E-2</v>
          </cell>
          <cell r="M19">
            <v>2.5299999999999998</v>
          </cell>
          <cell r="N19">
            <v>-0.13413633291493687</v>
          </cell>
          <cell r="O19">
            <v>2.48</v>
          </cell>
        </row>
        <row r="20">
          <cell r="J20" t="str">
            <v>Nov</v>
          </cell>
          <cell r="K20">
            <v>2.48</v>
          </cell>
          <cell r="L20">
            <v>2.2748074839276544E-2</v>
          </cell>
          <cell r="M20">
            <v>2.4900000000000002</v>
          </cell>
          <cell r="N20">
            <v>-0.1133291708291706</v>
          </cell>
          <cell r="O20">
            <v>2.44</v>
          </cell>
        </row>
        <row r="21">
          <cell r="J21" t="str">
            <v>Dic</v>
          </cell>
          <cell r="K21">
            <v>2.44</v>
          </cell>
          <cell r="L21">
            <v>-6.2601506394673434E-2</v>
          </cell>
          <cell r="M21">
            <v>2.4900000000000002</v>
          </cell>
          <cell r="N21">
            <v>-0.16734970975375751</v>
          </cell>
          <cell r="O21">
            <v>2.37</v>
          </cell>
        </row>
        <row r="28">
          <cell r="J28" t="str">
            <v>Ene</v>
          </cell>
          <cell r="K28">
            <v>2.5099999999999998</v>
          </cell>
          <cell r="L28">
            <v>-7.0370370370370527E-2</v>
          </cell>
          <cell r="M28">
            <v>2.5299999999999998</v>
          </cell>
          <cell r="N28">
            <v>-0.44759825327510927</v>
          </cell>
          <cell r="O28">
            <v>2.44</v>
          </cell>
        </row>
        <row r="29">
          <cell r="J29" t="str">
            <v>Feb</v>
          </cell>
          <cell r="K29">
            <v>2.48</v>
          </cell>
          <cell r="L29">
            <v>-0.15358361774744034</v>
          </cell>
          <cell r="M29">
            <v>2.5299999999999998</v>
          </cell>
          <cell r="N29">
            <v>-0.40749414519906324</v>
          </cell>
          <cell r="O29">
            <v>2.5</v>
          </cell>
        </row>
        <row r="30">
          <cell r="J30" t="str">
            <v>Mar</v>
          </cell>
          <cell r="K30">
            <v>2.58</v>
          </cell>
          <cell r="L30">
            <v>-3.8610038610037423E-3</v>
          </cell>
          <cell r="M30">
            <v>2.5299999999999998</v>
          </cell>
          <cell r="N30">
            <v>-0.16776315789473695</v>
          </cell>
          <cell r="O30">
            <v>2.33</v>
          </cell>
        </row>
        <row r="31">
          <cell r="J31" t="str">
            <v>Abr</v>
          </cell>
          <cell r="K31">
            <v>2.48</v>
          </cell>
          <cell r="L31">
            <v>3.3333333333333437E-2</v>
          </cell>
          <cell r="M31">
            <v>2.5299999999999998</v>
          </cell>
          <cell r="N31">
            <v>-0.30110497237569067</v>
          </cell>
          <cell r="O31">
            <v>2.4</v>
          </cell>
        </row>
        <row r="32">
          <cell r="J32" t="str">
            <v>May</v>
          </cell>
          <cell r="K32">
            <v>2.62</v>
          </cell>
          <cell r="L32">
            <v>0.18018018018018012</v>
          </cell>
          <cell r="M32">
            <v>2.5299999999999998</v>
          </cell>
          <cell r="N32">
            <v>-0.1968253968253969</v>
          </cell>
          <cell r="O32">
            <v>2.4900000000000002</v>
          </cell>
        </row>
        <row r="33">
          <cell r="J33" t="str">
            <v>Jun</v>
          </cell>
          <cell r="K33">
            <v>2.52</v>
          </cell>
          <cell r="L33">
            <v>0.34042553191489366</v>
          </cell>
          <cell r="M33">
            <v>2.5299999999999998</v>
          </cell>
          <cell r="N33">
            <v>-0.2262996941896025</v>
          </cell>
          <cell r="O33">
            <v>2.35</v>
          </cell>
        </row>
        <row r="34">
          <cell r="J34" t="str">
            <v>Jul</v>
          </cell>
          <cell r="K34">
            <v>2.4</v>
          </cell>
          <cell r="L34">
            <v>3.0042918454935563E-2</v>
          </cell>
          <cell r="M34">
            <v>2.5299999999999998</v>
          </cell>
          <cell r="N34">
            <v>4.5454545454545414E-2</v>
          </cell>
          <cell r="O34">
            <v>2.4700000000000002</v>
          </cell>
        </row>
        <row r="35">
          <cell r="J35" t="str">
            <v>Ago</v>
          </cell>
          <cell r="K35">
            <v>2.61</v>
          </cell>
          <cell r="L35">
            <v>6.5306122448979487E-2</v>
          </cell>
          <cell r="M35">
            <v>2.57</v>
          </cell>
          <cell r="N35">
            <v>-5.8608058608058622E-2</v>
          </cell>
          <cell r="O35">
            <v>2.44</v>
          </cell>
        </row>
        <row r="36">
          <cell r="J36" t="str">
            <v>Sep</v>
          </cell>
          <cell r="K36">
            <v>2.4700000000000002</v>
          </cell>
          <cell r="L36">
            <v>9.7777777777777963E-2</v>
          </cell>
          <cell r="M36">
            <v>2.52</v>
          </cell>
          <cell r="N36">
            <v>0.93846153846153846</v>
          </cell>
          <cell r="O36">
            <v>2.56</v>
          </cell>
        </row>
        <row r="37">
          <cell r="J37" t="str">
            <v>Oct</v>
          </cell>
          <cell r="K37">
            <v>2.5499999999999998</v>
          </cell>
          <cell r="L37">
            <v>0.12575748711289414</v>
          </cell>
          <cell r="M37">
            <v>2.5299999999999998</v>
          </cell>
          <cell r="N37">
            <v>0.22795983448857515</v>
          </cell>
          <cell r="O37">
            <v>2.4</v>
          </cell>
        </row>
        <row r="38">
          <cell r="J38" t="str">
            <v>Nov</v>
          </cell>
          <cell r="K38">
            <v>2.5099999999999998</v>
          </cell>
          <cell r="L38">
            <v>7.162060093305378E-2</v>
          </cell>
          <cell r="M38">
            <v>2.5299999999999998</v>
          </cell>
          <cell r="N38">
            <v>0.24286860240742403</v>
          </cell>
          <cell r="O38">
            <v>2.44</v>
          </cell>
        </row>
        <row r="39">
          <cell r="J39" t="str">
            <v>Dic</v>
          </cell>
          <cell r="K39">
            <v>2.44</v>
          </cell>
          <cell r="L39">
            <v>-2.1949351235556525E-2</v>
          </cell>
          <cell r="M39">
            <v>2.48</v>
          </cell>
          <cell r="N39">
            <v>0.3144651993519032</v>
          </cell>
          <cell r="O39">
            <v>2.4300000000000002</v>
          </cell>
        </row>
        <row r="46">
          <cell r="J46" t="str">
            <v>Ene</v>
          </cell>
          <cell r="K46">
            <v>2.5099999999999998</v>
          </cell>
          <cell r="L46">
            <v>3.7190082644628086E-2</v>
          </cell>
          <cell r="M46">
            <v>2.5299999999999998</v>
          </cell>
          <cell r="N46">
            <v>-0.12758620689655176</v>
          </cell>
          <cell r="O46">
            <v>2.44</v>
          </cell>
        </row>
        <row r="47">
          <cell r="J47" t="str">
            <v>Feb</v>
          </cell>
          <cell r="K47">
            <v>2.4700000000000002</v>
          </cell>
          <cell r="L47">
            <v>-0.1333333333333333</v>
          </cell>
          <cell r="M47">
            <v>2.58</v>
          </cell>
          <cell r="N47">
            <v>-0.15686274509803921</v>
          </cell>
          <cell r="O47">
            <v>2.38</v>
          </cell>
        </row>
        <row r="48">
          <cell r="J48" t="str">
            <v>Mar</v>
          </cell>
          <cell r="K48">
            <v>2.59</v>
          </cell>
          <cell r="L48">
            <v>5.2845528455284452E-2</v>
          </cell>
          <cell r="M48">
            <v>2.5499999999999998</v>
          </cell>
          <cell r="N48">
            <v>-0.23880597014925375</v>
          </cell>
          <cell r="O48">
            <v>2.44</v>
          </cell>
        </row>
        <row r="49">
          <cell r="J49" t="str">
            <v>Abr</v>
          </cell>
          <cell r="K49">
            <v>2.44</v>
          </cell>
          <cell r="L49">
            <v>2.5210084033613578E-2</v>
          </cell>
          <cell r="M49">
            <v>2.56</v>
          </cell>
          <cell r="N49">
            <v>-0.27478753541076484</v>
          </cell>
          <cell r="O49">
            <v>2.33</v>
          </cell>
        </row>
        <row r="50">
          <cell r="J50" t="str">
            <v>May</v>
          </cell>
          <cell r="K50">
            <v>2.67</v>
          </cell>
          <cell r="L50">
            <v>-0.12459016393442623</v>
          </cell>
          <cell r="M50">
            <v>2.58</v>
          </cell>
          <cell r="N50">
            <v>-0.2752808988764045</v>
          </cell>
          <cell r="O50">
            <v>2.4500000000000002</v>
          </cell>
        </row>
        <row r="51">
          <cell r="J51" t="str">
            <v>Jun</v>
          </cell>
          <cell r="K51">
            <v>2.48</v>
          </cell>
          <cell r="L51">
            <v>-2.3622047244094557E-2</v>
          </cell>
          <cell r="M51">
            <v>2.58</v>
          </cell>
          <cell r="N51">
            <v>-0.24781341107871724</v>
          </cell>
          <cell r="O51">
            <v>2.4900000000000002</v>
          </cell>
        </row>
        <row r="52">
          <cell r="J52" t="str">
            <v>Jul</v>
          </cell>
          <cell r="K52">
            <v>2.5299999999999998</v>
          </cell>
          <cell r="L52">
            <v>0.14999999999999991</v>
          </cell>
          <cell r="M52">
            <v>2.44</v>
          </cell>
          <cell r="N52">
            <v>-0.17288135593220344</v>
          </cell>
          <cell r="O52">
            <v>2.5</v>
          </cell>
        </row>
        <row r="53">
          <cell r="J53" t="str">
            <v>Ago</v>
          </cell>
          <cell r="K53">
            <v>2.57</v>
          </cell>
          <cell r="L53">
            <v>0.1735159817351597</v>
          </cell>
          <cell r="M53">
            <v>2.58</v>
          </cell>
          <cell r="N53">
            <v>0.1266375545851528</v>
          </cell>
          <cell r="O53">
            <v>2.44</v>
          </cell>
        </row>
        <row r="54">
          <cell r="J54" t="str">
            <v>Sep</v>
          </cell>
          <cell r="K54">
            <v>2.48</v>
          </cell>
          <cell r="L54">
            <v>0.14814814814814814</v>
          </cell>
          <cell r="M54">
            <v>2.4300000000000002</v>
          </cell>
          <cell r="N54">
            <v>-3.1872509960159223E-2</v>
          </cell>
          <cell r="O54">
            <v>2.48</v>
          </cell>
        </row>
        <row r="55">
          <cell r="J55" t="str">
            <v>Oct</v>
          </cell>
          <cell r="K55">
            <v>2.52</v>
          </cell>
          <cell r="L55">
            <v>0.18457371637924713</v>
          </cell>
          <cell r="M55">
            <v>2.63</v>
          </cell>
          <cell r="N55">
            <v>5.5413740523082788E-2</v>
          </cell>
          <cell r="O55">
            <v>2.44</v>
          </cell>
        </row>
        <row r="56">
          <cell r="J56" t="str">
            <v>Nov</v>
          </cell>
          <cell r="K56">
            <v>2.36</v>
          </cell>
          <cell r="L56">
            <v>-3.5610980408064208E-2</v>
          </cell>
          <cell r="M56">
            <v>2.4900000000000002</v>
          </cell>
          <cell r="N56">
            <v>0.12103927664939773</v>
          </cell>
          <cell r="O56">
            <v>2.44</v>
          </cell>
        </row>
        <row r="57">
          <cell r="J57" t="str">
            <v>Dic</v>
          </cell>
          <cell r="K57">
            <v>2.44</v>
          </cell>
          <cell r="L57">
            <v>-6.1339978723242261E-2</v>
          </cell>
          <cell r="M57">
            <v>2.4500000000000002</v>
          </cell>
          <cell r="N57">
            <v>0.14250147067484553</v>
          </cell>
          <cell r="O57">
            <v>2.44</v>
          </cell>
        </row>
        <row r="64">
          <cell r="J64" t="str">
            <v>Ene</v>
          </cell>
          <cell r="K64">
            <v>2.5099999999999998</v>
          </cell>
          <cell r="L64">
            <v>2.4489795918367196E-2</v>
          </cell>
          <cell r="M64">
            <v>2.5299999999999998</v>
          </cell>
          <cell r="N64">
            <v>-0.25806451612903236</v>
          </cell>
          <cell r="O64">
            <v>2.44</v>
          </cell>
        </row>
        <row r="65">
          <cell r="J65" t="str">
            <v>Feb</v>
          </cell>
          <cell r="K65">
            <v>2.5099999999999998</v>
          </cell>
          <cell r="L65">
            <v>-8.7272727272727391E-2</v>
          </cell>
          <cell r="M65">
            <v>2.54</v>
          </cell>
          <cell r="N65">
            <v>-0.20376175548589337</v>
          </cell>
          <cell r="O65">
            <v>2.42</v>
          </cell>
        </row>
        <row r="66">
          <cell r="J66" t="str">
            <v>Mar</v>
          </cell>
          <cell r="K66">
            <v>2.6</v>
          </cell>
          <cell r="L66">
            <v>2.3622047244094446E-2</v>
          </cell>
          <cell r="M66">
            <v>2.5299999999999998</v>
          </cell>
          <cell r="N66">
            <v>-0.31250000000000011</v>
          </cell>
          <cell r="O66">
            <v>2.57</v>
          </cell>
        </row>
        <row r="67">
          <cell r="J67" t="str">
            <v>Abr</v>
          </cell>
          <cell r="K67">
            <v>2.44</v>
          </cell>
          <cell r="L67">
            <v>-6.8702290076335881E-2</v>
          </cell>
          <cell r="M67">
            <v>2.5299999999999998</v>
          </cell>
          <cell r="N67">
            <v>-0.28125000000000011</v>
          </cell>
          <cell r="O67">
            <v>2.31</v>
          </cell>
        </row>
        <row r="68">
          <cell r="J68" t="str">
            <v>May</v>
          </cell>
          <cell r="K68">
            <v>2.63</v>
          </cell>
          <cell r="L68">
            <v>-0.14052287581699352</v>
          </cell>
          <cell r="M68">
            <v>2.5299999999999998</v>
          </cell>
          <cell r="N68">
            <v>-0.28328611898016998</v>
          </cell>
          <cell r="O68">
            <v>2.5299999999999998</v>
          </cell>
        </row>
        <row r="69">
          <cell r="J69" t="str">
            <v>Jun</v>
          </cell>
          <cell r="K69">
            <v>2.4900000000000002</v>
          </cell>
          <cell r="L69">
            <v>-7.7777777777777724E-2</v>
          </cell>
          <cell r="M69">
            <v>2.5</v>
          </cell>
          <cell r="N69">
            <v>-0.24242424242424243</v>
          </cell>
          <cell r="O69">
            <v>2.4500000000000002</v>
          </cell>
        </row>
        <row r="70">
          <cell r="J70" t="str">
            <v>Jul</v>
          </cell>
          <cell r="K70">
            <v>2.4700000000000002</v>
          </cell>
          <cell r="L70">
            <v>-0.11785714285714277</v>
          </cell>
          <cell r="M70">
            <v>2.5099999999999998</v>
          </cell>
          <cell r="N70">
            <v>-0.10992907801418439</v>
          </cell>
          <cell r="O70">
            <v>2.48</v>
          </cell>
        </row>
        <row r="71">
          <cell r="J71" t="str">
            <v>Ago</v>
          </cell>
          <cell r="K71">
            <v>2.56</v>
          </cell>
          <cell r="L71">
            <v>-6.2271062271062272E-2</v>
          </cell>
          <cell r="M71">
            <v>2.52</v>
          </cell>
          <cell r="N71">
            <v>7.2340425531914887E-2</v>
          </cell>
          <cell r="O71">
            <v>2.44</v>
          </cell>
        </row>
        <row r="72">
          <cell r="J72" t="str">
            <v>Sep</v>
          </cell>
          <cell r="K72">
            <v>2.4900000000000002</v>
          </cell>
          <cell r="L72">
            <v>-1.9685039370078705E-2</v>
          </cell>
          <cell r="M72">
            <v>2.52</v>
          </cell>
          <cell r="N72">
            <v>8.1545064377682275E-2</v>
          </cell>
          <cell r="O72">
            <v>2.44</v>
          </cell>
        </row>
        <row r="73">
          <cell r="J73" t="str">
            <v>Oct</v>
          </cell>
          <cell r="K73">
            <v>2.5299999999999998</v>
          </cell>
          <cell r="L73">
            <v>2.0441168625637829E-3</v>
          </cell>
          <cell r="M73">
            <v>2.5299999999999998</v>
          </cell>
          <cell r="N73">
            <v>-0.14954929071646605</v>
          </cell>
          <cell r="O73">
            <v>2.44</v>
          </cell>
        </row>
        <row r="74">
          <cell r="J74" t="str">
            <v>Nov</v>
          </cell>
          <cell r="K74">
            <v>2.48</v>
          </cell>
          <cell r="L74">
            <v>-3.3647603803784842E-2</v>
          </cell>
          <cell r="M74">
            <v>2.5299999999999998</v>
          </cell>
          <cell r="N74">
            <v>-9.7687167221438886E-2</v>
          </cell>
          <cell r="O74">
            <v>2.44</v>
          </cell>
        </row>
        <row r="75">
          <cell r="J75" t="str">
            <v>Dic</v>
          </cell>
          <cell r="K75">
            <v>2.44</v>
          </cell>
          <cell r="L75">
            <v>-0.10807628086915311</v>
          </cell>
          <cell r="M75">
            <v>2.5299999999999998</v>
          </cell>
          <cell r="N75">
            <v>-7.5625795272815766E-2</v>
          </cell>
          <cell r="O75">
            <v>2.36</v>
          </cell>
        </row>
        <row r="82">
          <cell r="J82" t="str">
            <v>Ene</v>
          </cell>
          <cell r="K82">
            <v>2.5099999999999998</v>
          </cell>
          <cell r="L82">
            <v>3.7190082644628086E-2</v>
          </cell>
          <cell r="M82">
            <v>2.5299999999999998</v>
          </cell>
          <cell r="N82">
            <v>0.14479638009049767</v>
          </cell>
          <cell r="O82">
            <v>2.44</v>
          </cell>
        </row>
        <row r="83">
          <cell r="J83" t="str">
            <v>Feb</v>
          </cell>
          <cell r="K83">
            <v>2.4700000000000002</v>
          </cell>
          <cell r="L83">
            <v>-0.1333333333333333</v>
          </cell>
          <cell r="M83">
            <v>2.5299999999999998</v>
          </cell>
          <cell r="N83">
            <v>-0.26878612716763006</v>
          </cell>
          <cell r="O83">
            <v>2.41</v>
          </cell>
        </row>
        <row r="84">
          <cell r="J84" t="str">
            <v>Mar</v>
          </cell>
          <cell r="K84">
            <v>2.59</v>
          </cell>
          <cell r="L84">
            <v>7.7821011673151474E-3</v>
          </cell>
          <cell r="M84">
            <v>2.63</v>
          </cell>
          <cell r="N84">
            <v>-0.27146814404432129</v>
          </cell>
          <cell r="O84">
            <v>2.5</v>
          </cell>
        </row>
        <row r="85">
          <cell r="J85" t="str">
            <v>Abr</v>
          </cell>
          <cell r="K85">
            <v>2.4700000000000002</v>
          </cell>
          <cell r="L85">
            <v>-7.4906367041198352E-2</v>
          </cell>
          <cell r="M85">
            <v>2.5299999999999998</v>
          </cell>
          <cell r="N85">
            <v>-0.30684931506849322</v>
          </cell>
          <cell r="O85">
            <v>2.4500000000000002</v>
          </cell>
        </row>
        <row r="86">
          <cell r="J86" t="str">
            <v>May</v>
          </cell>
          <cell r="K86">
            <v>2.62</v>
          </cell>
          <cell r="L86">
            <v>-0.15210355987055013</v>
          </cell>
          <cell r="M86">
            <v>2.5299999999999998</v>
          </cell>
          <cell r="N86">
            <v>-0.31062670299727524</v>
          </cell>
          <cell r="O86">
            <v>2.46</v>
          </cell>
        </row>
        <row r="87">
          <cell r="J87" t="str">
            <v>Jun</v>
          </cell>
          <cell r="K87">
            <v>2.5099999999999998</v>
          </cell>
          <cell r="L87">
            <v>-7.7205882352941346E-2</v>
          </cell>
          <cell r="M87">
            <v>2.54</v>
          </cell>
          <cell r="N87">
            <v>-0.23262839879154074</v>
          </cell>
          <cell r="O87">
            <v>2.44</v>
          </cell>
        </row>
        <row r="88">
          <cell r="J88" t="str">
            <v>Jul</v>
          </cell>
          <cell r="K88">
            <v>2.5</v>
          </cell>
          <cell r="L88">
            <v>6.8376068376068355E-2</v>
          </cell>
          <cell r="M88">
            <v>2.5</v>
          </cell>
          <cell r="N88">
            <v>-0.18566775244299671</v>
          </cell>
          <cell r="O88">
            <v>2.4300000000000002</v>
          </cell>
        </row>
        <row r="89">
          <cell r="J89" t="str">
            <v>Ago</v>
          </cell>
          <cell r="K89">
            <v>2.52</v>
          </cell>
          <cell r="L89">
            <v>8.6206896551724199E-2</v>
          </cell>
          <cell r="M89">
            <v>2.5499999999999998</v>
          </cell>
          <cell r="N89">
            <v>3.937007874015741E-3</v>
          </cell>
          <cell r="O89">
            <v>2.44</v>
          </cell>
        </row>
        <row r="90">
          <cell r="J90" t="str">
            <v>Sep</v>
          </cell>
          <cell r="K90">
            <v>2.4700000000000002</v>
          </cell>
          <cell r="L90">
            <v>-4.9999999999999933E-2</v>
          </cell>
          <cell r="M90">
            <v>2.5299999999999998</v>
          </cell>
          <cell r="N90">
            <v>2.0161290322580516E-2</v>
          </cell>
          <cell r="O90">
            <v>2.44</v>
          </cell>
        </row>
        <row r="91">
          <cell r="J91" t="str">
            <v>Oct</v>
          </cell>
          <cell r="K91">
            <v>2.52</v>
          </cell>
          <cell r="L91">
            <v>6.5745284303892815E-2</v>
          </cell>
          <cell r="M91">
            <v>2.5299999999999998</v>
          </cell>
          <cell r="N91">
            <v>-0.18004170160327271</v>
          </cell>
          <cell r="O91">
            <v>2.44</v>
          </cell>
        </row>
        <row r="92">
          <cell r="J92" t="str">
            <v>Nov</v>
          </cell>
          <cell r="K92">
            <v>2.4700000000000002</v>
          </cell>
          <cell r="L92">
            <v>1.5256259890266799E-2</v>
          </cell>
          <cell r="M92">
            <v>2.5</v>
          </cell>
          <cell r="N92">
            <v>-0.18086395926398224</v>
          </cell>
          <cell r="O92">
            <v>2.44</v>
          </cell>
        </row>
        <row r="93">
          <cell r="J93" t="str">
            <v>Dic</v>
          </cell>
          <cell r="K93">
            <v>2.4300000000000002</v>
          </cell>
          <cell r="L93">
            <v>-7.6271986098956135E-2</v>
          </cell>
          <cell r="M93">
            <v>2.5299999999999998</v>
          </cell>
          <cell r="N93">
            <v>-0.20728163858880433</v>
          </cell>
          <cell r="O93">
            <v>2.44</v>
          </cell>
        </row>
        <row r="100">
          <cell r="J100" t="str">
            <v>Ene</v>
          </cell>
          <cell r="K100">
            <v>2.5099999999999998</v>
          </cell>
          <cell r="L100">
            <v>-3.9682539682540652E-3</v>
          </cell>
          <cell r="M100"/>
          <cell r="N100"/>
          <cell r="O100">
            <v>2.44</v>
          </cell>
        </row>
        <row r="101">
          <cell r="J101" t="str">
            <v>Feb</v>
          </cell>
          <cell r="K101">
            <v>2.5299999999999998</v>
          </cell>
          <cell r="L101">
            <v>-0.11846689895470397</v>
          </cell>
          <cell r="M101"/>
          <cell r="N101"/>
          <cell r="O101">
            <v>2.57</v>
          </cell>
        </row>
        <row r="102">
          <cell r="J102" t="str">
            <v>Mar</v>
          </cell>
          <cell r="K102">
            <v>2.6</v>
          </cell>
          <cell r="L102">
            <v>7.7519379844961378E-3</v>
          </cell>
          <cell r="M102"/>
          <cell r="N102"/>
          <cell r="O102">
            <v>2.4500000000000002</v>
          </cell>
        </row>
        <row r="103">
          <cell r="J103" t="str">
            <v>Abr</v>
          </cell>
          <cell r="K103">
            <v>2.46</v>
          </cell>
          <cell r="L103">
            <v>-7.8651685393258397E-2</v>
          </cell>
          <cell r="M103"/>
          <cell r="N103"/>
          <cell r="O103">
            <v>2.38</v>
          </cell>
        </row>
        <row r="104">
          <cell r="J104" t="str">
            <v>May</v>
          </cell>
          <cell r="K104">
            <v>2.64</v>
          </cell>
          <cell r="L104">
            <v>3.8022813688214363E-3</v>
          </cell>
          <cell r="M104"/>
          <cell r="N104"/>
          <cell r="O104">
            <v>2.48</v>
          </cell>
        </row>
        <row r="105">
          <cell r="J105" t="str">
            <v>Jun</v>
          </cell>
          <cell r="K105">
            <v>2.4900000000000002</v>
          </cell>
          <cell r="L105">
            <v>7.7922077922077948E-2</v>
          </cell>
          <cell r="M105"/>
          <cell r="N105"/>
          <cell r="O105">
            <v>2.48</v>
          </cell>
        </row>
        <row r="106">
          <cell r="J106" t="str">
            <v>Jul</v>
          </cell>
          <cell r="K106">
            <v>2.4300000000000002</v>
          </cell>
          <cell r="L106">
            <v>5.65217391304349E-2</v>
          </cell>
          <cell r="M106"/>
          <cell r="N106"/>
          <cell r="O106">
            <v>2.31</v>
          </cell>
        </row>
        <row r="107">
          <cell r="J107" t="str">
            <v>Ago</v>
          </cell>
          <cell r="K107">
            <v>2.54</v>
          </cell>
          <cell r="L107">
            <v>0.12888888888888883</v>
          </cell>
          <cell r="M107"/>
          <cell r="N107"/>
          <cell r="O107">
            <v>2.44</v>
          </cell>
        </row>
        <row r="108">
          <cell r="J108" t="str">
            <v>Sep</v>
          </cell>
          <cell r="K108">
            <v>2.48</v>
          </cell>
          <cell r="L108">
            <v>4.0485829959513442E-3</v>
          </cell>
          <cell r="M108"/>
          <cell r="N108"/>
          <cell r="O108">
            <v>2.46</v>
          </cell>
        </row>
        <row r="109">
          <cell r="J109" t="str">
            <v>Oct</v>
          </cell>
          <cell r="K109">
            <v>2.4900000000000002</v>
          </cell>
          <cell r="L109">
            <v>3.9194111365305151E-2</v>
          </cell>
          <cell r="M109"/>
          <cell r="N109"/>
          <cell r="O109">
            <v>2.48</v>
          </cell>
        </row>
        <row r="110">
          <cell r="J110" t="str">
            <v>Nov</v>
          </cell>
          <cell r="K110">
            <v>2.52</v>
          </cell>
          <cell r="L110">
            <v>8.358963458802493E-2</v>
          </cell>
          <cell r="M110"/>
          <cell r="N110"/>
          <cell r="O110">
            <v>2.44</v>
          </cell>
        </row>
        <row r="111">
          <cell r="J111" t="str">
            <v>Dic</v>
          </cell>
          <cell r="K111">
            <v>2.48</v>
          </cell>
          <cell r="L111">
            <v>4.1644069125283512E-2</v>
          </cell>
          <cell r="M111"/>
          <cell r="N111"/>
          <cell r="O111">
            <v>2.37</v>
          </cell>
        </row>
        <row r="118">
          <cell r="J118" t="str">
            <v>Ene</v>
          </cell>
          <cell r="K118">
            <v>2.5099999999999998</v>
          </cell>
          <cell r="L118">
            <v>3.7190082644628086E-2</v>
          </cell>
          <cell r="M118">
            <v>2.5299999999999998</v>
          </cell>
          <cell r="N118">
            <v>-0.25806451612903236</v>
          </cell>
          <cell r="O118">
            <v>2.44</v>
          </cell>
        </row>
        <row r="119">
          <cell r="J119" t="str">
            <v>Feb</v>
          </cell>
          <cell r="K119">
            <v>2.4700000000000002</v>
          </cell>
          <cell r="L119">
            <v>-0.13636363636363624</v>
          </cell>
          <cell r="M119">
            <v>2.5</v>
          </cell>
          <cell r="N119">
            <v>-0.22839506172839508</v>
          </cell>
          <cell r="O119">
            <v>2.4300000000000002</v>
          </cell>
        </row>
        <row r="120">
          <cell r="J120" t="str">
            <v>Mar</v>
          </cell>
          <cell r="K120">
            <v>2.63</v>
          </cell>
          <cell r="L120">
            <v>5.2000000000000046E-2</v>
          </cell>
          <cell r="M120">
            <v>2.59</v>
          </cell>
          <cell r="N120">
            <v>-0.2382352941176471</v>
          </cell>
          <cell r="O120">
            <v>2.48</v>
          </cell>
        </row>
        <row r="121">
          <cell r="J121" t="str">
            <v>Abr</v>
          </cell>
          <cell r="K121">
            <v>2.41</v>
          </cell>
          <cell r="L121">
            <v>-0.10408921933085491</v>
          </cell>
          <cell r="M121">
            <v>2.5299999999999998</v>
          </cell>
          <cell r="N121">
            <v>-0.25147928994082847</v>
          </cell>
          <cell r="O121">
            <v>2.4</v>
          </cell>
        </row>
        <row r="122">
          <cell r="J122" t="str">
            <v>May</v>
          </cell>
          <cell r="K122">
            <v>2.67</v>
          </cell>
          <cell r="L122">
            <v>2.2988505747126409E-2</v>
          </cell>
          <cell r="M122">
            <v>2.5299999999999998</v>
          </cell>
          <cell r="N122">
            <v>-0.26666666666666672</v>
          </cell>
          <cell r="O122">
            <v>2.48</v>
          </cell>
        </row>
        <row r="123">
          <cell r="J123" t="str">
            <v>Jun</v>
          </cell>
          <cell r="K123">
            <v>2.4300000000000002</v>
          </cell>
          <cell r="L123">
            <v>5.65217391304349E-2</v>
          </cell>
          <cell r="M123">
            <v>2.56</v>
          </cell>
          <cell r="N123">
            <v>-0.22891566265060237</v>
          </cell>
          <cell r="O123">
            <v>2.42</v>
          </cell>
        </row>
        <row r="124">
          <cell r="J124" t="str">
            <v>Jul</v>
          </cell>
          <cell r="K124">
            <v>2.52</v>
          </cell>
          <cell r="L124">
            <v>0.13004484304932729</v>
          </cell>
          <cell r="M124">
            <v>2.5299999999999998</v>
          </cell>
          <cell r="N124">
            <v>-0.18122977346278324</v>
          </cell>
          <cell r="O124">
            <v>2.46</v>
          </cell>
        </row>
        <row r="125">
          <cell r="J125" t="str">
            <v>Ago</v>
          </cell>
          <cell r="K125">
            <v>2.5299999999999998</v>
          </cell>
          <cell r="L125">
            <v>0.1552511415525113</v>
          </cell>
          <cell r="M125">
            <v>2.54</v>
          </cell>
          <cell r="N125">
            <v>0.15981735159817356</v>
          </cell>
          <cell r="O125">
            <v>2.44</v>
          </cell>
        </row>
        <row r="126">
          <cell r="J126" t="str">
            <v>Sep</v>
          </cell>
          <cell r="K126">
            <v>2.48</v>
          </cell>
          <cell r="L126">
            <v>8.1300813008129413E-3</v>
          </cell>
          <cell r="M126">
            <v>2.5</v>
          </cell>
          <cell r="N126">
            <v>-0.13494809688581322</v>
          </cell>
          <cell r="O126">
            <v>2.48</v>
          </cell>
        </row>
        <row r="127">
          <cell r="J127" t="str">
            <v>Oct</v>
          </cell>
          <cell r="K127">
            <v>2.57</v>
          </cell>
          <cell r="L127">
            <v>0.19168065956611402</v>
          </cell>
          <cell r="M127">
            <v>2.48</v>
          </cell>
          <cell r="N127">
            <v>-0.38426287744227361</v>
          </cell>
          <cell r="O127">
            <v>2.5</v>
          </cell>
        </row>
        <row r="128">
          <cell r="J128" t="str">
            <v>Nov</v>
          </cell>
          <cell r="K128">
            <v>2.48</v>
          </cell>
          <cell r="L128">
            <v>0.11413775133931581</v>
          </cell>
          <cell r="M128">
            <v>2.5299999999999998</v>
          </cell>
          <cell r="N128">
            <v>-0.33937838595180281</v>
          </cell>
          <cell r="O128">
            <v>2.44</v>
          </cell>
        </row>
        <row r="129">
          <cell r="J129" t="str">
            <v>Dic</v>
          </cell>
          <cell r="K129">
            <v>2.4700000000000002</v>
          </cell>
          <cell r="L129">
            <v>6.8406103114902361E-2</v>
          </cell>
          <cell r="M129">
            <v>2.48</v>
          </cell>
          <cell r="N129">
            <v>-0.32804091091403353</v>
          </cell>
          <cell r="O129">
            <v>2.41</v>
          </cell>
        </row>
      </sheetData>
      <sheetData sheetId="3"/>
      <sheetData sheetId="4"/>
      <sheetData sheetId="5"/>
      <sheetData sheetId="6">
        <row r="4">
          <cell r="C4" t="str">
            <v>Jarudo</v>
          </cell>
          <cell r="D4">
            <v>300675</v>
          </cell>
          <cell r="E4">
            <v>298765</v>
          </cell>
          <cell r="F4">
            <v>324833</v>
          </cell>
          <cell r="G4">
            <v>307678</v>
          </cell>
          <cell r="H4">
            <v>356108</v>
          </cell>
          <cell r="I4">
            <v>342995</v>
          </cell>
          <cell r="J4">
            <v>353260</v>
          </cell>
          <cell r="K4">
            <v>367607</v>
          </cell>
          <cell r="L4">
            <v>354128</v>
          </cell>
          <cell r="M4">
            <v>359904</v>
          </cell>
          <cell r="N4">
            <v>348399</v>
          </cell>
          <cell r="O4">
            <v>324722</v>
          </cell>
        </row>
        <row r="5">
          <cell r="C5" t="str">
            <v>Clara</v>
          </cell>
          <cell r="D5">
            <v>102675</v>
          </cell>
          <cell r="E5">
            <v>99504</v>
          </cell>
          <cell r="F5">
            <v>106643</v>
          </cell>
          <cell r="G5">
            <v>103675</v>
          </cell>
          <cell r="H5">
            <v>116975</v>
          </cell>
          <cell r="I5">
            <v>118304</v>
          </cell>
          <cell r="J5">
            <v>107049</v>
          </cell>
          <cell r="K5">
            <v>118552</v>
          </cell>
          <cell r="L5">
            <v>113760</v>
          </cell>
          <cell r="M5">
            <v>118312</v>
          </cell>
          <cell r="N5">
            <v>117999</v>
          </cell>
          <cell r="O5">
            <v>110369</v>
          </cell>
        </row>
        <row r="6">
          <cell r="C6" t="str">
            <v>Fuentes</v>
          </cell>
          <cell r="D6">
            <v>316674</v>
          </cell>
          <cell r="E6">
            <v>305475</v>
          </cell>
          <cell r="F6">
            <v>332635</v>
          </cell>
          <cell r="G6">
            <v>310204</v>
          </cell>
          <cell r="H6">
            <v>367704</v>
          </cell>
          <cell r="I6">
            <v>358505</v>
          </cell>
          <cell r="J6">
            <v>364704</v>
          </cell>
          <cell r="K6">
            <v>386383</v>
          </cell>
          <cell r="L6">
            <v>374845</v>
          </cell>
          <cell r="M6">
            <v>378302</v>
          </cell>
          <cell r="N6">
            <v>330143</v>
          </cell>
          <cell r="O6">
            <v>308182</v>
          </cell>
        </row>
        <row r="7">
          <cell r="C7" t="str">
            <v>Satélite</v>
          </cell>
          <cell r="D7">
            <v>635106</v>
          </cell>
          <cell r="E7">
            <v>632104</v>
          </cell>
          <cell r="F7">
            <v>692634</v>
          </cell>
          <cell r="G7">
            <v>650137</v>
          </cell>
          <cell r="H7">
            <v>734818</v>
          </cell>
          <cell r="I7">
            <v>720321</v>
          </cell>
          <cell r="J7">
            <v>693306</v>
          </cell>
          <cell r="K7">
            <v>729663</v>
          </cell>
          <cell r="L7">
            <v>714512</v>
          </cell>
          <cell r="M7">
            <v>727933</v>
          </cell>
          <cell r="N7">
            <v>704244</v>
          </cell>
          <cell r="O7">
            <v>658076</v>
          </cell>
        </row>
        <row r="8">
          <cell r="C8" t="str">
            <v>Ejercito</v>
          </cell>
          <cell r="D8">
            <v>544253</v>
          </cell>
          <cell r="E8">
            <v>523407</v>
          </cell>
          <cell r="F8">
            <v>569104</v>
          </cell>
          <cell r="G8">
            <v>548964</v>
          </cell>
          <cell r="H8">
            <v>615534</v>
          </cell>
          <cell r="I8">
            <v>616028</v>
          </cell>
          <cell r="J8">
            <v>608371</v>
          </cell>
          <cell r="K8">
            <v>615838</v>
          </cell>
          <cell r="L8">
            <v>590972</v>
          </cell>
          <cell r="M8">
            <v>595113</v>
          </cell>
          <cell r="N8">
            <v>574692</v>
          </cell>
          <cell r="O8">
            <v>534277</v>
          </cell>
        </row>
        <row r="9">
          <cell r="C9" t="str">
            <v>Solís</v>
          </cell>
          <cell r="D9">
            <v>486952</v>
          </cell>
          <cell r="E9">
            <v>496721</v>
          </cell>
          <cell r="F9">
            <v>548843</v>
          </cell>
          <cell r="G9">
            <v>523604</v>
          </cell>
          <cell r="H9">
            <v>598534</v>
          </cell>
          <cell r="I9">
            <v>589276</v>
          </cell>
          <cell r="J9">
            <v>547051</v>
          </cell>
          <cell r="K9">
            <v>561228</v>
          </cell>
          <cell r="L9">
            <v>543123</v>
          </cell>
          <cell r="M9">
            <v>530960</v>
          </cell>
          <cell r="N9">
            <v>533978</v>
          </cell>
          <cell r="O9">
            <v>518270</v>
          </cell>
        </row>
        <row r="10">
          <cell r="C10" t="str">
            <v>Santiago</v>
          </cell>
          <cell r="D10">
            <v>566328</v>
          </cell>
          <cell r="E10">
            <v>546765</v>
          </cell>
          <cell r="F10">
            <v>622387</v>
          </cell>
          <cell r="G10">
            <v>564297</v>
          </cell>
          <cell r="H10">
            <v>672748</v>
          </cell>
          <cell r="I10">
            <v>623567</v>
          </cell>
          <cell r="J10">
            <v>632280</v>
          </cell>
          <cell r="K10">
            <v>644523</v>
          </cell>
          <cell r="L10">
            <v>623732</v>
          </cell>
          <cell r="M10">
            <v>663310</v>
          </cell>
          <cell r="N10">
            <v>643800</v>
          </cell>
          <cell r="O10">
            <v>617473</v>
          </cell>
        </row>
        <row r="15">
          <cell r="C15" t="str">
            <v>Jarudo</v>
          </cell>
          <cell r="D15">
            <v>24897</v>
          </cell>
          <cell r="E15">
            <v>24386</v>
          </cell>
          <cell r="F15">
            <v>28705</v>
          </cell>
          <cell r="G15">
            <v>27204</v>
          </cell>
          <cell r="H15">
            <v>24678</v>
          </cell>
          <cell r="I15">
            <v>36575</v>
          </cell>
          <cell r="J15">
            <v>31849</v>
          </cell>
          <cell r="K15">
            <v>31748</v>
          </cell>
          <cell r="L15">
            <v>31508</v>
          </cell>
          <cell r="M15">
            <v>28104</v>
          </cell>
          <cell r="N15">
            <v>26929</v>
          </cell>
          <cell r="O15">
            <v>25979</v>
          </cell>
        </row>
        <row r="16">
          <cell r="C16" t="str">
            <v>Clara</v>
          </cell>
          <cell r="D16">
            <v>13134</v>
          </cell>
          <cell r="E16">
            <v>15376</v>
          </cell>
          <cell r="F16">
            <v>19513</v>
          </cell>
          <cell r="G16">
            <v>16003</v>
          </cell>
          <cell r="H16">
            <v>18133</v>
          </cell>
          <cell r="I16">
            <v>20609</v>
          </cell>
          <cell r="J16">
            <v>18198</v>
          </cell>
          <cell r="K16">
            <v>19026</v>
          </cell>
          <cell r="L16">
            <v>18846</v>
          </cell>
          <cell r="M16">
            <v>18874</v>
          </cell>
          <cell r="N16">
            <v>18195</v>
          </cell>
          <cell r="O16">
            <v>17268</v>
          </cell>
        </row>
        <row r="17">
          <cell r="C17" t="str">
            <v>Fuentes</v>
          </cell>
          <cell r="D17">
            <v>49034</v>
          </cell>
          <cell r="E17">
            <v>51354</v>
          </cell>
          <cell r="F17">
            <v>52603</v>
          </cell>
          <cell r="G17">
            <v>54006</v>
          </cell>
          <cell r="H17">
            <v>56704</v>
          </cell>
          <cell r="I17">
            <v>59404</v>
          </cell>
          <cell r="J17">
            <v>54445</v>
          </cell>
          <cell r="K17">
            <v>57152</v>
          </cell>
          <cell r="L17">
            <v>52051</v>
          </cell>
          <cell r="M17">
            <v>58107</v>
          </cell>
          <cell r="N17">
            <v>55984</v>
          </cell>
          <cell r="O17">
            <v>52047</v>
          </cell>
        </row>
        <row r="18">
          <cell r="C18" t="str">
            <v>Satélite</v>
          </cell>
          <cell r="D18">
            <v>80832</v>
          </cell>
          <cell r="E18">
            <v>81607</v>
          </cell>
          <cell r="F18">
            <v>93964</v>
          </cell>
          <cell r="G18">
            <v>89043</v>
          </cell>
          <cell r="H18">
            <v>109413</v>
          </cell>
          <cell r="I18">
            <v>106605</v>
          </cell>
          <cell r="J18">
            <v>104905</v>
          </cell>
          <cell r="K18">
            <v>104079</v>
          </cell>
          <cell r="L18">
            <v>102657</v>
          </cell>
          <cell r="M18">
            <v>93144</v>
          </cell>
          <cell r="N18">
            <v>89750</v>
          </cell>
          <cell r="O18">
            <v>86419</v>
          </cell>
        </row>
        <row r="19">
          <cell r="C19" t="str">
            <v>Ejercito</v>
          </cell>
          <cell r="D19">
            <v>88174</v>
          </cell>
          <cell r="E19">
            <v>90564</v>
          </cell>
          <cell r="F19">
            <v>100487</v>
          </cell>
          <cell r="G19">
            <v>92023</v>
          </cell>
          <cell r="H19">
            <v>109271</v>
          </cell>
          <cell r="I19">
            <v>110241</v>
          </cell>
          <cell r="J19">
            <v>107439</v>
          </cell>
          <cell r="K19">
            <v>109407</v>
          </cell>
          <cell r="L19">
            <v>109246</v>
          </cell>
          <cell r="M19">
            <v>104779</v>
          </cell>
          <cell r="N19">
            <v>101417</v>
          </cell>
          <cell r="O19">
            <v>94010</v>
          </cell>
        </row>
        <row r="20">
          <cell r="C20" t="str">
            <v>Solís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C21" t="str">
            <v>Santiago</v>
          </cell>
          <cell r="D21">
            <v>21093</v>
          </cell>
          <cell r="E21">
            <v>20560</v>
          </cell>
          <cell r="F21">
            <v>21958</v>
          </cell>
          <cell r="G21">
            <v>19967</v>
          </cell>
          <cell r="H21">
            <v>25936</v>
          </cell>
          <cell r="I21">
            <v>26621</v>
          </cell>
          <cell r="J21">
            <v>25565</v>
          </cell>
          <cell r="K21">
            <v>25945</v>
          </cell>
          <cell r="L21">
            <v>25108</v>
          </cell>
          <cell r="M21">
            <v>17840</v>
          </cell>
          <cell r="N21">
            <v>17225</v>
          </cell>
          <cell r="O21">
            <v>16602</v>
          </cell>
        </row>
        <row r="26">
          <cell r="C26" t="str">
            <v>Jarudo</v>
          </cell>
          <cell r="D26">
            <v>173577</v>
          </cell>
          <cell r="E26">
            <v>145511</v>
          </cell>
          <cell r="F26">
            <v>154231</v>
          </cell>
          <cell r="G26">
            <v>152761</v>
          </cell>
          <cell r="H26">
            <v>167948</v>
          </cell>
          <cell r="I26">
            <v>168373</v>
          </cell>
          <cell r="J26">
            <v>170207</v>
          </cell>
          <cell r="K26">
            <v>165294</v>
          </cell>
          <cell r="L26">
            <v>167388</v>
          </cell>
          <cell r="M26">
            <v>175140</v>
          </cell>
          <cell r="N26">
            <v>169520</v>
          </cell>
          <cell r="O26">
            <v>158034</v>
          </cell>
        </row>
        <row r="27">
          <cell r="C27" t="str">
            <v>Clara</v>
          </cell>
          <cell r="D27">
            <v>90428</v>
          </cell>
          <cell r="E27">
            <v>96037</v>
          </cell>
          <cell r="F27">
            <v>86467</v>
          </cell>
          <cell r="G27">
            <v>83194</v>
          </cell>
          <cell r="H27">
            <v>87750</v>
          </cell>
          <cell r="I27">
            <v>80347</v>
          </cell>
          <cell r="J27">
            <v>82588</v>
          </cell>
          <cell r="K27">
            <v>77647</v>
          </cell>
          <cell r="L27">
            <v>88145</v>
          </cell>
          <cell r="M27">
            <v>84357</v>
          </cell>
          <cell r="N27">
            <v>85470</v>
          </cell>
          <cell r="O27">
            <v>82990</v>
          </cell>
        </row>
        <row r="28">
          <cell r="C28" t="str">
            <v>Fuentes</v>
          </cell>
          <cell r="D28">
            <v>58102</v>
          </cell>
          <cell r="E28">
            <v>54654</v>
          </cell>
          <cell r="F28">
            <v>64693</v>
          </cell>
          <cell r="G28">
            <v>58509</v>
          </cell>
          <cell r="H28">
            <v>59236</v>
          </cell>
          <cell r="I28">
            <v>62611</v>
          </cell>
          <cell r="J28">
            <v>66929</v>
          </cell>
          <cell r="K28">
            <v>53057</v>
          </cell>
          <cell r="L28">
            <v>55414</v>
          </cell>
          <cell r="M28">
            <v>61946</v>
          </cell>
          <cell r="N28">
            <v>59597</v>
          </cell>
          <cell r="O28">
            <v>55841</v>
          </cell>
        </row>
        <row r="29">
          <cell r="C29" t="str">
            <v>Satélite</v>
          </cell>
          <cell r="D29">
            <v>179484</v>
          </cell>
          <cell r="E29">
            <v>175131</v>
          </cell>
          <cell r="F29">
            <v>200439</v>
          </cell>
          <cell r="G29">
            <v>177831</v>
          </cell>
          <cell r="H29">
            <v>194488</v>
          </cell>
          <cell r="I29">
            <v>196777</v>
          </cell>
          <cell r="J29">
            <v>205965</v>
          </cell>
          <cell r="K29">
            <v>170959</v>
          </cell>
          <cell r="L29">
            <v>180201</v>
          </cell>
          <cell r="M29">
            <v>194076</v>
          </cell>
          <cell r="N29">
            <v>188412</v>
          </cell>
          <cell r="O29">
            <v>174810</v>
          </cell>
        </row>
        <row r="30">
          <cell r="C30" t="str">
            <v>Ejercito</v>
          </cell>
          <cell r="D30">
            <v>18049</v>
          </cell>
          <cell r="E30">
            <v>17466</v>
          </cell>
          <cell r="F30">
            <v>18507</v>
          </cell>
          <cell r="G30">
            <v>18607</v>
          </cell>
          <cell r="H30">
            <v>18907</v>
          </cell>
          <cell r="I30">
            <v>25475</v>
          </cell>
          <cell r="J30">
            <v>25132</v>
          </cell>
          <cell r="K30">
            <v>24141</v>
          </cell>
          <cell r="L30">
            <v>19225</v>
          </cell>
          <cell r="M30">
            <v>13894</v>
          </cell>
          <cell r="N30">
            <v>13366</v>
          </cell>
          <cell r="O30">
            <v>12426</v>
          </cell>
        </row>
        <row r="31">
          <cell r="C31" t="str">
            <v>Solís</v>
          </cell>
          <cell r="D31">
            <v>12708</v>
          </cell>
          <cell r="E31">
            <v>14563</v>
          </cell>
          <cell r="F31">
            <v>14697</v>
          </cell>
          <cell r="G31">
            <v>13868</v>
          </cell>
          <cell r="H31">
            <v>18362</v>
          </cell>
          <cell r="I31">
            <v>23827</v>
          </cell>
          <cell r="J31">
            <v>21166</v>
          </cell>
          <cell r="K31">
            <v>14287</v>
          </cell>
          <cell r="L31">
            <v>14641</v>
          </cell>
          <cell r="M31">
            <v>15965</v>
          </cell>
          <cell r="N31">
            <v>15409</v>
          </cell>
          <cell r="O31">
            <v>14382</v>
          </cell>
        </row>
        <row r="32">
          <cell r="C32" t="str">
            <v>Santiago</v>
          </cell>
          <cell r="D32">
            <v>59305</v>
          </cell>
          <cell r="E32">
            <v>58808</v>
          </cell>
          <cell r="F32">
            <v>61048</v>
          </cell>
          <cell r="G32">
            <v>58578</v>
          </cell>
          <cell r="H32">
            <v>61278</v>
          </cell>
          <cell r="I32">
            <v>60354</v>
          </cell>
          <cell r="J32">
            <v>61832</v>
          </cell>
          <cell r="K32">
            <v>63087</v>
          </cell>
          <cell r="L32">
            <v>65418</v>
          </cell>
          <cell r="M32">
            <v>69504</v>
          </cell>
          <cell r="N32">
            <v>65326</v>
          </cell>
          <cell r="O32">
            <v>63163</v>
          </cell>
        </row>
        <row r="60">
          <cell r="C60" t="str">
            <v>Jarudo</v>
          </cell>
          <cell r="D60">
            <v>5400</v>
          </cell>
          <cell r="E60">
            <v>6180</v>
          </cell>
          <cell r="F60">
            <v>8040</v>
          </cell>
          <cell r="G60">
            <v>7500</v>
          </cell>
          <cell r="H60">
            <v>6720</v>
          </cell>
          <cell r="I60">
            <v>5880</v>
          </cell>
          <cell r="J60">
            <v>6300</v>
          </cell>
          <cell r="K60">
            <v>6660</v>
          </cell>
          <cell r="L60">
            <v>5760</v>
          </cell>
          <cell r="M60">
            <v>6120</v>
          </cell>
          <cell r="N60">
            <v>6660</v>
          </cell>
          <cell r="O60">
            <v>5940</v>
          </cell>
        </row>
        <row r="61">
          <cell r="C61" t="str">
            <v>Clara</v>
          </cell>
          <cell r="D61">
            <v>6240</v>
          </cell>
          <cell r="E61">
            <v>6180</v>
          </cell>
          <cell r="F61">
            <v>6180</v>
          </cell>
          <cell r="G61">
            <v>5340</v>
          </cell>
          <cell r="H61">
            <v>7260</v>
          </cell>
          <cell r="I61">
            <v>5220</v>
          </cell>
          <cell r="J61">
            <v>5580</v>
          </cell>
          <cell r="K61">
            <v>5700</v>
          </cell>
          <cell r="L61">
            <v>5160</v>
          </cell>
          <cell r="M61">
            <v>5820</v>
          </cell>
          <cell r="N61">
            <v>5340</v>
          </cell>
          <cell r="O61">
            <v>7380</v>
          </cell>
        </row>
        <row r="62">
          <cell r="C62" t="str">
            <v>Fuentes</v>
          </cell>
          <cell r="D62">
            <v>7920</v>
          </cell>
          <cell r="E62">
            <v>8940</v>
          </cell>
          <cell r="F62">
            <v>13800</v>
          </cell>
          <cell r="G62">
            <v>7440</v>
          </cell>
          <cell r="H62">
            <v>8340</v>
          </cell>
          <cell r="I62">
            <v>9300</v>
          </cell>
          <cell r="J62">
            <v>9240</v>
          </cell>
          <cell r="K62">
            <v>8640</v>
          </cell>
          <cell r="L62">
            <v>8940</v>
          </cell>
          <cell r="M62">
            <v>7740</v>
          </cell>
          <cell r="N62">
            <v>9480</v>
          </cell>
          <cell r="O62">
            <v>9900</v>
          </cell>
        </row>
        <row r="63">
          <cell r="C63" t="str">
            <v>Satélite</v>
          </cell>
          <cell r="D63">
            <v>12720</v>
          </cell>
          <cell r="E63">
            <v>13560</v>
          </cell>
          <cell r="F63">
            <v>35280</v>
          </cell>
          <cell r="G63">
            <v>12720</v>
          </cell>
          <cell r="H63">
            <v>14640</v>
          </cell>
          <cell r="I63">
            <v>11760</v>
          </cell>
          <cell r="J63">
            <v>13920</v>
          </cell>
          <cell r="K63">
            <v>12840</v>
          </cell>
          <cell r="L63">
            <v>14340</v>
          </cell>
          <cell r="M63">
            <v>16920</v>
          </cell>
          <cell r="N63">
            <v>17580</v>
          </cell>
          <cell r="O63">
            <v>15600</v>
          </cell>
        </row>
        <row r="64">
          <cell r="C64" t="str">
            <v>Ejercito</v>
          </cell>
          <cell r="D64">
            <v>10200</v>
          </cell>
          <cell r="E64">
            <v>11280</v>
          </cell>
          <cell r="F64">
            <v>10200</v>
          </cell>
          <cell r="G64">
            <v>10740</v>
          </cell>
          <cell r="H64">
            <v>11460</v>
          </cell>
          <cell r="I64">
            <v>8580</v>
          </cell>
          <cell r="J64">
            <v>8880</v>
          </cell>
          <cell r="K64">
            <v>8880</v>
          </cell>
          <cell r="L64">
            <v>10680</v>
          </cell>
          <cell r="M64">
            <v>12600</v>
          </cell>
          <cell r="N64">
            <v>12360</v>
          </cell>
          <cell r="O64">
            <v>10800</v>
          </cell>
        </row>
        <row r="65">
          <cell r="C65" t="str">
            <v>Solís</v>
          </cell>
          <cell r="D65">
            <v>19080</v>
          </cell>
          <cell r="E65">
            <v>15300</v>
          </cell>
          <cell r="F65">
            <v>12540</v>
          </cell>
          <cell r="G65">
            <v>12180</v>
          </cell>
          <cell r="H65">
            <v>15720</v>
          </cell>
          <cell r="I65">
            <v>16860</v>
          </cell>
          <cell r="J65">
            <v>15480</v>
          </cell>
          <cell r="K65">
            <v>15120</v>
          </cell>
          <cell r="L65">
            <v>15180</v>
          </cell>
          <cell r="M65">
            <v>16920</v>
          </cell>
          <cell r="N65">
            <v>17100</v>
          </cell>
          <cell r="O65">
            <v>14640</v>
          </cell>
        </row>
        <row r="66">
          <cell r="C66" t="str">
            <v>Santiago</v>
          </cell>
          <cell r="D66">
            <v>13080</v>
          </cell>
          <cell r="E66">
            <v>10560</v>
          </cell>
          <cell r="F66">
            <v>9420</v>
          </cell>
          <cell r="G66">
            <v>13800</v>
          </cell>
          <cell r="H66">
            <v>11640</v>
          </cell>
          <cell r="I66">
            <v>13500</v>
          </cell>
          <cell r="J66">
            <v>12300</v>
          </cell>
          <cell r="K66">
            <v>10740</v>
          </cell>
          <cell r="L66">
            <v>9300</v>
          </cell>
          <cell r="M66">
            <v>10200</v>
          </cell>
          <cell r="N66">
            <v>10020</v>
          </cell>
          <cell r="O66">
            <v>12000</v>
          </cell>
        </row>
      </sheetData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WWWSE6SSTBKJDKBI5RT7E3QFJD">
      <xxl21:absoluteUrl r:id="rId2"/>
    </xxl21:alternateUrls>
    <sheetNames>
      <sheetName val="PPTO 2025"/>
      <sheetName val="TRASLADO VAL"/>
      <sheetName val="CALENDARIO 25"/>
      <sheetName val="E D"/>
      <sheetName val="F D"/>
      <sheetName val="M D"/>
      <sheetName val="A D"/>
      <sheetName val="MA D"/>
      <sheetName val="JN D"/>
      <sheetName val="JL D"/>
      <sheetName val="AG D"/>
      <sheetName val="SP D"/>
      <sheetName val="OC D"/>
      <sheetName val="N D"/>
      <sheetName val="E A"/>
      <sheetName val="F A"/>
      <sheetName val="M A"/>
      <sheetName val="A A"/>
      <sheetName val="MA A"/>
      <sheetName val="J A"/>
      <sheetName val="JL A"/>
      <sheetName val="AG A"/>
      <sheetName val="S A"/>
      <sheetName val="OC A"/>
      <sheetName val="N A"/>
      <sheetName val="E P "/>
      <sheetName val="F P"/>
      <sheetName val="M P"/>
      <sheetName val="A P"/>
      <sheetName val="MA P"/>
      <sheetName val="J P"/>
      <sheetName val="JL P"/>
      <sheetName val="AG P"/>
      <sheetName val="S P"/>
      <sheetName val="OC P"/>
      <sheetName val="N P"/>
    </sheetNames>
    <sheetDataSet>
      <sheetData sheetId="0">
        <row r="1">
          <cell r="C1" t="str">
            <v>TRASLADO DE VALORES</v>
          </cell>
          <cell r="D1" t="str">
            <v>ENE</v>
          </cell>
          <cell r="E1" t="str">
            <v>FEB</v>
          </cell>
          <cell r="F1" t="str">
            <v>MAR</v>
          </cell>
          <cell r="G1" t="str">
            <v>ABR</v>
          </cell>
          <cell r="H1" t="str">
            <v>MAY</v>
          </cell>
          <cell r="I1" t="str">
            <v>JUN</v>
          </cell>
          <cell r="J1" t="str">
            <v>JUL</v>
          </cell>
          <cell r="K1" t="str">
            <v>AGO</v>
          </cell>
          <cell r="L1" t="str">
            <v>SEP</v>
          </cell>
          <cell r="M1" t="str">
            <v>OCT</v>
          </cell>
          <cell r="N1" t="str">
            <v>NOV</v>
          </cell>
          <cell r="O1" t="str">
            <v>DIC</v>
          </cell>
          <cell r="P1" t="str">
            <v>TOTAL</v>
          </cell>
        </row>
        <row r="2">
          <cell r="C2" t="str">
            <v>Fuentes</v>
          </cell>
          <cell r="D2">
            <v>30199.394158790401</v>
          </cell>
          <cell r="E2">
            <v>28643.934710753027</v>
          </cell>
          <cell r="F2">
            <v>31725.033591305808</v>
          </cell>
          <cell r="G2">
            <v>30695.052929464648</v>
          </cell>
          <cell r="H2">
            <v>32894.678048387774</v>
          </cell>
          <cell r="I2">
            <v>32559.232415422626</v>
          </cell>
          <cell r="J2">
            <v>33048.626874941692</v>
          </cell>
          <cell r="K2">
            <v>33740.956802125103</v>
          </cell>
          <cell r="L2">
            <v>32944.683073842782</v>
          </cell>
          <cell r="M2">
            <v>33905.777972346004</v>
          </cell>
          <cell r="N2">
            <v>31888.732290366592</v>
          </cell>
          <cell r="O2">
            <v>31239.359228016947</v>
          </cell>
          <cell r="P2">
            <v>383485.46209576342</v>
          </cell>
        </row>
        <row r="3">
          <cell r="C3" t="str">
            <v>Satélite</v>
          </cell>
          <cell r="D3">
            <v>51700.585719615679</v>
          </cell>
          <cell r="E3">
            <v>50374.513717876966</v>
          </cell>
          <cell r="F3">
            <v>56344.988177167834</v>
          </cell>
          <cell r="G3">
            <v>53548.609773839293</v>
          </cell>
          <cell r="H3">
            <v>58682.85910438688</v>
          </cell>
          <cell r="I3">
            <v>57990.135038375935</v>
          </cell>
          <cell r="J3">
            <v>57753.389626235723</v>
          </cell>
          <cell r="K3">
            <v>58025.416903934107</v>
          </cell>
          <cell r="L3">
            <v>57704.902637713305</v>
          </cell>
          <cell r="M3">
            <v>58977.712076014766</v>
          </cell>
          <cell r="N3">
            <v>57752.884053654314</v>
          </cell>
          <cell r="O3">
            <v>55749.735352109361</v>
          </cell>
          <cell r="P3">
            <v>674605.73218092392</v>
          </cell>
        </row>
        <row r="4">
          <cell r="C4" t="str">
            <v>Ejercito</v>
          </cell>
          <cell r="D4">
            <v>45610.968573373437</v>
          </cell>
          <cell r="E4">
            <v>43555.974141518876</v>
          </cell>
          <cell r="F4">
            <v>48050.358224403484</v>
          </cell>
          <cell r="G4">
            <v>46855.127272375852</v>
          </cell>
          <cell r="H4">
            <v>50649.054634819331</v>
          </cell>
          <cell r="I4">
            <v>50848.351635011488</v>
          </cell>
          <cell r="J4">
            <v>50752.290668304566</v>
          </cell>
          <cell r="K4">
            <v>51718.993143528307</v>
          </cell>
          <cell r="L4">
            <v>50083.42131232057</v>
          </cell>
          <cell r="M4">
            <v>50140.632207437819</v>
          </cell>
          <cell r="N4">
            <v>49099.394183065888</v>
          </cell>
          <cell r="O4">
            <v>47536.355793037183</v>
          </cell>
          <cell r="P4">
            <v>584900.92178919679</v>
          </cell>
        </row>
        <row r="5">
          <cell r="C5" t="str">
            <v>Solís</v>
          </cell>
          <cell r="D5">
            <v>48743.859526140164</v>
          </cell>
          <cell r="E5">
            <v>47689.915462878322</v>
          </cell>
          <cell r="F5">
            <v>52976.899807099304</v>
          </cell>
          <cell r="G5">
            <v>51612.957157470388</v>
          </cell>
          <cell r="H5">
            <v>55915.705293873383</v>
          </cell>
          <cell r="I5">
            <v>55401.789146692085</v>
          </cell>
          <cell r="J5">
            <v>53354.887221171193</v>
          </cell>
          <cell r="K5">
            <v>54334.725776606501</v>
          </cell>
          <cell r="L5">
            <v>52966.183228801725</v>
          </cell>
          <cell r="M5">
            <v>52806.037907758626</v>
          </cell>
          <cell r="N5">
            <v>52968.247496755364</v>
          </cell>
          <cell r="O5">
            <v>52871.24275604936</v>
          </cell>
          <cell r="P5">
            <v>631642.45078129636</v>
          </cell>
        </row>
        <row r="6">
          <cell r="C6" t="str">
            <v>Santiago</v>
          </cell>
          <cell r="D6">
            <v>57901.802320211747</v>
          </cell>
          <cell r="E6">
            <v>55173.665625634691</v>
          </cell>
          <cell r="F6">
            <v>62069.28421464542</v>
          </cell>
          <cell r="G6">
            <v>58718.046791740693</v>
          </cell>
          <cell r="H6">
            <v>65259.397381618946</v>
          </cell>
          <cell r="I6">
            <v>62199.358926817986</v>
          </cell>
          <cell r="J6">
            <v>63215.625518925561</v>
          </cell>
          <cell r="K6">
            <v>64765.337438796414</v>
          </cell>
          <cell r="L6">
            <v>63388.519800297523</v>
          </cell>
          <cell r="M6">
            <v>65984.387769845154</v>
          </cell>
          <cell r="N6">
            <v>64651.789818936333</v>
          </cell>
          <cell r="O6">
            <v>63884.609098006724</v>
          </cell>
          <cell r="P6">
            <v>747211.82470547734</v>
          </cell>
        </row>
        <row r="7">
          <cell r="C7" t="str">
            <v>Clara</v>
          </cell>
          <cell r="D7">
            <v>12236.064738561792</v>
          </cell>
          <cell r="E7">
            <v>11736.629175079361</v>
          </cell>
          <cell r="F7">
            <v>12572.197742030536</v>
          </cell>
          <cell r="G7">
            <v>12326.111833569479</v>
          </cell>
          <cell r="H7">
            <v>12695.288748895398</v>
          </cell>
          <cell r="I7">
            <v>12411.588242192171</v>
          </cell>
          <cell r="J7">
            <v>12292.311469975146</v>
          </cell>
          <cell r="K7">
            <v>12603.782632339517</v>
          </cell>
          <cell r="L7">
            <v>12585.537477760947</v>
          </cell>
          <cell r="M7">
            <v>12684.621416019609</v>
          </cell>
          <cell r="N7">
            <v>12659.144723738846</v>
          </cell>
          <cell r="O7">
            <v>12673.754055531739</v>
          </cell>
          <cell r="P7">
            <v>149477.03225569456</v>
          </cell>
        </row>
        <row r="8">
          <cell r="C8" t="str">
            <v>Jarudo</v>
          </cell>
          <cell r="D8">
            <v>16057.752267804561</v>
          </cell>
          <cell r="E8">
            <v>14913.73028098746</v>
          </cell>
          <cell r="F8">
            <v>16399.25373401519</v>
          </cell>
          <cell r="G8">
            <v>16055.702715763169</v>
          </cell>
          <cell r="H8">
            <v>17169.468083239251</v>
          </cell>
          <cell r="I8">
            <v>17064.844583369962</v>
          </cell>
          <cell r="J8">
            <v>17331.076505804645</v>
          </cell>
          <cell r="K8">
            <v>17684.397100660426</v>
          </cell>
          <cell r="L8">
            <v>17375.109001271365</v>
          </cell>
          <cell r="M8">
            <v>17726.29465698477</v>
          </cell>
          <cell r="N8">
            <v>17387.749200825478</v>
          </cell>
          <cell r="O8">
            <v>16948.782440470517</v>
          </cell>
          <cell r="P8">
            <v>202114.16057119681</v>
          </cell>
        </row>
        <row r="9">
          <cell r="C9" t="str">
            <v>TOTAL</v>
          </cell>
          <cell r="D9">
            <v>262450.4273044978</v>
          </cell>
          <cell r="E9">
            <v>252088.36311472871</v>
          </cell>
          <cell r="F9">
            <v>280138.01549066755</v>
          </cell>
          <cell r="G9">
            <v>269811.60847422353</v>
          </cell>
          <cell r="H9">
            <v>293266.45129522099</v>
          </cell>
          <cell r="I9">
            <v>288475.29998788226</v>
          </cell>
          <cell r="J9">
            <v>287748.2078853586</v>
          </cell>
          <cell r="K9">
            <v>292873.60979799036</v>
          </cell>
          <cell r="L9">
            <v>287048.35653200821</v>
          </cell>
          <cell r="M9">
            <v>292225.46400640672</v>
          </cell>
          <cell r="N9">
            <v>286407.9417673428</v>
          </cell>
          <cell r="O9">
            <v>280903.83872322185</v>
          </cell>
          <cell r="P9">
            <v>3373437.5843795491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R6HWJIUNG6YBGLFCHU5WSNGSYG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Jarudo</v>
          </cell>
          <cell r="W8">
            <v>63054</v>
          </cell>
          <cell r="X8">
            <v>63054</v>
          </cell>
          <cell r="Y8">
            <v>63054</v>
          </cell>
          <cell r="Z8">
            <v>63054</v>
          </cell>
          <cell r="AA8">
            <v>63054</v>
          </cell>
          <cell r="AB8">
            <v>63054</v>
          </cell>
          <cell r="AC8">
            <v>63054</v>
          </cell>
          <cell r="AD8">
            <v>63054</v>
          </cell>
          <cell r="AE8">
            <v>65576.160000000003</v>
          </cell>
          <cell r="AF8">
            <v>65576.160000000003</v>
          </cell>
          <cell r="AG8">
            <v>65576.160000000003</v>
          </cell>
          <cell r="AH8">
            <v>65576.160000000003</v>
          </cell>
          <cell r="AI8">
            <v>766736.64000000013</v>
          </cell>
        </row>
        <row r="9">
          <cell r="V9" t="str">
            <v>Clara</v>
          </cell>
          <cell r="W9">
            <v>63054</v>
          </cell>
          <cell r="X9">
            <v>63054</v>
          </cell>
          <cell r="Y9">
            <v>63054</v>
          </cell>
          <cell r="Z9">
            <v>63054</v>
          </cell>
          <cell r="AA9">
            <v>63054</v>
          </cell>
          <cell r="AB9">
            <v>63054</v>
          </cell>
          <cell r="AC9">
            <v>63054</v>
          </cell>
          <cell r="AD9">
            <v>63054</v>
          </cell>
          <cell r="AE9">
            <v>65576.160000000003</v>
          </cell>
          <cell r="AF9">
            <v>65576.160000000003</v>
          </cell>
          <cell r="AG9">
            <v>65576.160000000003</v>
          </cell>
          <cell r="AH9">
            <v>65576.160000000003</v>
          </cell>
          <cell r="AI9">
            <v>766736.64000000013</v>
          </cell>
        </row>
        <row r="10">
          <cell r="V10" t="str">
            <v>Fuentes</v>
          </cell>
          <cell r="W10">
            <v>63054</v>
          </cell>
          <cell r="X10">
            <v>63054</v>
          </cell>
          <cell r="Y10">
            <v>63054</v>
          </cell>
          <cell r="Z10">
            <v>63054</v>
          </cell>
          <cell r="AA10">
            <v>63054</v>
          </cell>
          <cell r="AB10">
            <v>63054</v>
          </cell>
          <cell r="AC10">
            <v>63054</v>
          </cell>
          <cell r="AD10">
            <v>63054</v>
          </cell>
          <cell r="AE10">
            <v>65576.160000000003</v>
          </cell>
          <cell r="AF10">
            <v>65576.160000000003</v>
          </cell>
          <cell r="AG10">
            <v>65576.160000000003</v>
          </cell>
          <cell r="AH10">
            <v>65576.160000000003</v>
          </cell>
          <cell r="AI10">
            <v>766736.64000000013</v>
          </cell>
        </row>
        <row r="11">
          <cell r="V11" t="str">
            <v>Satélite</v>
          </cell>
          <cell r="W11">
            <v>63054</v>
          </cell>
          <cell r="X11">
            <v>63054</v>
          </cell>
          <cell r="Y11">
            <v>63054</v>
          </cell>
          <cell r="Z11">
            <v>63054</v>
          </cell>
          <cell r="AA11">
            <v>63054</v>
          </cell>
          <cell r="AB11">
            <v>63054</v>
          </cell>
          <cell r="AC11">
            <v>63054</v>
          </cell>
          <cell r="AD11">
            <v>63054</v>
          </cell>
          <cell r="AE11">
            <v>65576.160000000003</v>
          </cell>
          <cell r="AF11">
            <v>65576.160000000003</v>
          </cell>
          <cell r="AG11">
            <v>65576.160000000003</v>
          </cell>
          <cell r="AH11">
            <v>65576.160000000003</v>
          </cell>
          <cell r="AI11">
            <v>766736.64000000013</v>
          </cell>
        </row>
        <row r="12">
          <cell r="V12" t="str">
            <v>Ejercito</v>
          </cell>
          <cell r="W12">
            <v>63054</v>
          </cell>
          <cell r="X12">
            <v>63054</v>
          </cell>
          <cell r="Y12">
            <v>63054</v>
          </cell>
          <cell r="Z12">
            <v>63054</v>
          </cell>
          <cell r="AA12">
            <v>63054</v>
          </cell>
          <cell r="AB12">
            <v>63054</v>
          </cell>
          <cell r="AC12">
            <v>63054</v>
          </cell>
          <cell r="AD12">
            <v>63054</v>
          </cell>
          <cell r="AE12">
            <v>65576.160000000003</v>
          </cell>
          <cell r="AF12">
            <v>65576.160000000003</v>
          </cell>
          <cell r="AG12">
            <v>65576.160000000003</v>
          </cell>
          <cell r="AH12">
            <v>65576.160000000003</v>
          </cell>
          <cell r="AI12">
            <v>766736.64000000013</v>
          </cell>
        </row>
        <row r="13">
          <cell r="V13" t="str">
            <v>Solís</v>
          </cell>
          <cell r="W13">
            <v>63054</v>
          </cell>
          <cell r="X13">
            <v>63054</v>
          </cell>
          <cell r="Y13">
            <v>63054</v>
          </cell>
          <cell r="Z13">
            <v>63054</v>
          </cell>
          <cell r="AA13">
            <v>63054</v>
          </cell>
          <cell r="AB13">
            <v>63054</v>
          </cell>
          <cell r="AC13">
            <v>63054</v>
          </cell>
          <cell r="AD13">
            <v>63054</v>
          </cell>
          <cell r="AE13">
            <v>65576.160000000003</v>
          </cell>
          <cell r="AF13">
            <v>65576.160000000003</v>
          </cell>
          <cell r="AG13">
            <v>65576.160000000003</v>
          </cell>
          <cell r="AH13">
            <v>65576.160000000003</v>
          </cell>
          <cell r="AI13">
            <v>766736.64000000013</v>
          </cell>
        </row>
        <row r="14">
          <cell r="V14" t="str">
            <v>Santiago</v>
          </cell>
          <cell r="W14">
            <v>63054</v>
          </cell>
          <cell r="X14">
            <v>63054</v>
          </cell>
          <cell r="Y14">
            <v>63054</v>
          </cell>
          <cell r="Z14">
            <v>63054</v>
          </cell>
          <cell r="AA14">
            <v>63054</v>
          </cell>
          <cell r="AB14">
            <v>63054</v>
          </cell>
          <cell r="AC14">
            <v>63054</v>
          </cell>
          <cell r="AD14">
            <v>63054</v>
          </cell>
          <cell r="AE14">
            <v>65576.160000000003</v>
          </cell>
          <cell r="AF14">
            <v>65576.160000000003</v>
          </cell>
          <cell r="AG14">
            <v>65576.160000000003</v>
          </cell>
          <cell r="AH14">
            <v>65576.160000000003</v>
          </cell>
          <cell r="AI14">
            <v>766736.64000000013</v>
          </cell>
        </row>
        <row r="32">
          <cell r="V32" t="str">
            <v>Jarudo</v>
          </cell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</row>
        <row r="33">
          <cell r="V33" t="str">
            <v>Clara</v>
          </cell>
          <cell r="W33"/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</row>
        <row r="34">
          <cell r="V34" t="str">
            <v>Fuentes</v>
          </cell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</row>
        <row r="35">
          <cell r="V35" t="str">
            <v>Satélite</v>
          </cell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</row>
        <row r="36">
          <cell r="V36" t="str">
            <v>Ejercito</v>
          </cell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</row>
        <row r="37">
          <cell r="V37" t="str">
            <v>Solís</v>
          </cell>
          <cell r="W37">
            <v>73902</v>
          </cell>
          <cell r="X37">
            <v>76113</v>
          </cell>
          <cell r="Y37">
            <v>76330</v>
          </cell>
          <cell r="Z37">
            <v>76069</v>
          </cell>
          <cell r="AA37">
            <v>73101</v>
          </cell>
          <cell r="AB37">
            <v>71573</v>
          </cell>
          <cell r="AC37">
            <v>71573</v>
          </cell>
          <cell r="AD37">
            <v>69959</v>
          </cell>
          <cell r="AE37">
            <v>69377</v>
          </cell>
          <cell r="AF37">
            <v>71874.677160000007</v>
          </cell>
          <cell r="AG37">
            <v>71874.677160000007</v>
          </cell>
          <cell r="AH37">
            <v>71874.677160000007</v>
          </cell>
        </row>
        <row r="38">
          <cell r="V38" t="str">
            <v>Santiago</v>
          </cell>
          <cell r="W38">
            <v>84242</v>
          </cell>
          <cell r="X38">
            <v>84242</v>
          </cell>
          <cell r="Y38">
            <v>84482</v>
          </cell>
          <cell r="Z38">
            <v>84193</v>
          </cell>
          <cell r="AA38">
            <v>80687</v>
          </cell>
          <cell r="AB38">
            <v>79859</v>
          </cell>
          <cell r="AC38">
            <v>77582</v>
          </cell>
          <cell r="AD38">
            <v>77430</v>
          </cell>
          <cell r="AE38">
            <v>76803</v>
          </cell>
          <cell r="AF38">
            <v>84632.215200000006</v>
          </cell>
          <cell r="AG38">
            <v>84632.215200000006</v>
          </cell>
          <cell r="AH38">
            <v>84632.215200000006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UEA32R4JRYWVGJ556KUJNELBRE">
      <xxl21:absoluteUrl r:id="rId2"/>
    </xxl21:alternateUrls>
    <sheetNames>
      <sheetName val="Resumen"/>
      <sheetName val="Detalle"/>
      <sheetName val="Evidencias"/>
      <sheetName val="Presupues Vs Gasto Real 2024"/>
    </sheetNames>
    <sheetDataSet>
      <sheetData sheetId="0">
        <row r="9">
          <cell r="C9" t="str">
            <v>Jarudo</v>
          </cell>
          <cell r="D9">
            <v>1380</v>
          </cell>
          <cell r="E9">
            <v>1380</v>
          </cell>
          <cell r="F9">
            <v>1380</v>
          </cell>
          <cell r="G9">
            <v>1380</v>
          </cell>
          <cell r="H9">
            <v>1380</v>
          </cell>
          <cell r="I9">
            <v>1380</v>
          </cell>
          <cell r="J9">
            <v>1380</v>
          </cell>
          <cell r="K9">
            <v>1380</v>
          </cell>
          <cell r="L9">
            <v>1380</v>
          </cell>
          <cell r="M9">
            <v>1380</v>
          </cell>
          <cell r="N9">
            <v>1380</v>
          </cell>
          <cell r="O9">
            <v>1380</v>
          </cell>
        </row>
        <row r="10">
          <cell r="C10" t="str">
            <v>Clara</v>
          </cell>
          <cell r="D10">
            <v>1380</v>
          </cell>
          <cell r="E10">
            <v>1380</v>
          </cell>
          <cell r="F10">
            <v>1380</v>
          </cell>
          <cell r="G10">
            <v>1380</v>
          </cell>
          <cell r="H10">
            <v>1380</v>
          </cell>
          <cell r="I10">
            <v>1380</v>
          </cell>
          <cell r="J10">
            <v>1380</v>
          </cell>
          <cell r="K10">
            <v>1380</v>
          </cell>
          <cell r="L10">
            <v>1380</v>
          </cell>
          <cell r="M10">
            <v>1380</v>
          </cell>
          <cell r="N10">
            <v>1380</v>
          </cell>
          <cell r="O10">
            <v>1380</v>
          </cell>
        </row>
        <row r="11">
          <cell r="C11" t="str">
            <v>Fuentes</v>
          </cell>
          <cell r="D11">
            <v>1380</v>
          </cell>
          <cell r="E11">
            <v>1380</v>
          </cell>
          <cell r="F11">
            <v>1380</v>
          </cell>
          <cell r="G11">
            <v>1380</v>
          </cell>
          <cell r="H11">
            <v>1380</v>
          </cell>
          <cell r="I11">
            <v>1380</v>
          </cell>
          <cell r="J11">
            <v>1380</v>
          </cell>
          <cell r="K11">
            <v>1380</v>
          </cell>
          <cell r="L11">
            <v>1380</v>
          </cell>
          <cell r="M11">
            <v>1380</v>
          </cell>
          <cell r="N11">
            <v>1380</v>
          </cell>
          <cell r="O11">
            <v>1380</v>
          </cell>
        </row>
        <row r="12">
          <cell r="C12" t="str">
            <v>Satélite</v>
          </cell>
          <cell r="D12">
            <v>1380</v>
          </cell>
          <cell r="E12">
            <v>1380</v>
          </cell>
          <cell r="F12">
            <v>1380</v>
          </cell>
          <cell r="G12">
            <v>1380</v>
          </cell>
          <cell r="H12">
            <v>1380</v>
          </cell>
          <cell r="I12">
            <v>1380</v>
          </cell>
          <cell r="J12">
            <v>1380</v>
          </cell>
          <cell r="K12">
            <v>1380</v>
          </cell>
          <cell r="L12">
            <v>1380</v>
          </cell>
          <cell r="M12">
            <v>1380</v>
          </cell>
          <cell r="N12">
            <v>1380</v>
          </cell>
          <cell r="O12">
            <v>1380</v>
          </cell>
        </row>
        <row r="13">
          <cell r="C13" t="str">
            <v>Ejercito</v>
          </cell>
          <cell r="D13">
            <v>1380</v>
          </cell>
          <cell r="E13">
            <v>1380</v>
          </cell>
          <cell r="F13">
            <v>1380</v>
          </cell>
          <cell r="G13">
            <v>1380</v>
          </cell>
          <cell r="H13">
            <v>1380</v>
          </cell>
          <cell r="I13">
            <v>1380</v>
          </cell>
          <cell r="J13">
            <v>1380</v>
          </cell>
          <cell r="K13">
            <v>1380</v>
          </cell>
          <cell r="L13">
            <v>1380</v>
          </cell>
          <cell r="M13">
            <v>1380</v>
          </cell>
          <cell r="N13">
            <v>1380</v>
          </cell>
          <cell r="O13">
            <v>1380</v>
          </cell>
        </row>
        <row r="14">
          <cell r="C14" t="str">
            <v>Solís</v>
          </cell>
          <cell r="D14">
            <v>1380</v>
          </cell>
          <cell r="E14">
            <v>1380</v>
          </cell>
          <cell r="F14">
            <v>1380</v>
          </cell>
          <cell r="G14">
            <v>1380</v>
          </cell>
          <cell r="H14">
            <v>1380</v>
          </cell>
          <cell r="I14">
            <v>1380</v>
          </cell>
          <cell r="J14">
            <v>1380</v>
          </cell>
          <cell r="K14">
            <v>1380</v>
          </cell>
          <cell r="L14">
            <v>1380</v>
          </cell>
          <cell r="M14">
            <v>1380</v>
          </cell>
          <cell r="N14">
            <v>1380</v>
          </cell>
          <cell r="O14">
            <v>1380</v>
          </cell>
        </row>
        <row r="15">
          <cell r="C15" t="str">
            <v>Santiago</v>
          </cell>
          <cell r="D15">
            <v>1380</v>
          </cell>
          <cell r="E15">
            <v>1380</v>
          </cell>
          <cell r="F15">
            <v>1380</v>
          </cell>
          <cell r="G15">
            <v>1380</v>
          </cell>
          <cell r="H15">
            <v>1380</v>
          </cell>
          <cell r="I15">
            <v>1380</v>
          </cell>
          <cell r="J15">
            <v>1380</v>
          </cell>
          <cell r="K15">
            <v>1380</v>
          </cell>
          <cell r="L15">
            <v>1380</v>
          </cell>
          <cell r="M15">
            <v>1380</v>
          </cell>
          <cell r="N15">
            <v>1380</v>
          </cell>
          <cell r="O15">
            <v>1380</v>
          </cell>
        </row>
        <row r="21">
          <cell r="C21" t="str">
            <v>Jarudo</v>
          </cell>
          <cell r="D21">
            <v>4000</v>
          </cell>
          <cell r="E21">
            <v>4000</v>
          </cell>
          <cell r="F21">
            <v>0</v>
          </cell>
          <cell r="G21">
            <v>0</v>
          </cell>
          <cell r="H21">
            <v>1600</v>
          </cell>
          <cell r="I21">
            <v>0</v>
          </cell>
          <cell r="J21">
            <v>4000</v>
          </cell>
          <cell r="K21">
            <v>4000</v>
          </cell>
          <cell r="L21">
            <v>0</v>
          </cell>
          <cell r="M21">
            <v>0</v>
          </cell>
          <cell r="N21">
            <v>1600</v>
          </cell>
          <cell r="O21">
            <v>0</v>
          </cell>
        </row>
        <row r="22">
          <cell r="C22" t="str">
            <v>Clara</v>
          </cell>
          <cell r="D22">
            <v>3200</v>
          </cell>
          <cell r="E22">
            <v>3200</v>
          </cell>
          <cell r="F22">
            <v>0</v>
          </cell>
          <cell r="G22">
            <v>0</v>
          </cell>
          <cell r="H22">
            <v>1600</v>
          </cell>
          <cell r="I22">
            <v>0</v>
          </cell>
          <cell r="J22">
            <v>3200</v>
          </cell>
          <cell r="K22">
            <v>3200</v>
          </cell>
          <cell r="L22">
            <v>0</v>
          </cell>
          <cell r="M22">
            <v>0</v>
          </cell>
          <cell r="N22">
            <v>1600</v>
          </cell>
          <cell r="O22">
            <v>0</v>
          </cell>
        </row>
        <row r="23">
          <cell r="C23" t="str">
            <v>Fuentes</v>
          </cell>
          <cell r="D23">
            <v>4000</v>
          </cell>
          <cell r="E23">
            <v>4000</v>
          </cell>
          <cell r="F23">
            <v>0</v>
          </cell>
          <cell r="G23">
            <v>0</v>
          </cell>
          <cell r="H23">
            <v>1600</v>
          </cell>
          <cell r="I23">
            <v>0</v>
          </cell>
          <cell r="J23">
            <v>4000</v>
          </cell>
          <cell r="K23">
            <v>4000</v>
          </cell>
          <cell r="L23">
            <v>0</v>
          </cell>
          <cell r="M23">
            <v>0</v>
          </cell>
          <cell r="N23">
            <v>1600</v>
          </cell>
          <cell r="O23">
            <v>0</v>
          </cell>
        </row>
        <row r="24">
          <cell r="C24" t="str">
            <v>Satélite</v>
          </cell>
          <cell r="D24">
            <v>6000</v>
          </cell>
          <cell r="E24">
            <v>6000</v>
          </cell>
          <cell r="F24">
            <v>0</v>
          </cell>
          <cell r="G24">
            <v>0</v>
          </cell>
          <cell r="H24">
            <v>1600</v>
          </cell>
          <cell r="I24">
            <v>0</v>
          </cell>
          <cell r="J24">
            <v>6000</v>
          </cell>
          <cell r="K24">
            <v>6000</v>
          </cell>
          <cell r="L24">
            <v>0</v>
          </cell>
          <cell r="M24">
            <v>0</v>
          </cell>
          <cell r="N24">
            <v>1600</v>
          </cell>
          <cell r="O24">
            <v>0</v>
          </cell>
        </row>
        <row r="25">
          <cell r="C25" t="str">
            <v>Ejercito</v>
          </cell>
          <cell r="D25">
            <v>5600</v>
          </cell>
          <cell r="E25">
            <v>5600</v>
          </cell>
          <cell r="F25">
            <v>0</v>
          </cell>
          <cell r="G25">
            <v>0</v>
          </cell>
          <cell r="H25">
            <v>1600</v>
          </cell>
          <cell r="I25">
            <v>0</v>
          </cell>
          <cell r="J25">
            <v>5600</v>
          </cell>
          <cell r="K25">
            <v>5600</v>
          </cell>
          <cell r="L25">
            <v>0</v>
          </cell>
          <cell r="M25">
            <v>0</v>
          </cell>
          <cell r="N25">
            <v>1600</v>
          </cell>
          <cell r="O25">
            <v>0</v>
          </cell>
        </row>
        <row r="26">
          <cell r="C26" t="str">
            <v>Solís</v>
          </cell>
          <cell r="D26">
            <v>1600</v>
          </cell>
          <cell r="E26">
            <v>1600</v>
          </cell>
          <cell r="F26">
            <v>0</v>
          </cell>
          <cell r="G26">
            <v>0</v>
          </cell>
          <cell r="H26">
            <v>1600</v>
          </cell>
          <cell r="I26">
            <v>0</v>
          </cell>
          <cell r="J26">
            <v>1600</v>
          </cell>
          <cell r="K26">
            <v>1600</v>
          </cell>
          <cell r="L26">
            <v>0</v>
          </cell>
          <cell r="M26">
            <v>0</v>
          </cell>
          <cell r="N26">
            <v>1600</v>
          </cell>
          <cell r="O26">
            <v>0</v>
          </cell>
        </row>
        <row r="27">
          <cell r="C27" t="str">
            <v>Santiago</v>
          </cell>
          <cell r="D27">
            <v>1600</v>
          </cell>
          <cell r="E27">
            <v>1600</v>
          </cell>
          <cell r="F27">
            <v>0</v>
          </cell>
          <cell r="G27">
            <v>0</v>
          </cell>
          <cell r="H27">
            <v>1600</v>
          </cell>
          <cell r="I27">
            <v>0</v>
          </cell>
          <cell r="J27">
            <v>1600</v>
          </cell>
          <cell r="K27">
            <v>1600</v>
          </cell>
          <cell r="L27">
            <v>0</v>
          </cell>
          <cell r="M27">
            <v>0</v>
          </cell>
          <cell r="N27">
            <v>1600</v>
          </cell>
          <cell r="O27">
            <v>0</v>
          </cell>
        </row>
        <row r="32">
          <cell r="C32" t="str">
            <v>Alias</v>
          </cell>
          <cell r="D32" t="str">
            <v>Ene</v>
          </cell>
          <cell r="E32" t="str">
            <v>Feb</v>
          </cell>
          <cell r="F32" t="str">
            <v>Mar</v>
          </cell>
          <cell r="G32" t="str">
            <v>Abr</v>
          </cell>
          <cell r="H32" t="str">
            <v>May</v>
          </cell>
          <cell r="I32" t="str">
            <v>Jun</v>
          </cell>
          <cell r="J32" t="str">
            <v>Jul</v>
          </cell>
          <cell r="K32" t="str">
            <v>Ago</v>
          </cell>
          <cell r="L32" t="str">
            <v>Sep</v>
          </cell>
          <cell r="M32" t="str">
            <v>Oct</v>
          </cell>
          <cell r="N32" t="str">
            <v>Nov</v>
          </cell>
          <cell r="O32" t="str">
            <v>Dic</v>
          </cell>
        </row>
        <row r="33">
          <cell r="C33" t="str">
            <v>Jarudo</v>
          </cell>
          <cell r="D33">
            <v>1000</v>
          </cell>
          <cell r="E33">
            <v>1000</v>
          </cell>
          <cell r="F33">
            <v>1000</v>
          </cell>
          <cell r="G33">
            <v>1000</v>
          </cell>
          <cell r="H33">
            <v>1000</v>
          </cell>
          <cell r="I33">
            <v>1000</v>
          </cell>
          <cell r="J33">
            <v>1000</v>
          </cell>
          <cell r="K33">
            <v>1000</v>
          </cell>
          <cell r="L33">
            <v>1000</v>
          </cell>
          <cell r="M33">
            <v>1000</v>
          </cell>
          <cell r="N33">
            <v>1000</v>
          </cell>
          <cell r="O33">
            <v>1000</v>
          </cell>
        </row>
        <row r="34">
          <cell r="C34" t="str">
            <v>Clara</v>
          </cell>
          <cell r="D34">
            <v>1000</v>
          </cell>
          <cell r="E34">
            <v>1000</v>
          </cell>
          <cell r="F34">
            <v>1000</v>
          </cell>
          <cell r="G34">
            <v>1000</v>
          </cell>
          <cell r="H34">
            <v>1000</v>
          </cell>
          <cell r="I34">
            <v>1000</v>
          </cell>
          <cell r="J34">
            <v>1000</v>
          </cell>
          <cell r="K34">
            <v>1000</v>
          </cell>
          <cell r="L34">
            <v>1000</v>
          </cell>
          <cell r="M34">
            <v>1000</v>
          </cell>
          <cell r="N34">
            <v>1000</v>
          </cell>
          <cell r="O34">
            <v>1000</v>
          </cell>
        </row>
        <row r="35">
          <cell r="C35" t="str">
            <v>Fuentes</v>
          </cell>
          <cell r="D35">
            <v>1000</v>
          </cell>
          <cell r="E35">
            <v>1000</v>
          </cell>
          <cell r="F35">
            <v>1000</v>
          </cell>
          <cell r="G35">
            <v>1000</v>
          </cell>
          <cell r="H35">
            <v>1000</v>
          </cell>
          <cell r="I35">
            <v>1000</v>
          </cell>
          <cell r="J35">
            <v>1000</v>
          </cell>
          <cell r="K35">
            <v>1000</v>
          </cell>
          <cell r="L35">
            <v>1000</v>
          </cell>
          <cell r="M35">
            <v>1000</v>
          </cell>
          <cell r="N35">
            <v>1000</v>
          </cell>
          <cell r="O35">
            <v>1000</v>
          </cell>
        </row>
        <row r="36">
          <cell r="C36" t="str">
            <v>Satélite</v>
          </cell>
          <cell r="D36">
            <v>1000</v>
          </cell>
          <cell r="E36">
            <v>1000</v>
          </cell>
          <cell r="F36">
            <v>1000</v>
          </cell>
          <cell r="G36">
            <v>1000</v>
          </cell>
          <cell r="H36">
            <v>1000</v>
          </cell>
          <cell r="I36">
            <v>1000</v>
          </cell>
          <cell r="J36">
            <v>1000</v>
          </cell>
          <cell r="K36">
            <v>1000</v>
          </cell>
          <cell r="L36">
            <v>1000</v>
          </cell>
          <cell r="M36">
            <v>1000</v>
          </cell>
          <cell r="N36">
            <v>1000</v>
          </cell>
          <cell r="O36">
            <v>1000</v>
          </cell>
        </row>
        <row r="37">
          <cell r="C37" t="str">
            <v>Ejercito</v>
          </cell>
          <cell r="D37">
            <v>1000</v>
          </cell>
          <cell r="E37">
            <v>1000</v>
          </cell>
          <cell r="F37">
            <v>1000</v>
          </cell>
          <cell r="G37">
            <v>1000</v>
          </cell>
          <cell r="H37">
            <v>1000</v>
          </cell>
          <cell r="I37">
            <v>1000</v>
          </cell>
          <cell r="J37">
            <v>1000</v>
          </cell>
          <cell r="K37">
            <v>1000</v>
          </cell>
          <cell r="L37">
            <v>1000</v>
          </cell>
          <cell r="M37">
            <v>1000</v>
          </cell>
          <cell r="N37">
            <v>1000</v>
          </cell>
          <cell r="O37">
            <v>1000</v>
          </cell>
        </row>
        <row r="38">
          <cell r="C38" t="str">
            <v>Solís</v>
          </cell>
          <cell r="D38">
            <v>1000</v>
          </cell>
          <cell r="E38">
            <v>1000</v>
          </cell>
          <cell r="F38">
            <v>1000</v>
          </cell>
          <cell r="G38">
            <v>1000</v>
          </cell>
          <cell r="H38">
            <v>1000</v>
          </cell>
          <cell r="I38">
            <v>1000</v>
          </cell>
          <cell r="J38">
            <v>1000</v>
          </cell>
          <cell r="K38">
            <v>1000</v>
          </cell>
          <cell r="L38">
            <v>1000</v>
          </cell>
          <cell r="M38">
            <v>1000</v>
          </cell>
          <cell r="N38">
            <v>1000</v>
          </cell>
          <cell r="O38">
            <v>1000</v>
          </cell>
        </row>
        <row r="39">
          <cell r="C39" t="str">
            <v>Santiago</v>
          </cell>
          <cell r="D39">
            <v>1000</v>
          </cell>
          <cell r="E39">
            <v>1000</v>
          </cell>
          <cell r="F39">
            <v>1000</v>
          </cell>
          <cell r="G39">
            <v>1000</v>
          </cell>
          <cell r="H39">
            <v>1000</v>
          </cell>
          <cell r="I39">
            <v>1000</v>
          </cell>
          <cell r="J39">
            <v>1000</v>
          </cell>
          <cell r="K39">
            <v>1000</v>
          </cell>
          <cell r="L39">
            <v>1000</v>
          </cell>
          <cell r="M39">
            <v>1000</v>
          </cell>
          <cell r="N39">
            <v>1000</v>
          </cell>
          <cell r="O39">
            <v>1000</v>
          </cell>
        </row>
        <row r="45">
          <cell r="C45" t="str">
            <v>Jarudo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C46" t="str">
            <v>Clara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C47" t="str">
            <v>Fuentes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C48" t="str">
            <v>Satélite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C49" t="str">
            <v>Ejercito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C50" t="str">
            <v>Solís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C51" t="str">
            <v>Santiago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TX6WYCUZIBVFCJNSR37PVMQJYT">
      <xxl21:absoluteUrl r:id="rId2"/>
    </xxl21:alternateUrls>
    <sheetNames>
      <sheetName val="Resumen"/>
      <sheetName val="Detalle"/>
      <sheetName val="Evidencias"/>
    </sheetNames>
    <sheetDataSet>
      <sheetData sheetId="0">
        <row r="9">
          <cell r="C9" t="str">
            <v>Jarudo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1242.1199999999999</v>
          </cell>
        </row>
        <row r="10">
          <cell r="C10" t="str">
            <v>Clara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1242.1199999999999</v>
          </cell>
        </row>
        <row r="11">
          <cell r="C11" t="str">
            <v>Fuentes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1242.1199999999999</v>
          </cell>
        </row>
        <row r="12">
          <cell r="C12" t="str">
            <v>Satélite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1242.1199999999999</v>
          </cell>
        </row>
        <row r="13">
          <cell r="C13" t="str">
            <v>Ejercito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1242.1199999999999</v>
          </cell>
        </row>
        <row r="14">
          <cell r="C14" t="str">
            <v>Solís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1242.1199999999999</v>
          </cell>
        </row>
        <row r="15">
          <cell r="C15" t="str">
            <v>Santiago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1242.1199999999999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XXKUUOOIBAANDLTGRUYLLW3V6C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Jarudo</v>
          </cell>
          <cell r="W8">
            <v>48524.502285245682</v>
          </cell>
          <cell r="X8">
            <v>51561.260940158158</v>
          </cell>
          <cell r="Y8">
            <v>59135.661151772183</v>
          </cell>
          <cell r="Z8">
            <v>54376.492270090966</v>
          </cell>
          <cell r="AA8">
            <v>61544.241685149937</v>
          </cell>
          <cell r="AB8">
            <v>60885.727019111626</v>
          </cell>
          <cell r="AC8">
            <v>66313.287581320692</v>
          </cell>
          <cell r="AD8">
            <v>55210.394493422107</v>
          </cell>
          <cell r="AE8">
            <v>65693.857672619561</v>
          </cell>
          <cell r="AF8">
            <v>66649.106073965042</v>
          </cell>
          <cell r="AG8">
            <v>62517.786080002239</v>
          </cell>
          <cell r="AH8">
            <v>64953.583275528945</v>
          </cell>
        </row>
        <row r="9">
          <cell r="V9" t="str">
            <v>Clara</v>
          </cell>
          <cell r="W9">
            <v>20118.848655810863</v>
          </cell>
          <cell r="X9">
            <v>21377.925718018774</v>
          </cell>
          <cell r="Y9">
            <v>24518.36414271827</v>
          </cell>
          <cell r="Z9">
            <v>22545.15485774427</v>
          </cell>
          <cell r="AA9">
            <v>25516.990917734023</v>
          </cell>
          <cell r="AB9">
            <v>25243.962730329305</v>
          </cell>
          <cell r="AC9">
            <v>27494.295333009792</v>
          </cell>
          <cell r="AD9">
            <v>22890.900858936016</v>
          </cell>
          <cell r="AE9">
            <v>27237.472161227764</v>
          </cell>
          <cell r="AF9">
            <v>27633.529763269747</v>
          </cell>
          <cell r="AG9">
            <v>25920.634261144511</v>
          </cell>
          <cell r="AH9">
            <v>26930.545395214009</v>
          </cell>
        </row>
        <row r="10">
          <cell r="V10" t="str">
            <v>Fuentes</v>
          </cell>
          <cell r="W10">
            <v>40492.506859720685</v>
          </cell>
          <cell r="X10">
            <v>43026.607466101319</v>
          </cell>
          <cell r="Y10">
            <v>49347.258644017835</v>
          </cell>
          <cell r="Z10">
            <v>45375.848953811874</v>
          </cell>
          <cell r="AA10">
            <v>51357.160017074122</v>
          </cell>
          <cell r="AB10">
            <v>50807.645681511516</v>
          </cell>
          <cell r="AC10">
            <v>55336.811833590211</v>
          </cell>
          <cell r="AD10">
            <v>46071.719903710095</v>
          </cell>
          <cell r="AE10">
            <v>54819.912769283408</v>
          </cell>
          <cell r="AF10">
            <v>55617.044128134672</v>
          </cell>
          <cell r="AG10">
            <v>52169.558933709399</v>
          </cell>
          <cell r="AH10">
            <v>54202.17194370916</v>
          </cell>
        </row>
        <row r="11">
          <cell r="V11" t="str">
            <v>Satélite</v>
          </cell>
          <cell r="W11">
            <v>87091.983487665202</v>
          </cell>
          <cell r="X11">
            <v>92542.370862582786</v>
          </cell>
          <cell r="Y11">
            <v>106136.93664052863</v>
          </cell>
          <cell r="Z11">
            <v>97595.160050592982</v>
          </cell>
          <cell r="AA11">
            <v>110459.86724594835</v>
          </cell>
          <cell r="AB11">
            <v>109277.96231709693</v>
          </cell>
          <cell r="AC11">
            <v>119019.3711435805</v>
          </cell>
          <cell r="AD11">
            <v>99091.851314683823</v>
          </cell>
          <cell r="AE11">
            <v>117907.61570375669</v>
          </cell>
          <cell r="AF11">
            <v>119622.09960526174</v>
          </cell>
          <cell r="AG11">
            <v>112207.18887456742</v>
          </cell>
          <cell r="AH11">
            <v>116578.96806119528</v>
          </cell>
        </row>
        <row r="12">
          <cell r="V12" t="str">
            <v>Ejercito</v>
          </cell>
          <cell r="W12">
            <v>60332.635678815102</v>
          </cell>
          <cell r="X12">
            <v>64108.370512617446</v>
          </cell>
          <cell r="Y12">
            <v>73525.953525968594</v>
          </cell>
          <cell r="Z12">
            <v>67608.670735832027</v>
          </cell>
          <cell r="AA12">
            <v>76520.647030894062</v>
          </cell>
          <cell r="AB12">
            <v>75701.886949611857</v>
          </cell>
          <cell r="AC12">
            <v>82450.210345069572</v>
          </cell>
          <cell r="AD12">
            <v>68645.497836834344</v>
          </cell>
          <cell r="AE12">
            <v>81680.046051770041</v>
          </cell>
          <cell r="AF12">
            <v>82867.748162393691</v>
          </cell>
          <cell r="AG12">
            <v>77731.097350332697</v>
          </cell>
          <cell r="AH12">
            <v>80759.630521498824</v>
          </cell>
        </row>
        <row r="13">
          <cell r="V13" t="str">
            <v>Solís</v>
          </cell>
          <cell r="W13">
            <v>47314.568704502512</v>
          </cell>
          <cell r="X13">
            <v>50275.607339628034</v>
          </cell>
          <cell r="Y13">
            <v>57661.143766176363</v>
          </cell>
          <cell r="Z13">
            <v>53020.642320021325</v>
          </cell>
          <cell r="AA13">
            <v>60009.667579093046</v>
          </cell>
          <cell r="AB13">
            <v>59367.572638560996</v>
          </cell>
          <cell r="AC13">
            <v>64659.799761446338</v>
          </cell>
          <cell r="AD13">
            <v>53833.751619045208</v>
          </cell>
          <cell r="AE13">
            <v>64055.815019870228</v>
          </cell>
          <cell r="AF13">
            <v>64987.244792186917</v>
          </cell>
          <cell r="AG13">
            <v>60958.937143700779</v>
          </cell>
          <cell r="AH13">
            <v>63333.998985252641</v>
          </cell>
        </row>
        <row r="14">
          <cell r="V14" t="str">
            <v>Santiago</v>
          </cell>
          <cell r="W14">
            <v>52922.241828239989</v>
          </cell>
          <cell r="X14">
            <v>56234.219660893526</v>
          </cell>
          <cell r="Y14">
            <v>64495.082128818161</v>
          </cell>
          <cell r="Z14">
            <v>59304.593311906588</v>
          </cell>
          <cell r="AA14">
            <v>67121.950524106505</v>
          </cell>
          <cell r="AB14">
            <v>66403.755163777823</v>
          </cell>
          <cell r="AC14">
            <v>72323.211501982936</v>
          </cell>
          <cell r="AD14">
            <v>60214.071473368458</v>
          </cell>
          <cell r="AE14">
            <v>71647.643121472342</v>
          </cell>
          <cell r="AF14">
            <v>72689.464974788221</v>
          </cell>
          <cell r="AG14">
            <v>68183.726523209683</v>
          </cell>
          <cell r="AH14">
            <v>70840.278206490082</v>
          </cell>
        </row>
        <row r="32">
          <cell r="V32" t="str">
            <v>Jarudo</v>
          </cell>
          <cell r="W32">
            <v>0</v>
          </cell>
          <cell r="X32">
            <v>0</v>
          </cell>
          <cell r="Y32">
            <v>0</v>
          </cell>
          <cell r="Z32">
            <v>3560.7439999999997</v>
          </cell>
          <cell r="AA32">
            <v>0</v>
          </cell>
          <cell r="AB32">
            <v>0</v>
          </cell>
          <cell r="AC32">
            <v>0</v>
          </cell>
          <cell r="AD32">
            <v>2184.0609999999997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</row>
        <row r="33">
          <cell r="V33" t="str">
            <v>Clara</v>
          </cell>
          <cell r="W33">
            <v>0</v>
          </cell>
          <cell r="X33">
            <v>0</v>
          </cell>
          <cell r="Y33">
            <v>0</v>
          </cell>
          <cell r="Z33">
            <v>3560.7439999999997</v>
          </cell>
          <cell r="AA33">
            <v>0</v>
          </cell>
          <cell r="AB33">
            <v>0</v>
          </cell>
          <cell r="AC33">
            <v>0</v>
          </cell>
          <cell r="AD33">
            <v>2184.0609999999997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</row>
        <row r="34">
          <cell r="V34" t="str">
            <v>Fuentes</v>
          </cell>
          <cell r="W34">
            <v>0</v>
          </cell>
          <cell r="X34">
            <v>7670.0909999999994</v>
          </cell>
          <cell r="Y34">
            <v>0</v>
          </cell>
          <cell r="Z34">
            <v>3560.7439999999997</v>
          </cell>
          <cell r="AA34">
            <v>0</v>
          </cell>
          <cell r="AB34">
            <v>0</v>
          </cell>
          <cell r="AC34">
            <v>0</v>
          </cell>
          <cell r="AD34">
            <v>2184.0609999999997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V35" t="str">
            <v>Satélite</v>
          </cell>
          <cell r="W35">
            <v>0</v>
          </cell>
          <cell r="X35">
            <v>0</v>
          </cell>
          <cell r="Y35">
            <v>0</v>
          </cell>
          <cell r="Z35">
            <v>3560.7439999999997</v>
          </cell>
          <cell r="AA35">
            <v>0</v>
          </cell>
          <cell r="AB35">
            <v>0</v>
          </cell>
          <cell r="AC35">
            <v>8228.0098999999991</v>
          </cell>
          <cell r="AD35">
            <v>2184.0609999999997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V36" t="str">
            <v>Ejercito</v>
          </cell>
          <cell r="W36">
            <v>0</v>
          </cell>
          <cell r="X36">
            <v>0</v>
          </cell>
          <cell r="Y36">
            <v>0</v>
          </cell>
          <cell r="Z36">
            <v>3560.7439999999997</v>
          </cell>
          <cell r="AA36">
            <v>0</v>
          </cell>
          <cell r="AB36">
            <v>0</v>
          </cell>
          <cell r="AC36">
            <v>7670.0909999999994</v>
          </cell>
          <cell r="AD36">
            <v>2184.0609999999997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V37" t="str">
            <v>Solís</v>
          </cell>
          <cell r="W37">
            <v>0</v>
          </cell>
          <cell r="X37">
            <v>0</v>
          </cell>
          <cell r="Y37">
            <v>0</v>
          </cell>
          <cell r="Z37">
            <v>3560.7439999999997</v>
          </cell>
          <cell r="AA37">
            <v>0</v>
          </cell>
          <cell r="AB37">
            <v>0</v>
          </cell>
          <cell r="AC37">
            <v>0</v>
          </cell>
          <cell r="AD37">
            <v>2184.0609999999997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V38" t="str">
            <v>Santiago</v>
          </cell>
          <cell r="W38">
            <v>0</v>
          </cell>
          <cell r="X38">
            <v>7788.0923999999995</v>
          </cell>
          <cell r="Y38">
            <v>0</v>
          </cell>
          <cell r="Z38">
            <v>3560.7439999999997</v>
          </cell>
          <cell r="AA38">
            <v>0</v>
          </cell>
          <cell r="AB38">
            <v>0</v>
          </cell>
          <cell r="AC38">
            <v>0</v>
          </cell>
          <cell r="AD38">
            <v>2184.0609999999997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44">
          <cell r="V44" t="str">
            <v>Jarudo</v>
          </cell>
          <cell r="W44">
            <v>1500</v>
          </cell>
          <cell r="X44">
            <v>1500</v>
          </cell>
          <cell r="Y44">
            <v>1500</v>
          </cell>
          <cell r="Z44">
            <v>1500</v>
          </cell>
          <cell r="AA44">
            <v>1500</v>
          </cell>
          <cell r="AB44">
            <v>1500</v>
          </cell>
          <cell r="AC44">
            <v>1500</v>
          </cell>
          <cell r="AD44">
            <v>1500</v>
          </cell>
          <cell r="AE44">
            <v>1500</v>
          </cell>
          <cell r="AF44">
            <v>1500</v>
          </cell>
          <cell r="AG44">
            <v>1500</v>
          </cell>
          <cell r="AH44">
            <v>1500</v>
          </cell>
        </row>
        <row r="45">
          <cell r="V45" t="str">
            <v>Clara</v>
          </cell>
          <cell r="W45">
            <v>1500</v>
          </cell>
          <cell r="X45">
            <v>1500</v>
          </cell>
          <cell r="Y45">
            <v>1500</v>
          </cell>
          <cell r="Z45">
            <v>1500</v>
          </cell>
          <cell r="AA45">
            <v>1500</v>
          </cell>
          <cell r="AB45">
            <v>1500</v>
          </cell>
          <cell r="AC45">
            <v>1500</v>
          </cell>
          <cell r="AD45">
            <v>1500</v>
          </cell>
          <cell r="AE45">
            <v>1500</v>
          </cell>
          <cell r="AF45">
            <v>1500</v>
          </cell>
          <cell r="AG45">
            <v>1500</v>
          </cell>
          <cell r="AH45">
            <v>1500</v>
          </cell>
        </row>
        <row r="46">
          <cell r="V46" t="str">
            <v>Fuentes</v>
          </cell>
          <cell r="W46">
            <v>1500</v>
          </cell>
          <cell r="X46">
            <v>1500</v>
          </cell>
          <cell r="Y46">
            <v>1500</v>
          </cell>
          <cell r="Z46">
            <v>1500</v>
          </cell>
          <cell r="AA46">
            <v>1500</v>
          </cell>
          <cell r="AB46">
            <v>1500</v>
          </cell>
          <cell r="AC46">
            <v>1500</v>
          </cell>
          <cell r="AD46">
            <v>1500</v>
          </cell>
          <cell r="AE46">
            <v>1500</v>
          </cell>
          <cell r="AF46">
            <v>1500</v>
          </cell>
          <cell r="AG46">
            <v>1500</v>
          </cell>
          <cell r="AH46">
            <v>1500</v>
          </cell>
        </row>
        <row r="47">
          <cell r="V47" t="str">
            <v>Satélite</v>
          </cell>
          <cell r="W47">
            <v>1500</v>
          </cell>
          <cell r="X47">
            <v>1500</v>
          </cell>
          <cell r="Y47">
            <v>1500</v>
          </cell>
          <cell r="Z47">
            <v>1500</v>
          </cell>
          <cell r="AA47">
            <v>1500</v>
          </cell>
          <cell r="AB47">
            <v>1500</v>
          </cell>
          <cell r="AC47">
            <v>1500</v>
          </cell>
          <cell r="AD47">
            <v>1500</v>
          </cell>
          <cell r="AE47">
            <v>1500</v>
          </cell>
          <cell r="AF47">
            <v>1500</v>
          </cell>
          <cell r="AG47">
            <v>1500</v>
          </cell>
          <cell r="AH47">
            <v>1500</v>
          </cell>
        </row>
        <row r="48">
          <cell r="V48" t="str">
            <v>Ejercito</v>
          </cell>
          <cell r="W48">
            <v>1500</v>
          </cell>
          <cell r="X48">
            <v>1500</v>
          </cell>
          <cell r="Y48">
            <v>1500</v>
          </cell>
          <cell r="Z48">
            <v>1500</v>
          </cell>
          <cell r="AA48">
            <v>1500</v>
          </cell>
          <cell r="AB48">
            <v>1500</v>
          </cell>
          <cell r="AC48">
            <v>1500</v>
          </cell>
          <cell r="AD48">
            <v>1500</v>
          </cell>
          <cell r="AE48">
            <v>1500</v>
          </cell>
          <cell r="AF48">
            <v>1500</v>
          </cell>
          <cell r="AG48">
            <v>1500</v>
          </cell>
          <cell r="AH48">
            <v>1500</v>
          </cell>
        </row>
        <row r="49">
          <cell r="V49" t="str">
            <v>Solís</v>
          </cell>
          <cell r="W49">
            <v>1500</v>
          </cell>
          <cell r="X49">
            <v>1500</v>
          </cell>
          <cell r="Y49">
            <v>1500</v>
          </cell>
          <cell r="Z49">
            <v>1500</v>
          </cell>
          <cell r="AA49">
            <v>1500</v>
          </cell>
          <cell r="AB49">
            <v>1500</v>
          </cell>
          <cell r="AC49">
            <v>1500</v>
          </cell>
          <cell r="AD49">
            <v>1500</v>
          </cell>
          <cell r="AE49">
            <v>1500</v>
          </cell>
          <cell r="AF49">
            <v>1500</v>
          </cell>
          <cell r="AG49">
            <v>1500</v>
          </cell>
          <cell r="AH49">
            <v>1500</v>
          </cell>
        </row>
        <row r="50">
          <cell r="V50" t="str">
            <v>Santiago</v>
          </cell>
          <cell r="W50">
            <v>1500</v>
          </cell>
          <cell r="X50">
            <v>1500</v>
          </cell>
          <cell r="Y50">
            <v>1500</v>
          </cell>
          <cell r="Z50">
            <v>1500</v>
          </cell>
          <cell r="AA50">
            <v>1500</v>
          </cell>
          <cell r="AB50">
            <v>1500</v>
          </cell>
          <cell r="AC50">
            <v>1500</v>
          </cell>
          <cell r="AD50">
            <v>1500</v>
          </cell>
          <cell r="AE50">
            <v>1500</v>
          </cell>
          <cell r="AF50">
            <v>1500</v>
          </cell>
          <cell r="AG50">
            <v>1500</v>
          </cell>
          <cell r="AH50">
            <v>1500</v>
          </cell>
        </row>
        <row r="56">
          <cell r="V56" t="str">
            <v>Jarudo</v>
          </cell>
          <cell r="W56">
            <v>93646.532099999997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</row>
        <row r="57">
          <cell r="V57" t="str">
            <v>Clara</v>
          </cell>
          <cell r="W57">
            <v>15808.047199999999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</row>
        <row r="58">
          <cell r="V58" t="str">
            <v>Fuentes</v>
          </cell>
          <cell r="W58">
            <v>24008.109399999998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</row>
        <row r="59">
          <cell r="V59" t="str">
            <v>Satélite</v>
          </cell>
          <cell r="W59">
            <v>130390.51189999998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</row>
        <row r="60">
          <cell r="V60" t="str">
            <v>Ejercito</v>
          </cell>
          <cell r="W60">
            <v>104215.93819999999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</row>
        <row r="61">
          <cell r="V61" t="str">
            <v>Solís</v>
          </cell>
          <cell r="W61">
            <v>5949.4442699999991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</row>
        <row r="62">
          <cell r="V62" t="str">
            <v>Santiago</v>
          </cell>
          <cell r="W62">
            <v>32511.455899999997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</row>
        <row r="68">
          <cell r="V68" t="str">
            <v>Jarudo</v>
          </cell>
          <cell r="W68">
            <v>39010.8488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V69" t="str">
            <v>Clara</v>
          </cell>
          <cell r="W69">
            <v>39010.8488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V70" t="str">
            <v>Fuentes</v>
          </cell>
          <cell r="W70">
            <v>39010.8488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V71" t="str">
            <v>Satélite</v>
          </cell>
          <cell r="W71">
            <v>39010.8488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2">
          <cell r="V72" t="str">
            <v>Ejercito</v>
          </cell>
          <cell r="W72">
            <v>39010.8488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</row>
        <row r="73">
          <cell r="V73" t="str">
            <v>Solís</v>
          </cell>
          <cell r="W73">
            <v>39010.8488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V74" t="str">
            <v>Santiago</v>
          </cell>
          <cell r="W74">
            <v>39010.8488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80">
          <cell r="V80" t="str">
            <v>Jarudo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4201.305284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V81" t="str">
            <v>Clara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4201.305284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V82" t="str">
            <v>Fuentes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4201.305284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V83" t="str">
            <v>Satélite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4201.305284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V84" t="str">
            <v>Ejercito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4201.305284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V85" t="str">
            <v>Solís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4201.305284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V86" t="str">
            <v>Santiago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4201.305284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104">
          <cell r="V104" t="str">
            <v>Jarudo</v>
          </cell>
          <cell r="W104">
            <v>18219.830199999997</v>
          </cell>
          <cell r="X104">
            <v>16659.934499999999</v>
          </cell>
          <cell r="Y104">
            <v>15608.272899999998</v>
          </cell>
          <cell r="Z104">
            <v>13096.0852</v>
          </cell>
          <cell r="AA104">
            <v>15115.565299999998</v>
          </cell>
          <cell r="AB104">
            <v>14526.593399999998</v>
          </cell>
          <cell r="AC104">
            <v>16482.932399999998</v>
          </cell>
          <cell r="AD104">
            <v>14841.263799999999</v>
          </cell>
          <cell r="AE104">
            <v>15786.310099999999</v>
          </cell>
          <cell r="AF104">
            <v>15703.502099999998</v>
          </cell>
          <cell r="AG104">
            <v>15443.691999999999</v>
          </cell>
          <cell r="AH104">
            <v>15644.501399999999</v>
          </cell>
        </row>
        <row r="105">
          <cell r="V105" t="str">
            <v>Clara</v>
          </cell>
          <cell r="W105">
            <v>12323.900599999999</v>
          </cell>
          <cell r="X105">
            <v>25898.201999999997</v>
          </cell>
          <cell r="Y105">
            <v>17553.2258</v>
          </cell>
          <cell r="Z105">
            <v>17294.450799999999</v>
          </cell>
          <cell r="AA105">
            <v>19337.7382</v>
          </cell>
          <cell r="AB105">
            <v>16983.9208</v>
          </cell>
          <cell r="AC105">
            <v>19337.7382</v>
          </cell>
          <cell r="AD105">
            <v>19849.077599999997</v>
          </cell>
          <cell r="AE105">
            <v>20633.683399999998</v>
          </cell>
          <cell r="AF105">
            <v>19940.166399999998</v>
          </cell>
          <cell r="AG105">
            <v>20140.975799999997</v>
          </cell>
          <cell r="AH105">
            <v>20238.275199999996</v>
          </cell>
        </row>
        <row r="106">
          <cell r="V106" t="str">
            <v>Fuentes</v>
          </cell>
          <cell r="W106">
            <v>11914.000999999998</v>
          </cell>
          <cell r="X106">
            <v>10787.812199999998</v>
          </cell>
          <cell r="Y106">
            <v>10849.918199999998</v>
          </cell>
          <cell r="Z106">
            <v>10741.232699999999</v>
          </cell>
          <cell r="AA106">
            <v>8999.1593999999986</v>
          </cell>
          <cell r="AB106">
            <v>9108.8799999999992</v>
          </cell>
          <cell r="AC106">
            <v>10478.317299999999</v>
          </cell>
          <cell r="AD106">
            <v>10223.682699999999</v>
          </cell>
          <cell r="AE106">
            <v>9278.6363999999994</v>
          </cell>
          <cell r="AF106">
            <v>9993.5454666666647</v>
          </cell>
          <cell r="AG106">
            <v>9831.9548555555539</v>
          </cell>
          <cell r="AH106">
            <v>9701.3789074074066</v>
          </cell>
        </row>
        <row r="107">
          <cell r="V107" t="str">
            <v>Satélite</v>
          </cell>
          <cell r="W107">
            <v>19432.967399999998</v>
          </cell>
          <cell r="X107">
            <v>19001.330699999999</v>
          </cell>
          <cell r="Y107">
            <v>20166.853299999999</v>
          </cell>
          <cell r="Z107">
            <v>19903.937899999997</v>
          </cell>
          <cell r="AA107">
            <v>18170.145399999998</v>
          </cell>
          <cell r="AB107">
            <v>17234.414999999997</v>
          </cell>
          <cell r="AC107">
            <v>20761.000699999997</v>
          </cell>
          <cell r="AD107">
            <v>19382.247499999998</v>
          </cell>
          <cell r="AE107">
            <v>10957.568599999999</v>
          </cell>
          <cell r="AF107">
            <v>17033.605599999999</v>
          </cell>
          <cell r="AG107">
            <v>15791.140566666669</v>
          </cell>
          <cell r="AH107">
            <v>14594.104922222219</v>
          </cell>
        </row>
        <row r="108">
          <cell r="V108" t="str">
            <v>Ejercito</v>
          </cell>
          <cell r="W108">
            <v>11416.117899999999</v>
          </cell>
          <cell r="X108">
            <v>10164.681999999999</v>
          </cell>
          <cell r="Y108">
            <v>10091.189899999999</v>
          </cell>
          <cell r="Z108">
            <v>10137.769399999999</v>
          </cell>
          <cell r="AA108">
            <v>12901.486399999998</v>
          </cell>
          <cell r="AB108">
            <v>11931.597699999998</v>
          </cell>
          <cell r="AC108">
            <v>13981.095699999998</v>
          </cell>
          <cell r="AD108">
            <v>12611.658399999998</v>
          </cell>
          <cell r="AE108">
            <v>18886.434599999997</v>
          </cell>
          <cell r="AF108">
            <v>15159.729566666669</v>
          </cell>
          <cell r="AG108">
            <v>15552.607522222219</v>
          </cell>
          <cell r="AH108">
            <v>16532.923896296288</v>
          </cell>
        </row>
        <row r="109">
          <cell r="V109" t="str">
            <v>Solís</v>
          </cell>
          <cell r="W109">
            <v>8332.5549999999985</v>
          </cell>
          <cell r="X109">
            <v>7475.4921999999997</v>
          </cell>
          <cell r="Y109">
            <v>7169.1025999999993</v>
          </cell>
          <cell r="Z109">
            <v>7307.8059999999996</v>
          </cell>
          <cell r="AA109">
            <v>7976.480599999999</v>
          </cell>
          <cell r="AB109">
            <v>8305.6423999999988</v>
          </cell>
          <cell r="AC109">
            <v>9792.0459999999985</v>
          </cell>
          <cell r="AD109">
            <v>8784.8936999999987</v>
          </cell>
          <cell r="AE109">
            <v>10171.927699999998</v>
          </cell>
          <cell r="AF109">
            <v>9582.9557999999997</v>
          </cell>
          <cell r="AG109">
            <v>9513.2590666666656</v>
          </cell>
          <cell r="AH109">
            <v>9756.0475222222194</v>
          </cell>
        </row>
        <row r="110">
          <cell r="V110" t="str">
            <v>Santiago</v>
          </cell>
          <cell r="W110">
            <v>8502.3113999999987</v>
          </cell>
          <cell r="X110">
            <v>7587.2829999999994</v>
          </cell>
          <cell r="Y110">
            <v>8290.1158999999989</v>
          </cell>
          <cell r="Z110">
            <v>8287.0105999999996</v>
          </cell>
          <cell r="AA110">
            <v>9028.1421999999984</v>
          </cell>
          <cell r="AB110">
            <v>8354.2920999999988</v>
          </cell>
          <cell r="AC110">
            <v>10538.353099999998</v>
          </cell>
          <cell r="AD110">
            <v>8983.6328999999987</v>
          </cell>
          <cell r="AE110">
            <v>12219.3555</v>
          </cell>
          <cell r="AF110">
            <v>10580.447166666669</v>
          </cell>
          <cell r="AG110">
            <v>10594.47852222222</v>
          </cell>
          <cell r="AH110">
            <v>11131.427062962959</v>
          </cell>
        </row>
        <row r="140">
          <cell r="V140" t="str">
            <v>Jarudo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</row>
        <row r="141">
          <cell r="V141" t="str">
            <v>Clara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</row>
        <row r="142">
          <cell r="V142" t="str">
            <v>Fuentes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V143" t="str">
            <v>Satélite</v>
          </cell>
          <cell r="W143">
            <v>0</v>
          </cell>
          <cell r="X143">
            <v>0</v>
          </cell>
          <cell r="Y143">
            <v>349346.24999999994</v>
          </cell>
          <cell r="Z143">
            <v>0</v>
          </cell>
          <cell r="AA143">
            <v>15505.797999999999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</row>
        <row r="144">
          <cell r="V144" t="str">
            <v>Ejercito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5">
          <cell r="V145" t="str">
            <v>Solís</v>
          </cell>
          <cell r="W145">
            <v>0</v>
          </cell>
          <cell r="X145">
            <v>0</v>
          </cell>
          <cell r="Y145">
            <v>9037.4580999999998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V146" t="str">
            <v>Santiago</v>
          </cell>
          <cell r="W146">
            <v>15505.797999999999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UQG5FUP65PANHIMLPLQBTEQAML">
      <xxl21:absoluteUrl r:id="rId2"/>
    </xxl21:alternateUrls>
    <sheetNames>
      <sheetName val="Resumen"/>
      <sheetName val="Detalle"/>
      <sheetName val="Evidencia"/>
    </sheetNames>
    <sheetDataSet>
      <sheetData sheetId="0">
        <row r="10">
          <cell r="V10" t="str">
            <v>Jarudo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18528.289999999997</v>
          </cell>
          <cell r="AF10">
            <v>0</v>
          </cell>
          <cell r="AG10">
            <v>0</v>
          </cell>
          <cell r="AH10">
            <v>0</v>
          </cell>
        </row>
        <row r="11">
          <cell r="V11" t="str">
            <v>Clara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18528.289999999997</v>
          </cell>
          <cell r="AF11">
            <v>0</v>
          </cell>
          <cell r="AG11">
            <v>0</v>
          </cell>
          <cell r="AH11">
            <v>0</v>
          </cell>
        </row>
        <row r="12">
          <cell r="V12" t="str">
            <v>Fuentes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18528.289999999997</v>
          </cell>
          <cell r="AF12">
            <v>0</v>
          </cell>
          <cell r="AG12">
            <v>0</v>
          </cell>
          <cell r="AH12">
            <v>0</v>
          </cell>
        </row>
        <row r="13">
          <cell r="V13" t="str">
            <v>Satélite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18528.289999999997</v>
          </cell>
          <cell r="AF13">
            <v>0</v>
          </cell>
          <cell r="AG13">
            <v>0</v>
          </cell>
          <cell r="AH13">
            <v>0</v>
          </cell>
        </row>
        <row r="14">
          <cell r="V14" t="str">
            <v>Ejercito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18528.289999999997</v>
          </cell>
          <cell r="AF14">
            <v>0</v>
          </cell>
          <cell r="AG14">
            <v>0</v>
          </cell>
          <cell r="AH14">
            <v>0</v>
          </cell>
        </row>
        <row r="15">
          <cell r="V15" t="str">
            <v>Solís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18528.289999999997</v>
          </cell>
          <cell r="AF15">
            <v>0</v>
          </cell>
          <cell r="AG15">
            <v>0</v>
          </cell>
          <cell r="AH15">
            <v>0</v>
          </cell>
        </row>
        <row r="16">
          <cell r="V16" t="str">
            <v>Santiago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18528.289999999997</v>
          </cell>
          <cell r="AF16">
            <v>0</v>
          </cell>
          <cell r="AG16">
            <v>0</v>
          </cell>
          <cell r="AH16">
            <v>0</v>
          </cell>
        </row>
        <row r="22">
          <cell r="V22" t="str">
            <v>Jarudo</v>
          </cell>
          <cell r="W22">
            <v>0</v>
          </cell>
          <cell r="X22">
            <v>36228.5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</row>
        <row r="23">
          <cell r="V23" t="str">
            <v>Clara</v>
          </cell>
          <cell r="W23">
            <v>0</v>
          </cell>
          <cell r="X23">
            <v>36228.5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</row>
        <row r="24">
          <cell r="V24" t="str">
            <v>Fuentes</v>
          </cell>
          <cell r="W24">
            <v>0</v>
          </cell>
          <cell r="X24">
            <v>36228.5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</row>
        <row r="25">
          <cell r="V25" t="str">
            <v>Satélite</v>
          </cell>
          <cell r="W25">
            <v>0</v>
          </cell>
          <cell r="X25">
            <v>36228.5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</row>
        <row r="26">
          <cell r="V26" t="str">
            <v>Ejercito</v>
          </cell>
          <cell r="W26">
            <v>0</v>
          </cell>
          <cell r="X26">
            <v>36228.5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</row>
        <row r="27">
          <cell r="V27" t="str">
            <v>Solís</v>
          </cell>
          <cell r="W27">
            <v>0</v>
          </cell>
          <cell r="X27">
            <v>36228.5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</row>
        <row r="28">
          <cell r="V28" t="str">
            <v>Santiago</v>
          </cell>
          <cell r="W28">
            <v>0</v>
          </cell>
          <cell r="X28">
            <v>36228.5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</row>
        <row r="34">
          <cell r="V34" t="str">
            <v>Jarudo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22169.771799999999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</row>
        <row r="35">
          <cell r="V35" t="str">
            <v>Clara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22169.771799999999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</row>
        <row r="36">
          <cell r="V36" t="str">
            <v>Fuentes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22169.771799999999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</row>
        <row r="37">
          <cell r="V37" t="str">
            <v>Satélite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22169.771799999999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</row>
        <row r="38">
          <cell r="V38" t="str">
            <v>Ejercito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22169.771799999999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</row>
        <row r="39">
          <cell r="V39" t="str">
            <v>Solís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22169.771799999999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</row>
        <row r="40">
          <cell r="V40" t="str">
            <v>Santiago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22169.771799999999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</row>
        <row r="46">
          <cell r="V46" t="str">
            <v>Jarudo</v>
          </cell>
          <cell r="W46">
            <v>0</v>
          </cell>
          <cell r="X46">
            <v>6314.11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</row>
        <row r="47">
          <cell r="V47" t="str">
            <v>Clara</v>
          </cell>
          <cell r="W47">
            <v>0</v>
          </cell>
          <cell r="X47">
            <v>6314.11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</row>
        <row r="48">
          <cell r="V48" t="str">
            <v>Fuentes</v>
          </cell>
          <cell r="W48">
            <v>0</v>
          </cell>
          <cell r="X48">
            <v>6314.11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</row>
        <row r="49">
          <cell r="V49" t="str">
            <v>Satélite</v>
          </cell>
          <cell r="W49">
            <v>0</v>
          </cell>
          <cell r="X49">
            <v>6314.11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</row>
        <row r="50">
          <cell r="V50" t="str">
            <v>Ejercito</v>
          </cell>
          <cell r="W50">
            <v>0</v>
          </cell>
          <cell r="X50">
            <v>6314.11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</row>
        <row r="51">
          <cell r="V51" t="str">
            <v>Solís</v>
          </cell>
          <cell r="W51">
            <v>0</v>
          </cell>
          <cell r="X51">
            <v>6314.11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</row>
        <row r="52">
          <cell r="V52" t="str">
            <v>Santiago</v>
          </cell>
          <cell r="W52">
            <v>0</v>
          </cell>
          <cell r="X52">
            <v>6314.11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</row>
        <row r="58">
          <cell r="V58" t="str">
            <v>Jarudo</v>
          </cell>
          <cell r="W58">
            <v>41616.656264413999</v>
          </cell>
          <cell r="X58">
            <v>29134.157487148997</v>
          </cell>
          <cell r="Y58">
            <v>38976.131773721994</v>
          </cell>
          <cell r="Z58">
            <v>31870.705803408997</v>
          </cell>
          <cell r="AA58">
            <v>35855.506507512997</v>
          </cell>
          <cell r="AB58">
            <v>31150.559220450996</v>
          </cell>
          <cell r="AC58">
            <v>42576.850942383993</v>
          </cell>
          <cell r="AD58">
            <v>29950.318735039997</v>
          </cell>
          <cell r="AE58">
            <v>46777.694934068997</v>
          </cell>
          <cell r="AF58">
            <v>31230.405902860999</v>
          </cell>
          <cell r="AG58">
            <v>29347.000307635997</v>
          </cell>
          <cell r="AH58">
            <v>29950.318735039997</v>
          </cell>
        </row>
        <row r="59">
          <cell r="V59" t="str">
            <v>Clara</v>
          </cell>
          <cell r="W59">
            <v>57980.799677525996</v>
          </cell>
          <cell r="X59">
            <v>40590.040151034002</v>
          </cell>
          <cell r="Y59">
            <v>54301.990856949</v>
          </cell>
          <cell r="Z59">
            <v>44402.630440057997</v>
          </cell>
          <cell r="AA59">
            <v>49954.300178298996</v>
          </cell>
          <cell r="AB59">
            <v>43399.314023988998</v>
          </cell>
          <cell r="AC59">
            <v>59318.553839699001</v>
          </cell>
          <cell r="AD59">
            <v>41727.125303819994</v>
          </cell>
          <cell r="AE59">
            <v>65171.217553573995</v>
          </cell>
          <cell r="AF59">
            <v>43510.557328545998</v>
          </cell>
          <cell r="AG59">
            <v>40886.575205695997</v>
          </cell>
          <cell r="AH59">
            <v>41727.125303819994</v>
          </cell>
        </row>
        <row r="60">
          <cell r="V60" t="str">
            <v>Fuentes</v>
          </cell>
          <cell r="W60">
            <v>27493.010888078996</v>
          </cell>
          <cell r="X60">
            <v>19246.757930234999</v>
          </cell>
          <cell r="Y60">
            <v>25748.613923141998</v>
          </cell>
          <cell r="Z60">
            <v>21054.590646737997</v>
          </cell>
          <cell r="AA60">
            <v>23687.050311044997</v>
          </cell>
          <cell r="AB60">
            <v>20578.843677787998</v>
          </cell>
          <cell r="AC60">
            <v>28127.339669362998</v>
          </cell>
          <cell r="AD60">
            <v>19785.934595415998</v>
          </cell>
          <cell r="AE60">
            <v>30902.522968910995</v>
          </cell>
          <cell r="AF60">
            <v>20631.592404840998</v>
          </cell>
          <cell r="AG60">
            <v>19387.367259864997</v>
          </cell>
          <cell r="AH60">
            <v>19785.934595415998</v>
          </cell>
        </row>
        <row r="61">
          <cell r="V61" t="str">
            <v>Satélite</v>
          </cell>
          <cell r="W61">
            <v>12903.416064472998</v>
          </cell>
          <cell r="X61">
            <v>9033.165790794199</v>
          </cell>
          <cell r="Y61">
            <v>12084.710540781998</v>
          </cell>
          <cell r="Z61">
            <v>9881.6438906096992</v>
          </cell>
          <cell r="AA61">
            <v>11117.14779329</v>
          </cell>
          <cell r="AB61">
            <v>9658.3594709249992</v>
          </cell>
          <cell r="AC61">
            <v>13201.128390119999</v>
          </cell>
          <cell r="AD61">
            <v>9286.2199535347008</v>
          </cell>
          <cell r="AE61">
            <v>14503.617409511999</v>
          </cell>
          <cell r="AF61">
            <v>9683.1162640145994</v>
          </cell>
          <cell r="AG61">
            <v>9099.1585861186995</v>
          </cell>
          <cell r="AH61">
            <v>9286.2199535347008</v>
          </cell>
        </row>
        <row r="62">
          <cell r="V62" t="str">
            <v>Ejercito</v>
          </cell>
          <cell r="W62">
            <v>33229.259730776997</v>
          </cell>
          <cell r="X62">
            <v>23262.476450278999</v>
          </cell>
          <cell r="Y62">
            <v>31120.904992484997</v>
          </cell>
          <cell r="Z62">
            <v>25447.502411902999</v>
          </cell>
          <cell r="AA62">
            <v>28629.208722091997</v>
          </cell>
          <cell r="AB62">
            <v>24872.493752127997</v>
          </cell>
          <cell r="AC62">
            <v>33995.937340001998</v>
          </cell>
          <cell r="AD62">
            <v>23914.149035930997</v>
          </cell>
          <cell r="AE62">
            <v>37350.145694344996</v>
          </cell>
          <cell r="AF62">
            <v>24936.248179930997</v>
          </cell>
          <cell r="AG62">
            <v>23432.423049903999</v>
          </cell>
          <cell r="AH62">
            <v>23914.149035930997</v>
          </cell>
        </row>
        <row r="63">
          <cell r="V63" t="str">
            <v>Solís</v>
          </cell>
          <cell r="W63">
            <v>40082.437317119999</v>
          </cell>
          <cell r="X63">
            <v>28060.112129125995</v>
          </cell>
          <cell r="Y63">
            <v>37539.257077310991</v>
          </cell>
          <cell r="Z63">
            <v>30695.776204257996</v>
          </cell>
          <cell r="AA63">
            <v>34533.675226533996</v>
          </cell>
          <cell r="AB63">
            <v>30002.178197331999</v>
          </cell>
          <cell r="AC63">
            <v>41007.233935117991</v>
          </cell>
          <cell r="AD63">
            <v>28846.185173024998</v>
          </cell>
          <cell r="AE63">
            <v>45053.211699077998</v>
          </cell>
          <cell r="AF63">
            <v>30079.081283063999</v>
          </cell>
          <cell r="AG63">
            <v>28265.108394764997</v>
          </cell>
          <cell r="AH63">
            <v>28846.185173024998</v>
          </cell>
        </row>
        <row r="64">
          <cell r="V64" t="str">
            <v>Santiago</v>
          </cell>
          <cell r="W64">
            <v>31648.047533310997</v>
          </cell>
          <cell r="X64">
            <v>22155.532985101996</v>
          </cell>
          <cell r="Y64">
            <v>29640.018713557998</v>
          </cell>
          <cell r="Z64">
            <v>24236.584631918999</v>
          </cell>
          <cell r="AA64">
            <v>27266.889649526998</v>
          </cell>
          <cell r="AB64">
            <v>23688.937722735998</v>
          </cell>
          <cell r="AC64">
            <v>32378.242825664998</v>
          </cell>
          <cell r="AD64">
            <v>22776.195775828</v>
          </cell>
          <cell r="AE64">
            <v>35572.841389161993</v>
          </cell>
          <cell r="AF64">
            <v>23749.658407002</v>
          </cell>
          <cell r="AG64">
            <v>22317.392700360997</v>
          </cell>
          <cell r="AH64">
            <v>22776.195775828</v>
          </cell>
        </row>
        <row r="70">
          <cell r="V70" t="str">
            <v>Jarudo</v>
          </cell>
          <cell r="W70">
            <v>0</v>
          </cell>
          <cell r="X70">
            <v>4595.8439999999991</v>
          </cell>
          <cell r="Y70">
            <v>0</v>
          </cell>
          <cell r="Z70">
            <v>455.44399999999996</v>
          </cell>
          <cell r="AA70">
            <v>0</v>
          </cell>
          <cell r="AB70">
            <v>455.44399999999996</v>
          </cell>
          <cell r="AC70">
            <v>0</v>
          </cell>
          <cell r="AD70">
            <v>455.44399999999996</v>
          </cell>
          <cell r="AE70">
            <v>455.44399999999996</v>
          </cell>
          <cell r="AF70">
            <v>455.44399999999996</v>
          </cell>
          <cell r="AG70">
            <v>0</v>
          </cell>
          <cell r="AH70">
            <v>0</v>
          </cell>
        </row>
        <row r="71">
          <cell r="V71" t="str">
            <v>Clara</v>
          </cell>
          <cell r="W71">
            <v>455.44399999999996</v>
          </cell>
          <cell r="X71">
            <v>2277.2199999999998</v>
          </cell>
          <cell r="Y71">
            <v>455.44399999999996</v>
          </cell>
          <cell r="Z71">
            <v>0</v>
          </cell>
          <cell r="AA71">
            <v>455.44399999999996</v>
          </cell>
          <cell r="AB71">
            <v>0</v>
          </cell>
          <cell r="AC71">
            <v>0</v>
          </cell>
          <cell r="AD71">
            <v>910.88799999999992</v>
          </cell>
          <cell r="AE71">
            <v>0</v>
          </cell>
          <cell r="AF71">
            <v>455.44399999999996</v>
          </cell>
          <cell r="AG71">
            <v>0</v>
          </cell>
          <cell r="AH71">
            <v>0</v>
          </cell>
        </row>
        <row r="72">
          <cell r="V72" t="str">
            <v>Fuentes</v>
          </cell>
          <cell r="W72">
            <v>0</v>
          </cell>
          <cell r="X72">
            <v>455.44399999999996</v>
          </cell>
          <cell r="Y72">
            <v>0</v>
          </cell>
          <cell r="Z72">
            <v>910.88799999999992</v>
          </cell>
          <cell r="AA72">
            <v>455.44399999999996</v>
          </cell>
          <cell r="AB72">
            <v>0</v>
          </cell>
          <cell r="AC72">
            <v>0</v>
          </cell>
          <cell r="AD72">
            <v>2277.2199999999998</v>
          </cell>
          <cell r="AE72">
            <v>0</v>
          </cell>
          <cell r="AF72">
            <v>455.44399999999996</v>
          </cell>
          <cell r="AG72">
            <v>1366.3319999999999</v>
          </cell>
          <cell r="AH72">
            <v>910.88799999999992</v>
          </cell>
        </row>
        <row r="73">
          <cell r="V73" t="str">
            <v>Satélite</v>
          </cell>
          <cell r="W73">
            <v>0</v>
          </cell>
          <cell r="X73">
            <v>455.44399999999996</v>
          </cell>
          <cell r="Y73">
            <v>455.44399999999996</v>
          </cell>
          <cell r="Z73">
            <v>0</v>
          </cell>
          <cell r="AA73">
            <v>0</v>
          </cell>
          <cell r="AB73">
            <v>455.44399999999996</v>
          </cell>
          <cell r="AC73">
            <v>0</v>
          </cell>
          <cell r="AD73">
            <v>455.44399999999996</v>
          </cell>
          <cell r="AE73">
            <v>455.44399999999996</v>
          </cell>
          <cell r="AF73">
            <v>1366.3319999999999</v>
          </cell>
          <cell r="AG73">
            <v>455.44399999999996</v>
          </cell>
          <cell r="AH73">
            <v>2277.2199999999998</v>
          </cell>
        </row>
        <row r="74">
          <cell r="V74" t="str">
            <v>Ejercito</v>
          </cell>
          <cell r="W74">
            <v>0</v>
          </cell>
          <cell r="X74">
            <v>455.44399999999996</v>
          </cell>
          <cell r="Y74">
            <v>0</v>
          </cell>
          <cell r="Z74">
            <v>455.44399999999996</v>
          </cell>
          <cell r="AA74">
            <v>455.44399999999996</v>
          </cell>
          <cell r="AB74">
            <v>0</v>
          </cell>
          <cell r="AC74">
            <v>910.88799999999992</v>
          </cell>
          <cell r="AD74">
            <v>2732.6639999999998</v>
          </cell>
          <cell r="AE74">
            <v>0</v>
          </cell>
          <cell r="AF74">
            <v>0</v>
          </cell>
          <cell r="AG74">
            <v>910.88799999999992</v>
          </cell>
          <cell r="AH74">
            <v>0</v>
          </cell>
        </row>
        <row r="75">
          <cell r="V75" t="str">
            <v>Solís</v>
          </cell>
          <cell r="W75">
            <v>1821.7759999999998</v>
          </cell>
          <cell r="X75">
            <v>0</v>
          </cell>
          <cell r="Y75">
            <v>455.44399999999996</v>
          </cell>
          <cell r="Z75">
            <v>0</v>
          </cell>
          <cell r="AA75">
            <v>455.44399999999996</v>
          </cell>
          <cell r="AB75">
            <v>0</v>
          </cell>
          <cell r="AC75">
            <v>455.44399999999996</v>
          </cell>
          <cell r="AD75">
            <v>455.44399999999996</v>
          </cell>
          <cell r="AE75">
            <v>0</v>
          </cell>
          <cell r="AF75">
            <v>0</v>
          </cell>
          <cell r="AG75">
            <v>455.44399999999996</v>
          </cell>
          <cell r="AH75">
            <v>0</v>
          </cell>
        </row>
        <row r="76">
          <cell r="V76" t="str">
            <v>Santiago</v>
          </cell>
          <cell r="W76">
            <v>455.44399999999996</v>
          </cell>
          <cell r="X76">
            <v>0</v>
          </cell>
          <cell r="Y76">
            <v>910.88799999999992</v>
          </cell>
          <cell r="Z76">
            <v>455.44399999999996</v>
          </cell>
          <cell r="AA76">
            <v>910.88799999999992</v>
          </cell>
          <cell r="AB76">
            <v>0</v>
          </cell>
          <cell r="AC76">
            <v>0</v>
          </cell>
          <cell r="AD76">
            <v>910.88799999999992</v>
          </cell>
          <cell r="AE76">
            <v>455.44399999999996</v>
          </cell>
          <cell r="AF76">
            <v>0</v>
          </cell>
          <cell r="AG76">
            <v>455.44399999999996</v>
          </cell>
          <cell r="AH76">
            <v>0</v>
          </cell>
        </row>
        <row r="82">
          <cell r="V82" t="str">
            <v>Jarudo</v>
          </cell>
          <cell r="W82">
            <v>0</v>
          </cell>
          <cell r="X82">
            <v>10351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10351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V83" t="str">
            <v>Clara</v>
          </cell>
          <cell r="W83">
            <v>0</v>
          </cell>
          <cell r="X83">
            <v>7763.2499999999991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7763.2499999999991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V84" t="str">
            <v>Fuentes</v>
          </cell>
          <cell r="W84">
            <v>0</v>
          </cell>
          <cell r="X84">
            <v>7763.2499999999991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7763.2499999999991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V85" t="str">
            <v>Satélite</v>
          </cell>
          <cell r="W85">
            <v>0</v>
          </cell>
          <cell r="X85">
            <v>12731.73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12731.73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V86" t="str">
            <v>Ejercito</v>
          </cell>
          <cell r="W86">
            <v>0</v>
          </cell>
          <cell r="X86">
            <v>7763.2499999999991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7763.2499999999991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V87" t="str">
            <v>Solís</v>
          </cell>
          <cell r="W87">
            <v>0</v>
          </cell>
          <cell r="X87">
            <v>5175.5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5175.5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</row>
        <row r="88">
          <cell r="V88" t="str">
            <v>Santiago</v>
          </cell>
          <cell r="W88">
            <v>0</v>
          </cell>
          <cell r="X88">
            <v>7763.2499999999991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7763.2499999999991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94">
          <cell r="V94" t="str">
            <v>Jarudo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V95" t="str">
            <v>Clara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V96" t="str">
            <v>Fuentes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V97" t="str">
            <v>Satélite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V98" t="str">
            <v>Ejercito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V99" t="str">
            <v>Solís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V100" t="str">
            <v>Santiago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6">
          <cell r="V106" t="str">
            <v>Jarudo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</row>
        <row r="107">
          <cell r="V107" t="str">
            <v>Clara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</row>
        <row r="108">
          <cell r="V108" t="str">
            <v>Fuentes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</row>
        <row r="109">
          <cell r="V109" t="str">
            <v>Satélite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</row>
        <row r="110">
          <cell r="V110" t="str">
            <v>Ejercito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V111" t="str">
            <v>Solís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</row>
        <row r="112">
          <cell r="V112" t="str">
            <v>Santiago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8">
          <cell r="V118" t="str">
            <v>Jarudo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</row>
        <row r="119">
          <cell r="V119" t="str">
            <v>Clara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</row>
        <row r="120">
          <cell r="V120" t="str">
            <v>Fuentes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1">
          <cell r="V121" t="str">
            <v>Satélite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</row>
        <row r="122">
          <cell r="V122" t="str">
            <v>Ejercito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</row>
        <row r="123">
          <cell r="V123" t="str">
            <v>Solís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</row>
        <row r="124">
          <cell r="V124" t="str">
            <v>Santiago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</row>
        <row r="130">
          <cell r="V130" t="str">
            <v>Jarudo</v>
          </cell>
          <cell r="W130">
            <v>0</v>
          </cell>
          <cell r="X130">
            <v>0</v>
          </cell>
          <cell r="Y130">
            <v>36407.5723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36407.5723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</row>
        <row r="131">
          <cell r="V131" t="str">
            <v>Clara</v>
          </cell>
          <cell r="W131">
            <v>0</v>
          </cell>
          <cell r="X131">
            <v>0</v>
          </cell>
          <cell r="Y131">
            <v>18618.364401999999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18618.364401999999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</row>
        <row r="132">
          <cell r="V132" t="str">
            <v>Fuentes</v>
          </cell>
          <cell r="W132">
            <v>0</v>
          </cell>
          <cell r="X132">
            <v>0</v>
          </cell>
          <cell r="Y132">
            <v>21162.619499999997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21162.619499999997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</row>
        <row r="133">
          <cell r="V133" t="str">
            <v>Satélite</v>
          </cell>
          <cell r="W133">
            <v>0</v>
          </cell>
          <cell r="X133">
            <v>0</v>
          </cell>
          <cell r="Y133">
            <v>33125.270199999999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33125.270199999999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</row>
        <row r="134">
          <cell r="V134" t="str">
            <v>Ejercito</v>
          </cell>
          <cell r="W134">
            <v>0</v>
          </cell>
          <cell r="X134">
            <v>0</v>
          </cell>
          <cell r="Y134">
            <v>15402.774496999999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15402.774496999999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</row>
        <row r="135">
          <cell r="V135" t="str">
            <v>Solís</v>
          </cell>
          <cell r="W135">
            <v>0</v>
          </cell>
          <cell r="X135">
            <v>0</v>
          </cell>
          <cell r="Y135">
            <v>20109.995256999999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20109.995256999999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</row>
        <row r="136">
          <cell r="V136" t="str">
            <v>Santiago</v>
          </cell>
          <cell r="W136">
            <v>0</v>
          </cell>
          <cell r="X136">
            <v>0</v>
          </cell>
          <cell r="Y136">
            <v>10438.403844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10438.403844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</row>
        <row r="142">
          <cell r="V142" t="str">
            <v>Jarudo</v>
          </cell>
          <cell r="W142">
            <v>0</v>
          </cell>
          <cell r="X142">
            <v>0</v>
          </cell>
          <cell r="Y142">
            <v>8073.7799999999988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</row>
        <row r="143">
          <cell r="V143" t="str">
            <v>Clara</v>
          </cell>
          <cell r="W143">
            <v>0</v>
          </cell>
          <cell r="X143">
            <v>0</v>
          </cell>
          <cell r="Y143">
            <v>6055.3349999999991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</row>
        <row r="144">
          <cell r="V144" t="str">
            <v>Fuentes</v>
          </cell>
          <cell r="W144">
            <v>0</v>
          </cell>
          <cell r="X144">
            <v>0</v>
          </cell>
          <cell r="Y144">
            <v>6055.3349999999991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</row>
        <row r="145">
          <cell r="V145" t="str">
            <v>Satélite</v>
          </cell>
          <cell r="W145">
            <v>0</v>
          </cell>
          <cell r="X145">
            <v>0</v>
          </cell>
          <cell r="Y145">
            <v>10092.224999999999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</row>
        <row r="146">
          <cell r="V146" t="str">
            <v>Ejercito</v>
          </cell>
          <cell r="W146">
            <v>0</v>
          </cell>
          <cell r="X146">
            <v>0</v>
          </cell>
          <cell r="Y146">
            <v>6055.3349999999991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</row>
        <row r="147">
          <cell r="V147" t="str">
            <v>Solís</v>
          </cell>
          <cell r="W147">
            <v>0</v>
          </cell>
          <cell r="X147">
            <v>0</v>
          </cell>
          <cell r="Y147">
            <v>4036.8899999999994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</row>
        <row r="148">
          <cell r="V148" t="str">
            <v>Santiago</v>
          </cell>
          <cell r="W148">
            <v>0</v>
          </cell>
          <cell r="X148">
            <v>0</v>
          </cell>
          <cell r="Y148">
            <v>6055.3349999999991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</row>
        <row r="154">
          <cell r="V154" t="str">
            <v>Jarudo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</row>
        <row r="155">
          <cell r="V155" t="str">
            <v>Clara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</row>
        <row r="156">
          <cell r="V156" t="str">
            <v>Fuentes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</row>
        <row r="157">
          <cell r="V157" t="str">
            <v>Satélite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</row>
        <row r="158">
          <cell r="V158" t="str">
            <v>Ejercito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</row>
        <row r="159">
          <cell r="V159" t="str">
            <v>Solís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</row>
        <row r="160">
          <cell r="V160" t="str">
            <v>Santiago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</row>
        <row r="166">
          <cell r="V166" t="str">
            <v>Jarudo</v>
          </cell>
          <cell r="W166">
            <v>0</v>
          </cell>
          <cell r="X166">
            <v>0</v>
          </cell>
          <cell r="Y166">
            <v>3829.87</v>
          </cell>
          <cell r="Z166">
            <v>0</v>
          </cell>
          <cell r="AA166">
            <v>0</v>
          </cell>
          <cell r="AB166">
            <v>3829.87</v>
          </cell>
          <cell r="AC166">
            <v>0</v>
          </cell>
          <cell r="AD166">
            <v>0</v>
          </cell>
          <cell r="AE166">
            <v>3829.87</v>
          </cell>
          <cell r="AF166">
            <v>0</v>
          </cell>
          <cell r="AG166">
            <v>0</v>
          </cell>
          <cell r="AH166">
            <v>0</v>
          </cell>
        </row>
        <row r="167">
          <cell r="V167" t="str">
            <v>Clara</v>
          </cell>
          <cell r="W167">
            <v>0</v>
          </cell>
          <cell r="X167">
            <v>0</v>
          </cell>
          <cell r="Y167">
            <v>3622.8499999999995</v>
          </cell>
          <cell r="Z167">
            <v>0</v>
          </cell>
          <cell r="AA167">
            <v>0</v>
          </cell>
          <cell r="AB167">
            <v>3622.8499999999995</v>
          </cell>
          <cell r="AC167">
            <v>0</v>
          </cell>
          <cell r="AD167">
            <v>0</v>
          </cell>
          <cell r="AE167">
            <v>3622.8499999999995</v>
          </cell>
          <cell r="AF167">
            <v>0</v>
          </cell>
          <cell r="AG167">
            <v>0</v>
          </cell>
          <cell r="AH167">
            <v>0</v>
          </cell>
        </row>
        <row r="168">
          <cell r="V168" t="str">
            <v>Fuentes</v>
          </cell>
          <cell r="W168">
            <v>0</v>
          </cell>
          <cell r="X168">
            <v>0</v>
          </cell>
          <cell r="Y168">
            <v>3105.2999999999997</v>
          </cell>
          <cell r="Z168">
            <v>0</v>
          </cell>
          <cell r="AA168">
            <v>0</v>
          </cell>
          <cell r="AB168">
            <v>3105.2999999999997</v>
          </cell>
          <cell r="AC168">
            <v>0</v>
          </cell>
          <cell r="AD168">
            <v>0</v>
          </cell>
          <cell r="AE168">
            <v>3105.2999999999997</v>
          </cell>
          <cell r="AF168">
            <v>0</v>
          </cell>
          <cell r="AG168">
            <v>0</v>
          </cell>
          <cell r="AH168">
            <v>0</v>
          </cell>
        </row>
        <row r="169">
          <cell r="V169" t="str">
            <v>Satélite</v>
          </cell>
          <cell r="W169">
            <v>0</v>
          </cell>
          <cell r="X169">
            <v>0</v>
          </cell>
          <cell r="Y169">
            <v>3933.3799999999997</v>
          </cell>
          <cell r="Z169">
            <v>0</v>
          </cell>
          <cell r="AA169">
            <v>0</v>
          </cell>
          <cell r="AB169">
            <v>3933.3799999999997</v>
          </cell>
          <cell r="AC169">
            <v>0</v>
          </cell>
          <cell r="AD169">
            <v>0</v>
          </cell>
          <cell r="AE169">
            <v>3933.3799999999997</v>
          </cell>
          <cell r="AF169">
            <v>0</v>
          </cell>
          <cell r="AG169">
            <v>0</v>
          </cell>
          <cell r="AH169">
            <v>0</v>
          </cell>
        </row>
        <row r="170">
          <cell r="V170" t="str">
            <v>Ejercito</v>
          </cell>
          <cell r="W170">
            <v>0</v>
          </cell>
          <cell r="X170">
            <v>0</v>
          </cell>
          <cell r="Y170">
            <v>3622.8499999999995</v>
          </cell>
          <cell r="Z170">
            <v>0</v>
          </cell>
          <cell r="AA170">
            <v>0</v>
          </cell>
          <cell r="AB170">
            <v>3622.8499999999995</v>
          </cell>
          <cell r="AC170">
            <v>0</v>
          </cell>
          <cell r="AD170">
            <v>0</v>
          </cell>
          <cell r="AE170">
            <v>3622.8499999999995</v>
          </cell>
          <cell r="AF170">
            <v>0</v>
          </cell>
          <cell r="AG170">
            <v>0</v>
          </cell>
          <cell r="AH170">
            <v>0</v>
          </cell>
        </row>
        <row r="171">
          <cell r="V171" t="str">
            <v>Solís</v>
          </cell>
          <cell r="W171">
            <v>0</v>
          </cell>
          <cell r="X171">
            <v>0</v>
          </cell>
          <cell r="Y171">
            <v>3622.8499999999995</v>
          </cell>
          <cell r="Z171">
            <v>0</v>
          </cell>
          <cell r="AA171">
            <v>0</v>
          </cell>
          <cell r="AB171">
            <v>3622.8499999999995</v>
          </cell>
          <cell r="AC171">
            <v>0</v>
          </cell>
          <cell r="AD171">
            <v>0</v>
          </cell>
          <cell r="AE171">
            <v>3622.8499999999995</v>
          </cell>
          <cell r="AF171">
            <v>0</v>
          </cell>
          <cell r="AG171">
            <v>0</v>
          </cell>
          <cell r="AH171">
            <v>0</v>
          </cell>
        </row>
        <row r="172">
          <cell r="V172" t="str">
            <v>Santiago</v>
          </cell>
          <cell r="W172">
            <v>0</v>
          </cell>
          <cell r="X172">
            <v>0</v>
          </cell>
          <cell r="Y172">
            <v>0</v>
          </cell>
          <cell r="Z172">
            <v>2070.1999999999998</v>
          </cell>
          <cell r="AA172">
            <v>0</v>
          </cell>
          <cell r="AB172">
            <v>0</v>
          </cell>
          <cell r="AC172">
            <v>2070.1999999999998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</row>
        <row r="178">
          <cell r="V178" t="str">
            <v>Jarudo</v>
          </cell>
          <cell r="W178">
            <v>0</v>
          </cell>
          <cell r="X178">
            <v>9885.2049999999999</v>
          </cell>
          <cell r="Y178">
            <v>0</v>
          </cell>
          <cell r="Z178">
            <v>0</v>
          </cell>
          <cell r="AA178">
            <v>9885.2049999999999</v>
          </cell>
          <cell r="AB178">
            <v>0</v>
          </cell>
          <cell r="AC178">
            <v>0</v>
          </cell>
          <cell r="AD178">
            <v>9885.2049999999999</v>
          </cell>
          <cell r="AE178">
            <v>0</v>
          </cell>
          <cell r="AF178">
            <v>0</v>
          </cell>
          <cell r="AG178">
            <v>9885.2049999999999</v>
          </cell>
          <cell r="AH178">
            <v>0</v>
          </cell>
        </row>
        <row r="179">
          <cell r="V179" t="str">
            <v>Clara</v>
          </cell>
          <cell r="W179">
            <v>0</v>
          </cell>
          <cell r="X179">
            <v>5641.2949999999992</v>
          </cell>
          <cell r="Y179">
            <v>0</v>
          </cell>
          <cell r="Z179">
            <v>0</v>
          </cell>
          <cell r="AA179">
            <v>5641.2949999999992</v>
          </cell>
          <cell r="AB179">
            <v>0</v>
          </cell>
          <cell r="AC179">
            <v>0</v>
          </cell>
          <cell r="AD179">
            <v>5641.2949999999992</v>
          </cell>
          <cell r="AE179">
            <v>0</v>
          </cell>
          <cell r="AF179">
            <v>0</v>
          </cell>
          <cell r="AG179">
            <v>5641.2949999999992</v>
          </cell>
          <cell r="AH179">
            <v>0</v>
          </cell>
        </row>
        <row r="180">
          <cell r="V180" t="str">
            <v>Fuentes</v>
          </cell>
          <cell r="W180">
            <v>0</v>
          </cell>
          <cell r="X180">
            <v>8254.9224999999988</v>
          </cell>
          <cell r="Y180">
            <v>0</v>
          </cell>
          <cell r="Z180">
            <v>0</v>
          </cell>
          <cell r="AA180">
            <v>8254.9224999999988</v>
          </cell>
          <cell r="AB180">
            <v>0</v>
          </cell>
          <cell r="AC180">
            <v>0</v>
          </cell>
          <cell r="AD180">
            <v>8254.9224999999988</v>
          </cell>
          <cell r="AE180">
            <v>0</v>
          </cell>
          <cell r="AF180">
            <v>0</v>
          </cell>
          <cell r="AG180">
            <v>8254.9224999999988</v>
          </cell>
          <cell r="AH180">
            <v>0</v>
          </cell>
        </row>
        <row r="181">
          <cell r="V181" t="str">
            <v>Satélite</v>
          </cell>
          <cell r="W181">
            <v>0</v>
          </cell>
          <cell r="X181">
            <v>5641.2949999999992</v>
          </cell>
          <cell r="Y181">
            <v>0</v>
          </cell>
          <cell r="Z181">
            <v>0</v>
          </cell>
          <cell r="AA181">
            <v>5641.2949999999992</v>
          </cell>
          <cell r="AB181">
            <v>0</v>
          </cell>
          <cell r="AC181">
            <v>0</v>
          </cell>
          <cell r="AD181">
            <v>5641.2949999999992</v>
          </cell>
          <cell r="AE181">
            <v>0</v>
          </cell>
          <cell r="AF181">
            <v>0</v>
          </cell>
          <cell r="AG181">
            <v>5641.2949999999992</v>
          </cell>
          <cell r="AH181">
            <v>0</v>
          </cell>
        </row>
        <row r="182">
          <cell r="V182" t="str">
            <v>Ejercito</v>
          </cell>
          <cell r="W182">
            <v>0</v>
          </cell>
          <cell r="X182">
            <v>10816.794999999998</v>
          </cell>
          <cell r="Y182">
            <v>0</v>
          </cell>
          <cell r="Z182">
            <v>0</v>
          </cell>
          <cell r="AA182">
            <v>10816.794999999998</v>
          </cell>
          <cell r="AB182">
            <v>0</v>
          </cell>
          <cell r="AC182">
            <v>0</v>
          </cell>
          <cell r="AD182">
            <v>10816.794999999998</v>
          </cell>
          <cell r="AE182">
            <v>0</v>
          </cell>
          <cell r="AF182">
            <v>0</v>
          </cell>
          <cell r="AG182">
            <v>10816.794999999998</v>
          </cell>
          <cell r="AH182">
            <v>0</v>
          </cell>
        </row>
        <row r="183">
          <cell r="V183" t="str">
            <v>Solís</v>
          </cell>
          <cell r="W183">
            <v>0</v>
          </cell>
          <cell r="X183">
            <v>8280.7999999999993</v>
          </cell>
          <cell r="Y183">
            <v>0</v>
          </cell>
          <cell r="Z183">
            <v>0</v>
          </cell>
          <cell r="AA183">
            <v>8280.7999999999993</v>
          </cell>
          <cell r="AB183">
            <v>0</v>
          </cell>
          <cell r="AC183">
            <v>0</v>
          </cell>
          <cell r="AD183">
            <v>8280.7999999999993</v>
          </cell>
          <cell r="AE183">
            <v>0</v>
          </cell>
          <cell r="AF183">
            <v>0</v>
          </cell>
          <cell r="AG183">
            <v>8280.7999999999993</v>
          </cell>
          <cell r="AH183">
            <v>0</v>
          </cell>
        </row>
        <row r="184">
          <cell r="V184" t="str">
            <v>Santiago</v>
          </cell>
          <cell r="W184">
            <v>0</v>
          </cell>
          <cell r="X184">
            <v>7349.2099999999991</v>
          </cell>
          <cell r="Y184">
            <v>0</v>
          </cell>
          <cell r="Z184">
            <v>0</v>
          </cell>
          <cell r="AA184">
            <v>7349.2099999999991</v>
          </cell>
          <cell r="AB184">
            <v>0</v>
          </cell>
          <cell r="AC184">
            <v>0</v>
          </cell>
          <cell r="AD184">
            <v>7349.2099999999991</v>
          </cell>
          <cell r="AE184">
            <v>0</v>
          </cell>
          <cell r="AF184">
            <v>0</v>
          </cell>
          <cell r="AG184">
            <v>7349.2099999999991</v>
          </cell>
          <cell r="AH184">
            <v>0</v>
          </cell>
        </row>
        <row r="190">
          <cell r="V190" t="str">
            <v>Jarudo</v>
          </cell>
          <cell r="W190">
            <v>0</v>
          </cell>
          <cell r="X190">
            <v>1469.8419999999999</v>
          </cell>
          <cell r="Y190">
            <v>0</v>
          </cell>
          <cell r="Z190">
            <v>0</v>
          </cell>
          <cell r="AA190">
            <v>1469.8419999999999</v>
          </cell>
          <cell r="AB190">
            <v>0</v>
          </cell>
          <cell r="AC190">
            <v>0</v>
          </cell>
          <cell r="AD190">
            <v>1469.8419999999999</v>
          </cell>
          <cell r="AE190">
            <v>0</v>
          </cell>
          <cell r="AF190">
            <v>0</v>
          </cell>
          <cell r="AG190">
            <v>1469.8419999999999</v>
          </cell>
          <cell r="AH190">
            <v>0</v>
          </cell>
        </row>
        <row r="191">
          <cell r="V191" t="str">
            <v>Clara</v>
          </cell>
          <cell r="W191">
            <v>0</v>
          </cell>
          <cell r="X191">
            <v>1469.8419999999999</v>
          </cell>
          <cell r="Y191">
            <v>0</v>
          </cell>
          <cell r="Z191">
            <v>0</v>
          </cell>
          <cell r="AA191">
            <v>1469.8419999999999</v>
          </cell>
          <cell r="AB191">
            <v>0</v>
          </cell>
          <cell r="AC191">
            <v>0</v>
          </cell>
          <cell r="AD191">
            <v>1469.8419999999999</v>
          </cell>
          <cell r="AE191">
            <v>0</v>
          </cell>
          <cell r="AF191">
            <v>0</v>
          </cell>
          <cell r="AG191">
            <v>1469.8419999999999</v>
          </cell>
          <cell r="AH191">
            <v>0</v>
          </cell>
        </row>
        <row r="192">
          <cell r="V192" t="str">
            <v>Fuentes</v>
          </cell>
          <cell r="W192">
            <v>0</v>
          </cell>
          <cell r="X192">
            <v>1469.8419999999999</v>
          </cell>
          <cell r="Y192">
            <v>0</v>
          </cell>
          <cell r="Z192">
            <v>0</v>
          </cell>
          <cell r="AA192">
            <v>1469.8419999999999</v>
          </cell>
          <cell r="AB192">
            <v>0</v>
          </cell>
          <cell r="AC192">
            <v>0</v>
          </cell>
          <cell r="AD192">
            <v>1469.8419999999999</v>
          </cell>
          <cell r="AE192">
            <v>0</v>
          </cell>
          <cell r="AF192">
            <v>0</v>
          </cell>
          <cell r="AG192">
            <v>1469.8419999999999</v>
          </cell>
          <cell r="AH192">
            <v>0</v>
          </cell>
        </row>
        <row r="193">
          <cell r="V193" t="str">
            <v>Satélite</v>
          </cell>
          <cell r="W193">
            <v>0</v>
          </cell>
          <cell r="X193">
            <v>1966.6899999999998</v>
          </cell>
          <cell r="Y193">
            <v>0</v>
          </cell>
          <cell r="Z193">
            <v>0</v>
          </cell>
          <cell r="AA193">
            <v>1966.6899999999998</v>
          </cell>
          <cell r="AB193">
            <v>0</v>
          </cell>
          <cell r="AC193">
            <v>0</v>
          </cell>
          <cell r="AD193">
            <v>1966.6899999999998</v>
          </cell>
          <cell r="AE193">
            <v>0</v>
          </cell>
          <cell r="AF193">
            <v>0</v>
          </cell>
          <cell r="AG193">
            <v>1966.6899999999998</v>
          </cell>
          <cell r="AH193">
            <v>0</v>
          </cell>
        </row>
        <row r="194">
          <cell r="V194" t="str">
            <v>Ejercito</v>
          </cell>
          <cell r="W194">
            <v>0</v>
          </cell>
          <cell r="X194">
            <v>1469.8419999999999</v>
          </cell>
          <cell r="Y194">
            <v>0</v>
          </cell>
          <cell r="Z194">
            <v>0</v>
          </cell>
          <cell r="AA194">
            <v>1469.8419999999999</v>
          </cell>
          <cell r="AB194">
            <v>0</v>
          </cell>
          <cell r="AC194">
            <v>0</v>
          </cell>
          <cell r="AD194">
            <v>1469.8419999999999</v>
          </cell>
          <cell r="AE194">
            <v>0</v>
          </cell>
          <cell r="AF194">
            <v>0</v>
          </cell>
          <cell r="AG194">
            <v>1469.8419999999999</v>
          </cell>
          <cell r="AH194">
            <v>0</v>
          </cell>
        </row>
        <row r="195">
          <cell r="V195" t="str">
            <v>Solís</v>
          </cell>
          <cell r="W195">
            <v>0</v>
          </cell>
          <cell r="X195">
            <v>1469.8419999999999</v>
          </cell>
          <cell r="Y195">
            <v>0</v>
          </cell>
          <cell r="Z195">
            <v>0</v>
          </cell>
          <cell r="AA195">
            <v>1469.8419999999999</v>
          </cell>
          <cell r="AB195">
            <v>0</v>
          </cell>
          <cell r="AC195">
            <v>0</v>
          </cell>
          <cell r="AD195">
            <v>1469.8419999999999</v>
          </cell>
          <cell r="AE195">
            <v>0</v>
          </cell>
          <cell r="AF195">
            <v>0</v>
          </cell>
          <cell r="AG195">
            <v>1469.8419999999999</v>
          </cell>
          <cell r="AH195">
            <v>0</v>
          </cell>
        </row>
        <row r="196">
          <cell r="V196" t="str">
            <v>Santiago</v>
          </cell>
          <cell r="W196">
            <v>0</v>
          </cell>
          <cell r="X196">
            <v>1469.8419999999999</v>
          </cell>
          <cell r="Y196">
            <v>0</v>
          </cell>
          <cell r="Z196">
            <v>0</v>
          </cell>
          <cell r="AA196">
            <v>1469.8419999999999</v>
          </cell>
          <cell r="AB196">
            <v>0</v>
          </cell>
          <cell r="AC196">
            <v>0</v>
          </cell>
          <cell r="AD196">
            <v>1469.8419999999999</v>
          </cell>
          <cell r="AE196">
            <v>0</v>
          </cell>
          <cell r="AF196">
            <v>0</v>
          </cell>
          <cell r="AG196">
            <v>1469.8419999999999</v>
          </cell>
          <cell r="AH196">
            <v>0</v>
          </cell>
        </row>
        <row r="202">
          <cell r="V202" t="str">
            <v>Jarudo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V203" t="str">
            <v>Clara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4">
          <cell r="V204" t="str">
            <v>Fuentes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</row>
        <row r="205">
          <cell r="V205" t="str">
            <v>Satélite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</row>
        <row r="206">
          <cell r="V206" t="str">
            <v>Ejercito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</row>
        <row r="207">
          <cell r="V207" t="str">
            <v>Solís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</row>
        <row r="208">
          <cell r="V208" t="str">
            <v>Santiago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</row>
        <row r="214">
          <cell r="V214" t="str">
            <v>Jarudo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/>
          <cell r="AH214">
            <v>3208.8099999999995</v>
          </cell>
        </row>
        <row r="215">
          <cell r="V215" t="str">
            <v>Clara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3208.8099999999995</v>
          </cell>
        </row>
        <row r="216">
          <cell r="V216" t="str">
            <v>Fuentes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3208.8099999999995</v>
          </cell>
        </row>
        <row r="217">
          <cell r="V217" t="str">
            <v>Satélite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3208.8099999999995</v>
          </cell>
        </row>
        <row r="218">
          <cell r="V218" t="str">
            <v>Ejercito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3208.8099999999995</v>
          </cell>
        </row>
        <row r="219">
          <cell r="V219" t="str">
            <v>Solís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3208.8099999999995</v>
          </cell>
        </row>
        <row r="220">
          <cell r="V220" t="str">
            <v>Santiago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3208.8099999999995</v>
          </cell>
        </row>
        <row r="226">
          <cell r="V226" t="str">
            <v>Jarudo</v>
          </cell>
          <cell r="W226">
            <v>1057.8721999999998</v>
          </cell>
          <cell r="X226">
            <v>1057.8721999999998</v>
          </cell>
          <cell r="Y226">
            <v>1057.8721999999998</v>
          </cell>
          <cell r="Z226">
            <v>1057.8721999999998</v>
          </cell>
          <cell r="AA226">
            <v>1057.8721999999998</v>
          </cell>
          <cell r="AB226">
            <v>1057.8721999999998</v>
          </cell>
          <cell r="AC226">
            <v>1057.8721999999998</v>
          </cell>
          <cell r="AD226">
            <v>1057.8721999999998</v>
          </cell>
          <cell r="AE226">
            <v>1057.8721999999998</v>
          </cell>
          <cell r="AF226">
            <v>1057.8721999999998</v>
          </cell>
          <cell r="AG226">
            <v>1057.8721999999998</v>
          </cell>
          <cell r="AH226">
            <v>1057.8721999999998</v>
          </cell>
        </row>
        <row r="227">
          <cell r="V227" t="str">
            <v>Clara</v>
          </cell>
          <cell r="W227">
            <v>1012.3277999999999</v>
          </cell>
          <cell r="X227">
            <v>1012.3277999999999</v>
          </cell>
          <cell r="Y227">
            <v>1012.3277999999999</v>
          </cell>
          <cell r="Z227">
            <v>1012.3277999999999</v>
          </cell>
          <cell r="AA227">
            <v>1012.3277999999999</v>
          </cell>
          <cell r="AB227">
            <v>1012.3277999999999</v>
          </cell>
          <cell r="AC227">
            <v>1012.3277999999999</v>
          </cell>
          <cell r="AD227">
            <v>1012.3277999999999</v>
          </cell>
          <cell r="AE227">
            <v>1012.3277999999999</v>
          </cell>
          <cell r="AF227">
            <v>1012.3277999999999</v>
          </cell>
          <cell r="AG227">
            <v>1012.3277999999999</v>
          </cell>
          <cell r="AH227">
            <v>1012.3277999999999</v>
          </cell>
        </row>
        <row r="228">
          <cell r="V228" t="str">
            <v>Fuentes</v>
          </cell>
          <cell r="W228">
            <v>1228.6636999999998</v>
          </cell>
          <cell r="X228">
            <v>1228.6636999999998</v>
          </cell>
          <cell r="Y228">
            <v>1228.6636999999998</v>
          </cell>
          <cell r="Z228">
            <v>1228.6636999999998</v>
          </cell>
          <cell r="AA228">
            <v>1228.6636999999998</v>
          </cell>
          <cell r="AB228">
            <v>1228.6636999999998</v>
          </cell>
          <cell r="AC228">
            <v>1228.6636999999998</v>
          </cell>
          <cell r="AD228">
            <v>1228.6636999999998</v>
          </cell>
          <cell r="AE228">
            <v>1228.6636999999998</v>
          </cell>
          <cell r="AF228">
            <v>1228.6636999999998</v>
          </cell>
          <cell r="AG228">
            <v>1228.6636999999998</v>
          </cell>
          <cell r="AH228">
            <v>1228.6636999999998</v>
          </cell>
        </row>
        <row r="229">
          <cell r="V229" t="str">
            <v>Satélite</v>
          </cell>
          <cell r="W229">
            <v>1530.9128999999998</v>
          </cell>
          <cell r="X229">
            <v>1530.9128999999998</v>
          </cell>
          <cell r="Y229">
            <v>1530.9128999999998</v>
          </cell>
          <cell r="Z229">
            <v>1530.9128999999998</v>
          </cell>
          <cell r="AA229">
            <v>1530.9128999999998</v>
          </cell>
          <cell r="AB229">
            <v>1530.9128999999998</v>
          </cell>
          <cell r="AC229">
            <v>1530.9128999999998</v>
          </cell>
          <cell r="AD229">
            <v>1530.9128999999998</v>
          </cell>
          <cell r="AE229">
            <v>1530.9128999999998</v>
          </cell>
          <cell r="AF229">
            <v>1530.9128999999998</v>
          </cell>
          <cell r="AG229">
            <v>1530.9128999999998</v>
          </cell>
          <cell r="AH229">
            <v>1530.9128999999998</v>
          </cell>
        </row>
        <row r="230">
          <cell r="V230" t="str">
            <v>Ejercito</v>
          </cell>
          <cell r="W230">
            <v>1342.5246999999999</v>
          </cell>
          <cell r="X230">
            <v>1342.5246999999999</v>
          </cell>
          <cell r="Y230">
            <v>1342.5246999999999</v>
          </cell>
          <cell r="Z230">
            <v>1342.5246999999999</v>
          </cell>
          <cell r="AA230">
            <v>1342.5246999999999</v>
          </cell>
          <cell r="AB230">
            <v>1342.5246999999999</v>
          </cell>
          <cell r="AC230">
            <v>1342.5246999999999</v>
          </cell>
          <cell r="AD230">
            <v>1342.5246999999999</v>
          </cell>
          <cell r="AE230">
            <v>1342.5246999999999</v>
          </cell>
          <cell r="AF230">
            <v>1342.5246999999999</v>
          </cell>
          <cell r="AG230">
            <v>1342.5246999999999</v>
          </cell>
          <cell r="AH230">
            <v>1342.5246999999999</v>
          </cell>
        </row>
        <row r="231">
          <cell r="V231" t="str">
            <v>Solís</v>
          </cell>
          <cell r="W231">
            <v>1063.0476999999998</v>
          </cell>
          <cell r="X231">
            <v>1063.0476999999998</v>
          </cell>
          <cell r="Y231">
            <v>1063.0476999999998</v>
          </cell>
          <cell r="Z231">
            <v>1063.0476999999998</v>
          </cell>
          <cell r="AA231">
            <v>1063.0476999999998</v>
          </cell>
          <cell r="AB231">
            <v>1063.0476999999998</v>
          </cell>
          <cell r="AC231">
            <v>1063.0476999999998</v>
          </cell>
          <cell r="AD231">
            <v>1063.0476999999998</v>
          </cell>
          <cell r="AE231">
            <v>1063.0476999999998</v>
          </cell>
          <cell r="AF231">
            <v>1063.0476999999998</v>
          </cell>
          <cell r="AG231">
            <v>1063.0476999999998</v>
          </cell>
          <cell r="AH231">
            <v>1063.0476999999998</v>
          </cell>
        </row>
        <row r="232">
          <cell r="V232" t="str">
            <v>Santiago</v>
          </cell>
          <cell r="W232">
            <v>1063.0476999999998</v>
          </cell>
          <cell r="X232">
            <v>1063.0476999999998</v>
          </cell>
          <cell r="Y232">
            <v>1063.0476999999998</v>
          </cell>
          <cell r="Z232">
            <v>1063.0476999999998</v>
          </cell>
          <cell r="AA232">
            <v>1063.0476999999998</v>
          </cell>
          <cell r="AB232">
            <v>1063.0476999999998</v>
          </cell>
          <cell r="AC232">
            <v>1063.0476999999998</v>
          </cell>
          <cell r="AD232">
            <v>1063.0476999999998</v>
          </cell>
          <cell r="AE232">
            <v>1063.0476999999998</v>
          </cell>
          <cell r="AF232">
            <v>1063.0476999999998</v>
          </cell>
          <cell r="AG232">
            <v>1063.0476999999998</v>
          </cell>
          <cell r="AH232">
            <v>1063.0476999999998</v>
          </cell>
        </row>
        <row r="238">
          <cell r="V238" t="str">
            <v>Jarudo</v>
          </cell>
          <cell r="W238">
            <v>3827.7997999999998</v>
          </cell>
          <cell r="X238">
            <v>3827.7997999999998</v>
          </cell>
          <cell r="Y238">
            <v>3827.7997999999998</v>
          </cell>
          <cell r="Z238">
            <v>3827.7997999999998</v>
          </cell>
          <cell r="AA238">
            <v>3827.7997999999998</v>
          </cell>
          <cell r="AB238">
            <v>3827.7997999999998</v>
          </cell>
          <cell r="AC238">
            <v>3827.7997999999998</v>
          </cell>
          <cell r="AD238">
            <v>3827.7997999999998</v>
          </cell>
          <cell r="AE238">
            <v>3827.7997999999998</v>
          </cell>
          <cell r="AF238">
            <v>3827.7997999999998</v>
          </cell>
          <cell r="AG238">
            <v>3827.7997999999998</v>
          </cell>
          <cell r="AH238">
            <v>3827.7997999999998</v>
          </cell>
        </row>
        <row r="239">
          <cell r="V239" t="str">
            <v>Clara</v>
          </cell>
          <cell r="W239">
            <v>2507.0121999999997</v>
          </cell>
          <cell r="X239">
            <v>2507.0121999999997</v>
          </cell>
          <cell r="Y239">
            <v>2507.0121999999997</v>
          </cell>
          <cell r="Z239">
            <v>2507.0121999999997</v>
          </cell>
          <cell r="AA239">
            <v>2507.0121999999997</v>
          </cell>
          <cell r="AB239">
            <v>2507.0121999999997</v>
          </cell>
          <cell r="AC239">
            <v>2507.0121999999997</v>
          </cell>
          <cell r="AD239">
            <v>2507.0121999999997</v>
          </cell>
          <cell r="AE239">
            <v>2507.0121999999997</v>
          </cell>
          <cell r="AF239">
            <v>2507.0121999999997</v>
          </cell>
          <cell r="AG239">
            <v>2507.0121999999997</v>
          </cell>
          <cell r="AH239">
            <v>2507.0121999999997</v>
          </cell>
        </row>
        <row r="240">
          <cell r="V240" t="str">
            <v>Fuentes</v>
          </cell>
          <cell r="W240">
            <v>3055.6151999999997</v>
          </cell>
          <cell r="X240">
            <v>3055.6151999999997</v>
          </cell>
          <cell r="Y240">
            <v>3055.6151999999997</v>
          </cell>
          <cell r="Z240">
            <v>3055.6151999999997</v>
          </cell>
          <cell r="AA240">
            <v>3055.6151999999997</v>
          </cell>
          <cell r="AB240">
            <v>3055.6151999999997</v>
          </cell>
          <cell r="AC240">
            <v>3055.6151999999997</v>
          </cell>
          <cell r="AD240">
            <v>3055.6151999999997</v>
          </cell>
          <cell r="AE240">
            <v>3055.6151999999997</v>
          </cell>
          <cell r="AF240">
            <v>3055.6151999999997</v>
          </cell>
          <cell r="AG240">
            <v>3055.6151999999997</v>
          </cell>
          <cell r="AH240">
            <v>3055.6151999999997</v>
          </cell>
        </row>
        <row r="241">
          <cell r="V241" t="str">
            <v>Satélite</v>
          </cell>
          <cell r="W241">
            <v>3743.9566999999997</v>
          </cell>
          <cell r="X241">
            <v>3743.9566999999997</v>
          </cell>
          <cell r="Y241">
            <v>3743.9566999999997</v>
          </cell>
          <cell r="Z241">
            <v>3743.9566999999997</v>
          </cell>
          <cell r="AA241">
            <v>3743.9566999999997</v>
          </cell>
          <cell r="AB241">
            <v>3743.9566999999997</v>
          </cell>
          <cell r="AC241">
            <v>3743.9566999999997</v>
          </cell>
          <cell r="AD241">
            <v>3743.9566999999997</v>
          </cell>
          <cell r="AE241">
            <v>3743.9566999999997</v>
          </cell>
          <cell r="AF241">
            <v>3743.9566999999997</v>
          </cell>
          <cell r="AG241">
            <v>3743.9566999999997</v>
          </cell>
          <cell r="AH241">
            <v>3743.9566999999997</v>
          </cell>
        </row>
        <row r="242">
          <cell r="V242" t="str">
            <v>Ejercito</v>
          </cell>
          <cell r="W242">
            <v>4080.3641999999995</v>
          </cell>
          <cell r="X242">
            <v>4080.3641999999995</v>
          </cell>
          <cell r="Y242">
            <v>4080.3641999999995</v>
          </cell>
          <cell r="Z242">
            <v>4080.3641999999995</v>
          </cell>
          <cell r="AA242">
            <v>4080.3641999999995</v>
          </cell>
          <cell r="AB242">
            <v>4080.3641999999995</v>
          </cell>
          <cell r="AC242">
            <v>4080.3641999999995</v>
          </cell>
          <cell r="AD242">
            <v>4080.3641999999995</v>
          </cell>
          <cell r="AE242">
            <v>4080.3641999999995</v>
          </cell>
          <cell r="AF242">
            <v>4080.3641999999995</v>
          </cell>
          <cell r="AG242">
            <v>4080.3641999999995</v>
          </cell>
          <cell r="AH242">
            <v>4080.3641999999995</v>
          </cell>
        </row>
        <row r="243">
          <cell r="V243" t="str">
            <v>Solís</v>
          </cell>
          <cell r="W243">
            <v>2555.6618999999996</v>
          </cell>
          <cell r="X243">
            <v>2555.6618999999996</v>
          </cell>
          <cell r="Y243">
            <v>2555.6618999999996</v>
          </cell>
          <cell r="Z243">
            <v>2555.6618999999996</v>
          </cell>
          <cell r="AA243">
            <v>2555.6618999999996</v>
          </cell>
          <cell r="AB243">
            <v>2555.6618999999996</v>
          </cell>
          <cell r="AC243">
            <v>2555.6618999999996</v>
          </cell>
          <cell r="AD243">
            <v>2555.6618999999996</v>
          </cell>
          <cell r="AE243">
            <v>2555.6618999999996</v>
          </cell>
          <cell r="AF243">
            <v>2555.6618999999996</v>
          </cell>
          <cell r="AG243">
            <v>2555.6618999999996</v>
          </cell>
          <cell r="AH243">
            <v>2555.6618999999996</v>
          </cell>
        </row>
        <row r="244">
          <cell r="V244" t="str">
            <v>Santiago</v>
          </cell>
          <cell r="W244">
            <v>3117.7212</v>
          </cell>
          <cell r="X244">
            <v>3117.7212</v>
          </cell>
          <cell r="Y244">
            <v>3117.7212</v>
          </cell>
          <cell r="Z244">
            <v>3117.7212</v>
          </cell>
          <cell r="AA244">
            <v>3117.7212</v>
          </cell>
          <cell r="AB244">
            <v>3117.7212</v>
          </cell>
          <cell r="AC244">
            <v>3117.7212</v>
          </cell>
          <cell r="AD244">
            <v>3117.7212</v>
          </cell>
          <cell r="AE244">
            <v>3117.7212</v>
          </cell>
          <cell r="AF244">
            <v>3117.7212</v>
          </cell>
          <cell r="AG244">
            <v>3117.7212</v>
          </cell>
          <cell r="AH244">
            <v>3117.7212</v>
          </cell>
        </row>
      </sheetData>
      <sheetData sheetId="1">
        <row r="150">
          <cell r="C150" t="str">
            <v>Jarudo</v>
          </cell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</row>
        <row r="151">
          <cell r="C151" t="str">
            <v>Clara</v>
          </cell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</row>
        <row r="152">
          <cell r="C152" t="str">
            <v>Fuentes</v>
          </cell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</row>
        <row r="153">
          <cell r="C153" t="str">
            <v>Satélite</v>
          </cell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</row>
        <row r="154">
          <cell r="C154" t="str">
            <v>Ejercito</v>
          </cell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</row>
        <row r="155">
          <cell r="C155" t="str">
            <v>Solís</v>
          </cell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</row>
        <row r="156">
          <cell r="C156" t="str">
            <v>Santiago</v>
          </cell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</row>
        <row r="246">
          <cell r="C246" t="str">
            <v>Jarudo</v>
          </cell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</row>
        <row r="247">
          <cell r="C247" t="str">
            <v>Clara</v>
          </cell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</row>
        <row r="248">
          <cell r="C248" t="str">
            <v>Fuentes</v>
          </cell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</row>
        <row r="249">
          <cell r="C249" t="str">
            <v>Satélite</v>
          </cell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</row>
        <row r="250">
          <cell r="C250" t="str">
            <v>Ejercito</v>
          </cell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</row>
        <row r="251">
          <cell r="C251" t="str">
            <v>Solís</v>
          </cell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</row>
        <row r="252">
          <cell r="C252" t="str">
            <v>Santiago</v>
          </cell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QRA6DK7PLBR5DLMFGZY6A3XUR4">
      <xxl21:absoluteUrl r:id="rId2"/>
    </xxl21:alternateUrls>
    <sheetNames>
      <sheetName val="Evidencias"/>
      <sheetName val="Resumen"/>
      <sheetName val="Detalle"/>
    </sheetNames>
    <sheetDataSet>
      <sheetData sheetId="0"/>
      <sheetData sheetId="1">
        <row r="8">
          <cell r="V8" t="str">
            <v>Jarudo</v>
          </cell>
          <cell r="W8">
            <v>4140.3999999999996</v>
          </cell>
          <cell r="X8">
            <v>1552.6499999999999</v>
          </cell>
          <cell r="Y8">
            <v>24593.975999999999</v>
          </cell>
          <cell r="Z8">
            <v>8073.7799999999988</v>
          </cell>
          <cell r="AA8">
            <v>1863.1799999999998</v>
          </cell>
          <cell r="AB8">
            <v>6210.5999999999995</v>
          </cell>
          <cell r="AC8">
            <v>6997.2759999999998</v>
          </cell>
          <cell r="AD8">
            <v>11179.079999999998</v>
          </cell>
          <cell r="AE8">
            <v>2484.2399999999998</v>
          </cell>
          <cell r="AF8">
            <v>33433.729999999996</v>
          </cell>
          <cell r="AG8">
            <v>5548.1359999999995</v>
          </cell>
          <cell r="AH8">
            <v>8798.3499999999985</v>
          </cell>
        </row>
        <row r="9">
          <cell r="V9" t="str">
            <v>Clara</v>
          </cell>
          <cell r="W9">
            <v>25877.499999999996</v>
          </cell>
          <cell r="X9">
            <v>1552.6499999999999</v>
          </cell>
          <cell r="Y9">
            <v>21550.781999999999</v>
          </cell>
          <cell r="Z9">
            <v>8073.7799999999988</v>
          </cell>
          <cell r="AA9">
            <v>1863.1799999999998</v>
          </cell>
          <cell r="AB9">
            <v>26912.6</v>
          </cell>
          <cell r="AC9">
            <v>6645.3419999999996</v>
          </cell>
          <cell r="AD9">
            <v>9315.9</v>
          </cell>
          <cell r="AE9">
            <v>2484.2399999999998</v>
          </cell>
          <cell r="AF9">
            <v>30742.469999999998</v>
          </cell>
          <cell r="AG9">
            <v>26933.301999999996</v>
          </cell>
          <cell r="AH9">
            <v>8798.3499999999985</v>
          </cell>
        </row>
        <row r="10">
          <cell r="V10" t="str">
            <v>Fuentes</v>
          </cell>
          <cell r="W10">
            <v>207.01999999999998</v>
          </cell>
          <cell r="X10">
            <v>1552.6499999999999</v>
          </cell>
          <cell r="Y10">
            <v>21902.715999999997</v>
          </cell>
          <cell r="Z10">
            <v>8073.7799999999988</v>
          </cell>
          <cell r="AA10">
            <v>1863.1799999999998</v>
          </cell>
          <cell r="AB10">
            <v>3312.3199999999997</v>
          </cell>
          <cell r="AC10">
            <v>6997.2759999999998</v>
          </cell>
          <cell r="AD10">
            <v>11179.079999999998</v>
          </cell>
          <cell r="AE10">
            <v>2484.2399999999998</v>
          </cell>
          <cell r="AF10">
            <v>30742.469999999998</v>
          </cell>
          <cell r="AG10">
            <v>1614.7559999999999</v>
          </cell>
          <cell r="AH10">
            <v>8798.3499999999985</v>
          </cell>
        </row>
        <row r="11">
          <cell r="V11" t="str">
            <v>Satélite</v>
          </cell>
          <cell r="W11">
            <v>207.01999999999998</v>
          </cell>
          <cell r="X11">
            <v>1552.6499999999999</v>
          </cell>
          <cell r="Y11">
            <v>21902.715999999997</v>
          </cell>
          <cell r="Z11">
            <v>8073.7799999999988</v>
          </cell>
          <cell r="AA11">
            <v>1863.1799999999998</v>
          </cell>
          <cell r="AB11">
            <v>3312.3199999999997</v>
          </cell>
          <cell r="AC11">
            <v>6997.2759999999998</v>
          </cell>
          <cell r="AD11">
            <v>11179.079999999998</v>
          </cell>
          <cell r="AE11">
            <v>2484.2399999999998</v>
          </cell>
          <cell r="AF11">
            <v>30742.469999999998</v>
          </cell>
          <cell r="AG11">
            <v>1614.7559999999999</v>
          </cell>
          <cell r="AH11">
            <v>8798.3499999999985</v>
          </cell>
        </row>
        <row r="12">
          <cell r="V12" t="str">
            <v>Ejercito</v>
          </cell>
          <cell r="W12">
            <v>10351</v>
          </cell>
          <cell r="X12">
            <v>1552.6499999999999</v>
          </cell>
          <cell r="Y12">
            <v>21902.715999999997</v>
          </cell>
          <cell r="Z12">
            <v>8073.7799999999988</v>
          </cell>
          <cell r="AA12">
            <v>1863.1799999999998</v>
          </cell>
          <cell r="AB12">
            <v>13456.3</v>
          </cell>
          <cell r="AC12">
            <v>6997.2759999999998</v>
          </cell>
          <cell r="AD12">
            <v>9315.9</v>
          </cell>
          <cell r="AE12">
            <v>2484.2399999999998</v>
          </cell>
          <cell r="AF12">
            <v>30742.469999999998</v>
          </cell>
          <cell r="AG12">
            <v>11758.735999999999</v>
          </cell>
          <cell r="AH12">
            <v>8798.3499999999985</v>
          </cell>
        </row>
        <row r="13">
          <cell r="V13" t="str">
            <v>Solís</v>
          </cell>
          <cell r="W13">
            <v>4140.3999999999996</v>
          </cell>
          <cell r="X13">
            <v>1552.6499999999999</v>
          </cell>
          <cell r="Y13">
            <v>11675.928</v>
          </cell>
          <cell r="Z13">
            <v>8073.7799999999988</v>
          </cell>
          <cell r="AA13">
            <v>1863.1799999999998</v>
          </cell>
          <cell r="AB13">
            <v>6210.5999999999995</v>
          </cell>
          <cell r="AC13">
            <v>4844.268</v>
          </cell>
          <cell r="AD13">
            <v>3726.3599999999997</v>
          </cell>
          <cell r="AE13">
            <v>2484.2399999999998</v>
          </cell>
          <cell r="AF13">
            <v>21219.55</v>
          </cell>
          <cell r="AG13">
            <v>4844.268</v>
          </cell>
          <cell r="AH13">
            <v>8798.3499999999985</v>
          </cell>
        </row>
        <row r="14">
          <cell r="V14" t="str">
            <v>Santiago</v>
          </cell>
          <cell r="W14">
            <v>4140.3999999999996</v>
          </cell>
          <cell r="X14">
            <v>1552.6499999999999</v>
          </cell>
          <cell r="Y14">
            <v>11675.928</v>
          </cell>
          <cell r="Z14">
            <v>8073.7799999999988</v>
          </cell>
          <cell r="AA14">
            <v>1863.1799999999998</v>
          </cell>
          <cell r="AB14">
            <v>6210.5999999999995</v>
          </cell>
          <cell r="AC14">
            <v>4844.268</v>
          </cell>
          <cell r="AD14">
            <v>3726.3599999999997</v>
          </cell>
          <cell r="AE14">
            <v>2484.2399999999998</v>
          </cell>
          <cell r="AF14">
            <v>21219.55</v>
          </cell>
          <cell r="AG14">
            <v>4844.268</v>
          </cell>
          <cell r="AH14">
            <v>8798.3499999999985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RTZ6OFZ4OLEJBZTNKKDJU5LPL3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Jarudo</v>
          </cell>
          <cell r="W8">
            <v>808.67187499999989</v>
          </cell>
          <cell r="X8">
            <v>2587.75</v>
          </cell>
          <cell r="Y8">
            <v>485.20312499999994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</row>
        <row r="9">
          <cell r="V9" t="str">
            <v>Clara</v>
          </cell>
          <cell r="W9">
            <v>497.64423076923072</v>
          </cell>
          <cell r="X9">
            <v>1592.4615384615383</v>
          </cell>
          <cell r="Y9">
            <v>298.58653846153845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</row>
        <row r="10">
          <cell r="V10" t="str">
            <v>Fuentes</v>
          </cell>
          <cell r="W10">
            <v>746.46634615384608</v>
          </cell>
          <cell r="X10">
            <v>2388.6923076923076</v>
          </cell>
          <cell r="Y10">
            <v>447.87980769230762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</row>
        <row r="11">
          <cell r="V11" t="str">
            <v>Satélite</v>
          </cell>
          <cell r="W11">
            <v>1306.3161057692305</v>
          </cell>
          <cell r="X11">
            <v>4180.2115384615381</v>
          </cell>
          <cell r="Y11">
            <v>783.78966346153834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</row>
        <row r="12">
          <cell r="V12" t="str">
            <v>Ejercito</v>
          </cell>
          <cell r="W12">
            <v>1057.4939903846152</v>
          </cell>
          <cell r="X12">
            <v>3383.9807692307691</v>
          </cell>
          <cell r="Y12">
            <v>634.49639423076906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</row>
        <row r="13">
          <cell r="V13" t="str">
            <v>Solís</v>
          </cell>
          <cell r="W13">
            <v>808.67187499999989</v>
          </cell>
          <cell r="X13">
            <v>2587.75</v>
          </cell>
          <cell r="Y13">
            <v>485.20312499999994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</row>
        <row r="14">
          <cell r="V14" t="str">
            <v>Santiago</v>
          </cell>
          <cell r="W14">
            <v>808.67187499999989</v>
          </cell>
          <cell r="X14">
            <v>2587.75</v>
          </cell>
          <cell r="Y14">
            <v>485.20312499999994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RJJSQAWUV4NRDIZFQ4QD7RYOF3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Jarudo</v>
          </cell>
          <cell r="W8">
            <v>4942.6025</v>
          </cell>
          <cell r="X8">
            <v>4942.6025</v>
          </cell>
          <cell r="Y8">
            <v>4942.6025</v>
          </cell>
          <cell r="Z8">
            <v>4942.6025</v>
          </cell>
          <cell r="AA8">
            <v>4942.6025</v>
          </cell>
          <cell r="AB8">
            <v>4942.6025</v>
          </cell>
          <cell r="AC8">
            <v>4942.6025</v>
          </cell>
          <cell r="AD8">
            <v>4942.6025</v>
          </cell>
          <cell r="AE8">
            <v>4942.6025</v>
          </cell>
          <cell r="AF8">
            <v>4942.6025</v>
          </cell>
          <cell r="AG8">
            <v>4942.6025</v>
          </cell>
          <cell r="AH8">
            <v>4942.6025</v>
          </cell>
        </row>
        <row r="9">
          <cell r="V9" t="str">
            <v>Clara</v>
          </cell>
          <cell r="W9">
            <v>4942.6025</v>
          </cell>
          <cell r="X9">
            <v>4942.6025</v>
          </cell>
          <cell r="Y9">
            <v>4942.6025</v>
          </cell>
          <cell r="Z9">
            <v>4942.6025</v>
          </cell>
          <cell r="AA9">
            <v>4942.6025</v>
          </cell>
          <cell r="AB9">
            <v>4942.6025</v>
          </cell>
          <cell r="AC9">
            <v>4942.6025</v>
          </cell>
          <cell r="AD9">
            <v>4942.6025</v>
          </cell>
          <cell r="AE9">
            <v>4942.6025</v>
          </cell>
          <cell r="AF9">
            <v>4942.6025</v>
          </cell>
          <cell r="AG9">
            <v>4942.6025</v>
          </cell>
          <cell r="AH9">
            <v>4942.6025</v>
          </cell>
        </row>
        <row r="10">
          <cell r="V10" t="str">
            <v>Fuentes</v>
          </cell>
          <cell r="W10">
            <v>4942.6025</v>
          </cell>
          <cell r="X10">
            <v>4942.6025</v>
          </cell>
          <cell r="Y10">
            <v>4942.6025</v>
          </cell>
          <cell r="Z10">
            <v>4942.6025</v>
          </cell>
          <cell r="AA10">
            <v>4942.6025</v>
          </cell>
          <cell r="AB10">
            <v>4942.6025</v>
          </cell>
          <cell r="AC10">
            <v>4942.6025</v>
          </cell>
          <cell r="AD10">
            <v>4942.6025</v>
          </cell>
          <cell r="AE10">
            <v>4942.6025</v>
          </cell>
          <cell r="AF10">
            <v>4942.6025</v>
          </cell>
          <cell r="AG10">
            <v>4942.6025</v>
          </cell>
          <cell r="AH10">
            <v>4942.6025</v>
          </cell>
        </row>
        <row r="11">
          <cell r="V11" t="str">
            <v>Satélite</v>
          </cell>
          <cell r="W11">
            <v>4942.6025</v>
          </cell>
          <cell r="X11">
            <v>4942.6025</v>
          </cell>
          <cell r="Y11">
            <v>4942.6025</v>
          </cell>
          <cell r="Z11">
            <v>4942.6025</v>
          </cell>
          <cell r="AA11">
            <v>4942.6025</v>
          </cell>
          <cell r="AB11">
            <v>4942.6025</v>
          </cell>
          <cell r="AC11">
            <v>4942.6025</v>
          </cell>
          <cell r="AD11">
            <v>4942.6025</v>
          </cell>
          <cell r="AE11">
            <v>4942.6025</v>
          </cell>
          <cell r="AF11">
            <v>4942.6025</v>
          </cell>
          <cell r="AG11">
            <v>4942.6025</v>
          </cell>
          <cell r="AH11">
            <v>4942.6025</v>
          </cell>
        </row>
        <row r="12">
          <cell r="V12" t="str">
            <v>Ejercito</v>
          </cell>
          <cell r="W12">
            <v>4942.6025</v>
          </cell>
          <cell r="X12">
            <v>4942.6025</v>
          </cell>
          <cell r="Y12">
            <v>4942.6025</v>
          </cell>
          <cell r="Z12">
            <v>4942.6025</v>
          </cell>
          <cell r="AA12">
            <v>4942.6025</v>
          </cell>
          <cell r="AB12">
            <v>4942.6025</v>
          </cell>
          <cell r="AC12">
            <v>4942.6025</v>
          </cell>
          <cell r="AD12">
            <v>4942.6025</v>
          </cell>
          <cell r="AE12">
            <v>4942.6025</v>
          </cell>
          <cell r="AF12">
            <v>4942.6025</v>
          </cell>
          <cell r="AG12">
            <v>4942.6025</v>
          </cell>
          <cell r="AH12">
            <v>4942.6025</v>
          </cell>
        </row>
        <row r="13">
          <cell r="V13" t="str">
            <v>Solís</v>
          </cell>
          <cell r="W13">
            <v>4942.6025</v>
          </cell>
          <cell r="X13">
            <v>4942.6025</v>
          </cell>
          <cell r="Y13">
            <v>4942.6025</v>
          </cell>
          <cell r="Z13">
            <v>4942.6025</v>
          </cell>
          <cell r="AA13">
            <v>4942.6025</v>
          </cell>
          <cell r="AB13">
            <v>4942.6025</v>
          </cell>
          <cell r="AC13">
            <v>4942.6025</v>
          </cell>
          <cell r="AD13">
            <v>4942.6025</v>
          </cell>
          <cell r="AE13">
            <v>4942.6025</v>
          </cell>
          <cell r="AF13">
            <v>4942.6025</v>
          </cell>
          <cell r="AG13">
            <v>4942.6025</v>
          </cell>
          <cell r="AH13">
            <v>4942.6025</v>
          </cell>
        </row>
        <row r="14">
          <cell r="V14" t="str">
            <v>Santiago</v>
          </cell>
          <cell r="W14">
            <v>4942.6025</v>
          </cell>
          <cell r="X14">
            <v>4942.6025</v>
          </cell>
          <cell r="Y14">
            <v>4942.6025</v>
          </cell>
          <cell r="Z14">
            <v>4942.6025</v>
          </cell>
          <cell r="AA14">
            <v>4942.6025</v>
          </cell>
          <cell r="AB14">
            <v>4942.6025</v>
          </cell>
          <cell r="AC14">
            <v>4942.6025</v>
          </cell>
          <cell r="AD14">
            <v>4942.6025</v>
          </cell>
          <cell r="AE14">
            <v>4942.6025</v>
          </cell>
          <cell r="AF14">
            <v>4942.6025</v>
          </cell>
          <cell r="AG14">
            <v>4942.6025</v>
          </cell>
          <cell r="AH14">
            <v>4942.6025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TLZQSGBIFEXVDZWSVK7OKJQSXW">
      <xxl21:absoluteUrl r:id="rId2"/>
    </xxl21:alternateUrls>
    <sheetNames>
      <sheetName val="Resumen"/>
      <sheetName val="Detalle"/>
      <sheetName val="Evidencias"/>
    </sheetNames>
    <sheetDataSet>
      <sheetData sheetId="0">
        <row r="10">
          <cell r="V10" t="str">
            <v>Jarudo</v>
          </cell>
          <cell r="W10">
            <v>931.58999999999992</v>
          </cell>
          <cell r="X10">
            <v>931.58999999999992</v>
          </cell>
          <cell r="Y10">
            <v>931.58999999999992</v>
          </cell>
          <cell r="Z10">
            <v>931.58999999999992</v>
          </cell>
          <cell r="AA10">
            <v>931.58999999999992</v>
          </cell>
          <cell r="AB10">
            <v>931.58999999999992</v>
          </cell>
          <cell r="AC10">
            <v>931.58999999999992</v>
          </cell>
          <cell r="AD10">
            <v>931.58999999999992</v>
          </cell>
          <cell r="AE10">
            <v>931.58999999999992</v>
          </cell>
          <cell r="AF10">
            <v>931.58999999999992</v>
          </cell>
          <cell r="AG10">
            <v>931.58999999999992</v>
          </cell>
          <cell r="AH10">
            <v>931.58999999999992</v>
          </cell>
        </row>
        <row r="11">
          <cell r="V11" t="str">
            <v>Clara</v>
          </cell>
          <cell r="W11">
            <v>828.07999999999993</v>
          </cell>
          <cell r="X11">
            <v>828.07999999999993</v>
          </cell>
          <cell r="Y11">
            <v>828.07999999999993</v>
          </cell>
          <cell r="Z11">
            <v>828.07999999999993</v>
          </cell>
          <cell r="AA11">
            <v>828.07999999999993</v>
          </cell>
          <cell r="AB11">
            <v>828.07999999999993</v>
          </cell>
          <cell r="AC11">
            <v>828.07999999999993</v>
          </cell>
          <cell r="AD11">
            <v>828.07999999999993</v>
          </cell>
          <cell r="AE11">
            <v>828.07999999999993</v>
          </cell>
          <cell r="AF11">
            <v>828.07999999999993</v>
          </cell>
          <cell r="AG11">
            <v>828.07999999999993</v>
          </cell>
          <cell r="AH11">
            <v>828.07999999999993</v>
          </cell>
        </row>
        <row r="12">
          <cell r="V12" t="str">
            <v>Fuentes</v>
          </cell>
          <cell r="W12">
            <v>1086.855</v>
          </cell>
          <cell r="X12">
            <v>1086.855</v>
          </cell>
          <cell r="Y12">
            <v>1086.855</v>
          </cell>
          <cell r="Z12">
            <v>1086.855</v>
          </cell>
          <cell r="AA12">
            <v>1086.855</v>
          </cell>
          <cell r="AB12">
            <v>1086.855</v>
          </cell>
          <cell r="AC12">
            <v>1086.855</v>
          </cell>
          <cell r="AD12">
            <v>1086.855</v>
          </cell>
          <cell r="AE12">
            <v>1086.855</v>
          </cell>
          <cell r="AF12">
            <v>1086.855</v>
          </cell>
          <cell r="AG12">
            <v>1086.855</v>
          </cell>
          <cell r="AH12">
            <v>1086.855</v>
          </cell>
        </row>
        <row r="13">
          <cell r="V13" t="str">
            <v>Satélite</v>
          </cell>
          <cell r="W13">
            <v>1138.6099999999999</v>
          </cell>
          <cell r="X13">
            <v>1138.6099999999999</v>
          </cell>
          <cell r="Y13">
            <v>1138.6099999999999</v>
          </cell>
          <cell r="Z13">
            <v>1138.6099999999999</v>
          </cell>
          <cell r="AA13">
            <v>1138.6099999999999</v>
          </cell>
          <cell r="AB13">
            <v>1138.6099999999999</v>
          </cell>
          <cell r="AC13">
            <v>1138.6099999999999</v>
          </cell>
          <cell r="AD13">
            <v>1138.6099999999999</v>
          </cell>
          <cell r="AE13">
            <v>1138.6099999999999</v>
          </cell>
          <cell r="AF13">
            <v>1138.6099999999999</v>
          </cell>
          <cell r="AG13">
            <v>1138.6099999999999</v>
          </cell>
          <cell r="AH13">
            <v>1138.6099999999999</v>
          </cell>
        </row>
        <row r="14">
          <cell r="V14" t="str">
            <v>Ejercito</v>
          </cell>
          <cell r="W14">
            <v>1035.0999999999999</v>
          </cell>
          <cell r="X14">
            <v>1035.0999999999999</v>
          </cell>
          <cell r="Y14">
            <v>1035.0999999999999</v>
          </cell>
          <cell r="Z14">
            <v>1035.0999999999999</v>
          </cell>
          <cell r="AA14">
            <v>1035.0999999999999</v>
          </cell>
          <cell r="AB14">
            <v>1035.0999999999999</v>
          </cell>
          <cell r="AC14">
            <v>1035.0999999999999</v>
          </cell>
          <cell r="AD14">
            <v>1035.0999999999999</v>
          </cell>
          <cell r="AE14">
            <v>1035.0999999999999</v>
          </cell>
          <cell r="AF14">
            <v>1035.0999999999999</v>
          </cell>
          <cell r="AG14">
            <v>1035.0999999999999</v>
          </cell>
          <cell r="AH14">
            <v>1035.0999999999999</v>
          </cell>
        </row>
        <row r="15">
          <cell r="V15" t="str">
            <v>Solís</v>
          </cell>
          <cell r="W15">
            <v>931.58999999999992</v>
          </cell>
          <cell r="X15">
            <v>931.58999999999992</v>
          </cell>
          <cell r="Y15">
            <v>931.58999999999992</v>
          </cell>
          <cell r="Z15">
            <v>931.58999999999992</v>
          </cell>
          <cell r="AA15">
            <v>931.58999999999992</v>
          </cell>
          <cell r="AB15">
            <v>931.58999999999992</v>
          </cell>
          <cell r="AC15">
            <v>931.58999999999992</v>
          </cell>
          <cell r="AD15">
            <v>931.58999999999992</v>
          </cell>
          <cell r="AE15">
            <v>931.58999999999992</v>
          </cell>
          <cell r="AF15">
            <v>931.58999999999992</v>
          </cell>
          <cell r="AG15">
            <v>931.58999999999992</v>
          </cell>
          <cell r="AH15">
            <v>931.58999999999992</v>
          </cell>
        </row>
        <row r="16">
          <cell r="V16" t="str">
            <v>Santiago</v>
          </cell>
          <cell r="W16">
            <v>931.58999999999992</v>
          </cell>
          <cell r="X16">
            <v>931.58999999999992</v>
          </cell>
          <cell r="Y16">
            <v>931.58999999999992</v>
          </cell>
          <cell r="Z16">
            <v>931.58999999999992</v>
          </cell>
          <cell r="AA16">
            <v>931.58999999999992</v>
          </cell>
          <cell r="AB16">
            <v>931.58999999999992</v>
          </cell>
          <cell r="AC16">
            <v>931.58999999999992</v>
          </cell>
          <cell r="AD16">
            <v>931.58999999999992</v>
          </cell>
          <cell r="AE16">
            <v>931.58999999999992</v>
          </cell>
          <cell r="AF16">
            <v>931.58999999999992</v>
          </cell>
          <cell r="AG16">
            <v>931.58999999999992</v>
          </cell>
          <cell r="AH16">
            <v>931.58999999999992</v>
          </cell>
        </row>
      </sheetData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QXVLMTTDT73VHK6GEWDEJKKUBS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Jarudo</v>
          </cell>
          <cell r="W8">
            <v>9162.126165059999</v>
          </cell>
          <cell r="X8">
            <v>9162.126165059999</v>
          </cell>
          <cell r="Y8">
            <v>9162.126165059999</v>
          </cell>
          <cell r="Z8">
            <v>5276.6273033099988</v>
          </cell>
          <cell r="AA8">
            <v>10996.548499309998</v>
          </cell>
          <cell r="AB8">
            <v>2416.66670531</v>
          </cell>
          <cell r="AC8">
            <v>2416.66670531</v>
          </cell>
          <cell r="AD8">
            <v>13856.50909731</v>
          </cell>
          <cell r="AE8">
            <v>10996.548499309998</v>
          </cell>
          <cell r="AF8">
            <v>22079.677317059995</v>
          </cell>
          <cell r="AG8">
            <v>9162.126165059999</v>
          </cell>
          <cell r="AH8">
            <v>9162.126165059999</v>
          </cell>
        </row>
        <row r="9">
          <cell r="V9" t="str">
            <v>Clara</v>
          </cell>
          <cell r="W9">
            <v>4978.2405789599989</v>
          </cell>
          <cell r="X9">
            <v>7838.2011769599994</v>
          </cell>
          <cell r="Y9">
            <v>7838.2011769599994</v>
          </cell>
          <cell r="Z9">
            <v>5719.9211959999993</v>
          </cell>
          <cell r="AA9">
            <v>5719.9211959999993</v>
          </cell>
          <cell r="AB9">
            <v>2859.9605979999997</v>
          </cell>
          <cell r="AC9">
            <v>5719.9211959999993</v>
          </cell>
          <cell r="AD9">
            <v>8579.881793999999</v>
          </cell>
          <cell r="AE9">
            <v>5719.9211959999993</v>
          </cell>
          <cell r="AF9">
            <v>9709.2379999999994</v>
          </cell>
          <cell r="AG9">
            <v>6933.575945999999</v>
          </cell>
          <cell r="AH9">
            <v>2859.9605979999997</v>
          </cell>
        </row>
        <row r="10">
          <cell r="V10" t="str">
            <v>Fuentes</v>
          </cell>
          <cell r="W10">
            <v>6933.575945999999</v>
          </cell>
          <cell r="X10">
            <v>2859.9605979999997</v>
          </cell>
          <cell r="Y10">
            <v>5719.9211959999993</v>
          </cell>
          <cell r="Z10">
            <v>5719.9211959999993</v>
          </cell>
          <cell r="AA10">
            <v>5719.9211959999993</v>
          </cell>
          <cell r="AB10">
            <v>0</v>
          </cell>
          <cell r="AC10">
            <v>5719.9211959999993</v>
          </cell>
          <cell r="AD10">
            <v>5719.9211959999993</v>
          </cell>
          <cell r="AE10">
            <v>8579.8817939999972</v>
          </cell>
          <cell r="AF10">
            <v>24357.393543999995</v>
          </cell>
          <cell r="AG10">
            <v>5719.9211959999993</v>
          </cell>
          <cell r="AH10">
            <v>0</v>
          </cell>
        </row>
        <row r="11">
          <cell r="V11" t="str">
            <v>Satélite</v>
          </cell>
          <cell r="W11">
            <v>11280.406146020001</v>
          </cell>
          <cell r="X11">
            <v>11280.406146020001</v>
          </cell>
          <cell r="Y11">
            <v>11280.406146020001</v>
          </cell>
          <cell r="Z11">
            <v>12483.728010269999</v>
          </cell>
          <cell r="AA11">
            <v>9623.7674122699991</v>
          </cell>
          <cell r="AB11">
            <v>3903.8462162699998</v>
          </cell>
          <cell r="AC11">
            <v>9623.7674122699991</v>
          </cell>
          <cell r="AD11">
            <v>9623.7674122699991</v>
          </cell>
          <cell r="AE11">
            <v>9623.7674122699991</v>
          </cell>
          <cell r="AF11">
            <v>36767.155896019998</v>
          </cell>
          <cell r="AG11">
            <v>11280.406146020001</v>
          </cell>
          <cell r="AH11">
            <v>22720.248538019998</v>
          </cell>
        </row>
        <row r="12">
          <cell r="V12" t="str">
            <v>Ejercito</v>
          </cell>
          <cell r="W12">
            <v>10221.266155539999</v>
          </cell>
          <cell r="X12">
            <v>10221.266155539999</v>
          </cell>
          <cell r="Y12">
            <v>10221.266155539999</v>
          </cell>
          <cell r="Z12">
            <v>6020.2170587899991</v>
          </cell>
          <cell r="AA12">
            <v>11740.138254789998</v>
          </cell>
          <cell r="AB12">
            <v>3160.2564607899994</v>
          </cell>
          <cell r="AC12">
            <v>3160.2564607899994</v>
          </cell>
          <cell r="AD12">
            <v>11740.138254789998</v>
          </cell>
          <cell r="AE12">
            <v>8880.1776567899979</v>
          </cell>
          <cell r="AF12">
            <v>33713.357503539992</v>
          </cell>
          <cell r="AG12">
            <v>10221.266155539999</v>
          </cell>
          <cell r="AH12">
            <v>15941.18735154</v>
          </cell>
        </row>
        <row r="13">
          <cell r="V13" t="str">
            <v>Solís</v>
          </cell>
          <cell r="W13">
            <v>12022.086763059997</v>
          </cell>
          <cell r="X13">
            <v>3442.2049690599997</v>
          </cell>
          <cell r="Y13">
            <v>9162.126165059999</v>
          </cell>
          <cell r="Z13">
            <v>5719.9211959999993</v>
          </cell>
          <cell r="AA13">
            <v>2859.9605979999997</v>
          </cell>
          <cell r="AB13">
            <v>2859.9605979999997</v>
          </cell>
          <cell r="AC13">
            <v>8579.881793999999</v>
          </cell>
          <cell r="AD13">
            <v>5719.9211959999993</v>
          </cell>
          <cell r="AE13">
            <v>2859.9605979999997</v>
          </cell>
          <cell r="AF13">
            <v>25571.048293999997</v>
          </cell>
          <cell r="AG13">
            <v>15513.457739999998</v>
          </cell>
          <cell r="AH13">
            <v>6933.575945999999</v>
          </cell>
        </row>
        <row r="14">
          <cell r="V14" t="str">
            <v>Santiago</v>
          </cell>
          <cell r="W14">
            <v>3442.2049690599997</v>
          </cell>
          <cell r="X14">
            <v>9162.126165059999</v>
          </cell>
          <cell r="Y14">
            <v>9162.126165059999</v>
          </cell>
          <cell r="Z14">
            <v>8136.5879013099993</v>
          </cell>
          <cell r="AA14">
            <v>5276.6273033099988</v>
          </cell>
          <cell r="AB14">
            <v>2416.66670531</v>
          </cell>
          <cell r="AC14">
            <v>5276.6273033099988</v>
          </cell>
          <cell r="AD14">
            <v>8136.5879013099993</v>
          </cell>
          <cell r="AE14">
            <v>8136.5879013099993</v>
          </cell>
          <cell r="AF14">
            <v>27799.598513059995</v>
          </cell>
          <cell r="AG14">
            <v>12022.086763059997</v>
          </cell>
          <cell r="AH14">
            <v>6302.1655670599994</v>
          </cell>
        </row>
      </sheetData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UIU57FYSYMGFB3D46N2DJI46N2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Jarudo</v>
          </cell>
          <cell r="W8">
            <v>0</v>
          </cell>
          <cell r="X8">
            <v>765.97399999999993</v>
          </cell>
          <cell r="Y8">
            <v>191.49349999999998</v>
          </cell>
          <cell r="Z8">
            <v>382.98699999999997</v>
          </cell>
          <cell r="AA8">
            <v>0</v>
          </cell>
          <cell r="AB8">
            <v>382.98699999999997</v>
          </cell>
          <cell r="AC8">
            <v>1169.663</v>
          </cell>
          <cell r="AD8">
            <v>191.49349999999998</v>
          </cell>
          <cell r="AE8">
            <v>191.49349999999998</v>
          </cell>
          <cell r="AF8">
            <v>0</v>
          </cell>
          <cell r="AG8">
            <v>0</v>
          </cell>
          <cell r="AH8">
            <v>0</v>
          </cell>
        </row>
        <row r="9">
          <cell r="V9" t="str">
            <v>Clara</v>
          </cell>
          <cell r="W9">
            <v>0</v>
          </cell>
          <cell r="X9">
            <v>1361.1564999999998</v>
          </cell>
          <cell r="Y9">
            <v>0</v>
          </cell>
          <cell r="Z9">
            <v>0</v>
          </cell>
          <cell r="AA9">
            <v>786.67599999999993</v>
          </cell>
          <cell r="AB9">
            <v>786.67599999999993</v>
          </cell>
          <cell r="AC9">
            <v>0</v>
          </cell>
          <cell r="AD9">
            <v>0</v>
          </cell>
          <cell r="AE9">
            <v>0</v>
          </cell>
          <cell r="AF9">
            <v>786.67599999999993</v>
          </cell>
          <cell r="AG9">
            <v>191.49349999999998</v>
          </cell>
          <cell r="AH9">
            <v>191.49349999999998</v>
          </cell>
        </row>
        <row r="10">
          <cell r="V10" t="str">
            <v>Fuentes</v>
          </cell>
          <cell r="W10">
            <v>786.67599999999993</v>
          </cell>
          <cell r="X10">
            <v>0</v>
          </cell>
          <cell r="Y10">
            <v>191.49349999999998</v>
          </cell>
          <cell r="Z10">
            <v>0</v>
          </cell>
          <cell r="AA10">
            <v>382.98699999999997</v>
          </cell>
          <cell r="AB10">
            <v>0</v>
          </cell>
          <cell r="AC10">
            <v>0</v>
          </cell>
          <cell r="AD10">
            <v>0</v>
          </cell>
          <cell r="AE10">
            <v>191.49349999999998</v>
          </cell>
          <cell r="AF10">
            <v>0</v>
          </cell>
          <cell r="AG10">
            <v>191.49349999999998</v>
          </cell>
          <cell r="AH10">
            <v>0</v>
          </cell>
        </row>
        <row r="11">
          <cell r="V11" t="str">
            <v>Satélite</v>
          </cell>
          <cell r="W11">
            <v>0</v>
          </cell>
          <cell r="X11">
            <v>765.97399999999993</v>
          </cell>
          <cell r="Y11">
            <v>191.49349999999998</v>
          </cell>
          <cell r="Z11">
            <v>191.49349999999998</v>
          </cell>
          <cell r="AA11">
            <v>191.49349999999998</v>
          </cell>
          <cell r="AB11">
            <v>382.98699999999997</v>
          </cell>
          <cell r="AC11">
            <v>0</v>
          </cell>
          <cell r="AD11">
            <v>382.98699999999997</v>
          </cell>
          <cell r="AE11">
            <v>786.67599999999993</v>
          </cell>
          <cell r="AF11">
            <v>191.49349999999998</v>
          </cell>
          <cell r="AG11">
            <v>0</v>
          </cell>
          <cell r="AH11">
            <v>0</v>
          </cell>
        </row>
        <row r="12">
          <cell r="V12" t="str">
            <v>Ejercito</v>
          </cell>
          <cell r="W12">
            <v>0</v>
          </cell>
          <cell r="X12">
            <v>382.98699999999997</v>
          </cell>
          <cell r="Y12">
            <v>0</v>
          </cell>
          <cell r="Z12">
            <v>0</v>
          </cell>
          <cell r="AA12">
            <v>191.49349999999998</v>
          </cell>
          <cell r="AB12">
            <v>1552.6499999999999</v>
          </cell>
          <cell r="AC12">
            <v>574.48049999999989</v>
          </cell>
          <cell r="AD12">
            <v>1169.663</v>
          </cell>
          <cell r="AE12">
            <v>574.48049999999989</v>
          </cell>
          <cell r="AF12">
            <v>191.49349999999998</v>
          </cell>
          <cell r="AG12">
            <v>786.67599999999993</v>
          </cell>
          <cell r="AH12">
            <v>0</v>
          </cell>
        </row>
        <row r="13">
          <cell r="V13" t="str">
            <v>Solís</v>
          </cell>
          <cell r="W13">
            <v>0</v>
          </cell>
          <cell r="X13">
            <v>382.98699999999997</v>
          </cell>
          <cell r="Y13">
            <v>978.16949999999997</v>
          </cell>
          <cell r="Z13">
            <v>0</v>
          </cell>
          <cell r="AA13">
            <v>0</v>
          </cell>
          <cell r="AB13">
            <v>0</v>
          </cell>
          <cell r="AC13">
            <v>191.49349999999998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978.16949999999997</v>
          </cell>
        </row>
        <row r="14">
          <cell r="V14" t="str">
            <v>Santiago</v>
          </cell>
          <cell r="W14">
            <v>191.49349999999998</v>
          </cell>
          <cell r="X14">
            <v>382.98699999999997</v>
          </cell>
          <cell r="Y14">
            <v>0</v>
          </cell>
          <cell r="Z14">
            <v>786.67599999999993</v>
          </cell>
          <cell r="AA14">
            <v>0</v>
          </cell>
          <cell r="AB14">
            <v>191.49349999999998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</row>
      </sheetData>
      <sheetData sheetId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W3SXDQOOAQNJCZKAOOM6ZCCAAF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Jarudo</v>
          </cell>
          <cell r="W8">
            <v>0</v>
          </cell>
          <cell r="X8">
            <v>4642.4234999999999</v>
          </cell>
          <cell r="Y8">
            <v>0</v>
          </cell>
          <cell r="Z8">
            <v>0</v>
          </cell>
          <cell r="AA8">
            <v>2220.2894999999999</v>
          </cell>
          <cell r="AB8">
            <v>2489.4154999999996</v>
          </cell>
          <cell r="AC8">
            <v>0</v>
          </cell>
          <cell r="AD8">
            <v>2287.5709999999999</v>
          </cell>
          <cell r="AE8">
            <v>0</v>
          </cell>
          <cell r="AF8">
            <v>1076.5039999999999</v>
          </cell>
          <cell r="AG8">
            <v>15474.744999999999</v>
          </cell>
          <cell r="AH8">
            <v>0</v>
          </cell>
        </row>
        <row r="9">
          <cell r="V9" t="str">
            <v>Clara</v>
          </cell>
          <cell r="W9">
            <v>0</v>
          </cell>
          <cell r="X9">
            <v>2856.8759999999997</v>
          </cell>
          <cell r="Y9">
            <v>0</v>
          </cell>
          <cell r="Z9">
            <v>0</v>
          </cell>
          <cell r="AA9">
            <v>1366.3319999999999</v>
          </cell>
          <cell r="AB9">
            <v>1531.9479999999999</v>
          </cell>
          <cell r="AC9">
            <v>0</v>
          </cell>
          <cell r="AD9">
            <v>1407.7359999999999</v>
          </cell>
          <cell r="AE9">
            <v>0</v>
          </cell>
          <cell r="AF9">
            <v>662.46399999999994</v>
          </cell>
          <cell r="AG9">
            <v>9522.9199999999983</v>
          </cell>
          <cell r="AH9">
            <v>0</v>
          </cell>
        </row>
        <row r="10">
          <cell r="V10" t="str">
            <v>Fuentes</v>
          </cell>
          <cell r="W10">
            <v>0</v>
          </cell>
          <cell r="X10">
            <v>4285.3139999999994</v>
          </cell>
          <cell r="Y10">
            <v>0</v>
          </cell>
          <cell r="Z10">
            <v>0</v>
          </cell>
          <cell r="AA10">
            <v>2049.4979999999996</v>
          </cell>
          <cell r="AB10">
            <v>2297.9219999999996</v>
          </cell>
          <cell r="AC10">
            <v>0</v>
          </cell>
          <cell r="AD10">
            <v>2111.6039999999998</v>
          </cell>
          <cell r="AE10">
            <v>0</v>
          </cell>
          <cell r="AF10">
            <v>993.69599999999991</v>
          </cell>
          <cell r="AG10">
            <v>14284.38</v>
          </cell>
          <cell r="AH10">
            <v>0</v>
          </cell>
        </row>
        <row r="11">
          <cell r="V11" t="str">
            <v>Satélite</v>
          </cell>
          <cell r="W11">
            <v>0</v>
          </cell>
          <cell r="X11">
            <v>7499.2994999999992</v>
          </cell>
          <cell r="Y11">
            <v>0</v>
          </cell>
          <cell r="Z11">
            <v>0</v>
          </cell>
          <cell r="AA11">
            <v>3586.6214999999997</v>
          </cell>
          <cell r="AB11">
            <v>4021.3634999999995</v>
          </cell>
          <cell r="AC11">
            <v>0</v>
          </cell>
          <cell r="AD11">
            <v>3695.3069999999998</v>
          </cell>
          <cell r="AE11">
            <v>0</v>
          </cell>
          <cell r="AF11">
            <v>1738.9679999999998</v>
          </cell>
          <cell r="AG11">
            <v>24997.664999999997</v>
          </cell>
          <cell r="AH11">
            <v>0</v>
          </cell>
        </row>
        <row r="12">
          <cell r="V12" t="str">
            <v>Ejercito</v>
          </cell>
          <cell r="W12">
            <v>0</v>
          </cell>
          <cell r="X12">
            <v>6070.8614999999991</v>
          </cell>
          <cell r="Y12">
            <v>0</v>
          </cell>
          <cell r="Z12">
            <v>0</v>
          </cell>
          <cell r="AA12">
            <v>2903.4554999999996</v>
          </cell>
          <cell r="AB12">
            <v>3255.3894999999998</v>
          </cell>
          <cell r="AC12">
            <v>0</v>
          </cell>
          <cell r="AD12">
            <v>2991.4389999999999</v>
          </cell>
          <cell r="AE12">
            <v>0</v>
          </cell>
          <cell r="AF12">
            <v>1407.7359999999999</v>
          </cell>
          <cell r="AG12">
            <v>20236.204999999998</v>
          </cell>
          <cell r="AH12">
            <v>0</v>
          </cell>
        </row>
        <row r="13">
          <cell r="V13" t="str">
            <v>Solís</v>
          </cell>
          <cell r="W13">
            <v>0</v>
          </cell>
          <cell r="X13">
            <v>4642.4234999999999</v>
          </cell>
          <cell r="Y13">
            <v>0</v>
          </cell>
          <cell r="Z13">
            <v>0</v>
          </cell>
          <cell r="AA13">
            <v>2220.2894999999999</v>
          </cell>
          <cell r="AB13">
            <v>2489.4154999999996</v>
          </cell>
          <cell r="AC13">
            <v>0</v>
          </cell>
          <cell r="AD13">
            <v>2287.5709999999999</v>
          </cell>
          <cell r="AE13">
            <v>0</v>
          </cell>
          <cell r="AF13">
            <v>1076.5039999999999</v>
          </cell>
          <cell r="AG13">
            <v>15474.744999999999</v>
          </cell>
          <cell r="AH13">
            <v>0</v>
          </cell>
        </row>
        <row r="14">
          <cell r="V14" t="str">
            <v>Santiago</v>
          </cell>
          <cell r="W14">
            <v>0</v>
          </cell>
          <cell r="X14">
            <v>4642.4234999999999</v>
          </cell>
          <cell r="Y14">
            <v>0</v>
          </cell>
          <cell r="Z14">
            <v>0</v>
          </cell>
          <cell r="AA14">
            <v>2220.2894999999999</v>
          </cell>
          <cell r="AB14">
            <v>2489.4154999999996</v>
          </cell>
          <cell r="AC14">
            <v>0</v>
          </cell>
          <cell r="AD14">
            <v>2287.5709999999999</v>
          </cell>
          <cell r="AE14">
            <v>0</v>
          </cell>
          <cell r="AF14">
            <v>1076.5039999999999</v>
          </cell>
          <cell r="AG14">
            <v>15474.744999999999</v>
          </cell>
          <cell r="AH14">
            <v>0</v>
          </cell>
        </row>
      </sheetData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RZJS264KSHU5FZODPDBX57I352">
      <xxl21:absoluteUrl r:id="rId2"/>
    </xxl21:alternateUrls>
    <sheetNames>
      <sheetName val="Parametros"/>
      <sheetName val="EJEMPLO"/>
      <sheetName val="Hoja1"/>
      <sheetName val="EJERCICIO ENE"/>
      <sheetName val="EJERCICIO ENE PRUEBv2"/>
      <sheetName val="Puestos"/>
      <sheetName val="Calculadora de Variables DG"/>
      <sheetName val="STAFF ENE24"/>
      <sheetName val="Gasto Real Vs Presupuesto 2026"/>
      <sheetName val="Resumen OPE"/>
      <sheetName val="Resumen Global"/>
      <sheetName val="OPE ENE26"/>
      <sheetName val="OPE FEB26"/>
      <sheetName val="OPE MAR26"/>
      <sheetName val="OPE ABR26"/>
      <sheetName val="OPE MAY26"/>
      <sheetName val="OPE JUL26"/>
      <sheetName val="OPE AGO26"/>
      <sheetName val="OPE JUN26"/>
      <sheetName val="OPE SEPT26"/>
      <sheetName val="OPE OCT26"/>
      <sheetName val="OPE NOV26"/>
      <sheetName val="OPE DIC26"/>
      <sheetName val="SALARIOS 2026"/>
      <sheetName val="Tabla de bonos ope"/>
      <sheetName val="Festivos26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3" t="str">
            <v>Aguinaldo</v>
          </cell>
          <cell r="B3">
            <v>4517.7612743835616</v>
          </cell>
          <cell r="C3">
            <v>4080.5585704109585</v>
          </cell>
          <cell r="D3">
            <v>4517.7612743835616</v>
          </cell>
          <cell r="E3">
            <v>4372.0270397260274</v>
          </cell>
          <cell r="F3">
            <v>4517.7612743835616</v>
          </cell>
          <cell r="G3">
            <v>4372.0270397260274</v>
          </cell>
          <cell r="H3">
            <v>4517.7612743835616</v>
          </cell>
          <cell r="I3">
            <v>4517.7612743835616</v>
          </cell>
          <cell r="J3">
            <v>4372.0270397260274</v>
          </cell>
          <cell r="K3">
            <v>4517.7612743835616</v>
          </cell>
          <cell r="L3">
            <v>4372.0270397260274</v>
          </cell>
          <cell r="M3">
            <v>4517.7612743835616</v>
          </cell>
        </row>
        <row r="4">
          <cell r="A4" t="str">
            <v>Compensaciones</v>
          </cell>
          <cell r="B4">
            <v>11851.439999999999</v>
          </cell>
          <cell r="C4">
            <v>11851.439999999999</v>
          </cell>
          <cell r="D4">
            <v>11851.439999999999</v>
          </cell>
          <cell r="E4">
            <v>11851.439999999999</v>
          </cell>
          <cell r="F4">
            <v>11851.439999999999</v>
          </cell>
          <cell r="G4">
            <v>11851.439999999999</v>
          </cell>
          <cell r="H4">
            <v>11851.439999999999</v>
          </cell>
          <cell r="I4">
            <v>11851.439999999999</v>
          </cell>
          <cell r="J4">
            <v>11851.439999999999</v>
          </cell>
          <cell r="K4">
            <v>11851.439999999999</v>
          </cell>
          <cell r="L4">
            <v>11851.439999999999</v>
          </cell>
          <cell r="M4">
            <v>11851.439999999999</v>
          </cell>
        </row>
        <row r="5">
          <cell r="A5" t="str">
            <v>Días festivos</v>
          </cell>
          <cell r="B5">
            <v>4255.4396519999991</v>
          </cell>
          <cell r="C5">
            <v>4255.4396519999991</v>
          </cell>
          <cell r="D5">
            <v>4255.4396519999991</v>
          </cell>
          <cell r="E5">
            <v>0</v>
          </cell>
          <cell r="F5">
            <v>4255.4396519999991</v>
          </cell>
          <cell r="G5">
            <v>0</v>
          </cell>
          <cell r="H5">
            <v>0</v>
          </cell>
          <cell r="I5">
            <v>0</v>
          </cell>
          <cell r="J5">
            <v>4255.4396519999991</v>
          </cell>
          <cell r="K5">
            <v>0</v>
          </cell>
          <cell r="L5">
            <v>4255.4396519999991</v>
          </cell>
          <cell r="M5">
            <v>4255.4396519999991</v>
          </cell>
        </row>
        <row r="6">
          <cell r="A6" t="str">
            <v>Fondo de ahorro</v>
          </cell>
          <cell r="B6">
            <v>5936.3383145399994</v>
          </cell>
          <cell r="C6">
            <v>5361.8539615199998</v>
          </cell>
          <cell r="D6">
            <v>5936.3383145399994</v>
          </cell>
          <cell r="E6">
            <v>5744.8435301999989</v>
          </cell>
          <cell r="F6">
            <v>5936.3383145399994</v>
          </cell>
          <cell r="G6">
            <v>5744.8435301999989</v>
          </cell>
          <cell r="H6">
            <v>5936.3383145399994</v>
          </cell>
          <cell r="I6">
            <v>5936.3383145399994</v>
          </cell>
          <cell r="J6">
            <v>5744.8435301999989</v>
          </cell>
          <cell r="K6">
            <v>5936.3383145399994</v>
          </cell>
          <cell r="L6">
            <v>5744.8435301999989</v>
          </cell>
          <cell r="M6">
            <v>5936.3383145399994</v>
          </cell>
        </row>
        <row r="7">
          <cell r="A7" t="str">
            <v>Gratificaciones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</row>
        <row r="8">
          <cell r="A8" t="str">
            <v>Indemnizaciones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</row>
        <row r="9">
          <cell r="A9" t="str">
            <v>Premios de asistencia</v>
          </cell>
          <cell r="B9">
            <v>9098.8130999999976</v>
          </cell>
          <cell r="C9">
            <v>8218.2828000000009</v>
          </cell>
          <cell r="D9">
            <v>9098.8130999999976</v>
          </cell>
          <cell r="E9">
            <v>8805.3029999999981</v>
          </cell>
          <cell r="F9">
            <v>9098.8130999999976</v>
          </cell>
          <cell r="G9">
            <v>8805.3029999999981</v>
          </cell>
          <cell r="H9">
            <v>9098.8130999999976</v>
          </cell>
          <cell r="I9">
            <v>9098.8130999999976</v>
          </cell>
          <cell r="J9">
            <v>8805.3029999999981</v>
          </cell>
          <cell r="K9">
            <v>9098.8130999999976</v>
          </cell>
          <cell r="L9">
            <v>8805.3029999999981</v>
          </cell>
          <cell r="M9">
            <v>9098.8130999999976</v>
          </cell>
        </row>
        <row r="10">
          <cell r="A10" t="str">
            <v>Premios de puntualidad</v>
          </cell>
          <cell r="B10">
            <v>3654.5093999999999</v>
          </cell>
          <cell r="C10">
            <v>3300.8471999999997</v>
          </cell>
          <cell r="D10">
            <v>3654.5093999999999</v>
          </cell>
          <cell r="E10">
            <v>3536.6219999999994</v>
          </cell>
          <cell r="F10">
            <v>3654.5093999999999</v>
          </cell>
          <cell r="G10">
            <v>3536.6219999999994</v>
          </cell>
          <cell r="H10">
            <v>3654.5093999999999</v>
          </cell>
          <cell r="I10">
            <v>3654.5093999999999</v>
          </cell>
          <cell r="J10">
            <v>3536.6219999999994</v>
          </cell>
          <cell r="K10">
            <v>3654.5093999999999</v>
          </cell>
          <cell r="L10">
            <v>3536.6219999999994</v>
          </cell>
          <cell r="M10">
            <v>3654.5093999999999</v>
          </cell>
        </row>
        <row r="11">
          <cell r="A11" t="str">
            <v>Previsión social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A12" t="str">
            <v>Prima dominical</v>
          </cell>
          <cell r="B12">
            <v>2748.3047752499997</v>
          </cell>
          <cell r="C12">
            <v>2482.3397969999996</v>
          </cell>
          <cell r="D12">
            <v>2748.3047752499997</v>
          </cell>
          <cell r="E12">
            <v>2659.6497825000001</v>
          </cell>
          <cell r="F12">
            <v>2748.3047752499997</v>
          </cell>
          <cell r="G12">
            <v>2659.6497825000001</v>
          </cell>
          <cell r="H12">
            <v>2748.3047752499997</v>
          </cell>
          <cell r="I12">
            <v>2748.3047752499997</v>
          </cell>
          <cell r="J12">
            <v>2659.6497825000001</v>
          </cell>
          <cell r="K12">
            <v>2748.3047752499997</v>
          </cell>
          <cell r="L12">
            <v>2659.6497825000001</v>
          </cell>
          <cell r="M12">
            <v>2748.3047752499997</v>
          </cell>
        </row>
        <row r="13">
          <cell r="A13" t="str">
            <v>Prima vacacional</v>
          </cell>
          <cell r="B13">
            <v>978.84827611643834</v>
          </cell>
          <cell r="C13">
            <v>884.1210235890411</v>
          </cell>
          <cell r="D13">
            <v>978.84827611643834</v>
          </cell>
          <cell r="E13">
            <v>947.27252527397263</v>
          </cell>
          <cell r="F13">
            <v>978.84827611643834</v>
          </cell>
          <cell r="G13">
            <v>947.27252527397263</v>
          </cell>
          <cell r="H13">
            <v>978.84827611643834</v>
          </cell>
          <cell r="I13">
            <v>978.84827611643834</v>
          </cell>
          <cell r="J13">
            <v>947.27252527397263</v>
          </cell>
          <cell r="K13">
            <v>978.84827611643834</v>
          </cell>
          <cell r="L13">
            <v>947.27252527397263</v>
          </cell>
          <cell r="M13">
            <v>978.84827611643834</v>
          </cell>
        </row>
        <row r="14">
          <cell r="A14" t="str">
            <v>Primas de antigüedad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A15" t="str">
            <v>PTU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Sueldos y salarios</v>
          </cell>
          <cell r="B16">
            <v>109932.19101</v>
          </cell>
          <cell r="C16">
            <v>99293.591879999993</v>
          </cell>
          <cell r="D16">
            <v>109932.19101</v>
          </cell>
          <cell r="E16">
            <v>106385.99129999999</v>
          </cell>
          <cell r="F16">
            <v>109932.19101</v>
          </cell>
          <cell r="G16">
            <v>106385.99129999999</v>
          </cell>
          <cell r="H16">
            <v>109932.19101</v>
          </cell>
          <cell r="I16">
            <v>109932.19101</v>
          </cell>
          <cell r="J16">
            <v>106385.99129999999</v>
          </cell>
          <cell r="K16">
            <v>109932.19101</v>
          </cell>
          <cell r="L16">
            <v>106385.99129999999</v>
          </cell>
          <cell r="M16">
            <v>109932.19101</v>
          </cell>
        </row>
        <row r="17">
          <cell r="A17" t="str">
            <v>Tiempos extras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Vacaciones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TOTAL NOMINA</v>
          </cell>
          <cell r="B19">
            <v>152973.64580229</v>
          </cell>
          <cell r="C19">
            <v>139728.47488451999</v>
          </cell>
          <cell r="D19">
            <v>152973.64580229</v>
          </cell>
          <cell r="E19">
            <v>144303.14917769999</v>
          </cell>
          <cell r="F19">
            <v>152973.64580229</v>
          </cell>
          <cell r="G19">
            <v>144303.14917769999</v>
          </cell>
          <cell r="H19">
            <v>148718.20615029</v>
          </cell>
          <cell r="I19">
            <v>148718.20615029</v>
          </cell>
          <cell r="J19">
            <v>148558.58882969999</v>
          </cell>
          <cell r="K19">
            <v>148718.20615029</v>
          </cell>
          <cell r="L19">
            <v>148558.58882969999</v>
          </cell>
          <cell r="M19">
            <v>152973.64580229</v>
          </cell>
        </row>
        <row r="20">
          <cell r="A20" t="str">
            <v xml:space="preserve">D - COSTO SOCIAL </v>
          </cell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</row>
        <row r="21">
          <cell r="A21" t="str">
            <v>Aportaciones al infonavit</v>
          </cell>
          <cell r="B21">
            <v>6822.9257043874995</v>
          </cell>
          <cell r="C21">
            <v>6240.57908615</v>
          </cell>
          <cell r="D21">
            <v>6822.9257043874995</v>
          </cell>
          <cell r="E21">
            <v>6416.0381823749995</v>
          </cell>
          <cell r="F21">
            <v>6822.9257043874995</v>
          </cell>
          <cell r="G21">
            <v>6416.0381823749995</v>
          </cell>
          <cell r="H21">
            <v>6610.1537217875002</v>
          </cell>
          <cell r="I21">
            <v>6610.1537217875002</v>
          </cell>
          <cell r="J21">
            <v>6628.8101649749997</v>
          </cell>
          <cell r="K21">
            <v>6610.1537217875002</v>
          </cell>
          <cell r="L21">
            <v>6628.8101649749997</v>
          </cell>
          <cell r="M21">
            <v>6822.9257043874995</v>
          </cell>
        </row>
        <row r="22">
          <cell r="A22" t="str">
            <v>Aportaciones al SAR</v>
          </cell>
          <cell r="B22">
            <v>12981.298445167657</v>
          </cell>
          <cell r="C22">
            <v>11873.325769308991</v>
          </cell>
          <cell r="D22">
            <v>12981.298445167657</v>
          </cell>
          <cell r="E22">
            <v>12207.154245786673</v>
          </cell>
          <cell r="F22">
            <v>12981.298445167657</v>
          </cell>
          <cell r="G22">
            <v>12207.154245786673</v>
          </cell>
          <cell r="H22">
            <v>12576.478471072896</v>
          </cell>
          <cell r="I22">
            <v>12576.478471072896</v>
          </cell>
          <cell r="J22">
            <v>12611.974219881435</v>
          </cell>
          <cell r="K22">
            <v>12576.478471072896</v>
          </cell>
          <cell r="L22">
            <v>12611.974219881435</v>
          </cell>
          <cell r="M22">
            <v>12981.298445167657</v>
          </cell>
        </row>
        <row r="23">
          <cell r="A23" t="str">
            <v>Cuotas al IMSS</v>
          </cell>
          <cell r="B23">
            <v>14097.256593090504</v>
          </cell>
          <cell r="C23">
            <v>12840.141852250616</v>
          </cell>
          <cell r="D23">
            <v>14097.256593090504</v>
          </cell>
          <cell r="E23">
            <v>13385.730063630888</v>
          </cell>
          <cell r="F23">
            <v>14097.256593090504</v>
          </cell>
          <cell r="G23">
            <v>13385.730063630888</v>
          </cell>
          <cell r="H23">
            <v>13804.768310577516</v>
          </cell>
          <cell r="I23">
            <v>13804.768310577516</v>
          </cell>
          <cell r="J23">
            <v>13678.218346143873</v>
          </cell>
          <cell r="K23">
            <v>13804.768310577516</v>
          </cell>
          <cell r="L23">
            <v>13678.218346143873</v>
          </cell>
          <cell r="M23">
            <v>14097.256593090504</v>
          </cell>
        </row>
        <row r="24">
          <cell r="A24" t="str">
            <v>Impuesto Estatal</v>
          </cell>
          <cell r="B24">
            <v>5415.6494955155713</v>
          </cell>
          <cell r="C24">
            <v>5415.6494955155713</v>
          </cell>
          <cell r="D24">
            <v>5415.6494955155713</v>
          </cell>
          <cell r="E24">
            <v>5415.6494955155713</v>
          </cell>
          <cell r="F24">
            <v>5415.6494955155713</v>
          </cell>
          <cell r="G24">
            <v>5415.6494955155713</v>
          </cell>
          <cell r="H24">
            <v>5415.6494955155713</v>
          </cell>
          <cell r="I24">
            <v>5415.6494955155713</v>
          </cell>
          <cell r="J24">
            <v>5415.6494955155713</v>
          </cell>
          <cell r="K24">
            <v>5415.6494955155713</v>
          </cell>
          <cell r="L24">
            <v>5415.6494955155713</v>
          </cell>
          <cell r="M24">
            <v>5415.6494955155713</v>
          </cell>
        </row>
        <row r="30">
          <cell r="A30" t="str">
            <v>Aguinaldo</v>
          </cell>
          <cell r="B30">
            <v>6806.2867858561631</v>
          </cell>
          <cell r="C30">
            <v>6147.6138710958894</v>
          </cell>
          <cell r="D30">
            <v>6806.2867858561631</v>
          </cell>
          <cell r="E30">
            <v>6586.7291476027385</v>
          </cell>
          <cell r="F30">
            <v>6806.2867858561631</v>
          </cell>
          <cell r="G30">
            <v>6586.7291476027385</v>
          </cell>
          <cell r="H30">
            <v>6806.2867858561631</v>
          </cell>
          <cell r="I30">
            <v>6806.2867858561631</v>
          </cell>
          <cell r="J30">
            <v>6586.7291476027385</v>
          </cell>
          <cell r="K30">
            <v>6806.2867858561631</v>
          </cell>
          <cell r="L30">
            <v>6586.7291476027385</v>
          </cell>
          <cell r="M30">
            <v>6806.2867858561631</v>
          </cell>
        </row>
        <row r="31">
          <cell r="A31" t="str">
            <v>Compensaciones</v>
          </cell>
          <cell r="B31">
            <v>18604.8</v>
          </cell>
          <cell r="C31">
            <v>18604.8</v>
          </cell>
          <cell r="D31">
            <v>18604.8</v>
          </cell>
          <cell r="E31">
            <v>18604.8</v>
          </cell>
          <cell r="F31">
            <v>18604.8</v>
          </cell>
          <cell r="G31">
            <v>18604.8</v>
          </cell>
          <cell r="H31">
            <v>18604.8</v>
          </cell>
          <cell r="I31">
            <v>18604.8</v>
          </cell>
          <cell r="J31">
            <v>18604.8</v>
          </cell>
          <cell r="K31">
            <v>18604.8</v>
          </cell>
          <cell r="L31">
            <v>18604.8</v>
          </cell>
          <cell r="M31">
            <v>18604.8</v>
          </cell>
        </row>
        <row r="32">
          <cell r="A32" t="str">
            <v>Días festivos</v>
          </cell>
          <cell r="B32">
            <v>6411.0830369999985</v>
          </cell>
          <cell r="C32">
            <v>6411.0830369999985</v>
          </cell>
          <cell r="D32">
            <v>6411.0830369999985</v>
          </cell>
          <cell r="E32">
            <v>0</v>
          </cell>
          <cell r="F32">
            <v>6411.0830369999985</v>
          </cell>
          <cell r="G32">
            <v>0</v>
          </cell>
          <cell r="H32">
            <v>0</v>
          </cell>
          <cell r="I32">
            <v>0</v>
          </cell>
          <cell r="J32">
            <v>6411.0830369999985</v>
          </cell>
          <cell r="K32">
            <v>0</v>
          </cell>
          <cell r="L32">
            <v>6411.0830369999985</v>
          </cell>
          <cell r="M32">
            <v>6411.0830369999985</v>
          </cell>
        </row>
        <row r="33">
          <cell r="A33" t="str">
            <v>Fondo de ahorro</v>
          </cell>
          <cell r="B33">
            <v>8943.4608366149987</v>
          </cell>
          <cell r="C33">
            <v>8077.9646266199989</v>
          </cell>
          <cell r="D33">
            <v>8943.4608366149987</v>
          </cell>
          <cell r="E33">
            <v>8654.9620999499984</v>
          </cell>
          <cell r="F33">
            <v>8943.4608366149987</v>
          </cell>
          <cell r="G33">
            <v>8654.9620999499984</v>
          </cell>
          <cell r="H33">
            <v>8943.4608366149987</v>
          </cell>
          <cell r="I33">
            <v>8943.4608366149987</v>
          </cell>
          <cell r="J33">
            <v>8654.9620999499984</v>
          </cell>
          <cell r="K33">
            <v>8943.4608366149987</v>
          </cell>
          <cell r="L33">
            <v>8654.9620999499984</v>
          </cell>
          <cell r="M33">
            <v>8943.4608366149987</v>
          </cell>
        </row>
        <row r="34">
          <cell r="A34" t="str">
            <v>Gratificaciones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A35" t="str">
            <v>Indemnizaciones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A36" t="str">
            <v>Premios de asistencia</v>
          </cell>
          <cell r="B36">
            <v>11855.391999999998</v>
          </cell>
          <cell r="C36">
            <v>10708.096</v>
          </cell>
          <cell r="D36">
            <v>11855.391999999998</v>
          </cell>
          <cell r="E36">
            <v>11472.96</v>
          </cell>
          <cell r="F36">
            <v>11855.391999999998</v>
          </cell>
          <cell r="G36">
            <v>11472.96</v>
          </cell>
          <cell r="H36">
            <v>11855.391999999998</v>
          </cell>
          <cell r="I36">
            <v>11855.391999999998</v>
          </cell>
          <cell r="J36">
            <v>11472.96</v>
          </cell>
          <cell r="K36">
            <v>11855.391999999998</v>
          </cell>
          <cell r="L36">
            <v>11472.96</v>
          </cell>
          <cell r="M36">
            <v>11855.391999999998</v>
          </cell>
        </row>
        <row r="37">
          <cell r="A37" t="str">
            <v>Premios de puntualidad</v>
          </cell>
          <cell r="B37">
            <v>6375.6893999999993</v>
          </cell>
          <cell r="C37">
            <v>5758.6871999999994</v>
          </cell>
          <cell r="D37">
            <v>6375.6893999999993</v>
          </cell>
          <cell r="E37">
            <v>6170.021999999999</v>
          </cell>
          <cell r="F37">
            <v>6375.6893999999993</v>
          </cell>
          <cell r="G37">
            <v>6170.021999999999</v>
          </cell>
          <cell r="H37">
            <v>6375.6893999999993</v>
          </cell>
          <cell r="I37">
            <v>6375.6893999999993</v>
          </cell>
          <cell r="J37">
            <v>6170.021999999999</v>
          </cell>
          <cell r="K37">
            <v>6375.6893999999993</v>
          </cell>
          <cell r="L37">
            <v>6170.021999999999</v>
          </cell>
          <cell r="M37">
            <v>6375.6893999999993</v>
          </cell>
        </row>
        <row r="38">
          <cell r="A38" t="str">
            <v>Previsión social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Prima dominical</v>
          </cell>
          <cell r="B39">
            <v>3646.9561376250003</v>
          </cell>
          <cell r="C39">
            <v>3294.0248984999998</v>
          </cell>
          <cell r="D39">
            <v>3646.9561376250003</v>
          </cell>
          <cell r="E39">
            <v>3529.31239125</v>
          </cell>
          <cell r="F39">
            <v>3646.9561376250003</v>
          </cell>
          <cell r="G39">
            <v>3529.31239125</v>
          </cell>
          <cell r="H39">
            <v>3646.9561376250003</v>
          </cell>
          <cell r="I39">
            <v>3646.9561376250003</v>
          </cell>
          <cell r="J39">
            <v>3529.31239125</v>
          </cell>
          <cell r="K39">
            <v>3646.9561376250003</v>
          </cell>
          <cell r="L39">
            <v>3529.31239125</v>
          </cell>
          <cell r="M39">
            <v>3646.9561376250003</v>
          </cell>
        </row>
        <row r="40">
          <cell r="A40" t="str">
            <v>Prima vacacional</v>
          </cell>
          <cell r="B40">
            <v>1474.6954702688356</v>
          </cell>
          <cell r="C40">
            <v>1331.9830054041095</v>
          </cell>
          <cell r="D40">
            <v>1474.6954702688356</v>
          </cell>
          <cell r="E40">
            <v>1427.1246486472601</v>
          </cell>
          <cell r="F40">
            <v>1474.6954702688356</v>
          </cell>
          <cell r="G40">
            <v>1427.1246486472601</v>
          </cell>
          <cell r="H40">
            <v>1474.6954702688356</v>
          </cell>
          <cell r="I40">
            <v>1474.6954702688356</v>
          </cell>
          <cell r="J40">
            <v>1427.1246486472601</v>
          </cell>
          <cell r="K40">
            <v>1474.6954702688356</v>
          </cell>
          <cell r="L40">
            <v>1427.1246486472601</v>
          </cell>
          <cell r="M40">
            <v>1474.6954702688356</v>
          </cell>
        </row>
        <row r="41">
          <cell r="A41" t="str">
            <v>Primas de antigüedad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 t="str">
            <v>PTU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Sueldos y salarios</v>
          </cell>
          <cell r="B43">
            <v>165619.64512249999</v>
          </cell>
          <cell r="C43">
            <v>149591.93753</v>
          </cell>
          <cell r="D43">
            <v>165619.64512249999</v>
          </cell>
          <cell r="E43">
            <v>160277.07592499998</v>
          </cell>
          <cell r="F43">
            <v>165619.64512249999</v>
          </cell>
          <cell r="G43">
            <v>160277.07592499998</v>
          </cell>
          <cell r="H43">
            <v>165619.64512249999</v>
          </cell>
          <cell r="I43">
            <v>165619.64512249999</v>
          </cell>
          <cell r="J43">
            <v>160277.07592499998</v>
          </cell>
          <cell r="K43">
            <v>165619.64512249999</v>
          </cell>
          <cell r="L43">
            <v>160277.07592499998</v>
          </cell>
          <cell r="M43">
            <v>165619.64512249999</v>
          </cell>
        </row>
        <row r="44">
          <cell r="A44" t="str">
            <v>Tiempos extras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 t="str">
            <v>Vacaciones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A46" t="str">
            <v>TOTAL NOMINA</v>
          </cell>
          <cell r="B46">
            <v>229738.00878986498</v>
          </cell>
          <cell r="C46">
            <v>209926.19016861997</v>
          </cell>
          <cell r="D46">
            <v>229738.00878986498</v>
          </cell>
          <cell r="E46">
            <v>216722.98621244996</v>
          </cell>
          <cell r="F46">
            <v>229738.00878986498</v>
          </cell>
          <cell r="G46">
            <v>216722.98621244996</v>
          </cell>
          <cell r="H46">
            <v>223326.92575286498</v>
          </cell>
          <cell r="I46">
            <v>223326.92575286498</v>
          </cell>
          <cell r="J46">
            <v>223134.06924944997</v>
          </cell>
          <cell r="K46">
            <v>223326.92575286498</v>
          </cell>
          <cell r="L46">
            <v>223134.06924944997</v>
          </cell>
          <cell r="M46">
            <v>229738.00878986498</v>
          </cell>
        </row>
        <row r="47">
          <cell r="A47" t="str">
            <v xml:space="preserve">D - COSTO SOCIAL </v>
          </cell>
          <cell r="B47"/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</row>
        <row r="48">
          <cell r="A48" t="str">
            <v>Aportaciones al infonavit</v>
          </cell>
          <cell r="B48">
            <v>10236.8997826625</v>
          </cell>
          <cell r="C48">
            <v>9367.2766570999993</v>
          </cell>
          <cell r="D48">
            <v>10236.8997826625</v>
          </cell>
          <cell r="E48">
            <v>9626.4712556249997</v>
          </cell>
          <cell r="F48">
            <v>10236.8997826625</v>
          </cell>
          <cell r="G48">
            <v>9626.4712556249997</v>
          </cell>
          <cell r="H48">
            <v>9916.3456308124987</v>
          </cell>
          <cell r="I48">
            <v>9916.3456308124987</v>
          </cell>
          <cell r="J48">
            <v>9947.0254074749992</v>
          </cell>
          <cell r="K48">
            <v>9916.3456308124987</v>
          </cell>
          <cell r="L48">
            <v>9947.0254074749992</v>
          </cell>
          <cell r="M48">
            <v>10236.8997826625</v>
          </cell>
        </row>
        <row r="49">
          <cell r="A49" t="str">
            <v>Aportaciones al SAR</v>
          </cell>
          <cell r="B49">
            <v>19476.725526493672</v>
          </cell>
          <cell r="C49">
            <v>17822.180567798459</v>
          </cell>
          <cell r="D49">
            <v>19476.725526493672</v>
          </cell>
          <cell r="E49">
            <v>18315.324210952123</v>
          </cell>
          <cell r="F49">
            <v>19476.725526493672</v>
          </cell>
          <cell r="G49">
            <v>18315.324210952123</v>
          </cell>
          <cell r="H49">
            <v>18866.839197183865</v>
          </cell>
          <cell r="I49">
            <v>18866.839197183865</v>
          </cell>
          <cell r="J49">
            <v>18925.210540261935</v>
          </cell>
          <cell r="K49">
            <v>18866.839197183865</v>
          </cell>
          <cell r="L49">
            <v>18925.210540261935</v>
          </cell>
          <cell r="M49">
            <v>19476.725526493672</v>
          </cell>
        </row>
        <row r="50">
          <cell r="A50" t="str">
            <v>Cuotas al IMSS</v>
          </cell>
          <cell r="B50">
            <v>21149.336961635701</v>
          </cell>
          <cell r="C50">
            <v>19269.021612342458</v>
          </cell>
          <cell r="D50">
            <v>21149.336961635701</v>
          </cell>
          <cell r="E50">
            <v>20081.913490372441</v>
          </cell>
          <cell r="F50">
            <v>21149.336961635701</v>
          </cell>
          <cell r="G50">
            <v>20081.913490372441</v>
          </cell>
          <cell r="H50">
            <v>20708.685273470182</v>
          </cell>
          <cell r="I50">
            <v>20708.685273470182</v>
          </cell>
          <cell r="J50">
            <v>20522.565178537956</v>
          </cell>
          <cell r="K50">
            <v>20708.685273470182</v>
          </cell>
          <cell r="L50">
            <v>20522.565178537956</v>
          </cell>
          <cell r="M50">
            <v>21149.336961635701</v>
          </cell>
        </row>
        <row r="51">
          <cell r="A51" t="str">
            <v>Impuesto Estatal</v>
          </cell>
          <cell r="B51">
            <v>8133.2998561831946</v>
          </cell>
          <cell r="C51">
            <v>8133.2998561831946</v>
          </cell>
          <cell r="D51">
            <v>8133.2998561831946</v>
          </cell>
          <cell r="E51">
            <v>8133.2998561831946</v>
          </cell>
          <cell r="F51">
            <v>8133.2998561831946</v>
          </cell>
          <cell r="G51">
            <v>8133.2998561831946</v>
          </cell>
          <cell r="H51">
            <v>8133.2998561831946</v>
          </cell>
          <cell r="I51">
            <v>8133.2998561831946</v>
          </cell>
          <cell r="J51">
            <v>8133.2998561831946</v>
          </cell>
          <cell r="K51">
            <v>8133.2998561831946</v>
          </cell>
          <cell r="L51">
            <v>8133.2998561831946</v>
          </cell>
          <cell r="M51">
            <v>8133.2998561831946</v>
          </cell>
        </row>
        <row r="57">
          <cell r="A57" t="str">
            <v>Aguinaldo</v>
          </cell>
          <cell r="B57">
            <v>11733.821532636986</v>
          </cell>
          <cell r="C57">
            <v>10598.290416575341</v>
          </cell>
          <cell r="D57">
            <v>11733.821532636986</v>
          </cell>
          <cell r="E57">
            <v>11355.311160616437</v>
          </cell>
          <cell r="F57">
            <v>11733.821532636986</v>
          </cell>
          <cell r="G57">
            <v>11355.311160616437</v>
          </cell>
          <cell r="H57">
            <v>11733.821532636986</v>
          </cell>
          <cell r="I57">
            <v>11733.821532636986</v>
          </cell>
          <cell r="J57">
            <v>11355.311160616437</v>
          </cell>
          <cell r="K57">
            <v>11733.821532636986</v>
          </cell>
          <cell r="L57">
            <v>11355.311160616437</v>
          </cell>
          <cell r="M57">
            <v>11733.821532636986</v>
          </cell>
        </row>
        <row r="58">
          <cell r="A58" t="str">
            <v>Compensaciones</v>
          </cell>
          <cell r="B58">
            <v>30232.799999999996</v>
          </cell>
          <cell r="C58">
            <v>30232.799999999996</v>
          </cell>
          <cell r="D58">
            <v>30232.799999999996</v>
          </cell>
          <cell r="E58">
            <v>30232.799999999996</v>
          </cell>
          <cell r="F58">
            <v>30232.799999999996</v>
          </cell>
          <cell r="G58">
            <v>30232.799999999996</v>
          </cell>
          <cell r="H58">
            <v>30232.799999999996</v>
          </cell>
          <cell r="I58">
            <v>30232.799999999996</v>
          </cell>
          <cell r="J58">
            <v>30232.799999999996</v>
          </cell>
          <cell r="K58">
            <v>30232.799999999996</v>
          </cell>
          <cell r="L58">
            <v>30232.799999999996</v>
          </cell>
          <cell r="M58">
            <v>30232.799999999996</v>
          </cell>
        </row>
        <row r="59">
          <cell r="A59" t="str">
            <v>Días festivos</v>
          </cell>
          <cell r="B59">
            <v>11052.502862999998</v>
          </cell>
          <cell r="C59">
            <v>11052.502862999998</v>
          </cell>
          <cell r="D59">
            <v>11052.502862999998</v>
          </cell>
          <cell r="E59">
            <v>0</v>
          </cell>
          <cell r="F59">
            <v>11052.502862999998</v>
          </cell>
          <cell r="G59">
            <v>0</v>
          </cell>
          <cell r="H59">
            <v>0</v>
          </cell>
          <cell r="I59">
            <v>0</v>
          </cell>
          <cell r="J59">
            <v>11052.502862999998</v>
          </cell>
          <cell r="K59">
            <v>0</v>
          </cell>
          <cell r="L59">
            <v>11052.502862999998</v>
          </cell>
          <cell r="M59">
            <v>11052.502862999998</v>
          </cell>
        </row>
        <row r="60">
          <cell r="A60" t="str">
            <v>Fondo de ahorro</v>
          </cell>
          <cell r="B60">
            <v>15418.241493885</v>
          </cell>
          <cell r="C60">
            <v>13926.153607379998</v>
          </cell>
          <cell r="D60">
            <v>15418.241493885</v>
          </cell>
          <cell r="E60">
            <v>14920.878865049997</v>
          </cell>
          <cell r="F60">
            <v>15418.241493885</v>
          </cell>
          <cell r="G60">
            <v>14920.878865049997</v>
          </cell>
          <cell r="H60">
            <v>15418.241493885</v>
          </cell>
          <cell r="I60">
            <v>15418.241493885</v>
          </cell>
          <cell r="J60">
            <v>14920.878865049997</v>
          </cell>
          <cell r="K60">
            <v>15418.241493885</v>
          </cell>
          <cell r="L60">
            <v>14920.878865049997</v>
          </cell>
          <cell r="M60">
            <v>15418.241493885</v>
          </cell>
        </row>
        <row r="61">
          <cell r="A61" t="str">
            <v>Gratificaciones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A62" t="str">
            <v>Indemnizaciones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A63" t="str">
            <v>Premios de asistencia</v>
          </cell>
          <cell r="B63">
            <v>20886.116699999999</v>
          </cell>
          <cell r="C63">
            <v>18864.8796</v>
          </cell>
          <cell r="D63">
            <v>20886.116699999999</v>
          </cell>
          <cell r="E63">
            <v>20212.370999999996</v>
          </cell>
          <cell r="F63">
            <v>20886.116699999999</v>
          </cell>
          <cell r="G63">
            <v>20212.370999999996</v>
          </cell>
          <cell r="H63">
            <v>20886.116699999999</v>
          </cell>
          <cell r="I63">
            <v>20886.116699999999</v>
          </cell>
          <cell r="J63">
            <v>20212.370999999996</v>
          </cell>
          <cell r="K63">
            <v>20886.116699999999</v>
          </cell>
          <cell r="L63">
            <v>20212.370999999996</v>
          </cell>
          <cell r="M63">
            <v>20886.116699999999</v>
          </cell>
        </row>
        <row r="64">
          <cell r="A64" t="str">
            <v>Premios de puntualidad</v>
          </cell>
          <cell r="B64">
            <v>10840.014899999998</v>
          </cell>
          <cell r="C64">
            <v>9790.9812000000002</v>
          </cell>
          <cell r="D64">
            <v>10840.014899999998</v>
          </cell>
          <cell r="E64">
            <v>10490.337</v>
          </cell>
          <cell r="F64">
            <v>10840.014899999998</v>
          </cell>
          <cell r="G64">
            <v>10490.337</v>
          </cell>
          <cell r="H64">
            <v>10840.014899999998</v>
          </cell>
          <cell r="I64">
            <v>10840.014899999998</v>
          </cell>
          <cell r="J64">
            <v>10490.337</v>
          </cell>
          <cell r="K64">
            <v>10840.014899999998</v>
          </cell>
          <cell r="L64">
            <v>10490.337</v>
          </cell>
          <cell r="M64">
            <v>10840.014899999998</v>
          </cell>
        </row>
        <row r="65">
          <cell r="A65" t="str">
            <v>Previsión social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A66" t="str">
            <v>Prima dominical</v>
          </cell>
          <cell r="B66">
            <v>6644.5397752500003</v>
          </cell>
          <cell r="C66">
            <v>6001.5197969999999</v>
          </cell>
          <cell r="D66">
            <v>6644.5397752500003</v>
          </cell>
          <cell r="E66">
            <v>6430.1997824999989</v>
          </cell>
          <cell r="F66">
            <v>6644.5397752500003</v>
          </cell>
          <cell r="G66">
            <v>6430.1997824999989</v>
          </cell>
          <cell r="H66">
            <v>6644.5397752500003</v>
          </cell>
          <cell r="I66">
            <v>6644.5397752500003</v>
          </cell>
          <cell r="J66">
            <v>6430.1997824999989</v>
          </cell>
          <cell r="K66">
            <v>6644.5397752500003</v>
          </cell>
          <cell r="L66">
            <v>6430.1997824999989</v>
          </cell>
          <cell r="M66">
            <v>6644.5397752500003</v>
          </cell>
        </row>
        <row r="67">
          <cell r="A67" t="str">
            <v>Prima vacacional</v>
          </cell>
          <cell r="B67">
            <v>2542.3279987380138</v>
          </cell>
          <cell r="C67">
            <v>2296.2962569246579</v>
          </cell>
          <cell r="D67">
            <v>2542.3279987380138</v>
          </cell>
          <cell r="E67">
            <v>2460.3174181335617</v>
          </cell>
          <cell r="F67">
            <v>2542.3279987380138</v>
          </cell>
          <cell r="G67">
            <v>2460.3174181335617</v>
          </cell>
          <cell r="H67">
            <v>2542.3279987380138</v>
          </cell>
          <cell r="I67">
            <v>2542.3279987380138</v>
          </cell>
          <cell r="J67">
            <v>2460.3174181335617</v>
          </cell>
          <cell r="K67">
            <v>2542.3279987380138</v>
          </cell>
          <cell r="L67">
            <v>2460.3174181335617</v>
          </cell>
          <cell r="M67">
            <v>2542.3279987380138</v>
          </cell>
        </row>
        <row r="68">
          <cell r="A68" t="str">
            <v>Primas de antigüedad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A69" t="str">
            <v>PTU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A70" t="str">
            <v>Sueldos y salarios</v>
          </cell>
          <cell r="B70">
            <v>285522.9906275</v>
          </cell>
          <cell r="C70">
            <v>257891.73346999998</v>
          </cell>
          <cell r="D70">
            <v>285522.9906275</v>
          </cell>
          <cell r="E70">
            <v>276312.57157500001</v>
          </cell>
          <cell r="F70">
            <v>285522.9906275</v>
          </cell>
          <cell r="G70">
            <v>276312.57157500001</v>
          </cell>
          <cell r="H70">
            <v>285522.9906275</v>
          </cell>
          <cell r="I70">
            <v>285522.9906275</v>
          </cell>
          <cell r="J70">
            <v>276312.57157500001</v>
          </cell>
          <cell r="K70">
            <v>285522.9906275</v>
          </cell>
          <cell r="L70">
            <v>276312.57157500001</v>
          </cell>
          <cell r="M70">
            <v>285522.9906275</v>
          </cell>
        </row>
        <row r="71">
          <cell r="A71" t="str">
            <v>Tiempos extras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</row>
        <row r="72">
          <cell r="A72" t="str">
            <v>Vacaciones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A73" t="str">
            <v>TOTAL NOMINA</v>
          </cell>
          <cell r="B73">
            <v>394873.35589100997</v>
          </cell>
          <cell r="C73">
            <v>360655.15721087996</v>
          </cell>
          <cell r="D73">
            <v>394873.35589100997</v>
          </cell>
          <cell r="E73">
            <v>372414.78680130001</v>
          </cell>
          <cell r="F73">
            <v>394873.35589100997</v>
          </cell>
          <cell r="G73">
            <v>372414.78680130001</v>
          </cell>
          <cell r="H73">
            <v>383820.85302800999</v>
          </cell>
          <cell r="I73">
            <v>383820.85302800999</v>
          </cell>
          <cell r="J73">
            <v>383467.28966429998</v>
          </cell>
          <cell r="K73">
            <v>383820.85302800999</v>
          </cell>
          <cell r="L73">
            <v>383467.28966429998</v>
          </cell>
          <cell r="M73">
            <v>394873.35589100997</v>
          </cell>
        </row>
        <row r="74">
          <cell r="A74" t="str">
            <v xml:space="preserve">D - COSTO SOCIAL </v>
          </cell>
          <cell r="B74"/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</row>
        <row r="75">
          <cell r="A75" t="str">
            <v>Aportaciones al infonavit</v>
          </cell>
          <cell r="B75">
            <v>17603.902049856253</v>
          </cell>
          <cell r="C75">
            <v>16100.066220175</v>
          </cell>
          <cell r="D75">
            <v>17603.902049856253</v>
          </cell>
          <cell r="E75">
            <v>16549.9982968125</v>
          </cell>
          <cell r="F75">
            <v>17603.902049856253</v>
          </cell>
          <cell r="G75">
            <v>16549.9982968125</v>
          </cell>
          <cell r="H75">
            <v>17051.276906706251</v>
          </cell>
          <cell r="I75">
            <v>17051.276906706251</v>
          </cell>
          <cell r="J75">
            <v>17102.623439962499</v>
          </cell>
          <cell r="K75">
            <v>17051.276906706251</v>
          </cell>
          <cell r="L75">
            <v>17102.623439962499</v>
          </cell>
          <cell r="M75">
            <v>17603.902049856253</v>
          </cell>
        </row>
        <row r="76">
          <cell r="A76" t="str">
            <v>Aportaciones al SAR</v>
          </cell>
          <cell r="B76">
            <v>33493.184040056498</v>
          </cell>
          <cell r="C76">
            <v>30631.985990504956</v>
          </cell>
          <cell r="D76">
            <v>33493.184040056498</v>
          </cell>
          <cell r="E76">
            <v>31488.026759515455</v>
          </cell>
          <cell r="F76">
            <v>33493.184040056498</v>
          </cell>
          <cell r="G76">
            <v>31488.026759515455</v>
          </cell>
          <cell r="H76">
            <v>32441.759442699306</v>
          </cell>
          <cell r="I76">
            <v>32441.759442699306</v>
          </cell>
          <cell r="J76">
            <v>32539.451356872651</v>
          </cell>
          <cell r="K76">
            <v>32441.759442699306</v>
          </cell>
          <cell r="L76">
            <v>32539.451356872651</v>
          </cell>
          <cell r="M76">
            <v>33493.184040056498</v>
          </cell>
        </row>
        <row r="77">
          <cell r="A77" t="str">
            <v>Cuotas al IMSS</v>
          </cell>
          <cell r="B77">
            <v>36584.271770747189</v>
          </cell>
          <cell r="C77">
            <v>33318.470095960882</v>
          </cell>
          <cell r="D77">
            <v>36584.271770747189</v>
          </cell>
          <cell r="E77">
            <v>34736.001743703084</v>
          </cell>
          <cell r="F77">
            <v>36584.271770747189</v>
          </cell>
          <cell r="G77">
            <v>34736.001743703084</v>
          </cell>
          <cell r="H77">
            <v>35824.602301965177</v>
          </cell>
          <cell r="I77">
            <v>35824.602301965177</v>
          </cell>
          <cell r="J77">
            <v>35495.671212485096</v>
          </cell>
          <cell r="K77">
            <v>35824.602301965177</v>
          </cell>
          <cell r="L77">
            <v>35495.671212485096</v>
          </cell>
          <cell r="M77">
            <v>36584.271770747189</v>
          </cell>
        </row>
        <row r="78">
          <cell r="A78" t="str">
            <v>Impuesto Estatal</v>
          </cell>
          <cell r="B78">
            <v>12507.977246991328</v>
          </cell>
          <cell r="C78">
            <v>12507.977246991328</v>
          </cell>
          <cell r="D78">
            <v>12507.977246991328</v>
          </cell>
          <cell r="E78">
            <v>12507.977246991328</v>
          </cell>
          <cell r="F78">
            <v>12507.977246991328</v>
          </cell>
          <cell r="G78">
            <v>12507.977246991328</v>
          </cell>
          <cell r="H78">
            <v>12507.977246991328</v>
          </cell>
          <cell r="I78">
            <v>12507.977246991328</v>
          </cell>
          <cell r="J78">
            <v>12507.977246991328</v>
          </cell>
          <cell r="K78">
            <v>12507.977246991328</v>
          </cell>
          <cell r="L78">
            <v>12507.977246991328</v>
          </cell>
          <cell r="M78">
            <v>12507.977246991328</v>
          </cell>
        </row>
        <row r="84">
          <cell r="A84" t="str">
            <v>Aguinaldo</v>
          </cell>
          <cell r="B84">
            <v>7340.0176077739716</v>
          </cell>
          <cell r="C84">
            <v>6629.6933231506837</v>
          </cell>
          <cell r="D84">
            <v>7340.0176077739716</v>
          </cell>
          <cell r="E84">
            <v>7103.2428462328762</v>
          </cell>
          <cell r="F84">
            <v>7340.0176077739716</v>
          </cell>
          <cell r="G84">
            <v>7103.2428462328762</v>
          </cell>
          <cell r="H84">
            <v>7340.0176077739716</v>
          </cell>
          <cell r="I84">
            <v>7340.0176077739716</v>
          </cell>
          <cell r="J84">
            <v>7103.2428462328762</v>
          </cell>
          <cell r="K84">
            <v>7340.0176077739716</v>
          </cell>
          <cell r="L84">
            <v>7103.2428462328762</v>
          </cell>
          <cell r="M84">
            <v>7340.0176077739716</v>
          </cell>
        </row>
        <row r="85">
          <cell r="A85" t="str">
            <v>Compensaciones</v>
          </cell>
          <cell r="B85">
            <v>20827.8</v>
          </cell>
          <cell r="C85">
            <v>20827.8</v>
          </cell>
          <cell r="D85">
            <v>20827.8</v>
          </cell>
          <cell r="E85">
            <v>20827.8</v>
          </cell>
          <cell r="F85">
            <v>20827.8</v>
          </cell>
          <cell r="G85">
            <v>20827.8</v>
          </cell>
          <cell r="H85">
            <v>20827.8</v>
          </cell>
          <cell r="I85">
            <v>20827.8</v>
          </cell>
          <cell r="J85">
            <v>20827.8</v>
          </cell>
          <cell r="K85">
            <v>20827.8</v>
          </cell>
          <cell r="L85">
            <v>20827.8</v>
          </cell>
          <cell r="M85">
            <v>20827.8</v>
          </cell>
        </row>
        <row r="86">
          <cell r="A86" t="str">
            <v>Días festivos</v>
          </cell>
          <cell r="B86">
            <v>6913.8230369999983</v>
          </cell>
          <cell r="C86">
            <v>6913.8230369999983</v>
          </cell>
          <cell r="D86">
            <v>6913.8230369999983</v>
          </cell>
          <cell r="E86">
            <v>0</v>
          </cell>
          <cell r="F86">
            <v>6913.8230369999983</v>
          </cell>
          <cell r="G86">
            <v>0</v>
          </cell>
          <cell r="H86">
            <v>0</v>
          </cell>
          <cell r="I86">
            <v>0</v>
          </cell>
          <cell r="J86">
            <v>6913.8230369999983</v>
          </cell>
          <cell r="K86">
            <v>0</v>
          </cell>
          <cell r="L86">
            <v>6913.8230369999983</v>
          </cell>
          <cell r="M86">
            <v>6913.8230369999983</v>
          </cell>
        </row>
        <row r="87">
          <cell r="A87" t="str">
            <v>Fondo de ahorro</v>
          </cell>
          <cell r="B87">
            <v>9644.7831366150003</v>
          </cell>
          <cell r="C87">
            <v>8711.4170266199981</v>
          </cell>
          <cell r="D87">
            <v>9644.7831366150003</v>
          </cell>
          <cell r="E87">
            <v>9333.6610999499972</v>
          </cell>
          <cell r="F87">
            <v>9644.7831366150003</v>
          </cell>
          <cell r="G87">
            <v>9333.6610999499972</v>
          </cell>
          <cell r="H87">
            <v>9644.7831366150003</v>
          </cell>
          <cell r="I87">
            <v>9644.7831366150003</v>
          </cell>
          <cell r="J87">
            <v>9333.6610999499972</v>
          </cell>
          <cell r="K87">
            <v>9644.7831366150003</v>
          </cell>
          <cell r="L87">
            <v>9333.6610999499972</v>
          </cell>
          <cell r="M87">
            <v>9644.7831366150003</v>
          </cell>
        </row>
        <row r="88">
          <cell r="A88" t="str">
            <v>Gratificaciones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</row>
        <row r="89">
          <cell r="A89" t="str">
            <v>Indemnizaciones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A90" t="str">
            <v>Premios de asistencia</v>
          </cell>
          <cell r="B90">
            <v>12472.192799999999</v>
          </cell>
          <cell r="C90">
            <v>11265.206399999999</v>
          </cell>
          <cell r="D90">
            <v>12472.192799999999</v>
          </cell>
          <cell r="E90">
            <v>12069.863999999998</v>
          </cell>
          <cell r="F90">
            <v>12472.192799999999</v>
          </cell>
          <cell r="G90">
            <v>12069.863999999998</v>
          </cell>
          <cell r="H90">
            <v>12472.192799999999</v>
          </cell>
          <cell r="I90">
            <v>12472.192799999999</v>
          </cell>
          <cell r="J90">
            <v>12069.863999999998</v>
          </cell>
          <cell r="K90">
            <v>12472.192799999999</v>
          </cell>
          <cell r="L90">
            <v>12069.863999999998</v>
          </cell>
          <cell r="M90">
            <v>12472.192799999999</v>
          </cell>
        </row>
        <row r="91">
          <cell r="A91" t="str">
            <v>Premios de puntualidad</v>
          </cell>
          <cell r="B91">
            <v>6863.3813999999993</v>
          </cell>
          <cell r="C91">
            <v>6199.1831999999986</v>
          </cell>
          <cell r="D91">
            <v>6863.3813999999993</v>
          </cell>
          <cell r="E91">
            <v>6641.982</v>
          </cell>
          <cell r="F91">
            <v>6863.3813999999993</v>
          </cell>
          <cell r="G91">
            <v>6641.982</v>
          </cell>
          <cell r="H91">
            <v>6863.3813999999993</v>
          </cell>
          <cell r="I91">
            <v>6863.3813999999993</v>
          </cell>
          <cell r="J91">
            <v>6641.982</v>
          </cell>
          <cell r="K91">
            <v>6863.3813999999993</v>
          </cell>
          <cell r="L91">
            <v>6641.982</v>
          </cell>
          <cell r="M91">
            <v>6863.3813999999993</v>
          </cell>
        </row>
        <row r="92">
          <cell r="A92" t="str">
            <v>Previsión social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A93" t="str">
            <v>Prima dominical</v>
          </cell>
          <cell r="B93">
            <v>3971.6423876249996</v>
          </cell>
          <cell r="C93">
            <v>3587.2898984999993</v>
          </cell>
          <cell r="D93">
            <v>3971.6423876249996</v>
          </cell>
          <cell r="E93">
            <v>3843.5248912499997</v>
          </cell>
          <cell r="F93">
            <v>3971.6423876249996</v>
          </cell>
          <cell r="G93">
            <v>3843.5248912499997</v>
          </cell>
          <cell r="H93">
            <v>3971.6423876249996</v>
          </cell>
          <cell r="I93">
            <v>3971.6423876249996</v>
          </cell>
          <cell r="J93">
            <v>3843.5248912499997</v>
          </cell>
          <cell r="K93">
            <v>3971.6423876249996</v>
          </cell>
          <cell r="L93">
            <v>3843.5248912499997</v>
          </cell>
          <cell r="M93">
            <v>3971.6423876249996</v>
          </cell>
        </row>
        <row r="94">
          <cell r="A94" t="str">
            <v>Prima vacacional</v>
          </cell>
          <cell r="B94">
            <v>1590.3371483510275</v>
          </cell>
          <cell r="C94">
            <v>1436.4335533493152</v>
          </cell>
          <cell r="D94">
            <v>1590.3371483510275</v>
          </cell>
          <cell r="E94">
            <v>1539.0359500171232</v>
          </cell>
          <cell r="F94">
            <v>1590.3371483510275</v>
          </cell>
          <cell r="G94">
            <v>1539.0359500171232</v>
          </cell>
          <cell r="H94">
            <v>1590.3371483510275</v>
          </cell>
          <cell r="I94">
            <v>1590.3371483510275</v>
          </cell>
          <cell r="J94">
            <v>1539.0359500171232</v>
          </cell>
          <cell r="K94">
            <v>1590.3371483510275</v>
          </cell>
          <cell r="L94">
            <v>1539.0359500171232</v>
          </cell>
          <cell r="M94">
            <v>1590.3371483510275</v>
          </cell>
        </row>
        <row r="95">
          <cell r="A95" t="str">
            <v>Primas de antigüedad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 t="str">
            <v>PTU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A97" t="str">
            <v>Sueldos y salarios</v>
          </cell>
          <cell r="B97">
            <v>178607.09512249997</v>
          </cell>
          <cell r="C97">
            <v>161322.53753</v>
          </cell>
          <cell r="D97">
            <v>178607.09512249997</v>
          </cell>
          <cell r="E97">
            <v>172845.57592499998</v>
          </cell>
          <cell r="F97">
            <v>178607.09512249997</v>
          </cell>
          <cell r="G97">
            <v>172845.57592499998</v>
          </cell>
          <cell r="H97">
            <v>178607.09512249997</v>
          </cell>
          <cell r="I97">
            <v>178607.09512249997</v>
          </cell>
          <cell r="J97">
            <v>172845.57592499998</v>
          </cell>
          <cell r="K97">
            <v>178607.09512249997</v>
          </cell>
          <cell r="L97">
            <v>172845.57592499998</v>
          </cell>
          <cell r="M97">
            <v>178607.09512249997</v>
          </cell>
        </row>
        <row r="98">
          <cell r="A98" t="str">
            <v>Tiempos extras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A99" t="str">
            <v>Vacaciones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A100" t="str">
            <v>TOTAL NOMINA</v>
          </cell>
          <cell r="B100">
            <v>248231.07263986499</v>
          </cell>
          <cell r="C100">
            <v>226893.38396861998</v>
          </cell>
          <cell r="D100">
            <v>248231.07263986499</v>
          </cell>
          <cell r="E100">
            <v>234204.68671245</v>
          </cell>
          <cell r="F100">
            <v>248231.07263986499</v>
          </cell>
          <cell r="G100">
            <v>234204.68671245</v>
          </cell>
          <cell r="H100">
            <v>241317.24960286496</v>
          </cell>
          <cell r="I100">
            <v>241317.24960286496</v>
          </cell>
          <cell r="J100">
            <v>241118.50974944996</v>
          </cell>
          <cell r="K100">
            <v>241317.24960286496</v>
          </cell>
          <cell r="L100">
            <v>241118.50974944996</v>
          </cell>
          <cell r="M100">
            <v>248231.07263986499</v>
          </cell>
        </row>
        <row r="101">
          <cell r="A101" t="str">
            <v xml:space="preserve">D - COSTO SOCIAL </v>
          </cell>
          <cell r="B101"/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</row>
        <row r="102">
          <cell r="A102" t="str">
            <v>Aportaciones al infonavit</v>
          </cell>
          <cell r="B102">
            <v>11071.262220162498</v>
          </cell>
          <cell r="C102">
            <v>10134.083407099999</v>
          </cell>
          <cell r="D102">
            <v>11071.262220162498</v>
          </cell>
          <cell r="E102">
            <v>10413.178130624998</v>
          </cell>
          <cell r="F102">
            <v>11071.262220162498</v>
          </cell>
          <cell r="G102">
            <v>10413.178130624998</v>
          </cell>
          <cell r="H102">
            <v>10725.5710683125</v>
          </cell>
          <cell r="I102">
            <v>10725.5710683125</v>
          </cell>
          <cell r="J102">
            <v>10758.869282475</v>
          </cell>
          <cell r="K102">
            <v>10725.5710683125</v>
          </cell>
          <cell r="L102">
            <v>10758.869282475</v>
          </cell>
          <cell r="M102">
            <v>11071.262220162498</v>
          </cell>
        </row>
        <row r="103">
          <cell r="A103" t="str">
            <v>Aportaciones al SAR</v>
          </cell>
          <cell r="B103">
            <v>21064.18350008117</v>
          </cell>
          <cell r="C103">
            <v>19281.107090348458</v>
          </cell>
          <cell r="D103">
            <v>21064.18350008117</v>
          </cell>
          <cell r="E103">
            <v>19812.112711327121</v>
          </cell>
          <cell r="F103">
            <v>21064.18350008117</v>
          </cell>
          <cell r="G103">
            <v>19812.112711327121</v>
          </cell>
          <cell r="H103">
            <v>20406.471514571364</v>
          </cell>
          <cell r="I103">
            <v>20406.471514571364</v>
          </cell>
          <cell r="J103">
            <v>20469.824696836931</v>
          </cell>
          <cell r="K103">
            <v>20406.471514571364</v>
          </cell>
          <cell r="L103">
            <v>20469.824696836931</v>
          </cell>
          <cell r="M103">
            <v>21064.18350008117</v>
          </cell>
        </row>
        <row r="104">
          <cell r="A104" t="str">
            <v>Cuotas al IMSS</v>
          </cell>
          <cell r="B104">
            <v>22886.0583970197</v>
          </cell>
          <cell r="C104">
            <v>20855.803658070461</v>
          </cell>
          <cell r="D104">
            <v>22886.0583970197</v>
          </cell>
          <cell r="E104">
            <v>21734.100401332442</v>
          </cell>
          <cell r="F104">
            <v>22886.0583970197</v>
          </cell>
          <cell r="G104">
            <v>21734.100401332442</v>
          </cell>
          <cell r="H104">
            <v>22410.851980982185</v>
          </cell>
          <cell r="I104">
            <v>22410.851980982185</v>
          </cell>
          <cell r="J104">
            <v>22209.306817369954</v>
          </cell>
          <cell r="K104">
            <v>22410.851980982185</v>
          </cell>
          <cell r="L104">
            <v>22209.306817369954</v>
          </cell>
          <cell r="M104">
            <v>22886.0583970197</v>
          </cell>
        </row>
        <row r="105">
          <cell r="A105" t="str">
            <v>Impuesto Estatal</v>
          </cell>
          <cell r="B105">
            <v>8788.0005491328211</v>
          </cell>
          <cell r="C105">
            <v>8788.0005491328211</v>
          </cell>
          <cell r="D105">
            <v>8788.0005491328211</v>
          </cell>
          <cell r="E105">
            <v>8788.0005491328211</v>
          </cell>
          <cell r="F105">
            <v>8788.0005491328211</v>
          </cell>
          <cell r="G105">
            <v>8788.0005491328211</v>
          </cell>
          <cell r="H105">
            <v>8788.0005491328211</v>
          </cell>
          <cell r="I105">
            <v>8788.0005491328211</v>
          </cell>
          <cell r="J105">
            <v>8788.0005491328211</v>
          </cell>
          <cell r="K105">
            <v>8788.0005491328211</v>
          </cell>
          <cell r="L105">
            <v>8788.0005491328211</v>
          </cell>
          <cell r="M105">
            <v>8788.0005491328211</v>
          </cell>
        </row>
        <row r="111">
          <cell r="A111" t="str">
            <v>Aguinaldo</v>
          </cell>
          <cell r="B111">
            <v>9474.9408954452047</v>
          </cell>
          <cell r="C111">
            <v>8558.0111313698635</v>
          </cell>
          <cell r="D111">
            <v>9474.9408954452047</v>
          </cell>
          <cell r="E111">
            <v>9169.2976407534261</v>
          </cell>
          <cell r="F111">
            <v>9474.9408954452047</v>
          </cell>
          <cell r="G111">
            <v>9169.2976407534261</v>
          </cell>
          <cell r="H111">
            <v>9474.9408954452047</v>
          </cell>
          <cell r="I111">
            <v>9474.9408954452047</v>
          </cell>
          <cell r="J111">
            <v>9169.2976407534261</v>
          </cell>
          <cell r="K111">
            <v>9474.9408954452047</v>
          </cell>
          <cell r="L111">
            <v>9169.2976407534261</v>
          </cell>
          <cell r="M111">
            <v>9474.9408954452047</v>
          </cell>
        </row>
        <row r="112">
          <cell r="A112" t="str">
            <v>Compensaciones</v>
          </cell>
          <cell r="B112">
            <v>24293.399999999994</v>
          </cell>
          <cell r="C112">
            <v>24293.399999999994</v>
          </cell>
          <cell r="D112">
            <v>24293.399999999994</v>
          </cell>
          <cell r="E112">
            <v>24293.399999999994</v>
          </cell>
          <cell r="F112">
            <v>24293.399999999994</v>
          </cell>
          <cell r="G112">
            <v>24293.399999999994</v>
          </cell>
          <cell r="H112">
            <v>24293.399999999994</v>
          </cell>
          <cell r="I112">
            <v>24293.399999999994</v>
          </cell>
          <cell r="J112">
            <v>24293.399999999994</v>
          </cell>
          <cell r="K112">
            <v>24293.399999999994</v>
          </cell>
          <cell r="L112">
            <v>24293.399999999994</v>
          </cell>
          <cell r="M112">
            <v>24293.399999999994</v>
          </cell>
        </row>
        <row r="113">
          <cell r="A113" t="str">
            <v>Días festivos</v>
          </cell>
          <cell r="B113">
            <v>8924.7830370000011</v>
          </cell>
          <cell r="C113">
            <v>8924.7830370000011</v>
          </cell>
          <cell r="D113">
            <v>8924.7830370000011</v>
          </cell>
          <cell r="E113">
            <v>0</v>
          </cell>
          <cell r="F113">
            <v>8924.7830370000011</v>
          </cell>
          <cell r="G113">
            <v>0</v>
          </cell>
          <cell r="H113">
            <v>0</v>
          </cell>
          <cell r="I113">
            <v>0</v>
          </cell>
          <cell r="J113">
            <v>8924.7830370000011</v>
          </cell>
          <cell r="K113">
            <v>0</v>
          </cell>
          <cell r="L113">
            <v>8924.7830370000011</v>
          </cell>
          <cell r="M113">
            <v>8924.7830370000011</v>
          </cell>
        </row>
        <row r="114">
          <cell r="A114" t="str">
            <v>Fondo de ahorro</v>
          </cell>
          <cell r="B114">
            <v>12450.072336614998</v>
          </cell>
          <cell r="C114">
            <v>11245.226626619999</v>
          </cell>
          <cell r="D114">
            <v>12450.072336614998</v>
          </cell>
          <cell r="E114">
            <v>12048.457099949997</v>
          </cell>
          <cell r="F114">
            <v>12450.072336614998</v>
          </cell>
          <cell r="G114">
            <v>12048.457099949997</v>
          </cell>
          <cell r="H114">
            <v>12450.072336614998</v>
          </cell>
          <cell r="I114">
            <v>12450.072336614998</v>
          </cell>
          <cell r="J114">
            <v>12048.457099949997</v>
          </cell>
          <cell r="K114">
            <v>12450.072336614998</v>
          </cell>
          <cell r="L114">
            <v>12048.457099949997</v>
          </cell>
          <cell r="M114">
            <v>12450.072336614998</v>
          </cell>
        </row>
        <row r="115">
          <cell r="A115" t="str">
            <v>Gratificaciones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 t="str">
            <v>Indemnizaciones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 t="str">
            <v>Premios de asistencia</v>
          </cell>
          <cell r="B117">
            <v>14939.395999999997</v>
          </cell>
          <cell r="C117">
            <v>13493.647999999999</v>
          </cell>
          <cell r="D117">
            <v>14939.395999999997</v>
          </cell>
          <cell r="E117">
            <v>14457.479999999998</v>
          </cell>
          <cell r="F117">
            <v>14939.395999999997</v>
          </cell>
          <cell r="G117">
            <v>14457.479999999998</v>
          </cell>
          <cell r="H117">
            <v>14939.395999999997</v>
          </cell>
          <cell r="I117">
            <v>14939.395999999997</v>
          </cell>
          <cell r="J117">
            <v>14457.479999999998</v>
          </cell>
          <cell r="K117">
            <v>14939.395999999997</v>
          </cell>
          <cell r="L117">
            <v>14457.479999999998</v>
          </cell>
          <cell r="M117">
            <v>14939.395999999997</v>
          </cell>
        </row>
        <row r="118">
          <cell r="A118" t="str">
            <v>Premios de puntualidad</v>
          </cell>
          <cell r="B118">
            <v>8814.1493999999984</v>
          </cell>
          <cell r="C118">
            <v>7961.167199999999</v>
          </cell>
          <cell r="D118">
            <v>8814.1493999999984</v>
          </cell>
          <cell r="E118">
            <v>8529.8219999999983</v>
          </cell>
          <cell r="F118">
            <v>8814.1493999999984</v>
          </cell>
          <cell r="G118">
            <v>8529.8219999999983</v>
          </cell>
          <cell r="H118">
            <v>8814.1493999999984</v>
          </cell>
          <cell r="I118">
            <v>8814.1493999999984</v>
          </cell>
          <cell r="J118">
            <v>8529.8219999999983</v>
          </cell>
          <cell r="K118">
            <v>8814.1493999999984</v>
          </cell>
          <cell r="L118">
            <v>8529.8219999999983</v>
          </cell>
          <cell r="M118">
            <v>8814.1493999999984</v>
          </cell>
        </row>
        <row r="119">
          <cell r="A119" t="str">
            <v>Previsión social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A120" t="str">
            <v>Prima dominical</v>
          </cell>
          <cell r="B120">
            <v>5270.3873876249991</v>
          </cell>
          <cell r="C120">
            <v>4760.3498984999997</v>
          </cell>
          <cell r="D120">
            <v>5270.3873876249991</v>
          </cell>
          <cell r="E120">
            <v>5100.3748912499996</v>
          </cell>
          <cell r="F120">
            <v>5270.3873876249991</v>
          </cell>
          <cell r="G120">
            <v>5100.3748912499996</v>
          </cell>
          <cell r="H120">
            <v>5270.3873876249991</v>
          </cell>
          <cell r="I120">
            <v>5270.3873876249991</v>
          </cell>
          <cell r="J120">
            <v>5100.3748912499996</v>
          </cell>
          <cell r="K120">
            <v>5270.3873876249991</v>
          </cell>
          <cell r="L120">
            <v>5100.3748912499996</v>
          </cell>
          <cell r="M120">
            <v>5270.3873876249991</v>
          </cell>
        </row>
        <row r="121">
          <cell r="A121" t="str">
            <v>Prima vacacional</v>
          </cell>
          <cell r="B121">
            <v>2052.9038606797944</v>
          </cell>
          <cell r="C121">
            <v>1854.235745130137</v>
          </cell>
          <cell r="D121">
            <v>2052.9038606797944</v>
          </cell>
          <cell r="E121">
            <v>1986.6811554965755</v>
          </cell>
          <cell r="F121">
            <v>2052.9038606797944</v>
          </cell>
          <cell r="G121">
            <v>1986.6811554965755</v>
          </cell>
          <cell r="H121">
            <v>2052.9038606797944</v>
          </cell>
          <cell r="I121">
            <v>2052.9038606797944</v>
          </cell>
          <cell r="J121">
            <v>1986.6811554965755</v>
          </cell>
          <cell r="K121">
            <v>2052.9038606797944</v>
          </cell>
          <cell r="L121">
            <v>1986.6811554965755</v>
          </cell>
          <cell r="M121">
            <v>2052.9038606797944</v>
          </cell>
        </row>
        <row r="122">
          <cell r="A122" t="str">
            <v>Primas de antigüedad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</row>
        <row r="123">
          <cell r="A123" t="str">
            <v>PTU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A124" t="str">
            <v>Sueldos y salarios</v>
          </cell>
          <cell r="B124">
            <v>230556.89512249999</v>
          </cell>
          <cell r="C124">
            <v>208244.93753</v>
          </cell>
          <cell r="D124">
            <v>230556.89512249999</v>
          </cell>
          <cell r="E124">
            <v>223119.57592499998</v>
          </cell>
          <cell r="F124">
            <v>230556.89512249999</v>
          </cell>
          <cell r="G124">
            <v>223119.57592499998</v>
          </cell>
          <cell r="H124">
            <v>230556.89512249999</v>
          </cell>
          <cell r="I124">
            <v>230556.89512249999</v>
          </cell>
          <cell r="J124">
            <v>223119.57592499998</v>
          </cell>
          <cell r="K124">
            <v>230556.89512249999</v>
          </cell>
          <cell r="L124">
            <v>223119.57592499998</v>
          </cell>
          <cell r="M124">
            <v>230556.89512249999</v>
          </cell>
        </row>
        <row r="125">
          <cell r="A125" t="str">
            <v>Tiempos extras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</row>
        <row r="126">
          <cell r="A126" t="str">
            <v>Vacaciones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A127" t="str">
            <v>TOTAL NOMINA</v>
          </cell>
          <cell r="B127">
            <v>316776.92803986499</v>
          </cell>
          <cell r="C127">
            <v>289335.75916861999</v>
          </cell>
          <cell r="D127">
            <v>316776.92803986499</v>
          </cell>
          <cell r="E127">
            <v>298705.08871245</v>
          </cell>
          <cell r="F127">
            <v>316776.92803986499</v>
          </cell>
          <cell r="G127">
            <v>298705.08871245</v>
          </cell>
          <cell r="H127">
            <v>307852.145002865</v>
          </cell>
          <cell r="I127">
            <v>307852.145002865</v>
          </cell>
          <cell r="J127">
            <v>307629.87174944999</v>
          </cell>
          <cell r="K127">
            <v>307852.145002865</v>
          </cell>
          <cell r="L127">
            <v>307629.87174944999</v>
          </cell>
          <cell r="M127">
            <v>316776.92803986499</v>
          </cell>
        </row>
        <row r="128">
          <cell r="A128" t="str">
            <v xml:space="preserve">D - COSTO SOCIAL </v>
          </cell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</row>
        <row r="129">
          <cell r="A129" t="str">
            <v>Aportaciones al infonavit</v>
          </cell>
          <cell r="B129">
            <v>14137.3919701625</v>
          </cell>
          <cell r="C129">
            <v>12929.990407099998</v>
          </cell>
          <cell r="D129">
            <v>14137.3919701625</v>
          </cell>
          <cell r="E129">
            <v>13288.685630625001</v>
          </cell>
          <cell r="F129">
            <v>14137.3919701625</v>
          </cell>
          <cell r="G129">
            <v>13288.685630625001</v>
          </cell>
          <cell r="H129">
            <v>13691.152818312499</v>
          </cell>
          <cell r="I129">
            <v>13691.152818312499</v>
          </cell>
          <cell r="J129">
            <v>13734.924782475</v>
          </cell>
          <cell r="K129">
            <v>13691.152818312499</v>
          </cell>
          <cell r="L129">
            <v>13734.924782475</v>
          </cell>
          <cell r="M129">
            <v>14137.3919701625</v>
          </cell>
        </row>
        <row r="130">
          <cell r="A130" t="str">
            <v>Aportaciones al SAR</v>
          </cell>
          <cell r="B130">
            <v>26897.801962431167</v>
          </cell>
          <cell r="C130">
            <v>24600.599748548459</v>
          </cell>
          <cell r="D130">
            <v>26897.801962431167</v>
          </cell>
          <cell r="E130">
            <v>25283.05328082712</v>
          </cell>
          <cell r="F130">
            <v>26897.801962431167</v>
          </cell>
          <cell r="G130">
            <v>25283.05328082712</v>
          </cell>
          <cell r="H130">
            <v>26048.787352121362</v>
          </cell>
          <cell r="I130">
            <v>26048.787352121362</v>
          </cell>
          <cell r="J130">
            <v>26132.067891136936</v>
          </cell>
          <cell r="K130">
            <v>26048.787352121362</v>
          </cell>
          <cell r="L130">
            <v>26132.067891136936</v>
          </cell>
          <cell r="M130">
            <v>26897.801962431167</v>
          </cell>
        </row>
        <row r="131">
          <cell r="A131" t="str">
            <v>Cuotas al IMSS</v>
          </cell>
          <cell r="B131">
            <v>29459.972472635702</v>
          </cell>
          <cell r="C131">
            <v>26829.960175062457</v>
          </cell>
          <cell r="D131">
            <v>29459.972472635702</v>
          </cell>
          <cell r="E131">
            <v>27969.876379252441</v>
          </cell>
          <cell r="F131">
            <v>29459.972472635702</v>
          </cell>
          <cell r="G131">
            <v>27969.876379252441</v>
          </cell>
          <cell r="H131">
            <v>28846.547145110184</v>
          </cell>
          <cell r="I131">
            <v>28846.547145110184</v>
          </cell>
          <cell r="J131">
            <v>28583.301706777955</v>
          </cell>
          <cell r="K131">
            <v>28846.547145110184</v>
          </cell>
          <cell r="L131">
            <v>28583.301706777955</v>
          </cell>
          <cell r="M131">
            <v>29459.972472635702</v>
          </cell>
        </row>
        <row r="132">
          <cell r="A132" t="str">
            <v>Impuesto Estatal</v>
          </cell>
          <cell r="B132">
            <v>11214.695194931321</v>
          </cell>
          <cell r="C132">
            <v>11214.695194931321</v>
          </cell>
          <cell r="D132">
            <v>11214.695194931321</v>
          </cell>
          <cell r="E132">
            <v>11214.695194931321</v>
          </cell>
          <cell r="F132">
            <v>11214.695194931321</v>
          </cell>
          <cell r="G132">
            <v>11214.695194931321</v>
          </cell>
          <cell r="H132">
            <v>11214.695194931321</v>
          </cell>
          <cell r="I132">
            <v>11214.695194931321</v>
          </cell>
          <cell r="J132">
            <v>11214.695194931321</v>
          </cell>
          <cell r="K132">
            <v>11214.695194931321</v>
          </cell>
          <cell r="L132">
            <v>11214.695194931321</v>
          </cell>
          <cell r="M132">
            <v>11214.695194931321</v>
          </cell>
        </row>
        <row r="138">
          <cell r="A138" t="str">
            <v>Aguinaldo</v>
          </cell>
          <cell r="B138">
            <v>7340.0176077739716</v>
          </cell>
          <cell r="C138">
            <v>6629.6933231506837</v>
          </cell>
          <cell r="D138">
            <v>7340.0176077739716</v>
          </cell>
          <cell r="E138">
            <v>7103.2428462328762</v>
          </cell>
          <cell r="F138">
            <v>7340.0176077739716</v>
          </cell>
          <cell r="G138">
            <v>7103.2428462328762</v>
          </cell>
          <cell r="H138">
            <v>7340.0176077739716</v>
          </cell>
          <cell r="I138">
            <v>7340.0176077739716</v>
          </cell>
          <cell r="J138">
            <v>7103.2428462328762</v>
          </cell>
          <cell r="K138">
            <v>7340.0176077739716</v>
          </cell>
          <cell r="L138">
            <v>7103.2428462328762</v>
          </cell>
          <cell r="M138">
            <v>7340.0176077739716</v>
          </cell>
        </row>
        <row r="139">
          <cell r="A139" t="str">
            <v>Compensaciones</v>
          </cell>
          <cell r="B139">
            <v>19471.2</v>
          </cell>
          <cell r="C139">
            <v>19471.2</v>
          </cell>
          <cell r="D139">
            <v>19471.2</v>
          </cell>
          <cell r="E139">
            <v>19471.2</v>
          </cell>
          <cell r="F139">
            <v>19471.2</v>
          </cell>
          <cell r="G139">
            <v>19471.2</v>
          </cell>
          <cell r="H139">
            <v>19471.2</v>
          </cell>
          <cell r="I139">
            <v>19471.2</v>
          </cell>
          <cell r="J139">
            <v>19471.2</v>
          </cell>
          <cell r="K139">
            <v>19471.2</v>
          </cell>
          <cell r="L139">
            <v>19471.2</v>
          </cell>
          <cell r="M139">
            <v>19471.2</v>
          </cell>
        </row>
        <row r="140">
          <cell r="A140" t="str">
            <v>Días festivos</v>
          </cell>
          <cell r="B140">
            <v>6913.8230369999983</v>
          </cell>
          <cell r="C140">
            <v>6913.8230369999983</v>
          </cell>
          <cell r="D140">
            <v>6913.8230369999983</v>
          </cell>
          <cell r="E140">
            <v>0</v>
          </cell>
          <cell r="F140">
            <v>6913.8230369999983</v>
          </cell>
          <cell r="G140">
            <v>0</v>
          </cell>
          <cell r="H140">
            <v>0</v>
          </cell>
          <cell r="I140">
            <v>0</v>
          </cell>
          <cell r="J140">
            <v>6913.8230369999983</v>
          </cell>
          <cell r="K140">
            <v>0</v>
          </cell>
          <cell r="L140">
            <v>6913.8230369999983</v>
          </cell>
          <cell r="M140">
            <v>6913.8230369999983</v>
          </cell>
        </row>
        <row r="141">
          <cell r="A141" t="str">
            <v>Fondo de ahorro</v>
          </cell>
          <cell r="B141">
            <v>9644.7831366150003</v>
          </cell>
          <cell r="C141">
            <v>8711.4170266199981</v>
          </cell>
          <cell r="D141">
            <v>9644.7831366150003</v>
          </cell>
          <cell r="E141">
            <v>9333.6610999499972</v>
          </cell>
          <cell r="F141">
            <v>9644.7831366150003</v>
          </cell>
          <cell r="G141">
            <v>9333.6610999499972</v>
          </cell>
          <cell r="H141">
            <v>9644.7831366150003</v>
          </cell>
          <cell r="I141">
            <v>9644.7831366150003</v>
          </cell>
          <cell r="J141">
            <v>9333.6610999499972</v>
          </cell>
          <cell r="K141">
            <v>9644.7831366150003</v>
          </cell>
          <cell r="L141">
            <v>9333.6610999499972</v>
          </cell>
          <cell r="M141">
            <v>9644.7831366150003</v>
          </cell>
        </row>
        <row r="142">
          <cell r="A142" t="str">
            <v>Gratificaciones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A143" t="str">
            <v>Indemnizaciones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A144" t="str">
            <v>Premios de asistencia</v>
          </cell>
          <cell r="B144">
            <v>12472.192799999999</v>
          </cell>
          <cell r="C144">
            <v>11265.206399999999</v>
          </cell>
          <cell r="D144">
            <v>12472.192799999999</v>
          </cell>
          <cell r="E144">
            <v>12069.863999999998</v>
          </cell>
          <cell r="F144">
            <v>12472.192799999999</v>
          </cell>
          <cell r="G144">
            <v>12069.863999999998</v>
          </cell>
          <cell r="H144">
            <v>12472.192799999999</v>
          </cell>
          <cell r="I144">
            <v>12472.192799999999</v>
          </cell>
          <cell r="J144">
            <v>12069.863999999998</v>
          </cell>
          <cell r="K144">
            <v>12472.192799999999</v>
          </cell>
          <cell r="L144">
            <v>12069.863999999998</v>
          </cell>
          <cell r="M144">
            <v>12472.192799999999</v>
          </cell>
        </row>
        <row r="145">
          <cell r="A145" t="str">
            <v>Premios de puntualidad</v>
          </cell>
          <cell r="B145">
            <v>6863.3813999999993</v>
          </cell>
          <cell r="C145">
            <v>6199.1831999999986</v>
          </cell>
          <cell r="D145">
            <v>6863.3813999999993</v>
          </cell>
          <cell r="E145">
            <v>6641.982</v>
          </cell>
          <cell r="F145">
            <v>6863.3813999999993</v>
          </cell>
          <cell r="G145">
            <v>6641.982</v>
          </cell>
          <cell r="H145">
            <v>6863.3813999999993</v>
          </cell>
          <cell r="I145">
            <v>6863.3813999999993</v>
          </cell>
          <cell r="J145">
            <v>6641.982</v>
          </cell>
          <cell r="K145">
            <v>6863.3813999999993</v>
          </cell>
          <cell r="L145">
            <v>6641.982</v>
          </cell>
          <cell r="M145">
            <v>6863.3813999999993</v>
          </cell>
        </row>
        <row r="146">
          <cell r="A146" t="str">
            <v>Previsión social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A147" t="str">
            <v>Prima dominical</v>
          </cell>
          <cell r="B147">
            <v>4870.0393019999992</v>
          </cell>
          <cell r="C147">
            <v>4398.7451759999994</v>
          </cell>
          <cell r="D147">
            <v>4870.0393019999992</v>
          </cell>
          <cell r="E147">
            <v>4712.9412599999996</v>
          </cell>
          <cell r="F147">
            <v>4870.0393019999992</v>
          </cell>
          <cell r="G147">
            <v>4712.9412599999996</v>
          </cell>
          <cell r="H147">
            <v>4870.0393019999992</v>
          </cell>
          <cell r="I147">
            <v>4870.0393019999992</v>
          </cell>
          <cell r="J147">
            <v>4712.9412599999996</v>
          </cell>
          <cell r="K147">
            <v>4870.0393019999992</v>
          </cell>
          <cell r="L147">
            <v>4712.9412599999996</v>
          </cell>
          <cell r="M147">
            <v>4870.0393019999992</v>
          </cell>
        </row>
        <row r="148">
          <cell r="A148" t="str">
            <v>Prima vacacional</v>
          </cell>
          <cell r="B148">
            <v>1590.3371483510275</v>
          </cell>
          <cell r="C148">
            <v>1436.4335533493152</v>
          </cell>
          <cell r="D148">
            <v>1590.3371483510275</v>
          </cell>
          <cell r="E148">
            <v>1539.0359500171232</v>
          </cell>
          <cell r="F148">
            <v>1590.3371483510275</v>
          </cell>
          <cell r="G148">
            <v>1539.0359500171232</v>
          </cell>
          <cell r="H148">
            <v>1590.3371483510275</v>
          </cell>
          <cell r="I148">
            <v>1590.3371483510275</v>
          </cell>
          <cell r="J148">
            <v>1539.0359500171232</v>
          </cell>
          <cell r="K148">
            <v>1590.3371483510275</v>
          </cell>
          <cell r="L148">
            <v>1539.0359500171232</v>
          </cell>
          <cell r="M148">
            <v>1590.3371483510275</v>
          </cell>
        </row>
        <row r="149">
          <cell r="A149" t="str">
            <v>Primas de antigüedad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 t="str">
            <v>PTU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 t="str">
            <v>Sueldos y salarios</v>
          </cell>
          <cell r="B151">
            <v>178607.09512249997</v>
          </cell>
          <cell r="C151">
            <v>161322.53753</v>
          </cell>
          <cell r="D151">
            <v>178607.09512249997</v>
          </cell>
          <cell r="E151">
            <v>172845.57592499998</v>
          </cell>
          <cell r="F151">
            <v>178607.09512249997</v>
          </cell>
          <cell r="G151">
            <v>172845.57592499998</v>
          </cell>
          <cell r="H151">
            <v>178607.09512249997</v>
          </cell>
          <cell r="I151">
            <v>178607.09512249997</v>
          </cell>
          <cell r="J151">
            <v>172845.57592499998</v>
          </cell>
          <cell r="K151">
            <v>178607.09512249997</v>
          </cell>
          <cell r="L151">
            <v>172845.57592499998</v>
          </cell>
          <cell r="M151">
            <v>178607.09512249997</v>
          </cell>
        </row>
        <row r="152">
          <cell r="A152" t="str">
            <v>Tiempos extras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A153" t="str">
            <v>Vacaciones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</row>
        <row r="154">
          <cell r="A154" t="str">
            <v>TOTAL NOMINA</v>
          </cell>
          <cell r="B154">
            <v>247772.86955423997</v>
          </cell>
          <cell r="C154">
            <v>226348.23924611998</v>
          </cell>
          <cell r="D154">
            <v>247772.86955423997</v>
          </cell>
          <cell r="E154">
            <v>233717.5030812</v>
          </cell>
          <cell r="F154">
            <v>247772.86955423997</v>
          </cell>
          <cell r="G154">
            <v>233717.5030812</v>
          </cell>
          <cell r="H154">
            <v>240859.04651723997</v>
          </cell>
          <cell r="I154">
            <v>240859.04651723997</v>
          </cell>
          <cell r="J154">
            <v>240631.32611819997</v>
          </cell>
          <cell r="K154">
            <v>240859.04651723997</v>
          </cell>
          <cell r="L154">
            <v>240631.32611819997</v>
          </cell>
          <cell r="M154">
            <v>247772.86955423997</v>
          </cell>
        </row>
        <row r="155">
          <cell r="A155" t="str">
            <v xml:space="preserve">D - COSTO SOCIAL </v>
          </cell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</row>
        <row r="156">
          <cell r="A156" t="str">
            <v>Aportaciones al infonavit</v>
          </cell>
          <cell r="B156">
            <v>11048.35206588125</v>
          </cell>
          <cell r="C156">
            <v>10106.826170975</v>
          </cell>
          <cell r="D156">
            <v>11048.35206588125</v>
          </cell>
          <cell r="E156">
            <v>10388.818949062499</v>
          </cell>
          <cell r="F156">
            <v>11048.35206588125</v>
          </cell>
          <cell r="G156">
            <v>10388.818949062499</v>
          </cell>
          <cell r="H156">
            <v>10702.66091403125</v>
          </cell>
          <cell r="I156">
            <v>10702.66091403125</v>
          </cell>
          <cell r="J156">
            <v>10734.510100912499</v>
          </cell>
          <cell r="K156">
            <v>10702.66091403125</v>
          </cell>
          <cell r="L156">
            <v>10734.510100912499</v>
          </cell>
          <cell r="M156">
            <v>11048.35206588125</v>
          </cell>
        </row>
        <row r="157">
          <cell r="A157" t="str">
            <v>Aportaciones al SAR</v>
          </cell>
          <cell r="B157">
            <v>21020.594640545663</v>
          </cell>
          <cell r="C157">
            <v>19229.247472897034</v>
          </cell>
          <cell r="D157">
            <v>21020.594640545663</v>
          </cell>
          <cell r="E157">
            <v>19765.766932486313</v>
          </cell>
          <cell r="F157">
            <v>21020.594640545663</v>
          </cell>
          <cell r="G157">
            <v>19765.766932486313</v>
          </cell>
          <cell r="H157">
            <v>20362.882655035854</v>
          </cell>
          <cell r="I157">
            <v>20362.882655035854</v>
          </cell>
          <cell r="J157">
            <v>20423.478917996126</v>
          </cell>
          <cell r="K157">
            <v>20362.882655035854</v>
          </cell>
          <cell r="L157">
            <v>20423.478917996126</v>
          </cell>
          <cell r="M157">
            <v>21020.594640545663</v>
          </cell>
        </row>
        <row r="158">
          <cell r="A158" t="str">
            <v>Cuotas al IMSS</v>
          </cell>
          <cell r="B158">
            <v>22854.564815976049</v>
          </cell>
          <cell r="C158">
            <v>20818.334334887808</v>
          </cell>
          <cell r="D158">
            <v>22854.564815976049</v>
          </cell>
          <cell r="E158">
            <v>21700.614906242463</v>
          </cell>
          <cell r="F158">
            <v>22854.564815976049</v>
          </cell>
          <cell r="G158">
            <v>21700.614906242463</v>
          </cell>
          <cell r="H158">
            <v>22379.358399938545</v>
          </cell>
          <cell r="I158">
            <v>22379.358399938545</v>
          </cell>
          <cell r="J158">
            <v>22175.821322279979</v>
          </cell>
          <cell r="K158">
            <v>22379.358399938545</v>
          </cell>
          <cell r="L158">
            <v>22175.821322279979</v>
          </cell>
          <cell r="M158">
            <v>22854.564815976049</v>
          </cell>
        </row>
        <row r="159">
          <cell r="A159" t="str">
            <v>Impuesto Estatal</v>
          </cell>
          <cell r="B159">
            <v>8771.7790143939819</v>
          </cell>
          <cell r="C159">
            <v>8771.7790143939819</v>
          </cell>
          <cell r="D159">
            <v>8771.7790143939819</v>
          </cell>
          <cell r="E159">
            <v>8771.7790143939819</v>
          </cell>
          <cell r="F159">
            <v>8771.7790143939819</v>
          </cell>
          <cell r="G159">
            <v>8771.7790143939819</v>
          </cell>
          <cell r="H159">
            <v>8771.7790143939819</v>
          </cell>
          <cell r="I159">
            <v>8771.7790143939819</v>
          </cell>
          <cell r="J159">
            <v>8771.7790143939819</v>
          </cell>
          <cell r="K159">
            <v>8771.7790143939819</v>
          </cell>
          <cell r="L159">
            <v>8771.7790143939819</v>
          </cell>
          <cell r="M159">
            <v>8771.7790143939819</v>
          </cell>
        </row>
        <row r="165">
          <cell r="A165" t="str">
            <v>Aguinaldo</v>
          </cell>
          <cell r="B165">
            <v>7340.0176077739716</v>
          </cell>
          <cell r="C165">
            <v>6629.6933231506837</v>
          </cell>
          <cell r="D165">
            <v>7340.0176077739716</v>
          </cell>
          <cell r="E165">
            <v>7103.2428462328762</v>
          </cell>
          <cell r="F165">
            <v>7340.0176077739716</v>
          </cell>
          <cell r="G165">
            <v>7103.2428462328762</v>
          </cell>
          <cell r="H165">
            <v>7340.0176077739716</v>
          </cell>
          <cell r="I165">
            <v>7340.0176077739716</v>
          </cell>
          <cell r="J165">
            <v>7103.2428462328762</v>
          </cell>
          <cell r="K165">
            <v>7340.0176077739716</v>
          </cell>
          <cell r="L165">
            <v>7103.2428462328762</v>
          </cell>
          <cell r="M165">
            <v>7340.0176077739716</v>
          </cell>
        </row>
        <row r="166">
          <cell r="A166" t="str">
            <v>Compensaciones</v>
          </cell>
          <cell r="B166">
            <v>20827.8</v>
          </cell>
          <cell r="C166">
            <v>20827.8</v>
          </cell>
          <cell r="D166">
            <v>20827.8</v>
          </cell>
          <cell r="E166">
            <v>20827.8</v>
          </cell>
          <cell r="F166">
            <v>20827.8</v>
          </cell>
          <cell r="G166">
            <v>20827.8</v>
          </cell>
          <cell r="H166">
            <v>20827.8</v>
          </cell>
          <cell r="I166">
            <v>20827.8</v>
          </cell>
          <cell r="J166">
            <v>20827.8</v>
          </cell>
          <cell r="K166">
            <v>20827.8</v>
          </cell>
          <cell r="L166">
            <v>20827.8</v>
          </cell>
          <cell r="M166">
            <v>20827.8</v>
          </cell>
        </row>
        <row r="167">
          <cell r="A167" t="str">
            <v>Días festivos</v>
          </cell>
          <cell r="B167">
            <v>6913.8230369999983</v>
          </cell>
          <cell r="C167">
            <v>6913.8230369999983</v>
          </cell>
          <cell r="D167">
            <v>6913.8230369999983</v>
          </cell>
          <cell r="E167">
            <v>0</v>
          </cell>
          <cell r="F167">
            <v>6913.8230369999983</v>
          </cell>
          <cell r="G167">
            <v>0</v>
          </cell>
          <cell r="H167">
            <v>0</v>
          </cell>
          <cell r="I167">
            <v>0</v>
          </cell>
          <cell r="J167">
            <v>6913.8230369999983</v>
          </cell>
          <cell r="K167">
            <v>0</v>
          </cell>
          <cell r="L167">
            <v>6913.8230369999983</v>
          </cell>
          <cell r="M167">
            <v>6913.8230369999983</v>
          </cell>
        </row>
        <row r="168">
          <cell r="A168" t="str">
            <v>Fondo de ahorro</v>
          </cell>
          <cell r="B168">
            <v>9644.7831366150003</v>
          </cell>
          <cell r="C168">
            <v>8711.4170266199981</v>
          </cell>
          <cell r="D168">
            <v>9644.7831366150003</v>
          </cell>
          <cell r="E168">
            <v>9333.6610999499972</v>
          </cell>
          <cell r="F168">
            <v>9644.7831366150003</v>
          </cell>
          <cell r="G168">
            <v>9333.6610999499972</v>
          </cell>
          <cell r="H168">
            <v>9644.7831366150003</v>
          </cell>
          <cell r="I168">
            <v>9644.7831366150003</v>
          </cell>
          <cell r="J168">
            <v>9333.6610999499972</v>
          </cell>
          <cell r="K168">
            <v>9644.7831366150003</v>
          </cell>
          <cell r="L168">
            <v>9333.6610999499972</v>
          </cell>
          <cell r="M168">
            <v>9644.7831366150003</v>
          </cell>
        </row>
        <row r="169">
          <cell r="A169" t="str">
            <v>Gratificaciones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</row>
        <row r="170">
          <cell r="A170" t="str">
            <v>Indemnizaciones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</row>
        <row r="171">
          <cell r="A171" t="str">
            <v>Premios de asistencia</v>
          </cell>
          <cell r="B171">
            <v>12472.192799999999</v>
          </cell>
          <cell r="C171">
            <v>11265.206399999999</v>
          </cell>
          <cell r="D171">
            <v>12472.192799999999</v>
          </cell>
          <cell r="E171">
            <v>12069.863999999998</v>
          </cell>
          <cell r="F171">
            <v>12472.192799999999</v>
          </cell>
          <cell r="G171">
            <v>12069.863999999998</v>
          </cell>
          <cell r="H171">
            <v>12472.192799999999</v>
          </cell>
          <cell r="I171">
            <v>12472.192799999999</v>
          </cell>
          <cell r="J171">
            <v>12069.863999999998</v>
          </cell>
          <cell r="K171">
            <v>12472.192799999999</v>
          </cell>
          <cell r="L171">
            <v>12069.863999999998</v>
          </cell>
          <cell r="M171">
            <v>12472.192799999999</v>
          </cell>
        </row>
        <row r="172">
          <cell r="A172" t="str">
            <v>Premios de puntualidad</v>
          </cell>
          <cell r="B172">
            <v>6863.3813999999993</v>
          </cell>
          <cell r="C172">
            <v>6199.1831999999986</v>
          </cell>
          <cell r="D172">
            <v>6863.3813999999993</v>
          </cell>
          <cell r="E172">
            <v>6641.982</v>
          </cell>
          <cell r="F172">
            <v>6863.3813999999993</v>
          </cell>
          <cell r="G172">
            <v>6641.982</v>
          </cell>
          <cell r="H172">
            <v>6863.3813999999993</v>
          </cell>
          <cell r="I172">
            <v>6863.3813999999993</v>
          </cell>
          <cell r="J172">
            <v>6641.982</v>
          </cell>
          <cell r="K172">
            <v>6863.3813999999993</v>
          </cell>
          <cell r="L172">
            <v>6641.982</v>
          </cell>
          <cell r="M172">
            <v>6863.3813999999993</v>
          </cell>
        </row>
        <row r="173">
          <cell r="A173" t="str">
            <v>Previsión social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A174" t="str">
            <v>Prima dominical</v>
          </cell>
          <cell r="B174">
            <v>3971.6423876249996</v>
          </cell>
          <cell r="C174">
            <v>3587.2898984999993</v>
          </cell>
          <cell r="D174">
            <v>3971.6423876249996</v>
          </cell>
          <cell r="E174">
            <v>3843.5248912499997</v>
          </cell>
          <cell r="F174">
            <v>3971.6423876249996</v>
          </cell>
          <cell r="G174">
            <v>3843.5248912499997</v>
          </cell>
          <cell r="H174">
            <v>3971.6423876249996</v>
          </cell>
          <cell r="I174">
            <v>3971.6423876249996</v>
          </cell>
          <cell r="J174">
            <v>3843.5248912499997</v>
          </cell>
          <cell r="K174">
            <v>3971.6423876249996</v>
          </cell>
          <cell r="L174">
            <v>3843.5248912499997</v>
          </cell>
          <cell r="M174">
            <v>3971.6423876249996</v>
          </cell>
        </row>
        <row r="175">
          <cell r="A175" t="str">
            <v>Prima vacacional</v>
          </cell>
          <cell r="B175">
            <v>1590.3371483510275</v>
          </cell>
          <cell r="C175">
            <v>1436.4335533493152</v>
          </cell>
          <cell r="D175">
            <v>1590.3371483510275</v>
          </cell>
          <cell r="E175">
            <v>1539.0359500171232</v>
          </cell>
          <cell r="F175">
            <v>1590.3371483510275</v>
          </cell>
          <cell r="G175">
            <v>1539.0359500171232</v>
          </cell>
          <cell r="H175">
            <v>1590.3371483510275</v>
          </cell>
          <cell r="I175">
            <v>1590.3371483510275</v>
          </cell>
          <cell r="J175">
            <v>1539.0359500171232</v>
          </cell>
          <cell r="K175">
            <v>1590.3371483510275</v>
          </cell>
          <cell r="L175">
            <v>1539.0359500171232</v>
          </cell>
          <cell r="M175">
            <v>1590.3371483510275</v>
          </cell>
        </row>
        <row r="176">
          <cell r="A176" t="str">
            <v>Primas de antigüedad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A177" t="str">
            <v>PTU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</row>
        <row r="178">
          <cell r="A178" t="str">
            <v>Sueldos y salarios</v>
          </cell>
          <cell r="B178">
            <v>178607.09512249997</v>
          </cell>
          <cell r="C178">
            <v>161322.53753</v>
          </cell>
          <cell r="D178">
            <v>178607.09512249997</v>
          </cell>
          <cell r="E178">
            <v>172845.57592499998</v>
          </cell>
          <cell r="F178">
            <v>178607.09512249997</v>
          </cell>
          <cell r="G178">
            <v>172845.57592499998</v>
          </cell>
          <cell r="H178">
            <v>178607.09512249997</v>
          </cell>
          <cell r="I178">
            <v>178607.09512249997</v>
          </cell>
          <cell r="J178">
            <v>172845.57592499998</v>
          </cell>
          <cell r="K178">
            <v>178607.09512249997</v>
          </cell>
          <cell r="L178">
            <v>172845.57592499998</v>
          </cell>
          <cell r="M178">
            <v>178607.09512249997</v>
          </cell>
        </row>
        <row r="179">
          <cell r="A179" t="str">
            <v>Tiempos extras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A180" t="str">
            <v>Vacaciones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</row>
        <row r="181">
          <cell r="A181" t="str">
            <v>TOTAL NOMINA</v>
          </cell>
          <cell r="B181">
            <v>248231.07263986499</v>
          </cell>
          <cell r="C181">
            <v>226893.38396861998</v>
          </cell>
          <cell r="D181">
            <v>248231.07263986499</v>
          </cell>
          <cell r="E181">
            <v>234204.68671245</v>
          </cell>
          <cell r="F181">
            <v>248231.07263986499</v>
          </cell>
          <cell r="G181">
            <v>234204.68671245</v>
          </cell>
          <cell r="H181">
            <v>241317.24960286496</v>
          </cell>
          <cell r="I181">
            <v>241317.24960286496</v>
          </cell>
          <cell r="J181">
            <v>241118.50974944996</v>
          </cell>
          <cell r="K181">
            <v>241317.24960286496</v>
          </cell>
          <cell r="L181">
            <v>241118.50974944996</v>
          </cell>
          <cell r="M181">
            <v>248231.07263986499</v>
          </cell>
        </row>
        <row r="182">
          <cell r="A182" t="str">
            <v xml:space="preserve">D - COSTO SOCIAL </v>
          </cell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</row>
        <row r="183">
          <cell r="A183" t="str">
            <v>Aportaciones al infonavit</v>
          </cell>
          <cell r="B183">
            <v>11071.262220162498</v>
          </cell>
          <cell r="C183">
            <v>10134.083407099999</v>
          </cell>
          <cell r="D183">
            <v>11071.262220162498</v>
          </cell>
          <cell r="E183">
            <v>10413.178130624998</v>
          </cell>
          <cell r="F183">
            <v>11071.262220162498</v>
          </cell>
          <cell r="G183">
            <v>10413.178130624998</v>
          </cell>
          <cell r="H183">
            <v>10725.5710683125</v>
          </cell>
          <cell r="I183">
            <v>10725.5710683125</v>
          </cell>
          <cell r="J183">
            <v>10758.869282475</v>
          </cell>
          <cell r="K183">
            <v>10725.5710683125</v>
          </cell>
          <cell r="L183">
            <v>10758.869282475</v>
          </cell>
          <cell r="M183">
            <v>11071.262220162498</v>
          </cell>
        </row>
        <row r="184">
          <cell r="A184" t="str">
            <v>Aportaciones al SAR</v>
          </cell>
          <cell r="B184">
            <v>21064.18350008117</v>
          </cell>
          <cell r="C184">
            <v>19281.107090348458</v>
          </cell>
          <cell r="D184">
            <v>21064.18350008117</v>
          </cell>
          <cell r="E184">
            <v>19812.112711327121</v>
          </cell>
          <cell r="F184">
            <v>21064.18350008117</v>
          </cell>
          <cell r="G184">
            <v>19812.112711327121</v>
          </cell>
          <cell r="H184">
            <v>20406.471514571364</v>
          </cell>
          <cell r="I184">
            <v>20406.471514571364</v>
          </cell>
          <cell r="J184">
            <v>20469.824696836931</v>
          </cell>
          <cell r="K184">
            <v>20406.471514571364</v>
          </cell>
          <cell r="L184">
            <v>20469.824696836931</v>
          </cell>
          <cell r="M184">
            <v>21064.18350008117</v>
          </cell>
        </row>
        <row r="185">
          <cell r="A185" t="str">
            <v>Cuotas al IMSS</v>
          </cell>
          <cell r="B185">
            <v>22886.0583970197</v>
          </cell>
          <cell r="C185">
            <v>20855.803658070461</v>
          </cell>
          <cell r="D185">
            <v>22886.0583970197</v>
          </cell>
          <cell r="E185">
            <v>21734.100401332442</v>
          </cell>
          <cell r="F185">
            <v>22886.0583970197</v>
          </cell>
          <cell r="G185">
            <v>21734.100401332442</v>
          </cell>
          <cell r="H185">
            <v>22410.851980982185</v>
          </cell>
          <cell r="I185">
            <v>22410.851980982185</v>
          </cell>
          <cell r="J185">
            <v>22209.306817369954</v>
          </cell>
          <cell r="K185">
            <v>22410.851980982185</v>
          </cell>
          <cell r="L185">
            <v>22209.306817369954</v>
          </cell>
          <cell r="M185">
            <v>22886.0583970197</v>
          </cell>
        </row>
        <row r="186">
          <cell r="A186" t="str">
            <v>Impuesto Estatal</v>
          </cell>
          <cell r="B186">
            <v>8788.0005491328211</v>
          </cell>
          <cell r="C186">
            <v>8788.0005491328211</v>
          </cell>
          <cell r="D186">
            <v>8788.0005491328211</v>
          </cell>
          <cell r="E186">
            <v>8788.0005491328211</v>
          </cell>
          <cell r="F186">
            <v>8788.0005491328211</v>
          </cell>
          <cell r="G186">
            <v>8788.0005491328211</v>
          </cell>
          <cell r="H186">
            <v>8788.0005491328211</v>
          </cell>
          <cell r="I186">
            <v>8788.0005491328211</v>
          </cell>
          <cell r="J186">
            <v>8788.0005491328211</v>
          </cell>
          <cell r="K186">
            <v>8788.0005491328211</v>
          </cell>
          <cell r="L186">
            <v>8788.0005491328211</v>
          </cell>
          <cell r="M186">
            <v>8788.0005491328211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V54FC4KDMHDZBK7B345D3UM5OA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Jarudo</v>
          </cell>
          <cell r="W8">
            <v>3047.3343999999997</v>
          </cell>
          <cell r="X8">
            <v>3047.3343999999997</v>
          </cell>
          <cell r="Y8">
            <v>3047.3343999999997</v>
          </cell>
          <cell r="Z8">
            <v>3047.3343999999997</v>
          </cell>
          <cell r="AA8">
            <v>3047.3343999999997</v>
          </cell>
          <cell r="AB8">
            <v>3047.3343999999997</v>
          </cell>
          <cell r="AC8">
            <v>3047.3343999999997</v>
          </cell>
          <cell r="AD8">
            <v>3047.3343999999997</v>
          </cell>
          <cell r="AE8">
            <v>3047.3343999999997</v>
          </cell>
          <cell r="AF8">
            <v>3047.3343999999997</v>
          </cell>
          <cell r="AG8">
            <v>3047.3343999999997</v>
          </cell>
          <cell r="AH8">
            <v>3047.3343999999997</v>
          </cell>
          <cell r="AI8">
            <v>36568.012799999997</v>
          </cell>
        </row>
        <row r="9">
          <cell r="V9" t="str">
            <v>Clara</v>
          </cell>
          <cell r="W9">
            <v>4483.0180999999993</v>
          </cell>
          <cell r="X9">
            <v>4483.0180999999993</v>
          </cell>
          <cell r="Y9">
            <v>4483.0180999999993</v>
          </cell>
          <cell r="Z9">
            <v>4483.0180999999993</v>
          </cell>
          <cell r="AA9">
            <v>4483.0180999999993</v>
          </cell>
          <cell r="AB9">
            <v>4483.0180999999993</v>
          </cell>
          <cell r="AC9">
            <v>4483.0180999999993</v>
          </cell>
          <cell r="AD9">
            <v>4483.0180999999993</v>
          </cell>
          <cell r="AE9">
            <v>4483.0180999999993</v>
          </cell>
          <cell r="AF9">
            <v>4483.0180999999993</v>
          </cell>
          <cell r="AG9">
            <v>4483.0180999999993</v>
          </cell>
          <cell r="AH9">
            <v>4483.0180999999993</v>
          </cell>
          <cell r="AI9">
            <v>53796.217200000006</v>
          </cell>
        </row>
        <row r="10">
          <cell r="V10" t="str">
            <v>Fuentes</v>
          </cell>
          <cell r="W10">
            <v>3047.3343999999997</v>
          </cell>
          <cell r="X10">
            <v>3047.3343999999997</v>
          </cell>
          <cell r="Y10">
            <v>3047.3343999999997</v>
          </cell>
          <cell r="Z10">
            <v>3047.3343999999997</v>
          </cell>
          <cell r="AA10">
            <v>3047.3343999999997</v>
          </cell>
          <cell r="AB10">
            <v>3047.3343999999997</v>
          </cell>
          <cell r="AC10">
            <v>3047.3343999999997</v>
          </cell>
          <cell r="AD10">
            <v>3047.3343999999997</v>
          </cell>
          <cell r="AE10">
            <v>3047.3343999999997</v>
          </cell>
          <cell r="AF10">
            <v>3047.3343999999997</v>
          </cell>
          <cell r="AG10">
            <v>3047.3343999999997</v>
          </cell>
          <cell r="AH10">
            <v>3047.3343999999997</v>
          </cell>
          <cell r="AI10">
            <v>36568.012799999997</v>
          </cell>
        </row>
        <row r="11">
          <cell r="V11" t="str">
            <v>Satélite</v>
          </cell>
          <cell r="W11">
            <v>4483.0180999999993</v>
          </cell>
          <cell r="X11">
            <v>4483.0180999999993</v>
          </cell>
          <cell r="Y11">
            <v>4483.0180999999993</v>
          </cell>
          <cell r="Z11">
            <v>4483.0180999999993</v>
          </cell>
          <cell r="AA11">
            <v>4483.0180999999993</v>
          </cell>
          <cell r="AB11">
            <v>4483.0180999999993</v>
          </cell>
          <cell r="AC11">
            <v>4483.0180999999993</v>
          </cell>
          <cell r="AD11">
            <v>4483.0180999999993</v>
          </cell>
          <cell r="AE11">
            <v>4483.0180999999993</v>
          </cell>
          <cell r="AF11">
            <v>4483.0180999999993</v>
          </cell>
          <cell r="AG11">
            <v>4483.0180999999993</v>
          </cell>
          <cell r="AH11">
            <v>4483.0180999999993</v>
          </cell>
          <cell r="AI11">
            <v>53796.217200000006</v>
          </cell>
        </row>
        <row r="12">
          <cell r="V12" t="str">
            <v>Ejercito</v>
          </cell>
          <cell r="W12">
            <v>4483.0180999999993</v>
          </cell>
          <cell r="X12">
            <v>4483.0180999999993</v>
          </cell>
          <cell r="Y12">
            <v>4483.0180999999993</v>
          </cell>
          <cell r="Z12">
            <v>4483.0180999999993</v>
          </cell>
          <cell r="AA12">
            <v>4483.0180999999993</v>
          </cell>
          <cell r="AB12">
            <v>4483.0180999999993</v>
          </cell>
          <cell r="AC12">
            <v>4483.0180999999993</v>
          </cell>
          <cell r="AD12">
            <v>4483.0180999999993</v>
          </cell>
          <cell r="AE12">
            <v>4483.0180999999993</v>
          </cell>
          <cell r="AF12">
            <v>4483.0180999999993</v>
          </cell>
          <cell r="AG12">
            <v>4483.0180999999993</v>
          </cell>
          <cell r="AH12">
            <v>4483.0180999999993</v>
          </cell>
          <cell r="AI12">
            <v>53796.217200000006</v>
          </cell>
        </row>
        <row r="13">
          <cell r="V13" t="str">
            <v>Solís</v>
          </cell>
          <cell r="W13">
            <v>3047.3343999999997</v>
          </cell>
          <cell r="X13">
            <v>3047.3343999999997</v>
          </cell>
          <cell r="Y13">
            <v>3047.3343999999997</v>
          </cell>
          <cell r="Z13">
            <v>3047.3343999999997</v>
          </cell>
          <cell r="AA13">
            <v>3047.3343999999997</v>
          </cell>
          <cell r="AB13">
            <v>3047.3343999999997</v>
          </cell>
          <cell r="AC13">
            <v>3047.3343999999997</v>
          </cell>
          <cell r="AD13">
            <v>3047.3343999999997</v>
          </cell>
          <cell r="AE13">
            <v>3047.3343999999997</v>
          </cell>
          <cell r="AF13">
            <v>3047.3343999999997</v>
          </cell>
          <cell r="AG13">
            <v>3047.3343999999997</v>
          </cell>
          <cell r="AH13">
            <v>3047.3343999999997</v>
          </cell>
          <cell r="AI13">
            <v>36568.012799999997</v>
          </cell>
        </row>
        <row r="14">
          <cell r="V14" t="str">
            <v>Santiago</v>
          </cell>
          <cell r="W14">
            <v>3047.3343999999997</v>
          </cell>
          <cell r="X14">
            <v>3047.3343999999997</v>
          </cell>
          <cell r="Y14">
            <v>3047.3343999999997</v>
          </cell>
          <cell r="Z14">
            <v>3047.3343999999997</v>
          </cell>
          <cell r="AA14">
            <v>3047.3343999999997</v>
          </cell>
          <cell r="AB14">
            <v>3047.3343999999997</v>
          </cell>
          <cell r="AC14">
            <v>3047.3343999999997</v>
          </cell>
          <cell r="AD14">
            <v>3047.3343999999997</v>
          </cell>
          <cell r="AE14">
            <v>3047.3343999999997</v>
          </cell>
          <cell r="AF14">
            <v>3047.3343999999997</v>
          </cell>
          <cell r="AG14">
            <v>3047.3343999999997</v>
          </cell>
          <cell r="AH14">
            <v>3047.3343999999997</v>
          </cell>
          <cell r="AI14">
            <v>36568.012799999997</v>
          </cell>
        </row>
      </sheetData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jX7H-ULsEeRtf5lzT78RDGsaGeuXlVIicQMZTUFaxuMdaPsuO7DQJs3OIcgtOT_" itemId="01TOFM7KX4NXJFJBSGPJH2M7KZQG4Z4UEC">
      <xxl21:absoluteUrl r:id="rId2"/>
    </xxl21:alternateUrls>
    <sheetNames>
      <sheetName val="Resumen"/>
      <sheetName val="Detalle"/>
      <sheetName val="Evidencias"/>
    </sheetNames>
    <sheetDataSet>
      <sheetData sheetId="0">
        <row r="8">
          <cell r="V8" t="str">
            <v>Jarudo</v>
          </cell>
          <cell r="W8">
            <v>2450.0816999999997</v>
          </cell>
          <cell r="X8">
            <v>2450.0816999999997</v>
          </cell>
          <cell r="Y8">
            <v>2450.0816999999997</v>
          </cell>
          <cell r="Z8">
            <v>2450.0816999999997</v>
          </cell>
          <cell r="AA8">
            <v>2450.0816999999997</v>
          </cell>
          <cell r="AB8">
            <v>2450.0816999999997</v>
          </cell>
          <cell r="AC8">
            <v>2450.0816999999997</v>
          </cell>
          <cell r="AD8">
            <v>2450.0816999999997</v>
          </cell>
          <cell r="AE8">
            <v>2450.0816999999997</v>
          </cell>
          <cell r="AF8">
            <v>2450.0816999999997</v>
          </cell>
          <cell r="AG8">
            <v>2450.0816999999997</v>
          </cell>
          <cell r="AH8">
            <v>2450.0816999999997</v>
          </cell>
        </row>
        <row r="9">
          <cell r="V9" t="str">
            <v>Clara</v>
          </cell>
          <cell r="W9">
            <v>2450.0816999999997</v>
          </cell>
          <cell r="X9">
            <v>2450.0816999999997</v>
          </cell>
          <cell r="Y9">
            <v>2450.0816999999997</v>
          </cell>
          <cell r="Z9">
            <v>2450.0816999999997</v>
          </cell>
          <cell r="AA9">
            <v>2450.0816999999997</v>
          </cell>
          <cell r="AB9">
            <v>2450.0816999999997</v>
          </cell>
          <cell r="AC9">
            <v>2450.0816999999997</v>
          </cell>
          <cell r="AD9">
            <v>2450.0816999999997</v>
          </cell>
          <cell r="AE9">
            <v>2450.0816999999997</v>
          </cell>
          <cell r="AF9">
            <v>2450.0816999999997</v>
          </cell>
          <cell r="AG9">
            <v>2450.0816999999997</v>
          </cell>
          <cell r="AH9">
            <v>2450.0816999999997</v>
          </cell>
        </row>
        <row r="10">
          <cell r="V10" t="str">
            <v>Fuentes</v>
          </cell>
          <cell r="W10">
            <v>2450.0816999999997</v>
          </cell>
          <cell r="X10">
            <v>2450.0816999999997</v>
          </cell>
          <cell r="Y10">
            <v>2450.0816999999997</v>
          </cell>
          <cell r="Z10">
            <v>2450.0816999999997</v>
          </cell>
          <cell r="AA10">
            <v>2450.0816999999997</v>
          </cell>
          <cell r="AB10">
            <v>2450.0816999999997</v>
          </cell>
          <cell r="AC10">
            <v>2450.0816999999997</v>
          </cell>
          <cell r="AD10">
            <v>2450.0816999999997</v>
          </cell>
          <cell r="AE10">
            <v>2450.0816999999997</v>
          </cell>
          <cell r="AF10">
            <v>2450.0816999999997</v>
          </cell>
          <cell r="AG10">
            <v>2450.0816999999997</v>
          </cell>
          <cell r="AH10">
            <v>2450.0816999999997</v>
          </cell>
        </row>
        <row r="11">
          <cell r="V11" t="str">
            <v>Satélite</v>
          </cell>
          <cell r="W11">
            <v>2450.0816999999997</v>
          </cell>
          <cell r="X11">
            <v>2450.0816999999997</v>
          </cell>
          <cell r="Y11">
            <v>2450.0816999999997</v>
          </cell>
          <cell r="Z11">
            <v>2450.0816999999997</v>
          </cell>
          <cell r="AA11">
            <v>2450.0816999999997</v>
          </cell>
          <cell r="AB11">
            <v>2450.0816999999997</v>
          </cell>
          <cell r="AC11">
            <v>2450.0816999999997</v>
          </cell>
          <cell r="AD11">
            <v>2450.0816999999997</v>
          </cell>
          <cell r="AE11">
            <v>2450.0816999999997</v>
          </cell>
          <cell r="AF11">
            <v>2450.0816999999997</v>
          </cell>
          <cell r="AG11">
            <v>2450.0816999999997</v>
          </cell>
          <cell r="AH11">
            <v>2450.0816999999997</v>
          </cell>
        </row>
        <row r="12">
          <cell r="V12" t="str">
            <v>Ejercito</v>
          </cell>
          <cell r="W12">
            <v>2450.0816999999997</v>
          </cell>
          <cell r="X12">
            <v>2450.0816999999997</v>
          </cell>
          <cell r="Y12">
            <v>2450.0816999999997</v>
          </cell>
          <cell r="Z12">
            <v>2450.0816999999997</v>
          </cell>
          <cell r="AA12">
            <v>2450.0816999999997</v>
          </cell>
          <cell r="AB12">
            <v>2450.0816999999997</v>
          </cell>
          <cell r="AC12">
            <v>2450.0816999999997</v>
          </cell>
          <cell r="AD12">
            <v>2450.0816999999997</v>
          </cell>
          <cell r="AE12">
            <v>2450.0816999999997</v>
          </cell>
          <cell r="AF12">
            <v>2450.0816999999997</v>
          </cell>
          <cell r="AG12">
            <v>2450.0816999999997</v>
          </cell>
          <cell r="AH12">
            <v>2450.0816999999997</v>
          </cell>
        </row>
        <row r="13">
          <cell r="V13" t="str">
            <v>Solís</v>
          </cell>
          <cell r="W13">
            <v>2450.0816999999997</v>
          </cell>
          <cell r="X13">
            <v>2450.0816999999997</v>
          </cell>
          <cell r="Y13">
            <v>2450.0816999999997</v>
          </cell>
          <cell r="Z13">
            <v>2450.0816999999997</v>
          </cell>
          <cell r="AA13">
            <v>2450.0816999999997</v>
          </cell>
          <cell r="AB13">
            <v>2450.0816999999997</v>
          </cell>
          <cell r="AC13">
            <v>2450.0816999999997</v>
          </cell>
          <cell r="AD13">
            <v>2450.0816999999997</v>
          </cell>
          <cell r="AE13">
            <v>2450.0816999999997</v>
          </cell>
          <cell r="AF13">
            <v>2450.0816999999997</v>
          </cell>
          <cell r="AG13">
            <v>2450.0816999999997</v>
          </cell>
          <cell r="AH13">
            <v>2450.0816999999997</v>
          </cell>
        </row>
        <row r="14">
          <cell r="V14" t="str">
            <v>Santiago</v>
          </cell>
          <cell r="W14">
            <v>2450.0816999999997</v>
          </cell>
          <cell r="X14">
            <v>2450.0816999999997</v>
          </cell>
          <cell r="Y14">
            <v>2450.0816999999997</v>
          </cell>
          <cell r="Z14">
            <v>2450.0816999999997</v>
          </cell>
          <cell r="AA14">
            <v>2450.0816999999997</v>
          </cell>
          <cell r="AB14">
            <v>2450.0816999999997</v>
          </cell>
          <cell r="AC14">
            <v>2450.0816999999997</v>
          </cell>
          <cell r="AD14">
            <v>2450.0816999999997</v>
          </cell>
          <cell r="AE14">
            <v>2450.0816999999997</v>
          </cell>
          <cell r="AF14">
            <v>2450.0816999999997</v>
          </cell>
          <cell r="AG14">
            <v>2450.0816999999997</v>
          </cell>
          <cell r="AH14">
            <v>2450.0816999999997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FF0000"/>
  </sheetPr>
  <dimension ref="A1:AM224"/>
  <sheetViews>
    <sheetView zoomScale="90" zoomScaleNormal="90" workbookViewId="0">
      <selection activeCell="B2" sqref="B2"/>
    </sheetView>
  </sheetViews>
  <sheetFormatPr defaultColWidth="11.5703125" defaultRowHeight="14.45"/>
  <cols>
    <col min="1" max="1" width="16.28515625" bestFit="1" customWidth="1"/>
    <col min="2" max="2" width="13.7109375" customWidth="1"/>
    <col min="3" max="13" width="12.5703125" bestFit="1" customWidth="1"/>
    <col min="15" max="15" width="6.5703125" bestFit="1" customWidth="1"/>
    <col min="16" max="16" width="11.42578125"/>
    <col min="17" max="17" width="17.140625" bestFit="1" customWidth="1"/>
    <col min="18" max="27" width="0" hidden="1" customWidth="1"/>
    <col min="29" max="29" width="15" bestFit="1" customWidth="1"/>
    <col min="30" max="30" width="13.85546875" bestFit="1" customWidth="1"/>
  </cols>
  <sheetData>
    <row r="1" spans="1:28">
      <c r="A1" s="316" t="s">
        <v>0</v>
      </c>
      <c r="B1" s="316"/>
      <c r="C1" s="8"/>
      <c r="D1" s="316" t="s">
        <v>1</v>
      </c>
      <c r="E1" s="316"/>
    </row>
    <row r="2" spans="1:28">
      <c r="A2" t="s">
        <v>2</v>
      </c>
      <c r="B2" s="95">
        <f>'[1]Parametros Jrz'!$B$2</f>
        <v>3.41</v>
      </c>
      <c r="D2" t="s">
        <v>2</v>
      </c>
      <c r="E2" s="96">
        <f>'[1]Parametros Jrz'!$E$2</f>
        <v>0.52247900000000003</v>
      </c>
      <c r="I2" s="188" t="s">
        <v>3</v>
      </c>
      <c r="J2" s="188"/>
      <c r="K2" s="188"/>
      <c r="L2" s="188"/>
      <c r="M2" s="188"/>
    </row>
    <row r="3" spans="1:28">
      <c r="A3" t="s">
        <v>4</v>
      </c>
      <c r="B3" s="95">
        <f>'[1]Parametros Jrz'!$B$3</f>
        <v>2.86</v>
      </c>
      <c r="D3" t="s">
        <v>4</v>
      </c>
      <c r="E3" s="96">
        <f>'[1]Parametros Jrz'!$E$3</f>
        <v>0.63752200000000003</v>
      </c>
    </row>
    <row r="4" spans="1:28">
      <c r="A4" t="s">
        <v>5</v>
      </c>
      <c r="B4" s="95">
        <f>'[1]Parametros Jrz'!$B$4</f>
        <v>0</v>
      </c>
      <c r="D4" t="s">
        <v>5</v>
      </c>
      <c r="E4" s="96">
        <f>'[1]Parametros Jrz'!$E$4</f>
        <v>0.43362600000000001</v>
      </c>
    </row>
    <row r="5" spans="1:28">
      <c r="E5" s="97"/>
    </row>
    <row r="6" spans="1:28">
      <c r="A6" s="318" t="str">
        <f>'[1]Parametros Jrz'!$A$6</f>
        <v>Precio final al 04 de sep 2024</v>
      </c>
      <c r="B6" s="318"/>
      <c r="D6" t="s">
        <v>6</v>
      </c>
    </row>
    <row r="7" spans="1:28">
      <c r="A7" t="s">
        <v>2</v>
      </c>
      <c r="B7" s="118">
        <f>'[1]Parametros Jrz'!$B$7</f>
        <v>18.989999999999998</v>
      </c>
      <c r="D7" s="120">
        <f>'[1]Parametros Jrz'!$D$7</f>
        <v>17.583333333333332</v>
      </c>
    </row>
    <row r="8" spans="1:28">
      <c r="A8" t="s">
        <v>4</v>
      </c>
      <c r="B8" s="118">
        <f>'[1]Parametros Jrz'!$B$8</f>
        <v>20.99</v>
      </c>
      <c r="D8" s="120">
        <f>'[1]Parametros Jrz'!$D$8</f>
        <v>19.435185185185183</v>
      </c>
    </row>
    <row r="9" spans="1:28">
      <c r="A9" t="s">
        <v>5</v>
      </c>
      <c r="B9" s="118">
        <f>'[1]Parametros Jrz'!$B$9</f>
        <v>23.79</v>
      </c>
      <c r="D9" s="120">
        <f>'[1]Parametros Jrz'!$D$9</f>
        <v>22.027777777777775</v>
      </c>
    </row>
    <row r="11" spans="1:28">
      <c r="A11" s="100" t="s">
        <v>7</v>
      </c>
      <c r="B11" s="102"/>
      <c r="C11" s="99"/>
    </row>
    <row r="12" spans="1:28" ht="18">
      <c r="A12" s="104" t="s">
        <v>8</v>
      </c>
      <c r="B12" s="107">
        <f>'[1]Parametros Jrz'!B12</f>
        <v>5.0000000000000001E-3</v>
      </c>
      <c r="C12" s="107">
        <f>'[1]Parametros Jrz'!C12</f>
        <v>5.0000000000000001E-3</v>
      </c>
      <c r="D12" s="107">
        <f>'[1]Parametros Jrz'!D12</f>
        <v>5.0000000000000001E-3</v>
      </c>
      <c r="E12" s="107">
        <f>'[1]Parametros Jrz'!E12</f>
        <v>5.0000000000000001E-3</v>
      </c>
      <c r="F12" s="107">
        <f>'[1]Parametros Jrz'!F12</f>
        <v>5.0000000000000001E-3</v>
      </c>
      <c r="G12" s="107">
        <f>'[1]Parametros Jrz'!G12</f>
        <v>5.0000000000000001E-3</v>
      </c>
      <c r="H12" s="107">
        <f>'[1]Parametros Jrz'!H12</f>
        <v>5.0000000000000001E-3</v>
      </c>
      <c r="I12" s="107">
        <f>'[1]Parametros Jrz'!I12</f>
        <v>5.0000000000000001E-3</v>
      </c>
      <c r="J12" s="107">
        <f>'[1]Parametros Jrz'!J12</f>
        <v>5.0000000000000001E-3</v>
      </c>
      <c r="K12" s="107">
        <f>'[1]Parametros Jrz'!K12</f>
        <v>5.0000000000000001E-3</v>
      </c>
      <c r="L12" s="107">
        <f>'[1]Parametros Jrz'!L12</f>
        <v>5.0000000000000001E-3</v>
      </c>
      <c r="M12" s="107">
        <f>'[1]Parametros Jrz'!M12</f>
        <v>5.0000000000000001E-3</v>
      </c>
    </row>
    <row r="13" spans="1:28">
      <c r="A13" s="105" t="s">
        <v>9</v>
      </c>
      <c r="B13" s="105" t="s">
        <v>10</v>
      </c>
      <c r="C13" s="105" t="s">
        <v>11</v>
      </c>
      <c r="D13" s="105" t="s">
        <v>12</v>
      </c>
      <c r="E13" s="105" t="s">
        <v>13</v>
      </c>
      <c r="F13" s="105" t="s">
        <v>14</v>
      </c>
      <c r="G13" s="105" t="s">
        <v>15</v>
      </c>
      <c r="H13" s="105" t="s">
        <v>16</v>
      </c>
      <c r="I13" s="105" t="s">
        <v>17</v>
      </c>
      <c r="J13" s="105" t="s">
        <v>18</v>
      </c>
      <c r="K13" s="105" t="s">
        <v>19</v>
      </c>
      <c r="L13" s="105" t="s">
        <v>20</v>
      </c>
      <c r="M13" s="105" t="s">
        <v>21</v>
      </c>
    </row>
    <row r="14" spans="1:28">
      <c r="A14" s="105" t="s">
        <v>22</v>
      </c>
      <c r="B14" s="106">
        <f>'[1]Parametros Jrz'!B14</f>
        <v>17.583333333333332</v>
      </c>
      <c r="C14" s="106">
        <f>'[1]Parametros Jrz'!C14</f>
        <v>17.671249999999997</v>
      </c>
      <c r="D14" s="106">
        <f>'[1]Parametros Jrz'!D14</f>
        <v>17.759606249999994</v>
      </c>
      <c r="E14" s="106">
        <f>'[1]Parametros Jrz'!E14</f>
        <v>17.848404281249991</v>
      </c>
      <c r="F14" s="106">
        <f>'[1]Parametros Jrz'!F14</f>
        <v>17.93764630265624</v>
      </c>
      <c r="G14" s="106">
        <f>'[1]Parametros Jrz'!G14</f>
        <v>18.027334534169519</v>
      </c>
      <c r="H14" s="106">
        <f>'[1]Parametros Jrz'!H14</f>
        <v>18.117471206840364</v>
      </c>
      <c r="I14" s="106">
        <f>'[1]Parametros Jrz'!I14</f>
        <v>18.208058562874562</v>
      </c>
      <c r="J14" s="106">
        <f>'[1]Parametros Jrz'!J14</f>
        <v>18.299098855688932</v>
      </c>
      <c r="K14" s="106">
        <f>'[1]Parametros Jrz'!K14</f>
        <v>18.390594349967376</v>
      </c>
      <c r="L14" s="106">
        <f>'[1]Parametros Jrz'!L14</f>
        <v>18.48254732171721</v>
      </c>
      <c r="M14" s="106">
        <f>'[1]Parametros Jrz'!M14</f>
        <v>18.574960058325793</v>
      </c>
      <c r="AB14" s="119"/>
    </row>
    <row r="15" spans="1:28">
      <c r="A15" s="105" t="s">
        <v>23</v>
      </c>
      <c r="B15" s="106">
        <f>'[1]Parametros Jrz'!B15</f>
        <v>19.435185185185183</v>
      </c>
      <c r="C15" s="106">
        <f>'[1]Parametros Jrz'!C15</f>
        <v>19.532361111111108</v>
      </c>
      <c r="D15" s="106">
        <f>'[1]Parametros Jrz'!D15</f>
        <v>19.630022916666661</v>
      </c>
      <c r="E15" s="106">
        <f>'[1]Parametros Jrz'!E15</f>
        <v>19.728173031249991</v>
      </c>
      <c r="F15" s="106">
        <f>'[1]Parametros Jrz'!F15</f>
        <v>19.826813896406239</v>
      </c>
      <c r="G15" s="106">
        <f>'[1]Parametros Jrz'!G15</f>
        <v>19.92594796588827</v>
      </c>
      <c r="H15" s="106">
        <f>'[1]Parametros Jrz'!H15</f>
        <v>20.025577705717708</v>
      </c>
      <c r="I15" s="106">
        <f>'[1]Parametros Jrz'!I15</f>
        <v>20.125705594246295</v>
      </c>
      <c r="J15" s="106">
        <f>'[1]Parametros Jrz'!J15</f>
        <v>20.226334122217523</v>
      </c>
      <c r="K15" s="106">
        <f>'[1]Parametros Jrz'!K15</f>
        <v>20.327465792828608</v>
      </c>
      <c r="L15" s="106">
        <f>'[1]Parametros Jrz'!L15</f>
        <v>20.42910312179275</v>
      </c>
      <c r="M15" s="106">
        <f>'[1]Parametros Jrz'!M15</f>
        <v>20.53124863740171</v>
      </c>
    </row>
    <row r="16" spans="1:28">
      <c r="A16" s="105" t="s">
        <v>5</v>
      </c>
      <c r="B16" s="106">
        <f>'[1]Parametros Jrz'!B16</f>
        <v>22.027777777777775</v>
      </c>
      <c r="C16" s="106">
        <f>'[1]Parametros Jrz'!C16</f>
        <v>22.137916666666662</v>
      </c>
      <c r="D16" s="106">
        <f>'[1]Parametros Jrz'!D16</f>
        <v>22.248606249999995</v>
      </c>
      <c r="E16" s="106">
        <f>'[1]Parametros Jrz'!E16</f>
        <v>22.359849281249993</v>
      </c>
      <c r="F16" s="106">
        <f>'[1]Parametros Jrz'!F16</f>
        <v>22.471648527656239</v>
      </c>
      <c r="G16" s="106">
        <f>'[1]Parametros Jrz'!G16</f>
        <v>22.584006770294518</v>
      </c>
      <c r="H16" s="106">
        <f>'[1]Parametros Jrz'!H16</f>
        <v>22.696926804145988</v>
      </c>
      <c r="I16" s="106">
        <f>'[1]Parametros Jrz'!I16</f>
        <v>22.810411438166717</v>
      </c>
      <c r="J16" s="106">
        <f>'[1]Parametros Jrz'!J16</f>
        <v>22.92446349535755</v>
      </c>
      <c r="K16" s="106">
        <f>'[1]Parametros Jrz'!K16</f>
        <v>23.039085812834337</v>
      </c>
      <c r="L16" s="106">
        <f>'[1]Parametros Jrz'!L16</f>
        <v>23.154281241898506</v>
      </c>
      <c r="M16" s="106">
        <f>'[1]Parametros Jrz'!M16</f>
        <v>23.270052648107995</v>
      </c>
    </row>
    <row r="18" spans="1:30">
      <c r="A18" t="str">
        <f>'[1]Parametros Jrz'!$A$18</f>
        <v>Inflación 2024</v>
      </c>
      <c r="B18" s="103">
        <f>'[1]Parametros Jrz'!$B$18</f>
        <v>1.04</v>
      </c>
    </row>
    <row r="20" spans="1:30">
      <c r="AC20" s="119"/>
      <c r="AD20" s="119"/>
    </row>
    <row r="21" spans="1:30">
      <c r="A21" s="100" t="s">
        <v>24</v>
      </c>
      <c r="B21" s="102"/>
      <c r="AD21" s="119"/>
    </row>
    <row r="22" spans="1:30" ht="21">
      <c r="A22" s="101" t="s">
        <v>8</v>
      </c>
      <c r="B22" s="108" t="s">
        <v>25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30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  <c r="J23" t="s">
        <v>18</v>
      </c>
      <c r="K23" t="s">
        <v>19</v>
      </c>
      <c r="L23" t="s">
        <v>20</v>
      </c>
      <c r="M23" t="s">
        <v>21</v>
      </c>
      <c r="Q23" s="119"/>
    </row>
    <row r="24" spans="1:30">
      <c r="A24" t="s">
        <v>22</v>
      </c>
      <c r="B24" s="119">
        <f>'[1]Parametros Jrz'!B24</f>
        <v>0</v>
      </c>
      <c r="C24" s="119">
        <f>'[1]Parametros Jrz'!C24</f>
        <v>0</v>
      </c>
      <c r="D24" s="119">
        <f>'[1]Parametros Jrz'!D24</f>
        <v>0</v>
      </c>
      <c r="E24" s="119">
        <f>'[1]Parametros Jrz'!E24</f>
        <v>0</v>
      </c>
      <c r="F24" s="119">
        <f>'[1]Parametros Jrz'!F24</f>
        <v>0</v>
      </c>
      <c r="G24" s="119">
        <f>'[1]Parametros Jrz'!G24</f>
        <v>0</v>
      </c>
      <c r="H24" s="119">
        <f>'[1]Parametros Jrz'!H24</f>
        <v>0</v>
      </c>
      <c r="I24" s="119">
        <f>'[1]Parametros Jrz'!I24</f>
        <v>0</v>
      </c>
      <c r="J24" s="119">
        <f>'[1]Parametros Jrz'!J24</f>
        <v>0</v>
      </c>
      <c r="K24" s="119">
        <f>'[1]Parametros Jrz'!K24</f>
        <v>0</v>
      </c>
      <c r="L24" s="119">
        <f>'[1]Parametros Jrz'!L24</f>
        <v>0</v>
      </c>
      <c r="M24" s="119">
        <f>'[1]Parametros Jrz'!M24</f>
        <v>0</v>
      </c>
      <c r="P24" s="119"/>
      <c r="Q24" s="119"/>
    </row>
    <row r="25" spans="1:30">
      <c r="A25" t="s">
        <v>23</v>
      </c>
      <c r="B25" s="119">
        <f>'[1]Parametros Jrz'!B25</f>
        <v>0</v>
      </c>
      <c r="C25" s="119">
        <f>'[1]Parametros Jrz'!C25</f>
        <v>0</v>
      </c>
      <c r="D25" s="119">
        <f>'[1]Parametros Jrz'!D25</f>
        <v>0</v>
      </c>
      <c r="E25" s="119">
        <f>'[1]Parametros Jrz'!E25</f>
        <v>0</v>
      </c>
      <c r="F25" s="119">
        <f>'[1]Parametros Jrz'!F25</f>
        <v>0</v>
      </c>
      <c r="G25" s="119">
        <f>'[1]Parametros Jrz'!G25</f>
        <v>0</v>
      </c>
      <c r="H25" s="119">
        <f>'[1]Parametros Jrz'!H25</f>
        <v>0</v>
      </c>
      <c r="I25" s="119">
        <f>'[1]Parametros Jrz'!I25</f>
        <v>0</v>
      </c>
      <c r="J25" s="119">
        <f>'[1]Parametros Jrz'!J25</f>
        <v>0</v>
      </c>
      <c r="K25" s="119">
        <f>'[1]Parametros Jrz'!K25</f>
        <v>0</v>
      </c>
      <c r="L25" s="119">
        <f>'[1]Parametros Jrz'!L25</f>
        <v>0</v>
      </c>
      <c r="M25" s="119">
        <f>'[1]Parametros Jrz'!M25</f>
        <v>0</v>
      </c>
      <c r="P25" s="119"/>
      <c r="Q25" s="119"/>
    </row>
    <row r="26" spans="1:30">
      <c r="A26" t="s">
        <v>5</v>
      </c>
      <c r="B26" s="119">
        <f>'[1]Parametros Jrz'!B26</f>
        <v>0</v>
      </c>
      <c r="C26" s="119">
        <f>'[1]Parametros Jrz'!C26</f>
        <v>0</v>
      </c>
      <c r="D26" s="119">
        <f>'[1]Parametros Jrz'!D26</f>
        <v>0</v>
      </c>
      <c r="E26" s="119">
        <f>'[1]Parametros Jrz'!E26</f>
        <v>0</v>
      </c>
      <c r="F26" s="119">
        <f>'[1]Parametros Jrz'!F26</f>
        <v>0</v>
      </c>
      <c r="G26" s="119">
        <f>'[1]Parametros Jrz'!G26</f>
        <v>0</v>
      </c>
      <c r="H26" s="119">
        <f>'[1]Parametros Jrz'!H26</f>
        <v>0</v>
      </c>
      <c r="I26" s="119">
        <f>'[1]Parametros Jrz'!I26</f>
        <v>0</v>
      </c>
      <c r="J26" s="119">
        <f>'[1]Parametros Jrz'!J26</f>
        <v>0</v>
      </c>
      <c r="K26" s="119">
        <f>'[1]Parametros Jrz'!K26</f>
        <v>0</v>
      </c>
      <c r="L26" s="119">
        <f>'[1]Parametros Jrz'!L26</f>
        <v>0</v>
      </c>
      <c r="M26" s="119">
        <f>'[1]Parametros Jrz'!M26</f>
        <v>0</v>
      </c>
      <c r="P26" s="119"/>
      <c r="Q26" s="119"/>
    </row>
    <row r="27" spans="1:30"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P27" s="119"/>
      <c r="Q27" s="119"/>
    </row>
    <row r="28" spans="1:30" ht="21">
      <c r="B28" s="175" t="str">
        <f>'[1]Parametros Jrz'!$B$28</f>
        <v>Margen por contrato de volumen con TESORO</v>
      </c>
      <c r="P28" s="119"/>
    </row>
    <row r="29" spans="1:30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  <c r="K29" t="s">
        <v>19</v>
      </c>
      <c r="L29" t="s">
        <v>20</v>
      </c>
      <c r="M29" t="s">
        <v>21</v>
      </c>
      <c r="N29" s="192" t="s">
        <v>26</v>
      </c>
      <c r="P29" s="119"/>
      <c r="Q29" s="1"/>
      <c r="R29" s="130"/>
    </row>
    <row r="30" spans="1:30">
      <c r="A30" t="s">
        <v>22</v>
      </c>
      <c r="B30" s="119">
        <f>'[1]Parametros Jrz'!B30</f>
        <v>2.08</v>
      </c>
      <c r="C30" s="119">
        <f>'[1]Parametros Jrz'!C30</f>
        <v>2.2799999999999998</v>
      </c>
      <c r="D30" s="119">
        <f>'[1]Parametros Jrz'!D30</f>
        <v>2.58</v>
      </c>
      <c r="E30" s="119">
        <f>'[1]Parametros Jrz'!E30</f>
        <v>2.21</v>
      </c>
      <c r="F30" s="119">
        <f>'[1]Parametros Jrz'!F30</f>
        <v>2.34</v>
      </c>
      <c r="G30" s="119">
        <f>'[1]Parametros Jrz'!G30</f>
        <v>2.06</v>
      </c>
      <c r="H30" s="119">
        <f>'[1]Parametros Jrz'!H30</f>
        <v>2.2599999999999998</v>
      </c>
      <c r="I30" s="119">
        <f>'[1]Parametros Jrz'!I30</f>
        <v>2</v>
      </c>
      <c r="J30" s="119">
        <f>'[1]Parametros Jrz'!J30</f>
        <v>2.68</v>
      </c>
      <c r="K30" s="119">
        <f>'[1]Parametros Jrz'!K30</f>
        <v>2.72</v>
      </c>
      <c r="L30" s="119">
        <f>'[1]Parametros Jrz'!L30</f>
        <v>2.84</v>
      </c>
      <c r="M30" s="119">
        <f>'[1]Parametros Jrz'!M30</f>
        <v>3.01</v>
      </c>
      <c r="N30" s="248">
        <f>'[1]Parametros Jrz'!N30</f>
        <v>0.48</v>
      </c>
      <c r="O30" s="119"/>
      <c r="P30" s="119">
        <f>AVERAGE(B30:M30)</f>
        <v>2.4216666666666664</v>
      </c>
      <c r="AB30" s="131"/>
    </row>
    <row r="31" spans="1:30">
      <c r="A31" t="s">
        <v>23</v>
      </c>
      <c r="B31" s="119">
        <f>'[1]Parametros Jrz'!B31</f>
        <v>3.37</v>
      </c>
      <c r="C31" s="119">
        <f>'[1]Parametros Jrz'!C31</f>
        <v>2.79</v>
      </c>
      <c r="D31" s="119">
        <f>'[1]Parametros Jrz'!D31</f>
        <v>2.2000000000000002</v>
      </c>
      <c r="E31" s="119">
        <f>'[1]Parametros Jrz'!E31</f>
        <v>2.04</v>
      </c>
      <c r="F31" s="119">
        <f>'[1]Parametros Jrz'!F31</f>
        <v>2.95</v>
      </c>
      <c r="G31" s="119">
        <f>'[1]Parametros Jrz'!G31</f>
        <v>2.63</v>
      </c>
      <c r="H31" s="119">
        <f>'[1]Parametros Jrz'!H31</f>
        <v>2.63</v>
      </c>
      <c r="I31" s="119">
        <f>'[1]Parametros Jrz'!I31</f>
        <v>2.33</v>
      </c>
      <c r="J31" s="119">
        <f>'[1]Parametros Jrz'!J31</f>
        <v>2.69</v>
      </c>
      <c r="K31" s="119">
        <f>'[1]Parametros Jrz'!K31</f>
        <v>3.67</v>
      </c>
      <c r="L31" s="119">
        <f>'[1]Parametros Jrz'!L31</f>
        <v>4.3099999999999996</v>
      </c>
      <c r="M31" s="119">
        <f>'[1]Parametros Jrz'!M31</f>
        <v>4.21</v>
      </c>
      <c r="N31" s="248">
        <f>'[1]Parametros Jrz'!N31</f>
        <v>0.47</v>
      </c>
      <c r="O31" s="119"/>
      <c r="P31" s="119">
        <f>AVERAGE(B31:M31)</f>
        <v>2.9849999999999994</v>
      </c>
      <c r="Q31" s="119"/>
    </row>
    <row r="32" spans="1:30">
      <c r="A32" t="s">
        <v>5</v>
      </c>
      <c r="B32" s="119">
        <f>'[1]Parametros Jrz'!B32</f>
        <v>1.08</v>
      </c>
      <c r="C32" s="119">
        <f>'[1]Parametros Jrz'!C32</f>
        <v>2.2999999999999998</v>
      </c>
      <c r="D32" s="119">
        <f>'[1]Parametros Jrz'!D32</f>
        <v>2.84</v>
      </c>
      <c r="E32" s="119">
        <f>'[1]Parametros Jrz'!E32</f>
        <v>2.82</v>
      </c>
      <c r="F32" s="119">
        <f>'[1]Parametros Jrz'!F32</f>
        <v>3.38</v>
      </c>
      <c r="G32" s="119">
        <f>'[1]Parametros Jrz'!G32</f>
        <v>2.79</v>
      </c>
      <c r="H32" s="119">
        <f>'[1]Parametros Jrz'!H32</f>
        <v>2.4900000000000002</v>
      </c>
      <c r="I32" s="119">
        <f>'[1]Parametros Jrz'!I32</f>
        <v>2.4500000000000002</v>
      </c>
      <c r="J32" s="119">
        <f>'[1]Parametros Jrz'!J32</f>
        <v>1.99</v>
      </c>
      <c r="K32" s="119">
        <f>'[1]Parametros Jrz'!K32</f>
        <v>1.97</v>
      </c>
      <c r="L32" s="119">
        <f>'[1]Parametros Jrz'!L32</f>
        <v>1.85</v>
      </c>
      <c r="M32" s="119">
        <f>'[1]Parametros Jrz'!M32</f>
        <v>1.36</v>
      </c>
      <c r="N32" s="248">
        <f>'[1]Parametros Jrz'!N32</f>
        <v>0.8</v>
      </c>
      <c r="O32" s="119"/>
      <c r="P32" s="119">
        <f>AVERAGE(B32:M32)</f>
        <v>2.276666666666666</v>
      </c>
      <c r="Q32" s="119"/>
      <c r="AB32" s="119"/>
      <c r="AD32" s="120"/>
    </row>
    <row r="33" spans="1:39"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93"/>
      <c r="P33" s="119"/>
    </row>
    <row r="34" spans="1:39" ht="21">
      <c r="B34" s="175" t="str">
        <f>'[1]Parametros Jrz'!$B$34</f>
        <v>Margen por contrato de volumen con MGC</v>
      </c>
      <c r="N34" s="193"/>
      <c r="P34" s="119"/>
      <c r="Q34" s="176"/>
    </row>
    <row r="35" spans="1:39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  <c r="J35" t="s">
        <v>18</v>
      </c>
      <c r="K35" t="s">
        <v>19</v>
      </c>
      <c r="L35" t="s">
        <v>20</v>
      </c>
      <c r="M35" t="s">
        <v>21</v>
      </c>
      <c r="N35" s="192" t="s">
        <v>26</v>
      </c>
      <c r="P35" s="119"/>
      <c r="Q35" s="177"/>
    </row>
    <row r="36" spans="1:39">
      <c r="A36" t="s">
        <v>22</v>
      </c>
      <c r="B36" s="119">
        <f>'[1]Parametros Jrz'!B36</f>
        <v>1.93</v>
      </c>
      <c r="C36" s="119">
        <f>'[1]Parametros Jrz'!C36</f>
        <v>2.19</v>
      </c>
      <c r="D36" s="119">
        <f>'[1]Parametros Jrz'!D36</f>
        <v>2.5099999999999998</v>
      </c>
      <c r="E36" s="119">
        <f>'[1]Parametros Jrz'!E36</f>
        <v>2.16</v>
      </c>
      <c r="F36" s="119">
        <f>'[1]Parametros Jrz'!F36</f>
        <v>2.23</v>
      </c>
      <c r="G36" s="119">
        <f>'[1]Parametros Jrz'!G36</f>
        <v>2.04</v>
      </c>
      <c r="H36" s="119">
        <f>'[1]Parametros Jrz'!H36</f>
        <v>2.16</v>
      </c>
      <c r="I36" s="119">
        <f>'[1]Parametros Jrz'!I36</f>
        <v>1.98</v>
      </c>
      <c r="J36" s="119">
        <f>'[1]Parametros Jrz'!J36</f>
        <v>2.1800000000000002</v>
      </c>
      <c r="K36" s="119">
        <f>'[1]Parametros Jrz'!K36</f>
        <v>2.2799999999999998</v>
      </c>
      <c r="L36" s="119">
        <f>'[1]Parametros Jrz'!L36</f>
        <v>2.69</v>
      </c>
      <c r="M36" s="119">
        <f>'[1]Parametros Jrz'!M36</f>
        <v>2.8</v>
      </c>
      <c r="N36" s="248">
        <f>'[1]Parametros Jrz'!N36</f>
        <v>0.21</v>
      </c>
      <c r="P36" s="119">
        <f>AVERAGE(B36:M36)</f>
        <v>2.2625000000000002</v>
      </c>
      <c r="Q36" s="125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216"/>
    </row>
    <row r="37" spans="1:39">
      <c r="A37" t="s">
        <v>23</v>
      </c>
      <c r="B37" s="119">
        <f>'[1]Parametros Jrz'!B37</f>
        <v>2.75</v>
      </c>
      <c r="C37" s="119">
        <f>'[1]Parametros Jrz'!C37</f>
        <v>2.08</v>
      </c>
      <c r="D37" s="119">
        <f>'[1]Parametros Jrz'!D37</f>
        <v>1.52</v>
      </c>
      <c r="E37" s="119">
        <f>'[1]Parametros Jrz'!E37</f>
        <v>1.44</v>
      </c>
      <c r="F37" s="119">
        <f>'[1]Parametros Jrz'!F37</f>
        <v>2.4300000000000002</v>
      </c>
      <c r="G37" s="119">
        <f>'[1]Parametros Jrz'!G37</f>
        <v>1.63</v>
      </c>
      <c r="H37" s="119">
        <f>'[1]Parametros Jrz'!H37</f>
        <v>1.6</v>
      </c>
      <c r="I37" s="119">
        <f>'[1]Parametros Jrz'!I37</f>
        <v>1.82</v>
      </c>
      <c r="J37" s="119">
        <f>'[1]Parametros Jrz'!J37</f>
        <v>1.7</v>
      </c>
      <c r="K37" s="119">
        <f>'[1]Parametros Jrz'!K37</f>
        <v>2.0499999999999998</v>
      </c>
      <c r="L37" s="119">
        <f>'[1]Parametros Jrz'!L37</f>
        <v>3.62</v>
      </c>
      <c r="M37" s="119">
        <f>'[1]Parametros Jrz'!M37</f>
        <v>3.85</v>
      </c>
      <c r="N37" s="248">
        <f>'[1]Parametros Jrz'!N37</f>
        <v>0.39</v>
      </c>
      <c r="P37" s="119">
        <f>AVERAGE(B37:M37)</f>
        <v>2.2075</v>
      </c>
      <c r="Q37" s="125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217"/>
    </row>
    <row r="38" spans="1:39">
      <c r="A38" t="s">
        <v>5</v>
      </c>
      <c r="B38" s="119">
        <f>'[1]Parametros Jrz'!B38</f>
        <v>0.62</v>
      </c>
      <c r="C38" s="119">
        <f>'[1]Parametros Jrz'!C38</f>
        <v>1.71</v>
      </c>
      <c r="D38" s="119">
        <f>'[1]Parametros Jrz'!D38</f>
        <v>2.66</v>
      </c>
      <c r="E38" s="119">
        <f>'[1]Parametros Jrz'!E38</f>
        <v>2.71</v>
      </c>
      <c r="F38" s="119">
        <f>'[1]Parametros Jrz'!F38</f>
        <v>3.36</v>
      </c>
      <c r="G38" s="119">
        <f>'[1]Parametros Jrz'!G38</f>
        <v>2.63</v>
      </c>
      <c r="H38" s="119">
        <f>'[1]Parametros Jrz'!H38</f>
        <v>2.41</v>
      </c>
      <c r="I38" s="119">
        <f>'[1]Parametros Jrz'!I38</f>
        <v>0</v>
      </c>
      <c r="J38" s="119">
        <f>'[1]Parametros Jrz'!J38</f>
        <v>1.87</v>
      </c>
      <c r="K38" s="119">
        <f>'[1]Parametros Jrz'!K38</f>
        <v>1.51</v>
      </c>
      <c r="L38" s="119">
        <f>'[1]Parametros Jrz'!L38</f>
        <v>1.63</v>
      </c>
      <c r="M38" s="119">
        <f>'[1]Parametros Jrz'!M38</f>
        <v>1.46</v>
      </c>
      <c r="N38" s="248">
        <f>'[1]Parametros Jrz'!N38</f>
        <v>0.1</v>
      </c>
      <c r="P38" s="119">
        <f>AVERAGE(B38:M38)</f>
        <v>1.8808333333333336</v>
      </c>
      <c r="Q38" s="125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216"/>
    </row>
    <row r="39" spans="1:39" ht="15.75" customHeight="1">
      <c r="B39" s="125"/>
      <c r="N39" s="193"/>
      <c r="P39" s="119"/>
      <c r="Q39" s="125"/>
      <c r="AB39" s="110"/>
      <c r="AC39" s="119"/>
    </row>
    <row r="40" spans="1:39" ht="21">
      <c r="A40" s="175"/>
      <c r="B40" s="108" t="str">
        <f>'[1]Parametros Jrz'!$B$40</f>
        <v>Margen por contrato de volumen PREMIERGAS</v>
      </c>
      <c r="N40" s="194"/>
      <c r="P40" s="119"/>
      <c r="Q40" s="125"/>
      <c r="AB40" s="110"/>
      <c r="AC40" s="119"/>
    </row>
    <row r="41" spans="1:39">
      <c r="A41" t="s">
        <v>9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 t="s">
        <v>18</v>
      </c>
      <c r="K41" t="s">
        <v>19</v>
      </c>
      <c r="L41" t="s">
        <v>20</v>
      </c>
      <c r="M41" t="s">
        <v>21</v>
      </c>
      <c r="N41" s="192" t="s">
        <v>26</v>
      </c>
      <c r="P41" s="119"/>
      <c r="Q41" s="125"/>
      <c r="AB41" s="110"/>
      <c r="AC41" s="119"/>
    </row>
    <row r="42" spans="1:39">
      <c r="A42" t="s">
        <v>22</v>
      </c>
      <c r="B42" s="216">
        <f>'[1]Parametros Jrz'!B42</f>
        <v>2.2599999999999998</v>
      </c>
      <c r="C42" s="216">
        <f>'[1]Parametros Jrz'!C42</f>
        <v>2.71</v>
      </c>
      <c r="D42" s="216">
        <f>'[1]Parametros Jrz'!D42</f>
        <v>3.09</v>
      </c>
      <c r="E42" s="216">
        <f>'[1]Parametros Jrz'!E42</f>
        <v>2.69</v>
      </c>
      <c r="F42" s="216">
        <f>'[1]Parametros Jrz'!F42</f>
        <v>2.69</v>
      </c>
      <c r="G42" s="216">
        <f>'[1]Parametros Jrz'!G42</f>
        <v>2.48</v>
      </c>
      <c r="H42" s="216">
        <f>'[1]Parametros Jrz'!H42</f>
        <v>2.5499999999999998</v>
      </c>
      <c r="I42" s="216">
        <f>'[1]Parametros Jrz'!I42</f>
        <v>2.38</v>
      </c>
      <c r="J42" s="216">
        <f>'[1]Parametros Jrz'!J42</f>
        <v>2.66</v>
      </c>
      <c r="K42" s="216">
        <f>'[1]Parametros Jrz'!K42</f>
        <v>2.62</v>
      </c>
      <c r="L42" s="216">
        <f>'[1]Parametros Jrz'!L42</f>
        <v>3.13</v>
      </c>
      <c r="M42" s="216">
        <f>'[1]Parametros Jrz'!M42</f>
        <v>3.45</v>
      </c>
      <c r="N42" s="249">
        <f>'[1]Parametros Jrz'!N42</f>
        <v>0.23</v>
      </c>
      <c r="P42" s="119">
        <f t="shared" ref="P42:P56" si="0">AVERAGE(B42:M42)</f>
        <v>2.7258333333333336</v>
      </c>
      <c r="Q42" s="125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</row>
    <row r="43" spans="1:39">
      <c r="A43" t="s">
        <v>23</v>
      </c>
      <c r="B43" s="216">
        <f>'[1]Parametros Jrz'!B43</f>
        <v>2.89</v>
      </c>
      <c r="C43" s="216">
        <f>'[1]Parametros Jrz'!C43</f>
        <v>2.42</v>
      </c>
      <c r="D43" s="216">
        <f>'[1]Parametros Jrz'!D43</f>
        <v>2.38</v>
      </c>
      <c r="E43" s="216">
        <f>'[1]Parametros Jrz'!E43</f>
        <v>2.1</v>
      </c>
      <c r="F43" s="216">
        <f>'[1]Parametros Jrz'!F43</f>
        <v>2.84</v>
      </c>
      <c r="G43" s="216">
        <f>'[1]Parametros Jrz'!G43</f>
        <v>2.74</v>
      </c>
      <c r="H43" s="216">
        <f>'[1]Parametros Jrz'!H43</f>
        <v>2.02</v>
      </c>
      <c r="I43" s="216">
        <f>'[1]Parametros Jrz'!I43</f>
        <v>2.02</v>
      </c>
      <c r="J43" s="216">
        <f>'[1]Parametros Jrz'!J43</f>
        <v>2.1</v>
      </c>
      <c r="K43" s="216">
        <f>'[1]Parametros Jrz'!K43</f>
        <v>2.82</v>
      </c>
      <c r="L43" s="216">
        <f>'[1]Parametros Jrz'!L43</f>
        <v>4.24</v>
      </c>
      <c r="M43" s="216">
        <f>'[1]Parametros Jrz'!M43</f>
        <v>4.45</v>
      </c>
      <c r="N43" s="249">
        <f>'[1]Parametros Jrz'!N43</f>
        <v>0.14000000000000001</v>
      </c>
      <c r="P43" s="119">
        <f t="shared" si="0"/>
        <v>2.7516666666666669</v>
      </c>
      <c r="Q43" s="125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</row>
    <row r="44" spans="1:39">
      <c r="A44" t="s">
        <v>5</v>
      </c>
      <c r="B44" s="216">
        <f>'[1]Parametros Jrz'!B44</f>
        <v>1.93</v>
      </c>
      <c r="C44" s="216">
        <f>'[1]Parametros Jrz'!C44</f>
        <v>2.89</v>
      </c>
      <c r="D44" s="216">
        <f>'[1]Parametros Jrz'!D44</f>
        <v>3.55</v>
      </c>
      <c r="E44" s="216">
        <f>'[1]Parametros Jrz'!E44</f>
        <v>3.43</v>
      </c>
      <c r="F44" s="216">
        <f>'[1]Parametros Jrz'!F44</f>
        <v>3.82</v>
      </c>
      <c r="G44" s="216">
        <f>'[1]Parametros Jrz'!G44</f>
        <v>2.9</v>
      </c>
      <c r="H44" s="216">
        <f>'[1]Parametros Jrz'!H44</f>
        <v>3.38</v>
      </c>
      <c r="I44" s="216">
        <f>'[1]Parametros Jrz'!I44</f>
        <v>3.01</v>
      </c>
      <c r="J44" s="216">
        <f>'[1]Parametros Jrz'!J44</f>
        <v>2.64</v>
      </c>
      <c r="K44" s="216">
        <f>'[1]Parametros Jrz'!K44</f>
        <v>2.4500000000000002</v>
      </c>
      <c r="L44" s="216">
        <f>'[1]Parametros Jrz'!L44</f>
        <v>0</v>
      </c>
      <c r="M44" s="216">
        <f>'[1]Parametros Jrz'!M44</f>
        <v>2.09</v>
      </c>
      <c r="N44" s="249">
        <f>'[1]Parametros Jrz'!N44</f>
        <v>0.05</v>
      </c>
      <c r="P44" s="119">
        <f t="shared" si="0"/>
        <v>2.6741666666666664</v>
      </c>
      <c r="Q44" s="178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</row>
    <row r="45" spans="1:39"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95"/>
      <c r="P45" s="119"/>
      <c r="Q45" s="178"/>
      <c r="AB45" s="110"/>
      <c r="AC45" s="119"/>
    </row>
    <row r="46" spans="1:39" ht="21">
      <c r="A46" s="175"/>
      <c r="B46" s="108" t="str">
        <f>'[1]Parametros Jrz'!$B$46</f>
        <v>Margen por contrato de volumen AMCA</v>
      </c>
      <c r="N46" s="194"/>
      <c r="P46" s="119"/>
      <c r="Q46" s="125"/>
      <c r="AB46" s="110"/>
      <c r="AC46" s="119"/>
    </row>
    <row r="47" spans="1:39">
      <c r="A47" t="s">
        <v>9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  <c r="J47" t="s">
        <v>18</v>
      </c>
      <c r="K47" t="s">
        <v>19</v>
      </c>
      <c r="L47" t="s">
        <v>20</v>
      </c>
      <c r="M47" t="s">
        <v>21</v>
      </c>
      <c r="N47" s="192" t="s">
        <v>26</v>
      </c>
      <c r="P47" s="119"/>
      <c r="Q47" s="125"/>
      <c r="AB47" s="110"/>
      <c r="AC47" s="119"/>
    </row>
    <row r="48" spans="1:39">
      <c r="A48" t="s">
        <v>22</v>
      </c>
      <c r="B48" s="216">
        <f>'[1]Parametros Jrz'!B48</f>
        <v>1.74</v>
      </c>
      <c r="C48" s="216">
        <f>'[1]Parametros Jrz'!C48</f>
        <v>2.48</v>
      </c>
      <c r="D48" s="216">
        <f>'[1]Parametros Jrz'!D48</f>
        <v>2.41</v>
      </c>
      <c r="E48" s="216">
        <f>'[1]Parametros Jrz'!E48</f>
        <v>2.34</v>
      </c>
      <c r="F48" s="216">
        <f>'[1]Parametros Jrz'!F48</f>
        <v>2.56</v>
      </c>
      <c r="G48" s="216">
        <f>'[1]Parametros Jrz'!G48</f>
        <v>2.46</v>
      </c>
      <c r="H48" s="216">
        <f>'[1]Parametros Jrz'!H48</f>
        <v>2.42</v>
      </c>
      <c r="I48" s="216">
        <f>'[1]Parametros Jrz'!I48</f>
        <v>2.89</v>
      </c>
      <c r="J48" s="216">
        <f>'[1]Parametros Jrz'!J48</f>
        <v>2.46</v>
      </c>
      <c r="K48" s="216">
        <f>'[1]Parametros Jrz'!K48</f>
        <v>2.1800000000000002</v>
      </c>
      <c r="L48" s="216">
        <f>'[1]Parametros Jrz'!L48</f>
        <v>2.9</v>
      </c>
      <c r="M48" s="216">
        <f>'[1]Parametros Jrz'!M48</f>
        <v>0</v>
      </c>
      <c r="N48" s="249">
        <f>'[1]Parametros Jrz'!N48</f>
        <v>0.05</v>
      </c>
      <c r="P48" s="119">
        <f t="shared" si="0"/>
        <v>2.2366666666666664</v>
      </c>
      <c r="AB48" s="98"/>
    </row>
    <row r="49" spans="1:28">
      <c r="A49" t="s">
        <v>23</v>
      </c>
      <c r="B49" s="216">
        <f>'[1]Parametros Jrz'!B49</f>
        <v>0</v>
      </c>
      <c r="C49" s="216">
        <f>'[1]Parametros Jrz'!C49</f>
        <v>0</v>
      </c>
      <c r="D49" s="216">
        <f>'[1]Parametros Jrz'!D49</f>
        <v>0</v>
      </c>
      <c r="E49" s="216">
        <f>'[1]Parametros Jrz'!E49</f>
        <v>0</v>
      </c>
      <c r="F49" s="216">
        <f>'[1]Parametros Jrz'!F49</f>
        <v>0</v>
      </c>
      <c r="G49" s="216">
        <f>'[1]Parametros Jrz'!G49</f>
        <v>0</v>
      </c>
      <c r="H49" s="216">
        <f>'[1]Parametros Jrz'!H49</f>
        <v>0</v>
      </c>
      <c r="I49" s="216">
        <f>'[1]Parametros Jrz'!I49</f>
        <v>0</v>
      </c>
      <c r="J49" s="216">
        <f>'[1]Parametros Jrz'!J49</f>
        <v>0</v>
      </c>
      <c r="K49" s="216">
        <f>'[1]Parametros Jrz'!K49</f>
        <v>0</v>
      </c>
      <c r="L49" s="216">
        <f>'[1]Parametros Jrz'!L49</f>
        <v>0</v>
      </c>
      <c r="M49" s="216">
        <f>'[1]Parametros Jrz'!M49</f>
        <v>0</v>
      </c>
      <c r="N49" s="249">
        <f>'[1]Parametros Jrz'!N49</f>
        <v>0</v>
      </c>
      <c r="P49" s="119">
        <f t="shared" si="0"/>
        <v>0</v>
      </c>
      <c r="AB49" s="95"/>
    </row>
    <row r="50" spans="1:28">
      <c r="A50" t="s">
        <v>5</v>
      </c>
      <c r="B50" s="216">
        <f>'[1]Parametros Jrz'!B50</f>
        <v>0</v>
      </c>
      <c r="C50" s="216">
        <f>'[1]Parametros Jrz'!C50</f>
        <v>0</v>
      </c>
      <c r="D50" s="216">
        <f>'[1]Parametros Jrz'!D50</f>
        <v>0</v>
      </c>
      <c r="E50" s="216">
        <f>'[1]Parametros Jrz'!E50</f>
        <v>0</v>
      </c>
      <c r="F50" s="216">
        <f>'[1]Parametros Jrz'!F50</f>
        <v>0</v>
      </c>
      <c r="G50" s="216">
        <f>'[1]Parametros Jrz'!G50</f>
        <v>0</v>
      </c>
      <c r="H50" s="216">
        <f>'[1]Parametros Jrz'!H50</f>
        <v>0</v>
      </c>
      <c r="I50" s="216">
        <f>'[1]Parametros Jrz'!I50</f>
        <v>0</v>
      </c>
      <c r="J50" s="216">
        <f>'[1]Parametros Jrz'!J50</f>
        <v>0</v>
      </c>
      <c r="K50" s="216">
        <f>'[1]Parametros Jrz'!K50</f>
        <v>0</v>
      </c>
      <c r="L50" s="216">
        <f>'[1]Parametros Jrz'!L50</f>
        <v>0</v>
      </c>
      <c r="M50" s="216">
        <f>'[1]Parametros Jrz'!M50</f>
        <v>0</v>
      </c>
      <c r="N50" s="249">
        <f>'[1]Parametros Jrz'!N50</f>
        <v>0</v>
      </c>
      <c r="P50" s="119">
        <f t="shared" si="0"/>
        <v>0</v>
      </c>
      <c r="Q50" s="178"/>
      <c r="AB50" s="95"/>
    </row>
    <row r="51" spans="1:28"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95"/>
      <c r="P51" s="119"/>
      <c r="Q51" s="178"/>
      <c r="AB51" s="95"/>
    </row>
    <row r="52" spans="1:28" ht="21">
      <c r="A52" s="175"/>
      <c r="B52" s="108" t="str">
        <f>'[1]Parametros Jrz'!$B$52</f>
        <v>Margen por contrato de volumen OTROS</v>
      </c>
      <c r="N52" s="194"/>
      <c r="P52" s="119"/>
      <c r="AB52" s="125"/>
    </row>
    <row r="53" spans="1:28">
      <c r="A53" t="s">
        <v>9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 t="s">
        <v>15</v>
      </c>
      <c r="H53" t="s">
        <v>16</v>
      </c>
      <c r="I53" t="s">
        <v>17</v>
      </c>
      <c r="J53" t="s">
        <v>18</v>
      </c>
      <c r="K53" t="s">
        <v>19</v>
      </c>
      <c r="L53" t="s">
        <v>20</v>
      </c>
      <c r="M53" t="s">
        <v>21</v>
      </c>
      <c r="N53" s="192" t="s">
        <v>26</v>
      </c>
      <c r="P53" s="119"/>
    </row>
    <row r="54" spans="1:28">
      <c r="A54" t="s">
        <v>22</v>
      </c>
      <c r="B54" s="119">
        <f>'[1]Parametros Jrz'!B54</f>
        <v>2.86</v>
      </c>
      <c r="C54" s="119">
        <f>'[1]Parametros Jrz'!C54</f>
        <v>2.99</v>
      </c>
      <c r="D54" s="119">
        <f>'[1]Parametros Jrz'!D54</f>
        <v>2.31</v>
      </c>
      <c r="E54" s="119">
        <f>'[1]Parametros Jrz'!E54</f>
        <v>2.2599999999999998</v>
      </c>
      <c r="F54" s="119">
        <f>'[1]Parametros Jrz'!F54</f>
        <v>2.75</v>
      </c>
      <c r="G54" s="119">
        <f>'[1]Parametros Jrz'!G54</f>
        <v>0</v>
      </c>
      <c r="H54" s="119">
        <f>'[1]Parametros Jrz'!H54</f>
        <v>0</v>
      </c>
      <c r="I54" s="119">
        <f>'[1]Parametros Jrz'!I54</f>
        <v>2.37</v>
      </c>
      <c r="J54" s="119">
        <f>'[1]Parametros Jrz'!J54</f>
        <v>2.5</v>
      </c>
      <c r="K54" s="119">
        <f>'[1]Parametros Jrz'!K54</f>
        <v>2.15</v>
      </c>
      <c r="L54" s="119">
        <f>'[1]Parametros Jrz'!L54</f>
        <v>2.94</v>
      </c>
      <c r="M54" s="119">
        <f>'[1]Parametros Jrz'!M54</f>
        <v>1.93</v>
      </c>
      <c r="N54" s="248">
        <f>'[1]Parametros Jrz'!N54</f>
        <v>0.03</v>
      </c>
      <c r="P54" s="119">
        <f t="shared" si="0"/>
        <v>2.0883333333333334</v>
      </c>
      <c r="AB54" s="98"/>
    </row>
    <row r="55" spans="1:28">
      <c r="A55" t="s">
        <v>23</v>
      </c>
      <c r="B55" s="119">
        <f>'[1]Parametros Jrz'!B55</f>
        <v>0</v>
      </c>
      <c r="C55" s="119">
        <f>'[1]Parametros Jrz'!C55</f>
        <v>0</v>
      </c>
      <c r="D55" s="119">
        <f>'[1]Parametros Jrz'!D55</f>
        <v>0</v>
      </c>
      <c r="E55" s="119">
        <f>'[1]Parametros Jrz'!E55</f>
        <v>0</v>
      </c>
      <c r="F55" s="119">
        <f>'[1]Parametros Jrz'!F55</f>
        <v>0</v>
      </c>
      <c r="G55" s="119">
        <f>'[1]Parametros Jrz'!G55</f>
        <v>0</v>
      </c>
      <c r="H55" s="119">
        <f>'[1]Parametros Jrz'!H55</f>
        <v>0</v>
      </c>
      <c r="I55" s="119">
        <f>'[1]Parametros Jrz'!I55</f>
        <v>0</v>
      </c>
      <c r="J55" s="119">
        <f>'[1]Parametros Jrz'!J55</f>
        <v>0</v>
      </c>
      <c r="K55" s="119">
        <f>'[1]Parametros Jrz'!K55</f>
        <v>0</v>
      </c>
      <c r="L55" s="119">
        <f>'[1]Parametros Jrz'!L55</f>
        <v>0</v>
      </c>
      <c r="M55" s="119">
        <f>'[1]Parametros Jrz'!M55</f>
        <v>0</v>
      </c>
      <c r="N55" s="248">
        <f>'[1]Parametros Jrz'!N55</f>
        <v>0</v>
      </c>
      <c r="P55" s="119">
        <f t="shared" si="0"/>
        <v>0</v>
      </c>
      <c r="AB55" s="95"/>
    </row>
    <row r="56" spans="1:28">
      <c r="A56" t="s">
        <v>5</v>
      </c>
      <c r="B56" s="119">
        <f>'[1]Parametros Jrz'!B56</f>
        <v>2.98</v>
      </c>
      <c r="C56" s="119">
        <f>'[1]Parametros Jrz'!C56</f>
        <v>0</v>
      </c>
      <c r="D56" s="119">
        <f>'[1]Parametros Jrz'!D56</f>
        <v>3.22</v>
      </c>
      <c r="E56" s="119">
        <f>'[1]Parametros Jrz'!E56</f>
        <v>0</v>
      </c>
      <c r="F56" s="119">
        <f>'[1]Parametros Jrz'!F56</f>
        <v>3.13</v>
      </c>
      <c r="G56" s="119">
        <f>'[1]Parametros Jrz'!G56</f>
        <v>2.56</v>
      </c>
      <c r="H56" s="119">
        <f>'[1]Parametros Jrz'!H56</f>
        <v>1.96</v>
      </c>
      <c r="I56" s="119">
        <f>'[1]Parametros Jrz'!I56</f>
        <v>0</v>
      </c>
      <c r="J56" s="119">
        <f>'[1]Parametros Jrz'!J56</f>
        <v>2.82</v>
      </c>
      <c r="K56" s="119">
        <f>'[1]Parametros Jrz'!K56</f>
        <v>1.81</v>
      </c>
      <c r="L56" s="119">
        <f>'[1]Parametros Jrz'!L56</f>
        <v>2.74</v>
      </c>
      <c r="M56" s="119">
        <f>'[1]Parametros Jrz'!M56</f>
        <v>1.4</v>
      </c>
      <c r="N56" s="248">
        <f>'[1]Parametros Jrz'!N56</f>
        <v>0.05</v>
      </c>
      <c r="P56" s="119">
        <f t="shared" si="0"/>
        <v>1.8849999999999998</v>
      </c>
      <c r="Q56" s="178"/>
      <c r="AB56" s="95"/>
    </row>
    <row r="58" spans="1:28">
      <c r="A58" s="113" t="s">
        <v>27</v>
      </c>
      <c r="M58" t="s">
        <v>22</v>
      </c>
      <c r="N58" s="196">
        <f>'[1]Parametros Jrz'!$N$59</f>
        <v>1</v>
      </c>
    </row>
    <row r="59" spans="1:28">
      <c r="A59" t="s">
        <v>22</v>
      </c>
      <c r="B59" s="110">
        <f>'[1]Parametros Jrz'!$B$60</f>
        <v>0</v>
      </c>
      <c r="M59" t="s">
        <v>23</v>
      </c>
      <c r="N59" s="196">
        <f>'[1]Parametros Jrz'!$N$60</f>
        <v>1</v>
      </c>
    </row>
    <row r="60" spans="1:28">
      <c r="A60" t="s">
        <v>23</v>
      </c>
      <c r="B60" s="110">
        <f>'[1]Parametros Jrz'!$B$61</f>
        <v>0</v>
      </c>
      <c r="M60" t="s">
        <v>5</v>
      </c>
      <c r="N60" s="196">
        <f>'[1]Parametros Jrz'!$N$61</f>
        <v>1</v>
      </c>
    </row>
    <row r="61" spans="1:28">
      <c r="A61" t="s">
        <v>5</v>
      </c>
      <c r="B61" s="110">
        <f>'[1]Parametros Jrz'!$B$62</f>
        <v>0</v>
      </c>
    </row>
    <row r="66" spans="1:15" ht="21">
      <c r="A66" s="319" t="s">
        <v>28</v>
      </c>
      <c r="B66" s="319"/>
    </row>
    <row r="67" spans="1:15" ht="21">
      <c r="A67" s="317" t="s">
        <v>29</v>
      </c>
      <c r="B67" s="317"/>
      <c r="C67" s="111" t="s">
        <v>10</v>
      </c>
      <c r="D67" s="111" t="s">
        <v>11</v>
      </c>
      <c r="E67" s="111" t="s">
        <v>12</v>
      </c>
      <c r="F67" s="111" t="s">
        <v>13</v>
      </c>
      <c r="G67" s="111" t="s">
        <v>14</v>
      </c>
      <c r="H67" s="111" t="s">
        <v>15</v>
      </c>
      <c r="I67" s="111" t="s">
        <v>16</v>
      </c>
      <c r="J67" s="111" t="s">
        <v>17</v>
      </c>
      <c r="K67" s="111" t="s">
        <v>18</v>
      </c>
      <c r="L67" s="111" t="s">
        <v>19</v>
      </c>
      <c r="M67" s="111" t="s">
        <v>20</v>
      </c>
      <c r="N67" s="189" t="s">
        <v>21</v>
      </c>
      <c r="O67" s="111"/>
    </row>
    <row r="68" spans="1:15">
      <c r="A68" s="112">
        <v>23214</v>
      </c>
      <c r="B68" s="113" t="s">
        <v>30</v>
      </c>
      <c r="C68" s="114">
        <f>'[1]Parametros Jrz'!C69</f>
        <v>0</v>
      </c>
      <c r="D68" s="114">
        <f>'[1]Parametros Jrz'!D69</f>
        <v>0</v>
      </c>
      <c r="E68" s="114">
        <f>'[1]Parametros Jrz'!E69</f>
        <v>0</v>
      </c>
      <c r="F68" s="114">
        <f>'[1]Parametros Jrz'!F69</f>
        <v>0</v>
      </c>
      <c r="G68" s="114">
        <f>'[1]Parametros Jrz'!G69</f>
        <v>0</v>
      </c>
      <c r="H68" s="114">
        <f>'[1]Parametros Jrz'!H69</f>
        <v>0</v>
      </c>
      <c r="I68" s="114">
        <f>'[1]Parametros Jrz'!I69</f>
        <v>0</v>
      </c>
      <c r="J68" s="114">
        <f>'[1]Parametros Jrz'!J69</f>
        <v>0</v>
      </c>
      <c r="K68" s="114">
        <f>'[1]Parametros Jrz'!K69</f>
        <v>0</v>
      </c>
      <c r="L68" s="114">
        <f>'[1]Parametros Jrz'!L69</f>
        <v>0</v>
      </c>
      <c r="M68" s="114">
        <f>'[1]Parametros Jrz'!M69</f>
        <v>0</v>
      </c>
      <c r="N68" s="114">
        <f>'[1]Parametros Jrz'!N69</f>
        <v>0</v>
      </c>
      <c r="O68" s="114"/>
    </row>
    <row r="69" spans="1:15">
      <c r="A69" s="112">
        <v>1149</v>
      </c>
      <c r="B69" s="113" t="s">
        <v>31</v>
      </c>
      <c r="C69" s="114">
        <f>'[1]Parametros Jrz'!C70</f>
        <v>0</v>
      </c>
      <c r="D69" s="114">
        <f>'[1]Parametros Jrz'!D70</f>
        <v>0</v>
      </c>
      <c r="E69" s="114">
        <f>'[1]Parametros Jrz'!E70</f>
        <v>0</v>
      </c>
      <c r="F69" s="114">
        <f>'[1]Parametros Jrz'!F70</f>
        <v>0</v>
      </c>
      <c r="G69" s="114">
        <f>'[1]Parametros Jrz'!G70</f>
        <v>0</v>
      </c>
      <c r="H69" s="114">
        <f>'[1]Parametros Jrz'!H70</f>
        <v>0</v>
      </c>
      <c r="I69" s="114">
        <f>'[1]Parametros Jrz'!I70</f>
        <v>0</v>
      </c>
      <c r="J69" s="114">
        <f>'[1]Parametros Jrz'!J70</f>
        <v>0</v>
      </c>
      <c r="K69" s="114">
        <f>'[1]Parametros Jrz'!K70</f>
        <v>0</v>
      </c>
      <c r="L69" s="114">
        <f>'[1]Parametros Jrz'!L70</f>
        <v>0</v>
      </c>
      <c r="M69" s="114">
        <f>'[1]Parametros Jrz'!M70</f>
        <v>0</v>
      </c>
      <c r="N69" s="114">
        <f>'[1]Parametros Jrz'!N70</f>
        <v>0</v>
      </c>
      <c r="O69" s="114"/>
    </row>
    <row r="70" spans="1:15">
      <c r="A70" s="112">
        <v>1163</v>
      </c>
      <c r="B70" s="113" t="s">
        <v>32</v>
      </c>
      <c r="C70" s="114">
        <f>'[1]Parametros Jrz'!C71</f>
        <v>0</v>
      </c>
      <c r="D70" s="114">
        <f>'[1]Parametros Jrz'!D71</f>
        <v>0</v>
      </c>
      <c r="E70" s="114">
        <f>'[1]Parametros Jrz'!E71</f>
        <v>0</v>
      </c>
      <c r="F70" s="114">
        <f>'[1]Parametros Jrz'!F71</f>
        <v>0</v>
      </c>
      <c r="G70" s="114">
        <f>'[1]Parametros Jrz'!G71</f>
        <v>0</v>
      </c>
      <c r="H70" s="114">
        <f>'[1]Parametros Jrz'!H71</f>
        <v>0</v>
      </c>
      <c r="I70" s="114">
        <f>'[1]Parametros Jrz'!I71</f>
        <v>0</v>
      </c>
      <c r="J70" s="114">
        <f>'[1]Parametros Jrz'!J71</f>
        <v>0</v>
      </c>
      <c r="K70" s="114">
        <f>'[1]Parametros Jrz'!K71</f>
        <v>0</v>
      </c>
      <c r="L70" s="114">
        <f>'[1]Parametros Jrz'!L71</f>
        <v>0</v>
      </c>
      <c r="M70" s="114">
        <f>'[1]Parametros Jrz'!M71</f>
        <v>0</v>
      </c>
      <c r="N70" s="114">
        <f>'[1]Parametros Jrz'!N71</f>
        <v>0</v>
      </c>
      <c r="O70" s="98"/>
    </row>
    <row r="71" spans="1:15">
      <c r="A71" s="112">
        <v>1376</v>
      </c>
      <c r="B71" s="113" t="s">
        <v>33</v>
      </c>
      <c r="C71" s="114">
        <f>'[1]Parametros Jrz'!C72</f>
        <v>0</v>
      </c>
      <c r="D71" s="114">
        <f>'[1]Parametros Jrz'!D72</f>
        <v>0</v>
      </c>
      <c r="E71" s="114">
        <f>'[1]Parametros Jrz'!E72</f>
        <v>0</v>
      </c>
      <c r="F71" s="114">
        <f>'[1]Parametros Jrz'!F72</f>
        <v>0</v>
      </c>
      <c r="G71" s="114">
        <f>'[1]Parametros Jrz'!G72</f>
        <v>0</v>
      </c>
      <c r="H71" s="114">
        <f>'[1]Parametros Jrz'!H72</f>
        <v>0</v>
      </c>
      <c r="I71" s="114">
        <f>'[1]Parametros Jrz'!I72</f>
        <v>0</v>
      </c>
      <c r="J71" s="114">
        <f>'[1]Parametros Jrz'!J72</f>
        <v>0</v>
      </c>
      <c r="K71" s="114">
        <f>'[1]Parametros Jrz'!K72</f>
        <v>0</v>
      </c>
      <c r="L71" s="114">
        <f>'[1]Parametros Jrz'!L72</f>
        <v>0</v>
      </c>
      <c r="M71" s="114">
        <f>'[1]Parametros Jrz'!M72</f>
        <v>0</v>
      </c>
      <c r="N71" s="114">
        <f>'[1]Parametros Jrz'!N72</f>
        <v>0</v>
      </c>
      <c r="O71" s="114"/>
    </row>
    <row r="72" spans="1:15">
      <c r="A72" s="112">
        <v>2172</v>
      </c>
      <c r="B72" s="113" t="s">
        <v>34</v>
      </c>
      <c r="C72" s="114">
        <f>'[1]Parametros Jrz'!C73</f>
        <v>0</v>
      </c>
      <c r="D72" s="114">
        <f>'[1]Parametros Jrz'!D73</f>
        <v>0</v>
      </c>
      <c r="E72" s="114">
        <f>'[1]Parametros Jrz'!E73</f>
        <v>0</v>
      </c>
      <c r="F72" s="114">
        <f>'[1]Parametros Jrz'!F73</f>
        <v>0</v>
      </c>
      <c r="G72" s="114">
        <f>'[1]Parametros Jrz'!G73</f>
        <v>0</v>
      </c>
      <c r="H72" s="114">
        <f>'[1]Parametros Jrz'!H73</f>
        <v>0</v>
      </c>
      <c r="I72" s="114">
        <f>'[1]Parametros Jrz'!I73</f>
        <v>0</v>
      </c>
      <c r="J72" s="114">
        <f>'[1]Parametros Jrz'!J73</f>
        <v>0</v>
      </c>
      <c r="K72" s="114">
        <f>'[1]Parametros Jrz'!K73</f>
        <v>0</v>
      </c>
      <c r="L72" s="114">
        <f>'[1]Parametros Jrz'!L73</f>
        <v>0</v>
      </c>
      <c r="M72" s="114">
        <f>'[1]Parametros Jrz'!M73</f>
        <v>0</v>
      </c>
      <c r="N72" s="114">
        <f>'[1]Parametros Jrz'!N73</f>
        <v>0</v>
      </c>
      <c r="O72" s="114"/>
    </row>
    <row r="73" spans="1:15">
      <c r="A73" s="112">
        <v>2526</v>
      </c>
      <c r="B73" s="113" t="s">
        <v>35</v>
      </c>
      <c r="C73" s="114">
        <f>'[1]Parametros Jrz'!C74</f>
        <v>0</v>
      </c>
      <c r="D73" s="114">
        <f>'[1]Parametros Jrz'!D74</f>
        <v>0</v>
      </c>
      <c r="E73" s="114">
        <f>'[1]Parametros Jrz'!E74</f>
        <v>0</v>
      </c>
      <c r="F73" s="114">
        <f>'[1]Parametros Jrz'!F74</f>
        <v>0</v>
      </c>
      <c r="G73" s="114">
        <f>'[1]Parametros Jrz'!G74</f>
        <v>0</v>
      </c>
      <c r="H73" s="114">
        <f>'[1]Parametros Jrz'!H74</f>
        <v>0</v>
      </c>
      <c r="I73" s="114">
        <f>'[1]Parametros Jrz'!I74</f>
        <v>0</v>
      </c>
      <c r="J73" s="114">
        <f>'[1]Parametros Jrz'!J74</f>
        <v>0</v>
      </c>
      <c r="K73" s="114">
        <f>'[1]Parametros Jrz'!K74</f>
        <v>0</v>
      </c>
      <c r="L73" s="114">
        <f>'[1]Parametros Jrz'!L74</f>
        <v>0</v>
      </c>
      <c r="M73" s="114">
        <f>'[1]Parametros Jrz'!M74</f>
        <v>0</v>
      </c>
      <c r="N73" s="114">
        <f>'[1]Parametros Jrz'!N74</f>
        <v>0</v>
      </c>
      <c r="O73" s="114"/>
    </row>
    <row r="74" spans="1:15">
      <c r="A74" s="112">
        <v>4179</v>
      </c>
      <c r="B74" s="113" t="s">
        <v>36</v>
      </c>
      <c r="C74" s="114">
        <f>'[1]Parametros Jrz'!C75</f>
        <v>0</v>
      </c>
      <c r="D74" s="114">
        <f>'[1]Parametros Jrz'!D75</f>
        <v>0</v>
      </c>
      <c r="E74" s="114">
        <f>'[1]Parametros Jrz'!E75</f>
        <v>0</v>
      </c>
      <c r="F74" s="114">
        <f>'[1]Parametros Jrz'!F75</f>
        <v>0</v>
      </c>
      <c r="G74" s="114">
        <f>'[1]Parametros Jrz'!G75</f>
        <v>0</v>
      </c>
      <c r="H74" s="114">
        <f>'[1]Parametros Jrz'!H75</f>
        <v>0</v>
      </c>
      <c r="I74" s="114">
        <f>'[1]Parametros Jrz'!I75</f>
        <v>0</v>
      </c>
      <c r="J74" s="114">
        <f>'[1]Parametros Jrz'!J75</f>
        <v>0</v>
      </c>
      <c r="K74" s="114">
        <f>'[1]Parametros Jrz'!K75</f>
        <v>0</v>
      </c>
      <c r="L74" s="114">
        <f>'[1]Parametros Jrz'!L75</f>
        <v>0</v>
      </c>
      <c r="M74" s="114">
        <f>'[1]Parametros Jrz'!M75</f>
        <v>0</v>
      </c>
      <c r="N74" s="114">
        <f>'[1]Parametros Jrz'!N75</f>
        <v>0</v>
      </c>
      <c r="O74" s="114"/>
    </row>
    <row r="75" spans="1:15">
      <c r="A75" s="112">
        <v>4188</v>
      </c>
      <c r="B75" s="113" t="s">
        <v>37</v>
      </c>
      <c r="C75" s="114">
        <f>'[1]Parametros Jrz'!C76</f>
        <v>0</v>
      </c>
      <c r="D75" s="114">
        <f>'[1]Parametros Jrz'!D76</f>
        <v>0</v>
      </c>
      <c r="E75" s="114">
        <f>'[1]Parametros Jrz'!E76</f>
        <v>0</v>
      </c>
      <c r="F75" s="114">
        <f>'[1]Parametros Jrz'!F76</f>
        <v>0</v>
      </c>
      <c r="G75" s="114">
        <f>'[1]Parametros Jrz'!G76</f>
        <v>0</v>
      </c>
      <c r="H75" s="114">
        <f>'[1]Parametros Jrz'!H76</f>
        <v>0</v>
      </c>
      <c r="I75" s="114">
        <f>'[1]Parametros Jrz'!I76</f>
        <v>0</v>
      </c>
      <c r="J75" s="114">
        <f>'[1]Parametros Jrz'!J76</f>
        <v>0</v>
      </c>
      <c r="K75" s="114">
        <f>'[1]Parametros Jrz'!K76</f>
        <v>0</v>
      </c>
      <c r="L75" s="114">
        <f>'[1]Parametros Jrz'!L76</f>
        <v>0</v>
      </c>
      <c r="M75" s="114">
        <f>'[1]Parametros Jrz'!M76</f>
        <v>0</v>
      </c>
      <c r="N75" s="114">
        <f>'[1]Parametros Jrz'!N76</f>
        <v>0</v>
      </c>
      <c r="O75" s="114"/>
    </row>
    <row r="76" spans="1:15">
      <c r="A76" s="112">
        <v>5317</v>
      </c>
      <c r="B76" s="113" t="s">
        <v>38</v>
      </c>
      <c r="C76" s="114">
        <f>'[1]Parametros Jrz'!C77</f>
        <v>0</v>
      </c>
      <c r="D76" s="114">
        <f>'[1]Parametros Jrz'!D77</f>
        <v>0</v>
      </c>
      <c r="E76" s="114">
        <f>'[1]Parametros Jrz'!E77</f>
        <v>0</v>
      </c>
      <c r="F76" s="114">
        <f>'[1]Parametros Jrz'!F77</f>
        <v>0</v>
      </c>
      <c r="G76" s="114">
        <f>'[1]Parametros Jrz'!G77</f>
        <v>0</v>
      </c>
      <c r="H76" s="114">
        <f>'[1]Parametros Jrz'!H77</f>
        <v>0</v>
      </c>
      <c r="I76" s="114">
        <f>'[1]Parametros Jrz'!I77</f>
        <v>0</v>
      </c>
      <c r="J76" s="114">
        <f>'[1]Parametros Jrz'!J77</f>
        <v>0</v>
      </c>
      <c r="K76" s="114">
        <f>'[1]Parametros Jrz'!K77</f>
        <v>0</v>
      </c>
      <c r="L76" s="114">
        <f>'[1]Parametros Jrz'!L77</f>
        <v>0</v>
      </c>
      <c r="M76" s="114">
        <f>'[1]Parametros Jrz'!M77</f>
        <v>0</v>
      </c>
      <c r="N76" s="114">
        <f>'[1]Parametros Jrz'!N77</f>
        <v>0</v>
      </c>
      <c r="O76" s="114"/>
    </row>
    <row r="77" spans="1:15">
      <c r="A77" s="112">
        <v>6410</v>
      </c>
      <c r="B77" s="113" t="s">
        <v>39</v>
      </c>
      <c r="C77" s="114">
        <f>'[1]Parametros Jrz'!C78</f>
        <v>0</v>
      </c>
      <c r="D77" s="114">
        <f>'[1]Parametros Jrz'!D78</f>
        <v>0</v>
      </c>
      <c r="E77" s="114">
        <f>'[1]Parametros Jrz'!E78</f>
        <v>0</v>
      </c>
      <c r="F77" s="114">
        <f>'[1]Parametros Jrz'!F78</f>
        <v>0</v>
      </c>
      <c r="G77" s="114">
        <f>'[1]Parametros Jrz'!G78</f>
        <v>0</v>
      </c>
      <c r="H77" s="114">
        <f>'[1]Parametros Jrz'!H78</f>
        <v>0</v>
      </c>
      <c r="I77" s="114">
        <f>'[1]Parametros Jrz'!I78</f>
        <v>0</v>
      </c>
      <c r="J77" s="114">
        <f>'[1]Parametros Jrz'!J78</f>
        <v>0</v>
      </c>
      <c r="K77" s="114">
        <f>'[1]Parametros Jrz'!K78</f>
        <v>0</v>
      </c>
      <c r="L77" s="114">
        <f>'[1]Parametros Jrz'!L78</f>
        <v>0</v>
      </c>
      <c r="M77" s="114">
        <f>'[1]Parametros Jrz'!M78</f>
        <v>0</v>
      </c>
      <c r="N77" s="114">
        <f>'[1]Parametros Jrz'!N78</f>
        <v>0</v>
      </c>
      <c r="O77" s="114"/>
    </row>
    <row r="78" spans="1:15">
      <c r="A78" s="112">
        <v>6947</v>
      </c>
      <c r="B78" s="113" t="s">
        <v>40</v>
      </c>
      <c r="C78" s="114">
        <f>'[1]Parametros Jrz'!C79</f>
        <v>0</v>
      </c>
      <c r="D78" s="114">
        <f>'[1]Parametros Jrz'!D79</f>
        <v>0</v>
      </c>
      <c r="E78" s="114">
        <f>'[1]Parametros Jrz'!E79</f>
        <v>0</v>
      </c>
      <c r="F78" s="114">
        <f>'[1]Parametros Jrz'!F79</f>
        <v>0</v>
      </c>
      <c r="G78" s="114">
        <f>'[1]Parametros Jrz'!G79</f>
        <v>0</v>
      </c>
      <c r="H78" s="114">
        <f>'[1]Parametros Jrz'!H79</f>
        <v>0</v>
      </c>
      <c r="I78" s="114">
        <f>'[1]Parametros Jrz'!I79</f>
        <v>0</v>
      </c>
      <c r="J78" s="114">
        <f>'[1]Parametros Jrz'!J79</f>
        <v>0</v>
      </c>
      <c r="K78" s="114">
        <f>'[1]Parametros Jrz'!K79</f>
        <v>0</v>
      </c>
      <c r="L78" s="114">
        <f>'[1]Parametros Jrz'!L79</f>
        <v>0</v>
      </c>
      <c r="M78" s="114">
        <f>'[1]Parametros Jrz'!M79</f>
        <v>0</v>
      </c>
      <c r="N78" s="114">
        <f>'[1]Parametros Jrz'!N79</f>
        <v>0</v>
      </c>
      <c r="O78" s="114"/>
    </row>
    <row r="79" spans="1:15">
      <c r="A79" s="112">
        <v>7167</v>
      </c>
      <c r="B79" s="113" t="s">
        <v>41</v>
      </c>
      <c r="C79" s="114">
        <f>'[1]Parametros Jrz'!C80</f>
        <v>0</v>
      </c>
      <c r="D79" s="114">
        <f>'[1]Parametros Jrz'!D80</f>
        <v>0</v>
      </c>
      <c r="E79" s="114">
        <f>'[1]Parametros Jrz'!E80</f>
        <v>0</v>
      </c>
      <c r="F79" s="114">
        <f>'[1]Parametros Jrz'!F80</f>
        <v>0</v>
      </c>
      <c r="G79" s="114">
        <f>'[1]Parametros Jrz'!G80</f>
        <v>0</v>
      </c>
      <c r="H79" s="114">
        <f>'[1]Parametros Jrz'!H80</f>
        <v>0</v>
      </c>
      <c r="I79" s="114">
        <f>'[1]Parametros Jrz'!I80</f>
        <v>0</v>
      </c>
      <c r="J79" s="114">
        <f>'[1]Parametros Jrz'!J80</f>
        <v>0</v>
      </c>
      <c r="K79" s="114">
        <f>'[1]Parametros Jrz'!K80</f>
        <v>0</v>
      </c>
      <c r="L79" s="114">
        <f>'[1]Parametros Jrz'!L80</f>
        <v>0</v>
      </c>
      <c r="M79" s="114">
        <f>'[1]Parametros Jrz'!M80</f>
        <v>0</v>
      </c>
      <c r="N79" s="114">
        <f>'[1]Parametros Jrz'!N80</f>
        <v>0</v>
      </c>
      <c r="O79" s="114"/>
    </row>
    <row r="80" spans="1:15">
      <c r="A80" s="112">
        <v>5465</v>
      </c>
      <c r="B80" s="113" t="s">
        <v>42</v>
      </c>
      <c r="C80" s="114">
        <f>'[1]Parametros Jrz'!C81</f>
        <v>0</v>
      </c>
      <c r="D80" s="114">
        <f>'[1]Parametros Jrz'!D81</f>
        <v>0</v>
      </c>
      <c r="E80" s="114">
        <f>'[1]Parametros Jrz'!E81</f>
        <v>0</v>
      </c>
      <c r="F80" s="114">
        <f>'[1]Parametros Jrz'!F81</f>
        <v>0</v>
      </c>
      <c r="G80" s="114">
        <f>'[1]Parametros Jrz'!G81</f>
        <v>0</v>
      </c>
      <c r="H80" s="114">
        <f>'[1]Parametros Jrz'!H81</f>
        <v>0</v>
      </c>
      <c r="I80" s="114">
        <f>'[1]Parametros Jrz'!I81</f>
        <v>0</v>
      </c>
      <c r="J80" s="114">
        <f>'[1]Parametros Jrz'!J81</f>
        <v>0</v>
      </c>
      <c r="K80" s="114">
        <f>'[1]Parametros Jrz'!K81</f>
        <v>0</v>
      </c>
      <c r="L80" s="114">
        <f>'[1]Parametros Jrz'!L81</f>
        <v>0</v>
      </c>
      <c r="M80" s="114">
        <f>'[1]Parametros Jrz'!M81</f>
        <v>0</v>
      </c>
      <c r="N80" s="114">
        <f>'[1]Parametros Jrz'!N81</f>
        <v>0</v>
      </c>
      <c r="O80" s="114"/>
    </row>
    <row r="81" spans="1:15">
      <c r="A81" s="112">
        <v>8244</v>
      </c>
      <c r="B81" s="113" t="s">
        <v>43</v>
      </c>
      <c r="C81" s="114">
        <f>'[1]Parametros Jrz'!C82</f>
        <v>0</v>
      </c>
      <c r="D81" s="114">
        <f>'[1]Parametros Jrz'!D82</f>
        <v>0</v>
      </c>
      <c r="E81" s="114">
        <f>'[1]Parametros Jrz'!E82</f>
        <v>0</v>
      </c>
      <c r="F81" s="114">
        <f>'[1]Parametros Jrz'!F82</f>
        <v>0</v>
      </c>
      <c r="G81" s="114">
        <f>'[1]Parametros Jrz'!G82</f>
        <v>0</v>
      </c>
      <c r="H81" s="114">
        <f>'[1]Parametros Jrz'!H82</f>
        <v>0</v>
      </c>
      <c r="I81" s="114">
        <f>'[1]Parametros Jrz'!I82</f>
        <v>0</v>
      </c>
      <c r="J81" s="114">
        <f>'[1]Parametros Jrz'!J82</f>
        <v>0</v>
      </c>
      <c r="K81" s="114">
        <f>'[1]Parametros Jrz'!K82</f>
        <v>0</v>
      </c>
      <c r="L81" s="114">
        <f>'[1]Parametros Jrz'!L82</f>
        <v>0</v>
      </c>
      <c r="M81" s="114">
        <f>'[1]Parametros Jrz'!M82</f>
        <v>0</v>
      </c>
      <c r="N81" s="114">
        <f>'[1]Parametros Jrz'!N82</f>
        <v>0</v>
      </c>
      <c r="O81" s="114"/>
    </row>
    <row r="82" spans="1:15">
      <c r="A82" s="112">
        <v>9191</v>
      </c>
      <c r="B82" s="113" t="s">
        <v>44</v>
      </c>
      <c r="C82" s="114">
        <f>'[1]Parametros Jrz'!C83</f>
        <v>0</v>
      </c>
      <c r="D82" s="114">
        <f>'[1]Parametros Jrz'!D83</f>
        <v>0</v>
      </c>
      <c r="E82" s="114">
        <f>'[1]Parametros Jrz'!E83</f>
        <v>0</v>
      </c>
      <c r="F82" s="114">
        <f>'[1]Parametros Jrz'!F83</f>
        <v>0</v>
      </c>
      <c r="G82" s="114">
        <f>'[1]Parametros Jrz'!G83</f>
        <v>0</v>
      </c>
      <c r="H82" s="114">
        <f>'[1]Parametros Jrz'!H83</f>
        <v>0</v>
      </c>
      <c r="I82" s="114">
        <f>'[1]Parametros Jrz'!I83</f>
        <v>0</v>
      </c>
      <c r="J82" s="114">
        <f>'[1]Parametros Jrz'!J83</f>
        <v>0</v>
      </c>
      <c r="K82" s="114">
        <f>'[1]Parametros Jrz'!K83</f>
        <v>0</v>
      </c>
      <c r="L82" s="114">
        <f>'[1]Parametros Jrz'!L83</f>
        <v>0</v>
      </c>
      <c r="M82" s="114">
        <f>'[1]Parametros Jrz'!M83</f>
        <v>0</v>
      </c>
      <c r="N82" s="114">
        <f>'[1]Parametros Jrz'!N83</f>
        <v>0</v>
      </c>
      <c r="O82" s="114"/>
    </row>
    <row r="83" spans="1:15">
      <c r="A83" s="112">
        <v>9235</v>
      </c>
      <c r="B83" s="113" t="s">
        <v>45</v>
      </c>
      <c r="C83" s="114">
        <f>'[1]Parametros Jrz'!C84</f>
        <v>0</v>
      </c>
      <c r="D83" s="114">
        <f>'[1]Parametros Jrz'!D84</f>
        <v>0</v>
      </c>
      <c r="E83" s="114">
        <f>'[1]Parametros Jrz'!E84</f>
        <v>0</v>
      </c>
      <c r="F83" s="114">
        <f>'[1]Parametros Jrz'!F84</f>
        <v>0</v>
      </c>
      <c r="G83" s="114">
        <f>'[1]Parametros Jrz'!G84</f>
        <v>0</v>
      </c>
      <c r="H83" s="114">
        <f>'[1]Parametros Jrz'!H84</f>
        <v>0</v>
      </c>
      <c r="I83" s="114">
        <f>'[1]Parametros Jrz'!I84</f>
        <v>0</v>
      </c>
      <c r="J83" s="114">
        <f>'[1]Parametros Jrz'!J84</f>
        <v>0</v>
      </c>
      <c r="K83" s="114">
        <f>'[1]Parametros Jrz'!K84</f>
        <v>0</v>
      </c>
      <c r="L83" s="114">
        <f>'[1]Parametros Jrz'!L84</f>
        <v>0</v>
      </c>
      <c r="M83" s="114">
        <f>'[1]Parametros Jrz'!M84</f>
        <v>0</v>
      </c>
      <c r="N83" s="114">
        <f>'[1]Parametros Jrz'!N84</f>
        <v>0</v>
      </c>
      <c r="O83" s="114"/>
    </row>
    <row r="84" spans="1:15">
      <c r="A84" s="112">
        <v>9885</v>
      </c>
      <c r="B84" s="113" t="s">
        <v>46</v>
      </c>
      <c r="C84" s="114">
        <f>'[1]Parametros Jrz'!C85</f>
        <v>0</v>
      </c>
      <c r="D84" s="114">
        <f>'[1]Parametros Jrz'!D85</f>
        <v>0</v>
      </c>
      <c r="E84" s="114">
        <f>'[1]Parametros Jrz'!E85</f>
        <v>0</v>
      </c>
      <c r="F84" s="114">
        <f>'[1]Parametros Jrz'!F85</f>
        <v>0</v>
      </c>
      <c r="G84" s="114">
        <f>'[1]Parametros Jrz'!G85</f>
        <v>0</v>
      </c>
      <c r="H84" s="114">
        <f>'[1]Parametros Jrz'!H85</f>
        <v>0</v>
      </c>
      <c r="I84" s="114">
        <f>'[1]Parametros Jrz'!I85</f>
        <v>0</v>
      </c>
      <c r="J84" s="114">
        <f>'[1]Parametros Jrz'!J85</f>
        <v>0</v>
      </c>
      <c r="K84" s="114">
        <f>'[1]Parametros Jrz'!K85</f>
        <v>0</v>
      </c>
      <c r="L84" s="114">
        <f>'[1]Parametros Jrz'!L85</f>
        <v>0</v>
      </c>
      <c r="M84" s="114">
        <f>'[1]Parametros Jrz'!M85</f>
        <v>0</v>
      </c>
      <c r="N84" s="114">
        <f>'[1]Parametros Jrz'!N85</f>
        <v>0</v>
      </c>
      <c r="O84" s="114"/>
    </row>
    <row r="85" spans="1:15">
      <c r="A85" s="112">
        <v>9893</v>
      </c>
      <c r="B85" s="113" t="s">
        <v>47</v>
      </c>
      <c r="C85" s="114">
        <f>'[1]Parametros Jrz'!C86</f>
        <v>0</v>
      </c>
      <c r="D85" s="114">
        <f>'[1]Parametros Jrz'!D86</f>
        <v>0</v>
      </c>
      <c r="E85" s="114">
        <f>'[1]Parametros Jrz'!E86</f>
        <v>0</v>
      </c>
      <c r="F85" s="114">
        <f>'[1]Parametros Jrz'!F86</f>
        <v>0</v>
      </c>
      <c r="G85" s="114">
        <f>'[1]Parametros Jrz'!G86</f>
        <v>0</v>
      </c>
      <c r="H85" s="114">
        <f>'[1]Parametros Jrz'!H86</f>
        <v>0</v>
      </c>
      <c r="I85" s="114">
        <f>'[1]Parametros Jrz'!I86</f>
        <v>0</v>
      </c>
      <c r="J85" s="114">
        <f>'[1]Parametros Jrz'!J86</f>
        <v>0</v>
      </c>
      <c r="K85" s="114">
        <f>'[1]Parametros Jrz'!K86</f>
        <v>0</v>
      </c>
      <c r="L85" s="114">
        <f>'[1]Parametros Jrz'!L86</f>
        <v>0</v>
      </c>
      <c r="M85" s="114">
        <f>'[1]Parametros Jrz'!M86</f>
        <v>0</v>
      </c>
      <c r="N85" s="114">
        <f>'[1]Parametros Jrz'!N86</f>
        <v>0</v>
      </c>
      <c r="O85" s="114"/>
    </row>
    <row r="86" spans="1:15">
      <c r="A86" s="112">
        <v>5170</v>
      </c>
      <c r="B86" s="113" t="s">
        <v>48</v>
      </c>
      <c r="C86" s="114">
        <f>'[1]Parametros Jrz'!C87</f>
        <v>0</v>
      </c>
      <c r="D86" s="114">
        <f>'[1]Parametros Jrz'!D87</f>
        <v>0</v>
      </c>
      <c r="E86" s="114">
        <f>'[1]Parametros Jrz'!E87</f>
        <v>0</v>
      </c>
      <c r="F86" s="114">
        <f>'[1]Parametros Jrz'!F87</f>
        <v>0</v>
      </c>
      <c r="G86" s="114">
        <f>'[1]Parametros Jrz'!G87</f>
        <v>0</v>
      </c>
      <c r="H86" s="114">
        <f>'[1]Parametros Jrz'!H87</f>
        <v>0</v>
      </c>
      <c r="I86" s="114">
        <f>'[1]Parametros Jrz'!I87</f>
        <v>0</v>
      </c>
      <c r="J86" s="114">
        <f>'[1]Parametros Jrz'!J87</f>
        <v>0</v>
      </c>
      <c r="K86" s="114">
        <f>'[1]Parametros Jrz'!K87</f>
        <v>0</v>
      </c>
      <c r="L86" s="114">
        <f>'[1]Parametros Jrz'!L87</f>
        <v>0</v>
      </c>
      <c r="M86" s="114">
        <f>'[1]Parametros Jrz'!M87</f>
        <v>0</v>
      </c>
      <c r="N86" s="114">
        <f>'[1]Parametros Jrz'!N87</f>
        <v>0</v>
      </c>
      <c r="O86" s="114"/>
    </row>
    <row r="87" spans="1:15">
      <c r="A87" s="112">
        <v>11007</v>
      </c>
      <c r="B87" s="113" t="s">
        <v>49</v>
      </c>
      <c r="C87" s="114">
        <f>'[1]Parametros Jrz'!C88</f>
        <v>0</v>
      </c>
      <c r="D87" s="114">
        <f>'[1]Parametros Jrz'!D88</f>
        <v>0</v>
      </c>
      <c r="E87" s="114">
        <f>'[1]Parametros Jrz'!E88</f>
        <v>0</v>
      </c>
      <c r="F87" s="114">
        <f>'[1]Parametros Jrz'!F88</f>
        <v>0</v>
      </c>
      <c r="G87" s="114">
        <f>'[1]Parametros Jrz'!G88</f>
        <v>0</v>
      </c>
      <c r="H87" s="114">
        <f>'[1]Parametros Jrz'!H88</f>
        <v>0</v>
      </c>
      <c r="I87" s="114">
        <f>'[1]Parametros Jrz'!I88</f>
        <v>0</v>
      </c>
      <c r="J87" s="114">
        <f>'[1]Parametros Jrz'!J88</f>
        <v>0</v>
      </c>
      <c r="K87" s="114">
        <f>'[1]Parametros Jrz'!K88</f>
        <v>0</v>
      </c>
      <c r="L87" s="114">
        <f>'[1]Parametros Jrz'!L88</f>
        <v>0</v>
      </c>
      <c r="M87" s="114">
        <f>'[1]Parametros Jrz'!M88</f>
        <v>0</v>
      </c>
      <c r="N87" s="114">
        <f>'[1]Parametros Jrz'!N88</f>
        <v>0</v>
      </c>
      <c r="O87" s="114"/>
    </row>
    <row r="88" spans="1:15">
      <c r="A88" s="112">
        <v>24938</v>
      </c>
      <c r="B88" s="113" t="s">
        <v>50</v>
      </c>
      <c r="C88" s="114">
        <f>'[1]Parametros Jrz'!C89</f>
        <v>0</v>
      </c>
      <c r="D88" s="114">
        <f>'[1]Parametros Jrz'!D89</f>
        <v>0</v>
      </c>
      <c r="E88" s="114">
        <f>'[1]Parametros Jrz'!E89</f>
        <v>0</v>
      </c>
      <c r="F88" s="114">
        <f>'[1]Parametros Jrz'!F89</f>
        <v>0</v>
      </c>
      <c r="G88" s="114">
        <f>'[1]Parametros Jrz'!G89</f>
        <v>0</v>
      </c>
      <c r="H88" s="114">
        <f>'[1]Parametros Jrz'!H89</f>
        <v>0</v>
      </c>
      <c r="I88" s="114">
        <f>'[1]Parametros Jrz'!I89</f>
        <v>0</v>
      </c>
      <c r="J88" s="114">
        <f>'[1]Parametros Jrz'!J89</f>
        <v>0</v>
      </c>
      <c r="K88" s="114">
        <f>'[1]Parametros Jrz'!K89</f>
        <v>0</v>
      </c>
      <c r="L88" s="114">
        <f>'[1]Parametros Jrz'!L89</f>
        <v>0</v>
      </c>
      <c r="M88" s="114">
        <f>'[1]Parametros Jrz'!M89</f>
        <v>0</v>
      </c>
      <c r="N88" s="114">
        <f>'[1]Parametros Jrz'!N89</f>
        <v>0</v>
      </c>
    </row>
    <row r="89" spans="1:15">
      <c r="A89" s="112">
        <v>1242</v>
      </c>
      <c r="B89" s="113" t="s">
        <v>51</v>
      </c>
      <c r="C89" s="114">
        <f>'[1]Parametros Jrz'!C90</f>
        <v>0</v>
      </c>
      <c r="D89" s="114">
        <f>'[1]Parametros Jrz'!D90</f>
        <v>0</v>
      </c>
      <c r="E89" s="114">
        <f>'[1]Parametros Jrz'!E90</f>
        <v>0</v>
      </c>
      <c r="F89" s="114">
        <f>'[1]Parametros Jrz'!F90</f>
        <v>0</v>
      </c>
      <c r="G89" s="114">
        <f>'[1]Parametros Jrz'!G90</f>
        <v>0</v>
      </c>
      <c r="H89" s="114">
        <f>'[1]Parametros Jrz'!H90</f>
        <v>0</v>
      </c>
      <c r="I89" s="114">
        <f>'[1]Parametros Jrz'!I90</f>
        <v>0</v>
      </c>
      <c r="J89" s="114">
        <f>'[1]Parametros Jrz'!J90</f>
        <v>0</v>
      </c>
      <c r="K89" s="114">
        <f>'[1]Parametros Jrz'!K90</f>
        <v>0</v>
      </c>
      <c r="L89" s="114">
        <f>'[1]Parametros Jrz'!L90</f>
        <v>0</v>
      </c>
      <c r="M89" s="114">
        <f>'[1]Parametros Jrz'!M90</f>
        <v>0</v>
      </c>
      <c r="N89" s="114">
        <f>'[1]Parametros Jrz'!N90</f>
        <v>0</v>
      </c>
    </row>
    <row r="90" spans="1:15">
      <c r="A90" s="112">
        <v>12900</v>
      </c>
      <c r="B90" s="113" t="s">
        <v>52</v>
      </c>
      <c r="C90" s="114">
        <f>'[1]Parametros Jrz'!C91</f>
        <v>0</v>
      </c>
      <c r="D90" s="114">
        <f>'[1]Parametros Jrz'!D91</f>
        <v>0</v>
      </c>
      <c r="E90" s="114">
        <f>'[1]Parametros Jrz'!E91</f>
        <v>0</v>
      </c>
      <c r="F90" s="114">
        <f>'[1]Parametros Jrz'!F91</f>
        <v>0</v>
      </c>
      <c r="G90" s="114">
        <f>'[1]Parametros Jrz'!G91</f>
        <v>0</v>
      </c>
      <c r="H90" s="114">
        <f>'[1]Parametros Jrz'!H91</f>
        <v>0</v>
      </c>
      <c r="I90" s="114">
        <f>'[1]Parametros Jrz'!I91</f>
        <v>0</v>
      </c>
      <c r="J90" s="114">
        <f>'[1]Parametros Jrz'!J91</f>
        <v>0</v>
      </c>
      <c r="K90" s="114">
        <f>'[1]Parametros Jrz'!K91</f>
        <v>0</v>
      </c>
      <c r="L90" s="114">
        <f>'[1]Parametros Jrz'!L91</f>
        <v>0</v>
      </c>
      <c r="M90" s="114">
        <f>'[1]Parametros Jrz'!M91</f>
        <v>0</v>
      </c>
      <c r="N90" s="114">
        <f>'[1]Parametros Jrz'!N91</f>
        <v>0</v>
      </c>
    </row>
    <row r="91" spans="1:15">
      <c r="A91" s="112">
        <v>24499</v>
      </c>
      <c r="B91" s="113" t="s">
        <v>53</v>
      </c>
      <c r="C91" s="114">
        <f>'[1]Parametros Jrz'!C92</f>
        <v>0</v>
      </c>
      <c r="D91" s="114">
        <f>'[1]Parametros Jrz'!D92</f>
        <v>0</v>
      </c>
      <c r="E91" s="114">
        <f>'[1]Parametros Jrz'!E92</f>
        <v>0</v>
      </c>
      <c r="F91" s="114">
        <f>'[1]Parametros Jrz'!F92</f>
        <v>0</v>
      </c>
      <c r="G91" s="114">
        <f>'[1]Parametros Jrz'!G92</f>
        <v>0</v>
      </c>
      <c r="H91" s="114">
        <f>'[1]Parametros Jrz'!H92</f>
        <v>0</v>
      </c>
      <c r="I91" s="114">
        <f>'[1]Parametros Jrz'!I92</f>
        <v>0</v>
      </c>
      <c r="J91" s="114">
        <f>'[1]Parametros Jrz'!J92</f>
        <v>0</v>
      </c>
      <c r="K91" s="114">
        <f>'[1]Parametros Jrz'!K92</f>
        <v>0</v>
      </c>
      <c r="L91" s="114">
        <f>'[1]Parametros Jrz'!L92</f>
        <v>0</v>
      </c>
      <c r="M91" s="114">
        <f>'[1]Parametros Jrz'!M92</f>
        <v>0</v>
      </c>
      <c r="N91" s="114">
        <f>'[1]Parametros Jrz'!N92</f>
        <v>0</v>
      </c>
    </row>
    <row r="92" spans="1:15">
      <c r="A92" s="112">
        <v>24500</v>
      </c>
      <c r="B92" s="113" t="s">
        <v>54</v>
      </c>
      <c r="C92" s="114">
        <f>'[1]Parametros Jrz'!C93</f>
        <v>0</v>
      </c>
      <c r="D92" s="114">
        <f>'[1]Parametros Jrz'!D93</f>
        <v>0</v>
      </c>
      <c r="E92" s="114">
        <f>'[1]Parametros Jrz'!E93</f>
        <v>0</v>
      </c>
      <c r="F92" s="114">
        <f>'[1]Parametros Jrz'!F93</f>
        <v>0</v>
      </c>
      <c r="G92" s="114">
        <f>'[1]Parametros Jrz'!G93</f>
        <v>0</v>
      </c>
      <c r="H92" s="114">
        <f>'[1]Parametros Jrz'!H93</f>
        <v>0</v>
      </c>
      <c r="I92" s="114">
        <f>'[1]Parametros Jrz'!I93</f>
        <v>0</v>
      </c>
      <c r="J92" s="114">
        <f>'[1]Parametros Jrz'!J93</f>
        <v>0</v>
      </c>
      <c r="K92" s="114">
        <f>'[1]Parametros Jrz'!K93</f>
        <v>0</v>
      </c>
      <c r="L92" s="114">
        <f>'[1]Parametros Jrz'!L93</f>
        <v>0</v>
      </c>
      <c r="M92" s="114">
        <f>'[1]Parametros Jrz'!M93</f>
        <v>0</v>
      </c>
      <c r="N92" s="114">
        <f>'[1]Parametros Jrz'!N93</f>
        <v>0</v>
      </c>
    </row>
    <row r="93" spans="1:15">
      <c r="A93" s="112">
        <v>3184</v>
      </c>
      <c r="B93" s="113" t="s">
        <v>55</v>
      </c>
      <c r="C93" s="114">
        <f>'[1]Parametros Jrz'!C94</f>
        <v>0</v>
      </c>
      <c r="D93" s="114">
        <f>'[1]Parametros Jrz'!D94</f>
        <v>0</v>
      </c>
      <c r="E93" s="114">
        <f>'[1]Parametros Jrz'!E94</f>
        <v>0</v>
      </c>
      <c r="F93" s="114">
        <f>'[1]Parametros Jrz'!F94</f>
        <v>0</v>
      </c>
      <c r="G93" s="114">
        <f>'[1]Parametros Jrz'!G94</f>
        <v>0</v>
      </c>
      <c r="H93" s="114">
        <f>'[1]Parametros Jrz'!H94</f>
        <v>0</v>
      </c>
      <c r="I93" s="114">
        <f>'[1]Parametros Jrz'!I94</f>
        <v>0</v>
      </c>
      <c r="J93" s="114">
        <f>'[1]Parametros Jrz'!J94</f>
        <v>0</v>
      </c>
      <c r="K93" s="114">
        <f>'[1]Parametros Jrz'!K94</f>
        <v>0</v>
      </c>
      <c r="L93" s="114">
        <f>'[1]Parametros Jrz'!L94</f>
        <v>0</v>
      </c>
      <c r="M93" s="114">
        <f>'[1]Parametros Jrz'!M94</f>
        <v>0</v>
      </c>
      <c r="N93" s="114">
        <f>'[1]Parametros Jrz'!N94</f>
        <v>0</v>
      </c>
    </row>
    <row r="95" spans="1:15" ht="21">
      <c r="A95" s="315" t="s">
        <v>56</v>
      </c>
      <c r="B95" s="315"/>
      <c r="C95" s="111" t="s">
        <v>10</v>
      </c>
      <c r="D95" s="111" t="s">
        <v>11</v>
      </c>
      <c r="E95" s="111" t="s">
        <v>12</v>
      </c>
      <c r="F95" s="111" t="s">
        <v>13</v>
      </c>
      <c r="G95" s="111" t="s">
        <v>14</v>
      </c>
      <c r="H95" s="111" t="s">
        <v>15</v>
      </c>
      <c r="I95" s="111" t="s">
        <v>16</v>
      </c>
      <c r="J95" s="111" t="s">
        <v>17</v>
      </c>
      <c r="K95" s="111" t="s">
        <v>18</v>
      </c>
      <c r="L95" s="111" t="s">
        <v>19</v>
      </c>
      <c r="M95" s="111" t="s">
        <v>20</v>
      </c>
      <c r="N95" s="189" t="s">
        <v>21</v>
      </c>
      <c r="O95" s="111"/>
    </row>
    <row r="96" spans="1:15">
      <c r="A96" s="112"/>
      <c r="B96" s="113" t="s">
        <v>30</v>
      </c>
      <c r="C96" s="114">
        <f>'[1]Parametros Jrz'!C97</f>
        <v>0</v>
      </c>
      <c r="D96" s="114">
        <f>'[1]Parametros Jrz'!D97</f>
        <v>0</v>
      </c>
      <c r="E96" s="114">
        <f>'[1]Parametros Jrz'!E97</f>
        <v>0</v>
      </c>
      <c r="F96" s="114">
        <f>'[1]Parametros Jrz'!F97</f>
        <v>0</v>
      </c>
      <c r="G96" s="114">
        <f>'[1]Parametros Jrz'!G97</f>
        <v>0</v>
      </c>
      <c r="H96" s="114">
        <f>'[1]Parametros Jrz'!H97</f>
        <v>0</v>
      </c>
      <c r="I96" s="114">
        <f>'[1]Parametros Jrz'!I97</f>
        <v>0</v>
      </c>
      <c r="J96" s="114">
        <f>'[1]Parametros Jrz'!J97</f>
        <v>0</v>
      </c>
      <c r="K96" s="114">
        <f>'[1]Parametros Jrz'!K97</f>
        <v>0</v>
      </c>
      <c r="L96" s="114">
        <f>'[1]Parametros Jrz'!L97</f>
        <v>0</v>
      </c>
      <c r="M96" s="114">
        <f>'[1]Parametros Jrz'!M97</f>
        <v>0</v>
      </c>
      <c r="N96" s="114">
        <f>'[1]Parametros Jrz'!N97</f>
        <v>0</v>
      </c>
      <c r="O96" s="98"/>
    </row>
    <row r="97" spans="1:15">
      <c r="A97" s="112">
        <v>1149</v>
      </c>
      <c r="B97" s="113" t="s">
        <v>31</v>
      </c>
      <c r="C97" s="114">
        <f>'[1]Parametros Jrz'!C98</f>
        <v>0</v>
      </c>
      <c r="D97" s="114">
        <f>'[1]Parametros Jrz'!D98</f>
        <v>0</v>
      </c>
      <c r="E97" s="114">
        <f>'[1]Parametros Jrz'!E98</f>
        <v>0</v>
      </c>
      <c r="F97" s="114">
        <f>'[1]Parametros Jrz'!F98</f>
        <v>0</v>
      </c>
      <c r="G97" s="114">
        <f>'[1]Parametros Jrz'!G98</f>
        <v>0</v>
      </c>
      <c r="H97" s="114">
        <f>'[1]Parametros Jrz'!H98</f>
        <v>0</v>
      </c>
      <c r="I97" s="114">
        <f>'[1]Parametros Jrz'!I98</f>
        <v>0</v>
      </c>
      <c r="J97" s="114">
        <f>'[1]Parametros Jrz'!J98</f>
        <v>0</v>
      </c>
      <c r="K97" s="114">
        <f>'[1]Parametros Jrz'!K98</f>
        <v>0</v>
      </c>
      <c r="L97" s="114">
        <f>'[1]Parametros Jrz'!L98</f>
        <v>0</v>
      </c>
      <c r="M97" s="114">
        <f>'[1]Parametros Jrz'!M98</f>
        <v>0</v>
      </c>
      <c r="N97" s="114">
        <f>'[1]Parametros Jrz'!N98</f>
        <v>0</v>
      </c>
      <c r="O97" s="98"/>
    </row>
    <row r="98" spans="1:15">
      <c r="A98" s="112">
        <v>1163</v>
      </c>
      <c r="B98" s="113" t="s">
        <v>32</v>
      </c>
      <c r="C98" s="114">
        <f>'[1]Parametros Jrz'!C99</f>
        <v>0</v>
      </c>
      <c r="D98" s="114">
        <f>'[1]Parametros Jrz'!D99</f>
        <v>0</v>
      </c>
      <c r="E98" s="114">
        <f>'[1]Parametros Jrz'!E99</f>
        <v>0</v>
      </c>
      <c r="F98" s="114">
        <f>'[1]Parametros Jrz'!F99</f>
        <v>0</v>
      </c>
      <c r="G98" s="114">
        <f>'[1]Parametros Jrz'!G99</f>
        <v>0</v>
      </c>
      <c r="H98" s="114">
        <f>'[1]Parametros Jrz'!H99</f>
        <v>0</v>
      </c>
      <c r="I98" s="114">
        <f>'[1]Parametros Jrz'!I99</f>
        <v>0</v>
      </c>
      <c r="J98" s="114">
        <f>'[1]Parametros Jrz'!J99</f>
        <v>0</v>
      </c>
      <c r="K98" s="114">
        <f>'[1]Parametros Jrz'!K99</f>
        <v>0</v>
      </c>
      <c r="L98" s="114">
        <f>'[1]Parametros Jrz'!L99</f>
        <v>0</v>
      </c>
      <c r="M98" s="114">
        <f>'[1]Parametros Jrz'!M99</f>
        <v>0</v>
      </c>
      <c r="N98" s="114">
        <f>'[1]Parametros Jrz'!N99</f>
        <v>0</v>
      </c>
      <c r="O98" s="98"/>
    </row>
    <row r="99" spans="1:15">
      <c r="A99" s="112">
        <v>1376</v>
      </c>
      <c r="B99" s="113" t="s">
        <v>33</v>
      </c>
      <c r="C99" s="114">
        <f>'[1]Parametros Jrz'!C100</f>
        <v>0</v>
      </c>
      <c r="D99" s="114">
        <f>'[1]Parametros Jrz'!D100</f>
        <v>0</v>
      </c>
      <c r="E99" s="114">
        <f>'[1]Parametros Jrz'!E100</f>
        <v>0</v>
      </c>
      <c r="F99" s="114">
        <f>'[1]Parametros Jrz'!F100</f>
        <v>0</v>
      </c>
      <c r="G99" s="114">
        <f>'[1]Parametros Jrz'!G100</f>
        <v>0</v>
      </c>
      <c r="H99" s="114">
        <f>'[1]Parametros Jrz'!H100</f>
        <v>0</v>
      </c>
      <c r="I99" s="114">
        <f>'[1]Parametros Jrz'!I100</f>
        <v>0</v>
      </c>
      <c r="J99" s="114">
        <f>'[1]Parametros Jrz'!J100</f>
        <v>0</v>
      </c>
      <c r="K99" s="114">
        <f>'[1]Parametros Jrz'!K100</f>
        <v>0</v>
      </c>
      <c r="L99" s="114">
        <f>'[1]Parametros Jrz'!L100</f>
        <v>0</v>
      </c>
      <c r="M99" s="114">
        <f>'[1]Parametros Jrz'!M100</f>
        <v>0</v>
      </c>
      <c r="N99" s="114">
        <f>'[1]Parametros Jrz'!N100</f>
        <v>0</v>
      </c>
      <c r="O99" s="98"/>
    </row>
    <row r="100" spans="1:15">
      <c r="A100" s="112">
        <v>2172</v>
      </c>
      <c r="B100" s="113" t="s">
        <v>34</v>
      </c>
      <c r="C100" s="114">
        <f>'[1]Parametros Jrz'!C101</f>
        <v>0</v>
      </c>
      <c r="D100" s="114">
        <f>'[1]Parametros Jrz'!D101</f>
        <v>0</v>
      </c>
      <c r="E100" s="114">
        <f>'[1]Parametros Jrz'!E101</f>
        <v>0</v>
      </c>
      <c r="F100" s="114">
        <f>'[1]Parametros Jrz'!F101</f>
        <v>0</v>
      </c>
      <c r="G100" s="114">
        <f>'[1]Parametros Jrz'!G101</f>
        <v>0</v>
      </c>
      <c r="H100" s="114">
        <f>'[1]Parametros Jrz'!H101</f>
        <v>0</v>
      </c>
      <c r="I100" s="114">
        <f>'[1]Parametros Jrz'!I101</f>
        <v>0</v>
      </c>
      <c r="J100" s="114">
        <f>'[1]Parametros Jrz'!J101</f>
        <v>0</v>
      </c>
      <c r="K100" s="114">
        <f>'[1]Parametros Jrz'!K101</f>
        <v>0</v>
      </c>
      <c r="L100" s="114">
        <f>'[1]Parametros Jrz'!L101</f>
        <v>0</v>
      </c>
      <c r="M100" s="114">
        <f>'[1]Parametros Jrz'!M101</f>
        <v>0</v>
      </c>
      <c r="N100" s="114">
        <f>'[1]Parametros Jrz'!N101</f>
        <v>0</v>
      </c>
      <c r="O100" s="98"/>
    </row>
    <row r="101" spans="1:15">
      <c r="A101" s="112">
        <v>2526</v>
      </c>
      <c r="B101" s="113" t="s">
        <v>35</v>
      </c>
      <c r="C101" s="114">
        <f>'[1]Parametros Jrz'!C102</f>
        <v>0</v>
      </c>
      <c r="D101" s="114">
        <f>'[1]Parametros Jrz'!D102</f>
        <v>0</v>
      </c>
      <c r="E101" s="114">
        <f>'[1]Parametros Jrz'!E102</f>
        <v>0</v>
      </c>
      <c r="F101" s="114">
        <f>'[1]Parametros Jrz'!F102</f>
        <v>0</v>
      </c>
      <c r="G101" s="114">
        <f>'[1]Parametros Jrz'!G102</f>
        <v>0</v>
      </c>
      <c r="H101" s="114">
        <f>'[1]Parametros Jrz'!H102</f>
        <v>0</v>
      </c>
      <c r="I101" s="114">
        <f>'[1]Parametros Jrz'!I102</f>
        <v>0</v>
      </c>
      <c r="J101" s="114">
        <f>'[1]Parametros Jrz'!J102</f>
        <v>0</v>
      </c>
      <c r="K101" s="114">
        <f>'[1]Parametros Jrz'!K102</f>
        <v>0</v>
      </c>
      <c r="L101" s="114">
        <f>'[1]Parametros Jrz'!L102</f>
        <v>0</v>
      </c>
      <c r="M101" s="114">
        <f>'[1]Parametros Jrz'!M102</f>
        <v>0</v>
      </c>
      <c r="N101" s="114">
        <f>'[1]Parametros Jrz'!N102</f>
        <v>0</v>
      </c>
      <c r="O101" s="98"/>
    </row>
    <row r="102" spans="1:15">
      <c r="A102" s="112">
        <v>4179</v>
      </c>
      <c r="B102" s="113" t="s">
        <v>36</v>
      </c>
      <c r="C102" s="114">
        <f>'[1]Parametros Jrz'!C103</f>
        <v>0</v>
      </c>
      <c r="D102" s="114">
        <f>'[1]Parametros Jrz'!D103</f>
        <v>0</v>
      </c>
      <c r="E102" s="114">
        <f>'[1]Parametros Jrz'!E103</f>
        <v>0</v>
      </c>
      <c r="F102" s="114">
        <f>'[1]Parametros Jrz'!F103</f>
        <v>0</v>
      </c>
      <c r="G102" s="114">
        <f>'[1]Parametros Jrz'!G103</f>
        <v>0</v>
      </c>
      <c r="H102" s="114">
        <f>'[1]Parametros Jrz'!H103</f>
        <v>0</v>
      </c>
      <c r="I102" s="114">
        <f>'[1]Parametros Jrz'!I103</f>
        <v>0</v>
      </c>
      <c r="J102" s="114">
        <f>'[1]Parametros Jrz'!J103</f>
        <v>0</v>
      </c>
      <c r="K102" s="114">
        <f>'[1]Parametros Jrz'!K103</f>
        <v>0</v>
      </c>
      <c r="L102" s="114">
        <f>'[1]Parametros Jrz'!L103</f>
        <v>0</v>
      </c>
      <c r="M102" s="114">
        <f>'[1]Parametros Jrz'!M103</f>
        <v>0</v>
      </c>
      <c r="N102" s="114">
        <f>'[1]Parametros Jrz'!N103</f>
        <v>0</v>
      </c>
      <c r="O102" s="98"/>
    </row>
    <row r="103" spans="1:15">
      <c r="A103" s="112">
        <v>4188</v>
      </c>
      <c r="B103" s="113" t="s">
        <v>37</v>
      </c>
      <c r="C103" s="114">
        <f>'[1]Parametros Jrz'!C104</f>
        <v>0</v>
      </c>
      <c r="D103" s="114">
        <f>'[1]Parametros Jrz'!D104</f>
        <v>0</v>
      </c>
      <c r="E103" s="114">
        <f>'[1]Parametros Jrz'!E104</f>
        <v>0</v>
      </c>
      <c r="F103" s="114">
        <f>'[1]Parametros Jrz'!F104</f>
        <v>0</v>
      </c>
      <c r="G103" s="114">
        <f>'[1]Parametros Jrz'!G104</f>
        <v>0</v>
      </c>
      <c r="H103" s="114">
        <f>'[1]Parametros Jrz'!H104</f>
        <v>0</v>
      </c>
      <c r="I103" s="114">
        <f>'[1]Parametros Jrz'!I104</f>
        <v>0</v>
      </c>
      <c r="J103" s="114">
        <f>'[1]Parametros Jrz'!J104</f>
        <v>0</v>
      </c>
      <c r="K103" s="114">
        <f>'[1]Parametros Jrz'!K104</f>
        <v>0</v>
      </c>
      <c r="L103" s="114">
        <f>'[1]Parametros Jrz'!L104</f>
        <v>0</v>
      </c>
      <c r="M103" s="114">
        <f>'[1]Parametros Jrz'!M104</f>
        <v>0</v>
      </c>
      <c r="N103" s="114">
        <f>'[1]Parametros Jrz'!N104</f>
        <v>0</v>
      </c>
      <c r="O103" s="98"/>
    </row>
    <row r="104" spans="1:15">
      <c r="A104" s="112">
        <v>5317</v>
      </c>
      <c r="B104" s="113" t="s">
        <v>38</v>
      </c>
      <c r="C104" s="114">
        <f>'[1]Parametros Jrz'!C105</f>
        <v>0</v>
      </c>
      <c r="D104" s="114">
        <f>'[1]Parametros Jrz'!D105</f>
        <v>0</v>
      </c>
      <c r="E104" s="114">
        <f>'[1]Parametros Jrz'!E105</f>
        <v>0</v>
      </c>
      <c r="F104" s="114">
        <f>'[1]Parametros Jrz'!F105</f>
        <v>0</v>
      </c>
      <c r="G104" s="114">
        <f>'[1]Parametros Jrz'!G105</f>
        <v>0</v>
      </c>
      <c r="H104" s="114">
        <f>'[1]Parametros Jrz'!H105</f>
        <v>0</v>
      </c>
      <c r="I104" s="114">
        <f>'[1]Parametros Jrz'!I105</f>
        <v>0</v>
      </c>
      <c r="J104" s="114">
        <f>'[1]Parametros Jrz'!J105</f>
        <v>0</v>
      </c>
      <c r="K104" s="114">
        <f>'[1]Parametros Jrz'!K105</f>
        <v>0</v>
      </c>
      <c r="L104" s="114">
        <f>'[1]Parametros Jrz'!L105</f>
        <v>0</v>
      </c>
      <c r="M104" s="114">
        <f>'[1]Parametros Jrz'!M105</f>
        <v>0</v>
      </c>
      <c r="N104" s="114">
        <f>'[1]Parametros Jrz'!N105</f>
        <v>0</v>
      </c>
      <c r="O104" s="98"/>
    </row>
    <row r="105" spans="1:15">
      <c r="A105" s="112">
        <v>6410</v>
      </c>
      <c r="B105" s="113" t="s">
        <v>39</v>
      </c>
      <c r="C105" s="114">
        <f>'[1]Parametros Jrz'!C106</f>
        <v>0</v>
      </c>
      <c r="D105" s="114">
        <f>'[1]Parametros Jrz'!D106</f>
        <v>0</v>
      </c>
      <c r="E105" s="114">
        <f>'[1]Parametros Jrz'!E106</f>
        <v>0</v>
      </c>
      <c r="F105" s="114">
        <f>'[1]Parametros Jrz'!F106</f>
        <v>0</v>
      </c>
      <c r="G105" s="114">
        <f>'[1]Parametros Jrz'!G106</f>
        <v>0</v>
      </c>
      <c r="H105" s="114">
        <f>'[1]Parametros Jrz'!H106</f>
        <v>0</v>
      </c>
      <c r="I105" s="114">
        <f>'[1]Parametros Jrz'!I106</f>
        <v>0</v>
      </c>
      <c r="J105" s="114">
        <f>'[1]Parametros Jrz'!J106</f>
        <v>0</v>
      </c>
      <c r="K105" s="114">
        <f>'[1]Parametros Jrz'!K106</f>
        <v>0</v>
      </c>
      <c r="L105" s="114">
        <f>'[1]Parametros Jrz'!L106</f>
        <v>0</v>
      </c>
      <c r="M105" s="114">
        <f>'[1]Parametros Jrz'!M106</f>
        <v>0</v>
      </c>
      <c r="N105" s="114">
        <f>'[1]Parametros Jrz'!N106</f>
        <v>0</v>
      </c>
      <c r="O105" s="98"/>
    </row>
    <row r="106" spans="1:15">
      <c r="A106" s="112">
        <v>6947</v>
      </c>
      <c r="B106" s="113" t="s">
        <v>40</v>
      </c>
      <c r="C106" s="114">
        <f>'[1]Parametros Jrz'!C107</f>
        <v>0</v>
      </c>
      <c r="D106" s="114">
        <f>'[1]Parametros Jrz'!D107</f>
        <v>0</v>
      </c>
      <c r="E106" s="114">
        <f>'[1]Parametros Jrz'!E107</f>
        <v>0</v>
      </c>
      <c r="F106" s="114">
        <f>'[1]Parametros Jrz'!F107</f>
        <v>0</v>
      </c>
      <c r="G106" s="114">
        <f>'[1]Parametros Jrz'!G107</f>
        <v>0</v>
      </c>
      <c r="H106" s="114">
        <f>'[1]Parametros Jrz'!H107</f>
        <v>0</v>
      </c>
      <c r="I106" s="114">
        <f>'[1]Parametros Jrz'!I107</f>
        <v>0</v>
      </c>
      <c r="J106" s="114">
        <f>'[1]Parametros Jrz'!J107</f>
        <v>0</v>
      </c>
      <c r="K106" s="114">
        <f>'[1]Parametros Jrz'!K107</f>
        <v>0</v>
      </c>
      <c r="L106" s="114">
        <f>'[1]Parametros Jrz'!L107</f>
        <v>0</v>
      </c>
      <c r="M106" s="114">
        <f>'[1]Parametros Jrz'!M107</f>
        <v>0</v>
      </c>
      <c r="N106" s="114">
        <f>'[1]Parametros Jrz'!N107</f>
        <v>0</v>
      </c>
      <c r="O106" s="98"/>
    </row>
    <row r="107" spans="1:15">
      <c r="A107" s="112">
        <v>7167</v>
      </c>
      <c r="B107" s="113" t="s">
        <v>41</v>
      </c>
      <c r="C107" s="114">
        <f>'[1]Parametros Jrz'!C108</f>
        <v>0</v>
      </c>
      <c r="D107" s="114">
        <f>'[1]Parametros Jrz'!D108</f>
        <v>0</v>
      </c>
      <c r="E107" s="114">
        <f>'[1]Parametros Jrz'!E108</f>
        <v>0</v>
      </c>
      <c r="F107" s="114">
        <f>'[1]Parametros Jrz'!F108</f>
        <v>0</v>
      </c>
      <c r="G107" s="114">
        <f>'[1]Parametros Jrz'!G108</f>
        <v>0</v>
      </c>
      <c r="H107" s="114">
        <f>'[1]Parametros Jrz'!H108</f>
        <v>0</v>
      </c>
      <c r="I107" s="114">
        <f>'[1]Parametros Jrz'!I108</f>
        <v>0</v>
      </c>
      <c r="J107" s="114">
        <f>'[1]Parametros Jrz'!J108</f>
        <v>0</v>
      </c>
      <c r="K107" s="114">
        <f>'[1]Parametros Jrz'!K108</f>
        <v>0</v>
      </c>
      <c r="L107" s="114">
        <f>'[1]Parametros Jrz'!L108</f>
        <v>0</v>
      </c>
      <c r="M107" s="114">
        <f>'[1]Parametros Jrz'!M108</f>
        <v>0</v>
      </c>
      <c r="N107" s="114">
        <f>'[1]Parametros Jrz'!N108</f>
        <v>0</v>
      </c>
      <c r="O107" s="98"/>
    </row>
    <row r="108" spans="1:15">
      <c r="A108" s="112">
        <v>5465</v>
      </c>
      <c r="B108" s="113" t="s">
        <v>42</v>
      </c>
      <c r="C108" s="114">
        <f>'[1]Parametros Jrz'!C109</f>
        <v>0</v>
      </c>
      <c r="D108" s="114">
        <f>'[1]Parametros Jrz'!D109</f>
        <v>0</v>
      </c>
      <c r="E108" s="114">
        <f>'[1]Parametros Jrz'!E109</f>
        <v>0</v>
      </c>
      <c r="F108" s="114">
        <f>'[1]Parametros Jrz'!F109</f>
        <v>0</v>
      </c>
      <c r="G108" s="114">
        <f>'[1]Parametros Jrz'!G109</f>
        <v>0</v>
      </c>
      <c r="H108" s="114">
        <f>'[1]Parametros Jrz'!H109</f>
        <v>0</v>
      </c>
      <c r="I108" s="114">
        <f>'[1]Parametros Jrz'!I109</f>
        <v>0</v>
      </c>
      <c r="J108" s="114">
        <f>'[1]Parametros Jrz'!J109</f>
        <v>0</v>
      </c>
      <c r="K108" s="114">
        <f>'[1]Parametros Jrz'!K109</f>
        <v>0</v>
      </c>
      <c r="L108" s="114">
        <f>'[1]Parametros Jrz'!L109</f>
        <v>0</v>
      </c>
      <c r="M108" s="114">
        <f>'[1]Parametros Jrz'!M109</f>
        <v>0</v>
      </c>
      <c r="N108" s="114">
        <f>'[1]Parametros Jrz'!N109</f>
        <v>0</v>
      </c>
      <c r="O108" s="98"/>
    </row>
    <row r="109" spans="1:15">
      <c r="A109" s="112">
        <v>8244</v>
      </c>
      <c r="B109" s="113" t="s">
        <v>43</v>
      </c>
      <c r="C109" s="114">
        <f>'[1]Parametros Jrz'!C110</f>
        <v>0</v>
      </c>
      <c r="D109" s="114">
        <f>'[1]Parametros Jrz'!D110</f>
        <v>0</v>
      </c>
      <c r="E109" s="114">
        <f>'[1]Parametros Jrz'!E110</f>
        <v>0</v>
      </c>
      <c r="F109" s="114">
        <f>'[1]Parametros Jrz'!F110</f>
        <v>0</v>
      </c>
      <c r="G109" s="114">
        <f>'[1]Parametros Jrz'!G110</f>
        <v>0</v>
      </c>
      <c r="H109" s="114">
        <f>'[1]Parametros Jrz'!H110</f>
        <v>0</v>
      </c>
      <c r="I109" s="114">
        <f>'[1]Parametros Jrz'!I110</f>
        <v>0</v>
      </c>
      <c r="J109" s="114">
        <f>'[1]Parametros Jrz'!J110</f>
        <v>0</v>
      </c>
      <c r="K109" s="114">
        <f>'[1]Parametros Jrz'!K110</f>
        <v>0</v>
      </c>
      <c r="L109" s="114">
        <f>'[1]Parametros Jrz'!L110</f>
        <v>0</v>
      </c>
      <c r="M109" s="114">
        <f>'[1]Parametros Jrz'!M110</f>
        <v>0</v>
      </c>
      <c r="N109" s="114">
        <f>'[1]Parametros Jrz'!N110</f>
        <v>0</v>
      </c>
      <c r="O109" s="98"/>
    </row>
    <row r="110" spans="1:15">
      <c r="A110" s="112">
        <v>9191</v>
      </c>
      <c r="B110" s="113" t="s">
        <v>44</v>
      </c>
      <c r="C110" s="114">
        <f>'[1]Parametros Jrz'!C111</f>
        <v>0</v>
      </c>
      <c r="D110" s="114">
        <f>'[1]Parametros Jrz'!D111</f>
        <v>0</v>
      </c>
      <c r="E110" s="114">
        <f>'[1]Parametros Jrz'!E111</f>
        <v>0</v>
      </c>
      <c r="F110" s="114">
        <f>'[1]Parametros Jrz'!F111</f>
        <v>0</v>
      </c>
      <c r="G110" s="114">
        <f>'[1]Parametros Jrz'!G111</f>
        <v>0</v>
      </c>
      <c r="H110" s="114">
        <f>'[1]Parametros Jrz'!H111</f>
        <v>0</v>
      </c>
      <c r="I110" s="114">
        <f>'[1]Parametros Jrz'!I111</f>
        <v>0</v>
      </c>
      <c r="J110" s="114">
        <f>'[1]Parametros Jrz'!J111</f>
        <v>0</v>
      </c>
      <c r="K110" s="114">
        <f>'[1]Parametros Jrz'!K111</f>
        <v>0</v>
      </c>
      <c r="L110" s="114">
        <f>'[1]Parametros Jrz'!L111</f>
        <v>0</v>
      </c>
      <c r="M110" s="114">
        <f>'[1]Parametros Jrz'!M111</f>
        <v>0</v>
      </c>
      <c r="N110" s="114">
        <f>'[1]Parametros Jrz'!N111</f>
        <v>0</v>
      </c>
      <c r="O110" s="98"/>
    </row>
    <row r="111" spans="1:15">
      <c r="A111" s="112">
        <v>9235</v>
      </c>
      <c r="B111" s="113" t="s">
        <v>45</v>
      </c>
      <c r="C111" s="114">
        <f>'[1]Parametros Jrz'!C112</f>
        <v>0</v>
      </c>
      <c r="D111" s="114">
        <f>'[1]Parametros Jrz'!D112</f>
        <v>0</v>
      </c>
      <c r="E111" s="114">
        <f>'[1]Parametros Jrz'!E112</f>
        <v>0</v>
      </c>
      <c r="F111" s="114">
        <f>'[1]Parametros Jrz'!F112</f>
        <v>0</v>
      </c>
      <c r="G111" s="114">
        <f>'[1]Parametros Jrz'!G112</f>
        <v>0</v>
      </c>
      <c r="H111" s="114">
        <f>'[1]Parametros Jrz'!H112</f>
        <v>0</v>
      </c>
      <c r="I111" s="114">
        <f>'[1]Parametros Jrz'!I112</f>
        <v>0</v>
      </c>
      <c r="J111" s="114">
        <f>'[1]Parametros Jrz'!J112</f>
        <v>0</v>
      </c>
      <c r="K111" s="114">
        <f>'[1]Parametros Jrz'!K112</f>
        <v>0</v>
      </c>
      <c r="L111" s="114">
        <f>'[1]Parametros Jrz'!L112</f>
        <v>0</v>
      </c>
      <c r="M111" s="114">
        <f>'[1]Parametros Jrz'!M112</f>
        <v>0</v>
      </c>
      <c r="N111" s="114">
        <f>'[1]Parametros Jrz'!N112</f>
        <v>0</v>
      </c>
      <c r="O111" s="98"/>
    </row>
    <row r="112" spans="1:15">
      <c r="A112" s="112">
        <v>9885</v>
      </c>
      <c r="B112" s="113" t="s">
        <v>46</v>
      </c>
      <c r="C112" s="114">
        <f>'[1]Parametros Jrz'!C113</f>
        <v>0</v>
      </c>
      <c r="D112" s="114">
        <f>'[1]Parametros Jrz'!D113</f>
        <v>0</v>
      </c>
      <c r="E112" s="114">
        <f>'[1]Parametros Jrz'!E113</f>
        <v>0</v>
      </c>
      <c r="F112" s="114">
        <f>'[1]Parametros Jrz'!F113</f>
        <v>0</v>
      </c>
      <c r="G112" s="114">
        <f>'[1]Parametros Jrz'!G113</f>
        <v>0</v>
      </c>
      <c r="H112" s="114">
        <f>'[1]Parametros Jrz'!H113</f>
        <v>0</v>
      </c>
      <c r="I112" s="114">
        <f>'[1]Parametros Jrz'!I113</f>
        <v>0</v>
      </c>
      <c r="J112" s="114">
        <f>'[1]Parametros Jrz'!J113</f>
        <v>0</v>
      </c>
      <c r="K112" s="114">
        <f>'[1]Parametros Jrz'!K113</f>
        <v>0</v>
      </c>
      <c r="L112" s="114">
        <f>'[1]Parametros Jrz'!L113</f>
        <v>0</v>
      </c>
      <c r="M112" s="114">
        <f>'[1]Parametros Jrz'!M113</f>
        <v>0</v>
      </c>
      <c r="N112" s="114">
        <f>'[1]Parametros Jrz'!N113</f>
        <v>0</v>
      </c>
      <c r="O112" s="98"/>
    </row>
    <row r="113" spans="1:15">
      <c r="A113" s="112">
        <v>9893</v>
      </c>
      <c r="B113" s="113" t="s">
        <v>47</v>
      </c>
      <c r="C113" s="114">
        <f>'[1]Parametros Jrz'!C114</f>
        <v>0</v>
      </c>
      <c r="D113" s="114">
        <f>'[1]Parametros Jrz'!D114</f>
        <v>0</v>
      </c>
      <c r="E113" s="114">
        <f>'[1]Parametros Jrz'!E114</f>
        <v>0</v>
      </c>
      <c r="F113" s="114">
        <f>'[1]Parametros Jrz'!F114</f>
        <v>0</v>
      </c>
      <c r="G113" s="114">
        <f>'[1]Parametros Jrz'!G114</f>
        <v>0</v>
      </c>
      <c r="H113" s="114">
        <f>'[1]Parametros Jrz'!H114</f>
        <v>0</v>
      </c>
      <c r="I113" s="114">
        <f>'[1]Parametros Jrz'!I114</f>
        <v>0</v>
      </c>
      <c r="J113" s="114">
        <f>'[1]Parametros Jrz'!J114</f>
        <v>0</v>
      </c>
      <c r="K113" s="114">
        <f>'[1]Parametros Jrz'!K114</f>
        <v>0</v>
      </c>
      <c r="L113" s="114">
        <f>'[1]Parametros Jrz'!L114</f>
        <v>0</v>
      </c>
      <c r="M113" s="114">
        <f>'[1]Parametros Jrz'!M114</f>
        <v>0</v>
      </c>
      <c r="N113" s="114">
        <f>'[1]Parametros Jrz'!N114</f>
        <v>0</v>
      </c>
      <c r="O113" s="98"/>
    </row>
    <row r="114" spans="1:15">
      <c r="A114" s="112">
        <v>5170</v>
      </c>
      <c r="B114" s="113" t="s">
        <v>48</v>
      </c>
      <c r="C114" s="114">
        <f>'[1]Parametros Jrz'!C115</f>
        <v>0</v>
      </c>
      <c r="D114" s="114">
        <f>'[1]Parametros Jrz'!D115</f>
        <v>0</v>
      </c>
      <c r="E114" s="114">
        <f>'[1]Parametros Jrz'!E115</f>
        <v>0</v>
      </c>
      <c r="F114" s="114">
        <f>'[1]Parametros Jrz'!F115</f>
        <v>0</v>
      </c>
      <c r="G114" s="114">
        <f>'[1]Parametros Jrz'!G115</f>
        <v>0</v>
      </c>
      <c r="H114" s="114">
        <f>'[1]Parametros Jrz'!H115</f>
        <v>0</v>
      </c>
      <c r="I114" s="114">
        <f>'[1]Parametros Jrz'!I115</f>
        <v>0</v>
      </c>
      <c r="J114" s="114">
        <f>'[1]Parametros Jrz'!J115</f>
        <v>0</v>
      </c>
      <c r="K114" s="114">
        <f>'[1]Parametros Jrz'!K115</f>
        <v>0</v>
      </c>
      <c r="L114" s="114">
        <f>'[1]Parametros Jrz'!L115</f>
        <v>0</v>
      </c>
      <c r="M114" s="114">
        <f>'[1]Parametros Jrz'!M115</f>
        <v>0</v>
      </c>
      <c r="N114" s="114">
        <f>'[1]Parametros Jrz'!N115</f>
        <v>0</v>
      </c>
      <c r="O114" s="98"/>
    </row>
    <row r="115" spans="1:15">
      <c r="A115" s="112">
        <v>11007</v>
      </c>
      <c r="B115" s="113" t="s">
        <v>49</v>
      </c>
      <c r="C115" s="114">
        <f>'[1]Parametros Jrz'!C116</f>
        <v>0</v>
      </c>
      <c r="D115" s="114">
        <f>'[1]Parametros Jrz'!D116</f>
        <v>0</v>
      </c>
      <c r="E115" s="114">
        <f>'[1]Parametros Jrz'!E116</f>
        <v>0</v>
      </c>
      <c r="F115" s="114">
        <f>'[1]Parametros Jrz'!F116</f>
        <v>0</v>
      </c>
      <c r="G115" s="114">
        <f>'[1]Parametros Jrz'!G116</f>
        <v>0</v>
      </c>
      <c r="H115" s="114">
        <f>'[1]Parametros Jrz'!H116</f>
        <v>0</v>
      </c>
      <c r="I115" s="114">
        <f>'[1]Parametros Jrz'!I116</f>
        <v>0</v>
      </c>
      <c r="J115" s="114">
        <f>'[1]Parametros Jrz'!J116</f>
        <v>0</v>
      </c>
      <c r="K115" s="114">
        <f>'[1]Parametros Jrz'!K116</f>
        <v>0</v>
      </c>
      <c r="L115" s="114">
        <f>'[1]Parametros Jrz'!L116</f>
        <v>0</v>
      </c>
      <c r="M115" s="114">
        <f>'[1]Parametros Jrz'!M116</f>
        <v>0</v>
      </c>
      <c r="N115" s="114">
        <f>'[1]Parametros Jrz'!N116</f>
        <v>0</v>
      </c>
      <c r="O115" s="98"/>
    </row>
    <row r="116" spans="1:15">
      <c r="A116" s="112">
        <v>24938</v>
      </c>
      <c r="B116" s="113" t="s">
        <v>50</v>
      </c>
      <c r="C116" s="114">
        <f>'[1]Parametros Jrz'!C117</f>
        <v>0</v>
      </c>
      <c r="D116" s="114">
        <f>'[1]Parametros Jrz'!D117</f>
        <v>0</v>
      </c>
      <c r="E116" s="114">
        <f>'[1]Parametros Jrz'!E117</f>
        <v>0</v>
      </c>
      <c r="F116" s="114">
        <f>'[1]Parametros Jrz'!F117</f>
        <v>0</v>
      </c>
      <c r="G116" s="114">
        <f>'[1]Parametros Jrz'!G117</f>
        <v>0</v>
      </c>
      <c r="H116" s="114">
        <f>'[1]Parametros Jrz'!H117</f>
        <v>0</v>
      </c>
      <c r="I116" s="114">
        <f>'[1]Parametros Jrz'!I117</f>
        <v>0</v>
      </c>
      <c r="J116" s="114">
        <f>'[1]Parametros Jrz'!J117</f>
        <v>0</v>
      </c>
      <c r="K116" s="114">
        <f>'[1]Parametros Jrz'!K117</f>
        <v>0</v>
      </c>
      <c r="L116" s="114">
        <f>'[1]Parametros Jrz'!L117</f>
        <v>0</v>
      </c>
      <c r="M116" s="114">
        <f>'[1]Parametros Jrz'!M117</f>
        <v>0</v>
      </c>
      <c r="N116" s="114">
        <f>'[1]Parametros Jrz'!N117</f>
        <v>0</v>
      </c>
      <c r="O116" s="98"/>
    </row>
    <row r="117" spans="1:15">
      <c r="A117" s="112">
        <v>1242</v>
      </c>
      <c r="B117" s="113" t="s">
        <v>51</v>
      </c>
      <c r="C117" s="114">
        <f>'[1]Parametros Jrz'!C118</f>
        <v>0</v>
      </c>
      <c r="D117" s="114">
        <f>'[1]Parametros Jrz'!D118</f>
        <v>0</v>
      </c>
      <c r="E117" s="114">
        <f>'[1]Parametros Jrz'!E118</f>
        <v>0</v>
      </c>
      <c r="F117" s="114">
        <f>'[1]Parametros Jrz'!F118</f>
        <v>0</v>
      </c>
      <c r="G117" s="114">
        <f>'[1]Parametros Jrz'!G118</f>
        <v>0</v>
      </c>
      <c r="H117" s="114">
        <f>'[1]Parametros Jrz'!H118</f>
        <v>0</v>
      </c>
      <c r="I117" s="114">
        <f>'[1]Parametros Jrz'!I118</f>
        <v>0</v>
      </c>
      <c r="J117" s="114">
        <f>'[1]Parametros Jrz'!J118</f>
        <v>0</v>
      </c>
      <c r="K117" s="114">
        <f>'[1]Parametros Jrz'!K118</f>
        <v>0</v>
      </c>
      <c r="L117" s="114">
        <f>'[1]Parametros Jrz'!L118</f>
        <v>0</v>
      </c>
      <c r="M117" s="114">
        <f>'[1]Parametros Jrz'!M118</f>
        <v>0</v>
      </c>
      <c r="N117" s="114">
        <f>'[1]Parametros Jrz'!N118</f>
        <v>0</v>
      </c>
      <c r="O117" s="98"/>
    </row>
    <row r="118" spans="1:15">
      <c r="A118" s="112">
        <v>12900</v>
      </c>
      <c r="B118" s="113" t="s">
        <v>52</v>
      </c>
      <c r="C118" s="114">
        <f>'[1]Parametros Jrz'!C119</f>
        <v>0</v>
      </c>
      <c r="D118" s="114">
        <f>'[1]Parametros Jrz'!D119</f>
        <v>0</v>
      </c>
      <c r="E118" s="114">
        <f>'[1]Parametros Jrz'!E119</f>
        <v>0</v>
      </c>
      <c r="F118" s="114">
        <f>'[1]Parametros Jrz'!F119</f>
        <v>0</v>
      </c>
      <c r="G118" s="114">
        <f>'[1]Parametros Jrz'!G119</f>
        <v>0</v>
      </c>
      <c r="H118" s="114">
        <f>'[1]Parametros Jrz'!H119</f>
        <v>0</v>
      </c>
      <c r="I118" s="114">
        <f>'[1]Parametros Jrz'!I119</f>
        <v>0</v>
      </c>
      <c r="J118" s="114">
        <f>'[1]Parametros Jrz'!J119</f>
        <v>0</v>
      </c>
      <c r="K118" s="114">
        <f>'[1]Parametros Jrz'!K119</f>
        <v>0</v>
      </c>
      <c r="L118" s="114">
        <f>'[1]Parametros Jrz'!L119</f>
        <v>0</v>
      </c>
      <c r="M118" s="114">
        <f>'[1]Parametros Jrz'!M119</f>
        <v>0</v>
      </c>
      <c r="N118" s="114">
        <f>'[1]Parametros Jrz'!N119</f>
        <v>0</v>
      </c>
      <c r="O118" s="98"/>
    </row>
    <row r="119" spans="1:15">
      <c r="A119" s="112">
        <v>24499</v>
      </c>
      <c r="B119" s="113" t="s">
        <v>53</v>
      </c>
      <c r="C119" s="114">
        <f>'[1]Parametros Jrz'!C120</f>
        <v>0</v>
      </c>
      <c r="D119" s="114">
        <f>'[1]Parametros Jrz'!D120</f>
        <v>0</v>
      </c>
      <c r="E119" s="114">
        <f>'[1]Parametros Jrz'!E120</f>
        <v>0</v>
      </c>
      <c r="F119" s="114">
        <f>'[1]Parametros Jrz'!F120</f>
        <v>0</v>
      </c>
      <c r="G119" s="114">
        <f>'[1]Parametros Jrz'!G120</f>
        <v>0</v>
      </c>
      <c r="H119" s="114">
        <f>'[1]Parametros Jrz'!H120</f>
        <v>0</v>
      </c>
      <c r="I119" s="114">
        <f>'[1]Parametros Jrz'!I120</f>
        <v>0</v>
      </c>
      <c r="J119" s="114">
        <f>'[1]Parametros Jrz'!J120</f>
        <v>0</v>
      </c>
      <c r="K119" s="114">
        <f>'[1]Parametros Jrz'!K120</f>
        <v>0</v>
      </c>
      <c r="L119" s="114">
        <f>'[1]Parametros Jrz'!L120</f>
        <v>0</v>
      </c>
      <c r="M119" s="114">
        <f>'[1]Parametros Jrz'!M120</f>
        <v>0</v>
      </c>
      <c r="N119" s="114">
        <f>'[1]Parametros Jrz'!N120</f>
        <v>0</v>
      </c>
      <c r="O119" s="98"/>
    </row>
    <row r="120" spans="1:15">
      <c r="A120" s="112">
        <v>24500</v>
      </c>
      <c r="B120" s="113" t="s">
        <v>54</v>
      </c>
      <c r="C120" s="114">
        <f>'[1]Parametros Jrz'!C121</f>
        <v>0</v>
      </c>
      <c r="D120" s="114">
        <f>'[1]Parametros Jrz'!D121</f>
        <v>0</v>
      </c>
      <c r="E120" s="114">
        <f>'[1]Parametros Jrz'!E121</f>
        <v>0</v>
      </c>
      <c r="F120" s="114">
        <f>'[1]Parametros Jrz'!F121</f>
        <v>0</v>
      </c>
      <c r="G120" s="114">
        <f>'[1]Parametros Jrz'!G121</f>
        <v>0</v>
      </c>
      <c r="H120" s="114">
        <f>'[1]Parametros Jrz'!H121</f>
        <v>0</v>
      </c>
      <c r="I120" s="114">
        <f>'[1]Parametros Jrz'!I121</f>
        <v>0</v>
      </c>
      <c r="J120" s="114">
        <f>'[1]Parametros Jrz'!J121</f>
        <v>0</v>
      </c>
      <c r="K120" s="114">
        <f>'[1]Parametros Jrz'!K121</f>
        <v>0</v>
      </c>
      <c r="L120" s="114">
        <f>'[1]Parametros Jrz'!L121</f>
        <v>0</v>
      </c>
      <c r="M120" s="114">
        <f>'[1]Parametros Jrz'!M121</f>
        <v>0</v>
      </c>
      <c r="N120" s="114">
        <f>'[1]Parametros Jrz'!N121</f>
        <v>0</v>
      </c>
      <c r="O120" s="98"/>
    </row>
    <row r="121" spans="1:15">
      <c r="A121" s="112">
        <v>3184</v>
      </c>
      <c r="B121" s="113" t="s">
        <v>55</v>
      </c>
      <c r="C121" s="114">
        <f>'[1]Parametros Jrz'!C122</f>
        <v>0</v>
      </c>
      <c r="D121" s="114">
        <f>'[1]Parametros Jrz'!D122</f>
        <v>0</v>
      </c>
      <c r="E121" s="114">
        <f>'[1]Parametros Jrz'!E122</f>
        <v>0</v>
      </c>
      <c r="F121" s="114">
        <f>'[1]Parametros Jrz'!F122</f>
        <v>0</v>
      </c>
      <c r="G121" s="114">
        <f>'[1]Parametros Jrz'!G122</f>
        <v>0</v>
      </c>
      <c r="H121" s="114">
        <f>'[1]Parametros Jrz'!H122</f>
        <v>0</v>
      </c>
      <c r="I121" s="114">
        <f>'[1]Parametros Jrz'!I122</f>
        <v>0</v>
      </c>
      <c r="J121" s="114">
        <f>'[1]Parametros Jrz'!J122</f>
        <v>0</v>
      </c>
      <c r="K121" s="114">
        <f>'[1]Parametros Jrz'!K122</f>
        <v>0</v>
      </c>
      <c r="L121" s="114">
        <f>'[1]Parametros Jrz'!L122</f>
        <v>0</v>
      </c>
      <c r="M121" s="114">
        <f>'[1]Parametros Jrz'!M122</f>
        <v>0</v>
      </c>
      <c r="N121" s="114">
        <f>'[1]Parametros Jrz'!N122</f>
        <v>0</v>
      </c>
      <c r="O121" s="98"/>
    </row>
    <row r="122" spans="1:15">
      <c r="A122" s="112"/>
      <c r="B122" s="113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90"/>
      <c r="O122" s="98"/>
    </row>
    <row r="124" spans="1:15" ht="21">
      <c r="A124" s="315" t="s">
        <v>57</v>
      </c>
      <c r="B124" s="315"/>
      <c r="C124" s="111" t="s">
        <v>10</v>
      </c>
      <c r="D124" s="111" t="s">
        <v>11</v>
      </c>
      <c r="E124" s="111" t="s">
        <v>12</v>
      </c>
      <c r="F124" s="111" t="s">
        <v>13</v>
      </c>
      <c r="G124" s="111" t="s">
        <v>14</v>
      </c>
      <c r="H124" s="111" t="s">
        <v>15</v>
      </c>
      <c r="I124" s="111" t="s">
        <v>16</v>
      </c>
      <c r="J124" s="111" t="s">
        <v>17</v>
      </c>
      <c r="K124" s="111" t="s">
        <v>18</v>
      </c>
      <c r="L124" s="111" t="s">
        <v>19</v>
      </c>
      <c r="M124" s="111" t="s">
        <v>20</v>
      </c>
      <c r="N124" s="189" t="s">
        <v>21</v>
      </c>
      <c r="O124" s="111"/>
    </row>
    <row r="125" spans="1:15">
      <c r="A125" s="112"/>
      <c r="B125" s="113" t="s">
        <v>30</v>
      </c>
      <c r="C125" s="114">
        <f>'[1]Parametros Jrz'!C126</f>
        <v>0</v>
      </c>
      <c r="D125" s="114">
        <f>'[1]Parametros Jrz'!D126</f>
        <v>0</v>
      </c>
      <c r="E125" s="114">
        <f>'[1]Parametros Jrz'!E126</f>
        <v>0</v>
      </c>
      <c r="F125" s="114">
        <f>'[1]Parametros Jrz'!F126</f>
        <v>0</v>
      </c>
      <c r="G125" s="114">
        <f>'[1]Parametros Jrz'!G126</f>
        <v>0</v>
      </c>
      <c r="H125" s="114">
        <f>'[1]Parametros Jrz'!H126</f>
        <v>0</v>
      </c>
      <c r="I125" s="114">
        <f>'[1]Parametros Jrz'!I126</f>
        <v>0</v>
      </c>
      <c r="J125" s="114">
        <f>'[1]Parametros Jrz'!J126</f>
        <v>0</v>
      </c>
      <c r="K125" s="114">
        <f>'[1]Parametros Jrz'!K126</f>
        <v>0</v>
      </c>
      <c r="L125" s="114">
        <f>'[1]Parametros Jrz'!L126</f>
        <v>0</v>
      </c>
      <c r="M125" s="114">
        <f>'[1]Parametros Jrz'!M126</f>
        <v>0</v>
      </c>
      <c r="N125" s="114">
        <f>'[1]Parametros Jrz'!N126</f>
        <v>0</v>
      </c>
      <c r="O125" s="98"/>
    </row>
    <row r="126" spans="1:15">
      <c r="A126" s="112">
        <v>1149</v>
      </c>
      <c r="B126" s="113" t="s">
        <v>31</v>
      </c>
      <c r="C126" s="114">
        <f>'[1]Parametros Jrz'!C127</f>
        <v>0</v>
      </c>
      <c r="D126" s="114">
        <f>'[1]Parametros Jrz'!D127</f>
        <v>0</v>
      </c>
      <c r="E126" s="114">
        <f>'[1]Parametros Jrz'!E127</f>
        <v>0</v>
      </c>
      <c r="F126" s="114">
        <f>'[1]Parametros Jrz'!F127</f>
        <v>0</v>
      </c>
      <c r="G126" s="114">
        <f>'[1]Parametros Jrz'!G127</f>
        <v>0</v>
      </c>
      <c r="H126" s="114">
        <f>'[1]Parametros Jrz'!H127</f>
        <v>0</v>
      </c>
      <c r="I126" s="114">
        <f>'[1]Parametros Jrz'!I127</f>
        <v>0</v>
      </c>
      <c r="J126" s="114">
        <f>'[1]Parametros Jrz'!J127</f>
        <v>0</v>
      </c>
      <c r="K126" s="114">
        <f>'[1]Parametros Jrz'!K127</f>
        <v>0</v>
      </c>
      <c r="L126" s="114">
        <f>'[1]Parametros Jrz'!L127</f>
        <v>0</v>
      </c>
      <c r="M126" s="114">
        <f>'[1]Parametros Jrz'!M127</f>
        <v>0</v>
      </c>
      <c r="N126" s="114">
        <f>'[1]Parametros Jrz'!N127</f>
        <v>0</v>
      </c>
      <c r="O126" s="98"/>
    </row>
    <row r="127" spans="1:15">
      <c r="A127" s="112">
        <v>1163</v>
      </c>
      <c r="B127" s="113" t="s">
        <v>32</v>
      </c>
      <c r="C127" s="114">
        <f>'[1]Parametros Jrz'!C128</f>
        <v>0</v>
      </c>
      <c r="D127" s="114">
        <f>'[1]Parametros Jrz'!D128</f>
        <v>0</v>
      </c>
      <c r="E127" s="114">
        <f>'[1]Parametros Jrz'!E128</f>
        <v>0</v>
      </c>
      <c r="F127" s="114">
        <f>'[1]Parametros Jrz'!F128</f>
        <v>0</v>
      </c>
      <c r="G127" s="114">
        <f>'[1]Parametros Jrz'!G128</f>
        <v>0</v>
      </c>
      <c r="H127" s="114">
        <f>'[1]Parametros Jrz'!H128</f>
        <v>0</v>
      </c>
      <c r="I127" s="114">
        <f>'[1]Parametros Jrz'!I128</f>
        <v>0</v>
      </c>
      <c r="J127" s="114">
        <f>'[1]Parametros Jrz'!J128</f>
        <v>0</v>
      </c>
      <c r="K127" s="114">
        <f>'[1]Parametros Jrz'!K128</f>
        <v>0</v>
      </c>
      <c r="L127" s="114">
        <f>'[1]Parametros Jrz'!L128</f>
        <v>0</v>
      </c>
      <c r="M127" s="114">
        <f>'[1]Parametros Jrz'!M128</f>
        <v>0</v>
      </c>
      <c r="N127" s="114">
        <f>'[1]Parametros Jrz'!N128</f>
        <v>0</v>
      </c>
      <c r="O127" s="98"/>
    </row>
    <row r="128" spans="1:15">
      <c r="A128" s="112">
        <v>1376</v>
      </c>
      <c r="B128" s="113" t="s">
        <v>33</v>
      </c>
      <c r="C128" s="114">
        <f>'[1]Parametros Jrz'!C129</f>
        <v>0</v>
      </c>
      <c r="D128" s="114">
        <f>'[1]Parametros Jrz'!D129</f>
        <v>0</v>
      </c>
      <c r="E128" s="114">
        <f>'[1]Parametros Jrz'!E129</f>
        <v>0</v>
      </c>
      <c r="F128" s="114">
        <f>'[1]Parametros Jrz'!F129</f>
        <v>0</v>
      </c>
      <c r="G128" s="114">
        <f>'[1]Parametros Jrz'!G129</f>
        <v>0</v>
      </c>
      <c r="H128" s="114">
        <f>'[1]Parametros Jrz'!H129</f>
        <v>0</v>
      </c>
      <c r="I128" s="114">
        <f>'[1]Parametros Jrz'!I129</f>
        <v>0</v>
      </c>
      <c r="J128" s="114">
        <f>'[1]Parametros Jrz'!J129</f>
        <v>0</v>
      </c>
      <c r="K128" s="114">
        <f>'[1]Parametros Jrz'!K129</f>
        <v>0</v>
      </c>
      <c r="L128" s="114">
        <f>'[1]Parametros Jrz'!L129</f>
        <v>0</v>
      </c>
      <c r="M128" s="114">
        <f>'[1]Parametros Jrz'!M129</f>
        <v>0</v>
      </c>
      <c r="N128" s="114">
        <f>'[1]Parametros Jrz'!N129</f>
        <v>0</v>
      </c>
      <c r="O128" s="98"/>
    </row>
    <row r="129" spans="1:15">
      <c r="A129" s="112">
        <v>2172</v>
      </c>
      <c r="B129" s="113" t="s">
        <v>34</v>
      </c>
      <c r="C129" s="114">
        <f>'[1]Parametros Jrz'!C130</f>
        <v>0</v>
      </c>
      <c r="D129" s="114">
        <f>'[1]Parametros Jrz'!D130</f>
        <v>0</v>
      </c>
      <c r="E129" s="114">
        <f>'[1]Parametros Jrz'!E130</f>
        <v>0</v>
      </c>
      <c r="F129" s="114">
        <f>'[1]Parametros Jrz'!F130</f>
        <v>0</v>
      </c>
      <c r="G129" s="114">
        <f>'[1]Parametros Jrz'!G130</f>
        <v>0</v>
      </c>
      <c r="H129" s="114">
        <f>'[1]Parametros Jrz'!H130</f>
        <v>0</v>
      </c>
      <c r="I129" s="114">
        <f>'[1]Parametros Jrz'!I130</f>
        <v>0</v>
      </c>
      <c r="J129" s="114">
        <f>'[1]Parametros Jrz'!J130</f>
        <v>0</v>
      </c>
      <c r="K129" s="114">
        <f>'[1]Parametros Jrz'!K130</f>
        <v>0</v>
      </c>
      <c r="L129" s="114">
        <f>'[1]Parametros Jrz'!L130</f>
        <v>0</v>
      </c>
      <c r="M129" s="114">
        <f>'[1]Parametros Jrz'!M130</f>
        <v>0</v>
      </c>
      <c r="N129" s="114">
        <f>'[1]Parametros Jrz'!N130</f>
        <v>0</v>
      </c>
      <c r="O129" s="98"/>
    </row>
    <row r="130" spans="1:15">
      <c r="A130" s="112">
        <v>2526</v>
      </c>
      <c r="B130" s="113" t="s">
        <v>35</v>
      </c>
      <c r="C130" s="114">
        <f>'[1]Parametros Jrz'!C131</f>
        <v>0</v>
      </c>
      <c r="D130" s="114">
        <f>'[1]Parametros Jrz'!D131</f>
        <v>0</v>
      </c>
      <c r="E130" s="114">
        <f>'[1]Parametros Jrz'!E131</f>
        <v>0</v>
      </c>
      <c r="F130" s="114">
        <f>'[1]Parametros Jrz'!F131</f>
        <v>0</v>
      </c>
      <c r="G130" s="114">
        <f>'[1]Parametros Jrz'!G131</f>
        <v>0</v>
      </c>
      <c r="H130" s="114">
        <f>'[1]Parametros Jrz'!H131</f>
        <v>0</v>
      </c>
      <c r="I130" s="114">
        <f>'[1]Parametros Jrz'!I131</f>
        <v>0</v>
      </c>
      <c r="J130" s="114">
        <f>'[1]Parametros Jrz'!J131</f>
        <v>0</v>
      </c>
      <c r="K130" s="114">
        <f>'[1]Parametros Jrz'!K131</f>
        <v>0</v>
      </c>
      <c r="L130" s="114">
        <f>'[1]Parametros Jrz'!L131</f>
        <v>0</v>
      </c>
      <c r="M130" s="114">
        <f>'[1]Parametros Jrz'!M131</f>
        <v>0</v>
      </c>
      <c r="N130" s="114">
        <f>'[1]Parametros Jrz'!N131</f>
        <v>0</v>
      </c>
      <c r="O130" s="98"/>
    </row>
    <row r="131" spans="1:15">
      <c r="A131" s="112">
        <v>4179</v>
      </c>
      <c r="B131" s="113" t="s">
        <v>36</v>
      </c>
      <c r="C131" s="114">
        <f>'[1]Parametros Jrz'!C132</f>
        <v>0</v>
      </c>
      <c r="D131" s="114">
        <f>'[1]Parametros Jrz'!D132</f>
        <v>0</v>
      </c>
      <c r="E131" s="114">
        <f>'[1]Parametros Jrz'!E132</f>
        <v>0</v>
      </c>
      <c r="F131" s="114">
        <f>'[1]Parametros Jrz'!F132</f>
        <v>0</v>
      </c>
      <c r="G131" s="114">
        <f>'[1]Parametros Jrz'!G132</f>
        <v>0</v>
      </c>
      <c r="H131" s="114">
        <f>'[1]Parametros Jrz'!H132</f>
        <v>0</v>
      </c>
      <c r="I131" s="114">
        <f>'[1]Parametros Jrz'!I132</f>
        <v>0</v>
      </c>
      <c r="J131" s="114">
        <f>'[1]Parametros Jrz'!J132</f>
        <v>0</v>
      </c>
      <c r="K131" s="114">
        <f>'[1]Parametros Jrz'!K132</f>
        <v>0</v>
      </c>
      <c r="L131" s="114">
        <f>'[1]Parametros Jrz'!L132</f>
        <v>0</v>
      </c>
      <c r="M131" s="114">
        <f>'[1]Parametros Jrz'!M132</f>
        <v>0</v>
      </c>
      <c r="N131" s="114">
        <f>'[1]Parametros Jrz'!N132</f>
        <v>0</v>
      </c>
      <c r="O131" s="98"/>
    </row>
    <row r="132" spans="1:15">
      <c r="A132" s="112">
        <v>4188</v>
      </c>
      <c r="B132" s="113" t="s">
        <v>37</v>
      </c>
      <c r="C132" s="114">
        <f>'[1]Parametros Jrz'!C133</f>
        <v>0</v>
      </c>
      <c r="D132" s="114">
        <f>'[1]Parametros Jrz'!D133</f>
        <v>0</v>
      </c>
      <c r="E132" s="114">
        <f>'[1]Parametros Jrz'!E133</f>
        <v>0</v>
      </c>
      <c r="F132" s="114">
        <f>'[1]Parametros Jrz'!F133</f>
        <v>0</v>
      </c>
      <c r="G132" s="114">
        <f>'[1]Parametros Jrz'!G133</f>
        <v>0</v>
      </c>
      <c r="H132" s="114">
        <f>'[1]Parametros Jrz'!H133</f>
        <v>0</v>
      </c>
      <c r="I132" s="114">
        <f>'[1]Parametros Jrz'!I133</f>
        <v>0</v>
      </c>
      <c r="J132" s="114">
        <f>'[1]Parametros Jrz'!J133</f>
        <v>0</v>
      </c>
      <c r="K132" s="114">
        <f>'[1]Parametros Jrz'!K133</f>
        <v>0</v>
      </c>
      <c r="L132" s="114">
        <f>'[1]Parametros Jrz'!L133</f>
        <v>0</v>
      </c>
      <c r="M132" s="114">
        <f>'[1]Parametros Jrz'!M133</f>
        <v>0</v>
      </c>
      <c r="N132" s="114">
        <f>'[1]Parametros Jrz'!N133</f>
        <v>0</v>
      </c>
      <c r="O132" s="98"/>
    </row>
    <row r="133" spans="1:15">
      <c r="A133" s="112">
        <v>5317</v>
      </c>
      <c r="B133" s="113" t="s">
        <v>38</v>
      </c>
      <c r="C133" s="114">
        <f>'[1]Parametros Jrz'!C134</f>
        <v>0</v>
      </c>
      <c r="D133" s="114">
        <f>'[1]Parametros Jrz'!D134</f>
        <v>0</v>
      </c>
      <c r="E133" s="114">
        <f>'[1]Parametros Jrz'!E134</f>
        <v>0</v>
      </c>
      <c r="F133" s="114">
        <f>'[1]Parametros Jrz'!F134</f>
        <v>0</v>
      </c>
      <c r="G133" s="114">
        <f>'[1]Parametros Jrz'!G134</f>
        <v>0</v>
      </c>
      <c r="H133" s="114">
        <f>'[1]Parametros Jrz'!H134</f>
        <v>0</v>
      </c>
      <c r="I133" s="114">
        <f>'[1]Parametros Jrz'!I134</f>
        <v>0</v>
      </c>
      <c r="J133" s="114">
        <f>'[1]Parametros Jrz'!J134</f>
        <v>0</v>
      </c>
      <c r="K133" s="114">
        <f>'[1]Parametros Jrz'!K134</f>
        <v>0</v>
      </c>
      <c r="L133" s="114">
        <f>'[1]Parametros Jrz'!L134</f>
        <v>0</v>
      </c>
      <c r="M133" s="114">
        <f>'[1]Parametros Jrz'!M134</f>
        <v>0</v>
      </c>
      <c r="N133" s="114">
        <f>'[1]Parametros Jrz'!N134</f>
        <v>0</v>
      </c>
      <c r="O133" s="98"/>
    </row>
    <row r="134" spans="1:15">
      <c r="A134" s="112">
        <v>6410</v>
      </c>
      <c r="B134" s="113" t="s">
        <v>39</v>
      </c>
      <c r="C134" s="114">
        <f>'[1]Parametros Jrz'!C135</f>
        <v>0</v>
      </c>
      <c r="D134" s="114">
        <f>'[1]Parametros Jrz'!D135</f>
        <v>0</v>
      </c>
      <c r="E134" s="114">
        <f>'[1]Parametros Jrz'!E135</f>
        <v>0</v>
      </c>
      <c r="F134" s="114">
        <f>'[1]Parametros Jrz'!F135</f>
        <v>0</v>
      </c>
      <c r="G134" s="114">
        <f>'[1]Parametros Jrz'!G135</f>
        <v>0</v>
      </c>
      <c r="H134" s="114">
        <f>'[1]Parametros Jrz'!H135</f>
        <v>0</v>
      </c>
      <c r="I134" s="114">
        <f>'[1]Parametros Jrz'!I135</f>
        <v>0</v>
      </c>
      <c r="J134" s="114">
        <f>'[1]Parametros Jrz'!J135</f>
        <v>0</v>
      </c>
      <c r="K134" s="114">
        <f>'[1]Parametros Jrz'!K135</f>
        <v>0</v>
      </c>
      <c r="L134" s="114">
        <f>'[1]Parametros Jrz'!L135</f>
        <v>0</v>
      </c>
      <c r="M134" s="114">
        <f>'[1]Parametros Jrz'!M135</f>
        <v>0</v>
      </c>
      <c r="N134" s="114">
        <f>'[1]Parametros Jrz'!N135</f>
        <v>0</v>
      </c>
      <c r="O134" s="98"/>
    </row>
    <row r="135" spans="1:15">
      <c r="A135" s="112">
        <v>6947</v>
      </c>
      <c r="B135" s="113" t="s">
        <v>40</v>
      </c>
      <c r="C135" s="114">
        <f>'[1]Parametros Jrz'!C136</f>
        <v>0</v>
      </c>
      <c r="D135" s="114">
        <f>'[1]Parametros Jrz'!D136</f>
        <v>0</v>
      </c>
      <c r="E135" s="114">
        <f>'[1]Parametros Jrz'!E136</f>
        <v>0</v>
      </c>
      <c r="F135" s="114">
        <f>'[1]Parametros Jrz'!F136</f>
        <v>0</v>
      </c>
      <c r="G135" s="114">
        <f>'[1]Parametros Jrz'!G136</f>
        <v>0</v>
      </c>
      <c r="H135" s="114">
        <f>'[1]Parametros Jrz'!H136</f>
        <v>0</v>
      </c>
      <c r="I135" s="114">
        <f>'[1]Parametros Jrz'!I136</f>
        <v>0</v>
      </c>
      <c r="J135" s="114">
        <f>'[1]Parametros Jrz'!J136</f>
        <v>0</v>
      </c>
      <c r="K135" s="114">
        <f>'[1]Parametros Jrz'!K136</f>
        <v>0</v>
      </c>
      <c r="L135" s="114">
        <f>'[1]Parametros Jrz'!L136</f>
        <v>0</v>
      </c>
      <c r="M135" s="114">
        <f>'[1]Parametros Jrz'!M136</f>
        <v>0</v>
      </c>
      <c r="N135" s="114">
        <f>'[1]Parametros Jrz'!N136</f>
        <v>0</v>
      </c>
      <c r="O135" s="98"/>
    </row>
    <row r="136" spans="1:15">
      <c r="A136" s="112">
        <v>7167</v>
      </c>
      <c r="B136" s="113" t="s">
        <v>41</v>
      </c>
      <c r="C136" s="114">
        <f>'[1]Parametros Jrz'!C137</f>
        <v>0</v>
      </c>
      <c r="D136" s="114">
        <f>'[1]Parametros Jrz'!D137</f>
        <v>0</v>
      </c>
      <c r="E136" s="114">
        <f>'[1]Parametros Jrz'!E137</f>
        <v>0</v>
      </c>
      <c r="F136" s="114">
        <f>'[1]Parametros Jrz'!F137</f>
        <v>0</v>
      </c>
      <c r="G136" s="114">
        <f>'[1]Parametros Jrz'!G137</f>
        <v>0</v>
      </c>
      <c r="H136" s="114">
        <f>'[1]Parametros Jrz'!H137</f>
        <v>0</v>
      </c>
      <c r="I136" s="114">
        <f>'[1]Parametros Jrz'!I137</f>
        <v>0</v>
      </c>
      <c r="J136" s="114">
        <f>'[1]Parametros Jrz'!J137</f>
        <v>0</v>
      </c>
      <c r="K136" s="114">
        <f>'[1]Parametros Jrz'!K137</f>
        <v>0</v>
      </c>
      <c r="L136" s="114">
        <f>'[1]Parametros Jrz'!L137</f>
        <v>0</v>
      </c>
      <c r="M136" s="114">
        <f>'[1]Parametros Jrz'!M137</f>
        <v>0</v>
      </c>
      <c r="N136" s="114">
        <f>'[1]Parametros Jrz'!N137</f>
        <v>0</v>
      </c>
      <c r="O136" s="98"/>
    </row>
    <row r="137" spans="1:15">
      <c r="A137" s="112">
        <v>5465</v>
      </c>
      <c r="B137" s="113" t="s">
        <v>42</v>
      </c>
      <c r="C137" s="114">
        <f>'[1]Parametros Jrz'!C138</f>
        <v>0</v>
      </c>
      <c r="D137" s="114">
        <f>'[1]Parametros Jrz'!D138</f>
        <v>0</v>
      </c>
      <c r="E137" s="114">
        <f>'[1]Parametros Jrz'!E138</f>
        <v>0</v>
      </c>
      <c r="F137" s="114">
        <f>'[1]Parametros Jrz'!F138</f>
        <v>0</v>
      </c>
      <c r="G137" s="114">
        <f>'[1]Parametros Jrz'!G138</f>
        <v>0</v>
      </c>
      <c r="H137" s="114">
        <f>'[1]Parametros Jrz'!H138</f>
        <v>0</v>
      </c>
      <c r="I137" s="114">
        <f>'[1]Parametros Jrz'!I138</f>
        <v>0</v>
      </c>
      <c r="J137" s="114">
        <f>'[1]Parametros Jrz'!J138</f>
        <v>0</v>
      </c>
      <c r="K137" s="114">
        <f>'[1]Parametros Jrz'!K138</f>
        <v>0</v>
      </c>
      <c r="L137" s="114">
        <f>'[1]Parametros Jrz'!L138</f>
        <v>0</v>
      </c>
      <c r="M137" s="114">
        <f>'[1]Parametros Jrz'!M138</f>
        <v>0</v>
      </c>
      <c r="N137" s="114">
        <f>'[1]Parametros Jrz'!N138</f>
        <v>0</v>
      </c>
      <c r="O137" s="98"/>
    </row>
    <row r="138" spans="1:15">
      <c r="A138" s="112">
        <v>8244</v>
      </c>
      <c r="B138" s="113" t="s">
        <v>43</v>
      </c>
      <c r="C138" s="114">
        <f>'[1]Parametros Jrz'!C139</f>
        <v>0</v>
      </c>
      <c r="D138" s="114">
        <f>'[1]Parametros Jrz'!D139</f>
        <v>0</v>
      </c>
      <c r="E138" s="114">
        <f>'[1]Parametros Jrz'!E139</f>
        <v>0</v>
      </c>
      <c r="F138" s="114">
        <f>'[1]Parametros Jrz'!F139</f>
        <v>0</v>
      </c>
      <c r="G138" s="114">
        <f>'[1]Parametros Jrz'!G139</f>
        <v>0</v>
      </c>
      <c r="H138" s="114">
        <f>'[1]Parametros Jrz'!H139</f>
        <v>0</v>
      </c>
      <c r="I138" s="114">
        <f>'[1]Parametros Jrz'!I139</f>
        <v>0</v>
      </c>
      <c r="J138" s="114">
        <f>'[1]Parametros Jrz'!J139</f>
        <v>0</v>
      </c>
      <c r="K138" s="114">
        <f>'[1]Parametros Jrz'!K139</f>
        <v>0</v>
      </c>
      <c r="L138" s="114">
        <f>'[1]Parametros Jrz'!L139</f>
        <v>0</v>
      </c>
      <c r="M138" s="114">
        <f>'[1]Parametros Jrz'!M139</f>
        <v>0</v>
      </c>
      <c r="N138" s="114">
        <f>'[1]Parametros Jrz'!N139</f>
        <v>0</v>
      </c>
      <c r="O138" s="98"/>
    </row>
    <row r="139" spans="1:15">
      <c r="A139" s="112">
        <v>9191</v>
      </c>
      <c r="B139" s="113" t="s">
        <v>44</v>
      </c>
      <c r="C139" s="114">
        <f>'[1]Parametros Jrz'!C140</f>
        <v>0</v>
      </c>
      <c r="D139" s="114">
        <f>'[1]Parametros Jrz'!D140</f>
        <v>0</v>
      </c>
      <c r="E139" s="114">
        <f>'[1]Parametros Jrz'!E140</f>
        <v>0</v>
      </c>
      <c r="F139" s="114">
        <f>'[1]Parametros Jrz'!F140</f>
        <v>0</v>
      </c>
      <c r="G139" s="114">
        <f>'[1]Parametros Jrz'!G140</f>
        <v>0</v>
      </c>
      <c r="H139" s="114">
        <f>'[1]Parametros Jrz'!H140</f>
        <v>0</v>
      </c>
      <c r="I139" s="114">
        <f>'[1]Parametros Jrz'!I140</f>
        <v>0</v>
      </c>
      <c r="J139" s="114">
        <f>'[1]Parametros Jrz'!J140</f>
        <v>0</v>
      </c>
      <c r="K139" s="114">
        <f>'[1]Parametros Jrz'!K140</f>
        <v>0</v>
      </c>
      <c r="L139" s="114">
        <f>'[1]Parametros Jrz'!L140</f>
        <v>0</v>
      </c>
      <c r="M139" s="114">
        <f>'[1]Parametros Jrz'!M140</f>
        <v>0</v>
      </c>
      <c r="N139" s="114">
        <f>'[1]Parametros Jrz'!N140</f>
        <v>0</v>
      </c>
      <c r="O139" s="98"/>
    </row>
    <row r="140" spans="1:15">
      <c r="A140" s="112">
        <v>9235</v>
      </c>
      <c r="B140" s="113" t="s">
        <v>45</v>
      </c>
      <c r="C140" s="114">
        <f>'[1]Parametros Jrz'!C141</f>
        <v>0</v>
      </c>
      <c r="D140" s="114">
        <f>'[1]Parametros Jrz'!D141</f>
        <v>0</v>
      </c>
      <c r="E140" s="114">
        <f>'[1]Parametros Jrz'!E141</f>
        <v>0</v>
      </c>
      <c r="F140" s="114">
        <f>'[1]Parametros Jrz'!F141</f>
        <v>0</v>
      </c>
      <c r="G140" s="114">
        <f>'[1]Parametros Jrz'!G141</f>
        <v>0</v>
      </c>
      <c r="H140" s="114">
        <f>'[1]Parametros Jrz'!H141</f>
        <v>0</v>
      </c>
      <c r="I140" s="114">
        <f>'[1]Parametros Jrz'!I141</f>
        <v>0</v>
      </c>
      <c r="J140" s="114">
        <f>'[1]Parametros Jrz'!J141</f>
        <v>0</v>
      </c>
      <c r="K140" s="114">
        <f>'[1]Parametros Jrz'!K141</f>
        <v>0</v>
      </c>
      <c r="L140" s="114">
        <f>'[1]Parametros Jrz'!L141</f>
        <v>0</v>
      </c>
      <c r="M140" s="114">
        <f>'[1]Parametros Jrz'!M141</f>
        <v>0</v>
      </c>
      <c r="N140" s="114">
        <f>'[1]Parametros Jrz'!N141</f>
        <v>0</v>
      </c>
      <c r="O140" s="98"/>
    </row>
    <row r="141" spans="1:15">
      <c r="A141" s="112">
        <v>9885</v>
      </c>
      <c r="B141" s="113" t="s">
        <v>46</v>
      </c>
      <c r="C141" s="114">
        <f>'[1]Parametros Jrz'!C142</f>
        <v>0</v>
      </c>
      <c r="D141" s="114">
        <f>'[1]Parametros Jrz'!D142</f>
        <v>0</v>
      </c>
      <c r="E141" s="114">
        <f>'[1]Parametros Jrz'!E142</f>
        <v>0</v>
      </c>
      <c r="F141" s="114">
        <f>'[1]Parametros Jrz'!F142</f>
        <v>0</v>
      </c>
      <c r="G141" s="114">
        <f>'[1]Parametros Jrz'!G142</f>
        <v>0</v>
      </c>
      <c r="H141" s="114">
        <f>'[1]Parametros Jrz'!H142</f>
        <v>0</v>
      </c>
      <c r="I141" s="114">
        <f>'[1]Parametros Jrz'!I142</f>
        <v>0</v>
      </c>
      <c r="J141" s="114">
        <f>'[1]Parametros Jrz'!J142</f>
        <v>0</v>
      </c>
      <c r="K141" s="114">
        <f>'[1]Parametros Jrz'!K142</f>
        <v>0</v>
      </c>
      <c r="L141" s="114">
        <f>'[1]Parametros Jrz'!L142</f>
        <v>0</v>
      </c>
      <c r="M141" s="114">
        <f>'[1]Parametros Jrz'!M142</f>
        <v>0</v>
      </c>
      <c r="N141" s="114">
        <f>'[1]Parametros Jrz'!N142</f>
        <v>0</v>
      </c>
      <c r="O141" s="98"/>
    </row>
    <row r="142" spans="1:15">
      <c r="A142" s="112">
        <v>9893</v>
      </c>
      <c r="B142" s="113" t="s">
        <v>47</v>
      </c>
      <c r="C142" s="114">
        <f>'[1]Parametros Jrz'!C143</f>
        <v>0</v>
      </c>
      <c r="D142" s="114">
        <f>'[1]Parametros Jrz'!D143</f>
        <v>0</v>
      </c>
      <c r="E142" s="114">
        <f>'[1]Parametros Jrz'!E143</f>
        <v>0</v>
      </c>
      <c r="F142" s="114">
        <f>'[1]Parametros Jrz'!F143</f>
        <v>0</v>
      </c>
      <c r="G142" s="114">
        <f>'[1]Parametros Jrz'!G143</f>
        <v>0</v>
      </c>
      <c r="H142" s="114">
        <f>'[1]Parametros Jrz'!H143</f>
        <v>0</v>
      </c>
      <c r="I142" s="114">
        <f>'[1]Parametros Jrz'!I143</f>
        <v>0</v>
      </c>
      <c r="J142" s="114">
        <f>'[1]Parametros Jrz'!J143</f>
        <v>0</v>
      </c>
      <c r="K142" s="114">
        <f>'[1]Parametros Jrz'!K143</f>
        <v>0</v>
      </c>
      <c r="L142" s="114">
        <f>'[1]Parametros Jrz'!L143</f>
        <v>0</v>
      </c>
      <c r="M142" s="114">
        <f>'[1]Parametros Jrz'!M143</f>
        <v>0</v>
      </c>
      <c r="N142" s="114">
        <f>'[1]Parametros Jrz'!N143</f>
        <v>0</v>
      </c>
      <c r="O142" s="98"/>
    </row>
    <row r="143" spans="1:15">
      <c r="A143" s="112">
        <v>5170</v>
      </c>
      <c r="B143" s="113" t="s">
        <v>48</v>
      </c>
      <c r="C143" s="114">
        <f>'[1]Parametros Jrz'!C144</f>
        <v>0</v>
      </c>
      <c r="D143" s="114">
        <f>'[1]Parametros Jrz'!D144</f>
        <v>0</v>
      </c>
      <c r="E143" s="114">
        <f>'[1]Parametros Jrz'!E144</f>
        <v>0</v>
      </c>
      <c r="F143" s="114">
        <f>'[1]Parametros Jrz'!F144</f>
        <v>0</v>
      </c>
      <c r="G143" s="114">
        <f>'[1]Parametros Jrz'!G144</f>
        <v>0</v>
      </c>
      <c r="H143" s="114">
        <f>'[1]Parametros Jrz'!H144</f>
        <v>0</v>
      </c>
      <c r="I143" s="114">
        <f>'[1]Parametros Jrz'!I144</f>
        <v>0</v>
      </c>
      <c r="J143" s="114">
        <f>'[1]Parametros Jrz'!J144</f>
        <v>0</v>
      </c>
      <c r="K143" s="114">
        <f>'[1]Parametros Jrz'!K144</f>
        <v>0</v>
      </c>
      <c r="L143" s="114">
        <f>'[1]Parametros Jrz'!L144</f>
        <v>0</v>
      </c>
      <c r="M143" s="114">
        <f>'[1]Parametros Jrz'!M144</f>
        <v>0</v>
      </c>
      <c r="N143" s="114">
        <f>'[1]Parametros Jrz'!N144</f>
        <v>0</v>
      </c>
      <c r="O143" s="98"/>
    </row>
    <row r="144" spans="1:15">
      <c r="A144" s="112">
        <v>11007</v>
      </c>
      <c r="B144" s="113" t="s">
        <v>49</v>
      </c>
      <c r="C144" s="114">
        <f>'[1]Parametros Jrz'!C145</f>
        <v>0</v>
      </c>
      <c r="D144" s="114">
        <f>'[1]Parametros Jrz'!D145</f>
        <v>0</v>
      </c>
      <c r="E144" s="114">
        <f>'[1]Parametros Jrz'!E145</f>
        <v>0</v>
      </c>
      <c r="F144" s="114">
        <f>'[1]Parametros Jrz'!F145</f>
        <v>0</v>
      </c>
      <c r="G144" s="114">
        <f>'[1]Parametros Jrz'!G145</f>
        <v>0</v>
      </c>
      <c r="H144" s="114">
        <f>'[1]Parametros Jrz'!H145</f>
        <v>0</v>
      </c>
      <c r="I144" s="114">
        <f>'[1]Parametros Jrz'!I145</f>
        <v>0</v>
      </c>
      <c r="J144" s="114">
        <f>'[1]Parametros Jrz'!J145</f>
        <v>0</v>
      </c>
      <c r="K144" s="114">
        <f>'[1]Parametros Jrz'!K145</f>
        <v>0</v>
      </c>
      <c r="L144" s="114">
        <f>'[1]Parametros Jrz'!L145</f>
        <v>0</v>
      </c>
      <c r="M144" s="114">
        <f>'[1]Parametros Jrz'!M145</f>
        <v>0</v>
      </c>
      <c r="N144" s="114">
        <f>'[1]Parametros Jrz'!N145</f>
        <v>0</v>
      </c>
      <c r="O144" s="98"/>
    </row>
    <row r="145" spans="1:15">
      <c r="A145" s="112">
        <v>24938</v>
      </c>
      <c r="B145" s="113" t="s">
        <v>50</v>
      </c>
      <c r="C145" s="114">
        <f>'[1]Parametros Jrz'!C146</f>
        <v>0</v>
      </c>
      <c r="D145" s="114">
        <f>'[1]Parametros Jrz'!D146</f>
        <v>0</v>
      </c>
      <c r="E145" s="114">
        <f>'[1]Parametros Jrz'!E146</f>
        <v>0</v>
      </c>
      <c r="F145" s="114">
        <f>'[1]Parametros Jrz'!F146</f>
        <v>0</v>
      </c>
      <c r="G145" s="114">
        <f>'[1]Parametros Jrz'!G146</f>
        <v>0</v>
      </c>
      <c r="H145" s="114">
        <f>'[1]Parametros Jrz'!H146</f>
        <v>0</v>
      </c>
      <c r="I145" s="114">
        <f>'[1]Parametros Jrz'!I146</f>
        <v>0</v>
      </c>
      <c r="J145" s="114">
        <f>'[1]Parametros Jrz'!J146</f>
        <v>0</v>
      </c>
      <c r="K145" s="114">
        <f>'[1]Parametros Jrz'!K146</f>
        <v>0</v>
      </c>
      <c r="L145" s="114">
        <f>'[1]Parametros Jrz'!L146</f>
        <v>0</v>
      </c>
      <c r="M145" s="114">
        <f>'[1]Parametros Jrz'!M146</f>
        <v>0</v>
      </c>
      <c r="N145" s="114">
        <f>'[1]Parametros Jrz'!N146</f>
        <v>0</v>
      </c>
      <c r="O145" s="98"/>
    </row>
    <row r="146" spans="1:15">
      <c r="A146" s="112">
        <v>1242</v>
      </c>
      <c r="B146" s="113" t="s">
        <v>51</v>
      </c>
      <c r="C146" s="114">
        <f>'[1]Parametros Jrz'!C147</f>
        <v>0</v>
      </c>
      <c r="D146" s="114">
        <f>'[1]Parametros Jrz'!D147</f>
        <v>0</v>
      </c>
      <c r="E146" s="114">
        <f>'[1]Parametros Jrz'!E147</f>
        <v>0</v>
      </c>
      <c r="F146" s="114">
        <f>'[1]Parametros Jrz'!F147</f>
        <v>0</v>
      </c>
      <c r="G146" s="114">
        <f>'[1]Parametros Jrz'!G147</f>
        <v>0</v>
      </c>
      <c r="H146" s="114">
        <f>'[1]Parametros Jrz'!H147</f>
        <v>0</v>
      </c>
      <c r="I146" s="114">
        <f>'[1]Parametros Jrz'!I147</f>
        <v>0</v>
      </c>
      <c r="J146" s="114">
        <f>'[1]Parametros Jrz'!J147</f>
        <v>0</v>
      </c>
      <c r="K146" s="114">
        <f>'[1]Parametros Jrz'!K147</f>
        <v>0</v>
      </c>
      <c r="L146" s="114">
        <f>'[1]Parametros Jrz'!L147</f>
        <v>0</v>
      </c>
      <c r="M146" s="114">
        <f>'[1]Parametros Jrz'!M147</f>
        <v>0</v>
      </c>
      <c r="N146" s="114">
        <f>'[1]Parametros Jrz'!N147</f>
        <v>0</v>
      </c>
      <c r="O146" s="98"/>
    </row>
    <row r="147" spans="1:15">
      <c r="A147" s="112">
        <v>12900</v>
      </c>
      <c r="B147" s="113" t="s">
        <v>52</v>
      </c>
      <c r="C147" s="114">
        <f>'[1]Parametros Jrz'!C148</f>
        <v>0</v>
      </c>
      <c r="D147" s="114">
        <f>'[1]Parametros Jrz'!D148</f>
        <v>0</v>
      </c>
      <c r="E147" s="114">
        <f>'[1]Parametros Jrz'!E148</f>
        <v>0</v>
      </c>
      <c r="F147" s="114">
        <f>'[1]Parametros Jrz'!F148</f>
        <v>0</v>
      </c>
      <c r="G147" s="114">
        <f>'[1]Parametros Jrz'!G148</f>
        <v>0</v>
      </c>
      <c r="H147" s="114">
        <f>'[1]Parametros Jrz'!H148</f>
        <v>0</v>
      </c>
      <c r="I147" s="114">
        <f>'[1]Parametros Jrz'!I148</f>
        <v>0</v>
      </c>
      <c r="J147" s="114">
        <f>'[1]Parametros Jrz'!J148</f>
        <v>0</v>
      </c>
      <c r="K147" s="114">
        <f>'[1]Parametros Jrz'!K148</f>
        <v>0</v>
      </c>
      <c r="L147" s="114">
        <f>'[1]Parametros Jrz'!L148</f>
        <v>0</v>
      </c>
      <c r="M147" s="114">
        <f>'[1]Parametros Jrz'!M148</f>
        <v>0</v>
      </c>
      <c r="N147" s="114">
        <f>'[1]Parametros Jrz'!N148</f>
        <v>0</v>
      </c>
      <c r="O147" s="98"/>
    </row>
    <row r="148" spans="1:15">
      <c r="A148" s="112">
        <v>24499</v>
      </c>
      <c r="B148" s="113" t="s">
        <v>53</v>
      </c>
      <c r="C148" s="114">
        <f>'[1]Parametros Jrz'!C149</f>
        <v>0</v>
      </c>
      <c r="D148" s="114">
        <f>'[1]Parametros Jrz'!D149</f>
        <v>0</v>
      </c>
      <c r="E148" s="114">
        <f>'[1]Parametros Jrz'!E149</f>
        <v>0</v>
      </c>
      <c r="F148" s="114">
        <f>'[1]Parametros Jrz'!F149</f>
        <v>0</v>
      </c>
      <c r="G148" s="114">
        <f>'[1]Parametros Jrz'!G149</f>
        <v>0</v>
      </c>
      <c r="H148" s="114">
        <f>'[1]Parametros Jrz'!H149</f>
        <v>0</v>
      </c>
      <c r="I148" s="114">
        <f>'[1]Parametros Jrz'!I149</f>
        <v>0</v>
      </c>
      <c r="J148" s="114">
        <f>'[1]Parametros Jrz'!J149</f>
        <v>0</v>
      </c>
      <c r="K148" s="114">
        <f>'[1]Parametros Jrz'!K149</f>
        <v>0</v>
      </c>
      <c r="L148" s="114">
        <f>'[1]Parametros Jrz'!L149</f>
        <v>0</v>
      </c>
      <c r="M148" s="114">
        <f>'[1]Parametros Jrz'!M149</f>
        <v>0</v>
      </c>
      <c r="N148" s="114">
        <f>'[1]Parametros Jrz'!N149</f>
        <v>0</v>
      </c>
      <c r="O148" s="98"/>
    </row>
    <row r="149" spans="1:15">
      <c r="A149" s="112">
        <v>24500</v>
      </c>
      <c r="B149" s="113" t="s">
        <v>54</v>
      </c>
      <c r="C149" s="114">
        <f>'[1]Parametros Jrz'!C150</f>
        <v>0</v>
      </c>
      <c r="D149" s="114">
        <f>'[1]Parametros Jrz'!D150</f>
        <v>0</v>
      </c>
      <c r="E149" s="114">
        <f>'[1]Parametros Jrz'!E150</f>
        <v>0</v>
      </c>
      <c r="F149" s="114">
        <f>'[1]Parametros Jrz'!F150</f>
        <v>0</v>
      </c>
      <c r="G149" s="114">
        <f>'[1]Parametros Jrz'!G150</f>
        <v>0</v>
      </c>
      <c r="H149" s="114">
        <f>'[1]Parametros Jrz'!H150</f>
        <v>0</v>
      </c>
      <c r="I149" s="114">
        <f>'[1]Parametros Jrz'!I150</f>
        <v>0</v>
      </c>
      <c r="J149" s="114">
        <f>'[1]Parametros Jrz'!J150</f>
        <v>0</v>
      </c>
      <c r="K149" s="114">
        <f>'[1]Parametros Jrz'!K150</f>
        <v>0</v>
      </c>
      <c r="L149" s="114">
        <f>'[1]Parametros Jrz'!L150</f>
        <v>0</v>
      </c>
      <c r="M149" s="114">
        <f>'[1]Parametros Jrz'!M150</f>
        <v>0</v>
      </c>
      <c r="N149" s="114">
        <f>'[1]Parametros Jrz'!N150</f>
        <v>0</v>
      </c>
      <c r="O149" s="98"/>
    </row>
    <row r="150" spans="1:15">
      <c r="A150" s="112">
        <v>3184</v>
      </c>
      <c r="B150" s="113" t="s">
        <v>55</v>
      </c>
      <c r="C150" s="114">
        <f>'[1]Parametros Jrz'!C151</f>
        <v>0</v>
      </c>
      <c r="D150" s="114">
        <f>'[1]Parametros Jrz'!D151</f>
        <v>0</v>
      </c>
      <c r="E150" s="114">
        <f>'[1]Parametros Jrz'!E151</f>
        <v>0</v>
      </c>
      <c r="F150" s="114">
        <f>'[1]Parametros Jrz'!F151</f>
        <v>0</v>
      </c>
      <c r="G150" s="114">
        <f>'[1]Parametros Jrz'!G151</f>
        <v>0</v>
      </c>
      <c r="H150" s="114">
        <f>'[1]Parametros Jrz'!H151</f>
        <v>0</v>
      </c>
      <c r="I150" s="114">
        <f>'[1]Parametros Jrz'!I151</f>
        <v>0</v>
      </c>
      <c r="J150" s="114">
        <f>'[1]Parametros Jrz'!J151</f>
        <v>0</v>
      </c>
      <c r="K150" s="114">
        <f>'[1]Parametros Jrz'!K151</f>
        <v>0</v>
      </c>
      <c r="L150" s="114">
        <f>'[1]Parametros Jrz'!L151</f>
        <v>0</v>
      </c>
      <c r="M150" s="114">
        <f>'[1]Parametros Jrz'!M151</f>
        <v>0</v>
      </c>
      <c r="N150" s="114">
        <f>'[1]Parametros Jrz'!N151</f>
        <v>0</v>
      </c>
      <c r="O150" s="98"/>
    </row>
    <row r="151" spans="1:15">
      <c r="A151" s="112"/>
      <c r="B151" s="113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90"/>
      <c r="O151" s="98"/>
    </row>
    <row r="152" spans="1:15" hidden="1">
      <c r="A152" s="112"/>
      <c r="B152" s="113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90"/>
      <c r="O152" s="98"/>
    </row>
    <row r="153" spans="1:15" hidden="1"/>
    <row r="154" spans="1:15" ht="21" hidden="1">
      <c r="A154" s="115" t="s">
        <v>58</v>
      </c>
      <c r="B154" s="115"/>
      <c r="C154" s="111" t="s">
        <v>59</v>
      </c>
      <c r="D154" s="111" t="s">
        <v>60</v>
      </c>
      <c r="E154" s="111" t="s">
        <v>61</v>
      </c>
      <c r="F154" s="111" t="s">
        <v>62</v>
      </c>
      <c r="G154" s="111" t="s">
        <v>63</v>
      </c>
      <c r="H154" s="111" t="s">
        <v>64</v>
      </c>
      <c r="I154" s="111" t="s">
        <v>65</v>
      </c>
      <c r="J154" s="111" t="s">
        <v>66</v>
      </c>
      <c r="K154" s="111" t="s">
        <v>67</v>
      </c>
      <c r="L154" s="111" t="s">
        <v>68</v>
      </c>
      <c r="M154" s="111" t="s">
        <v>69</v>
      </c>
      <c r="N154" s="189" t="s">
        <v>70</v>
      </c>
      <c r="O154" s="111"/>
    </row>
    <row r="155" spans="1:15" hidden="1">
      <c r="A155" s="112">
        <v>1147</v>
      </c>
      <c r="B155" s="113" t="s">
        <v>71</v>
      </c>
      <c r="C155" s="116">
        <v>0</v>
      </c>
      <c r="D155" s="116">
        <v>0</v>
      </c>
      <c r="E155" s="116">
        <v>0</v>
      </c>
      <c r="F155" s="116">
        <v>0</v>
      </c>
      <c r="G155" s="116">
        <v>0</v>
      </c>
      <c r="H155" s="116">
        <v>0</v>
      </c>
      <c r="I155" s="116">
        <v>0</v>
      </c>
      <c r="J155" s="116">
        <v>0</v>
      </c>
      <c r="K155" s="116">
        <v>0</v>
      </c>
      <c r="L155" s="116">
        <v>0</v>
      </c>
      <c r="M155" s="116">
        <v>0</v>
      </c>
      <c r="N155" s="191">
        <v>0</v>
      </c>
      <c r="O155" s="116"/>
    </row>
    <row r="156" spans="1:15" hidden="1">
      <c r="A156" s="112">
        <v>1149</v>
      </c>
      <c r="B156" s="113" t="s">
        <v>31</v>
      </c>
      <c r="C156" s="116">
        <v>0</v>
      </c>
      <c r="D156" s="116">
        <v>0</v>
      </c>
      <c r="E156" s="116">
        <v>0</v>
      </c>
      <c r="F156" s="116">
        <v>0</v>
      </c>
      <c r="G156" s="116">
        <v>0</v>
      </c>
      <c r="H156" s="116">
        <v>0</v>
      </c>
      <c r="I156" s="116">
        <v>0</v>
      </c>
      <c r="J156" s="116">
        <v>0</v>
      </c>
      <c r="K156" s="116">
        <v>0</v>
      </c>
      <c r="L156" s="116">
        <v>0</v>
      </c>
      <c r="M156" s="116">
        <v>0</v>
      </c>
      <c r="N156" s="191">
        <v>0</v>
      </c>
      <c r="O156" s="116"/>
    </row>
    <row r="157" spans="1:15" hidden="1">
      <c r="A157" s="112">
        <v>1163</v>
      </c>
      <c r="B157" s="113" t="s">
        <v>32</v>
      </c>
      <c r="C157" s="116">
        <v>0</v>
      </c>
      <c r="D157" s="116">
        <v>0</v>
      </c>
      <c r="E157" s="116">
        <v>0</v>
      </c>
      <c r="F157" s="116">
        <v>0</v>
      </c>
      <c r="G157" s="116">
        <v>0</v>
      </c>
      <c r="H157" s="116">
        <v>0</v>
      </c>
      <c r="I157" s="116">
        <v>0</v>
      </c>
      <c r="J157" s="116">
        <v>0</v>
      </c>
      <c r="K157" s="116">
        <v>0</v>
      </c>
      <c r="L157" s="116">
        <v>0</v>
      </c>
      <c r="M157" s="116">
        <v>0</v>
      </c>
      <c r="N157" s="191">
        <v>0</v>
      </c>
      <c r="O157" s="116"/>
    </row>
    <row r="158" spans="1:15" hidden="1">
      <c r="A158" s="112">
        <v>1376</v>
      </c>
      <c r="B158" s="113" t="s">
        <v>33</v>
      </c>
      <c r="C158" s="116">
        <v>0</v>
      </c>
      <c r="D158" s="116">
        <v>0</v>
      </c>
      <c r="E158" s="116">
        <v>0</v>
      </c>
      <c r="F158" s="116">
        <v>0</v>
      </c>
      <c r="G158" s="116">
        <v>0</v>
      </c>
      <c r="H158" s="116">
        <v>0</v>
      </c>
      <c r="I158" s="116">
        <v>0</v>
      </c>
      <c r="J158" s="116">
        <v>0</v>
      </c>
      <c r="K158" s="116">
        <v>0</v>
      </c>
      <c r="L158" s="116">
        <v>0</v>
      </c>
      <c r="M158" s="116">
        <v>0</v>
      </c>
      <c r="N158" s="191">
        <v>0</v>
      </c>
      <c r="O158" s="116"/>
    </row>
    <row r="159" spans="1:15" hidden="1">
      <c r="A159" s="112">
        <v>2172</v>
      </c>
      <c r="B159" s="113" t="s">
        <v>34</v>
      </c>
      <c r="C159" s="116">
        <v>0</v>
      </c>
      <c r="D159" s="116">
        <v>0</v>
      </c>
      <c r="E159" s="116">
        <v>0</v>
      </c>
      <c r="F159" s="116">
        <v>0</v>
      </c>
      <c r="G159" s="116">
        <v>0</v>
      </c>
      <c r="H159" s="116">
        <v>0</v>
      </c>
      <c r="I159" s="116">
        <v>0</v>
      </c>
      <c r="J159" s="116">
        <v>0</v>
      </c>
      <c r="K159" s="116">
        <v>0</v>
      </c>
      <c r="L159" s="116">
        <v>0</v>
      </c>
      <c r="M159" s="116">
        <v>0</v>
      </c>
      <c r="N159" s="191">
        <v>0</v>
      </c>
      <c r="O159" s="116"/>
    </row>
    <row r="160" spans="1:15" hidden="1">
      <c r="A160" s="112">
        <v>2526</v>
      </c>
      <c r="B160" s="113" t="s">
        <v>35</v>
      </c>
      <c r="C160" s="116">
        <v>0</v>
      </c>
      <c r="D160" s="116">
        <v>0</v>
      </c>
      <c r="E160" s="116">
        <v>0</v>
      </c>
      <c r="F160" s="116">
        <v>0</v>
      </c>
      <c r="G160" s="116">
        <v>0</v>
      </c>
      <c r="H160" s="116">
        <v>0</v>
      </c>
      <c r="I160" s="116">
        <v>0</v>
      </c>
      <c r="J160" s="116">
        <v>0</v>
      </c>
      <c r="K160" s="116">
        <v>0</v>
      </c>
      <c r="L160" s="116">
        <v>0</v>
      </c>
      <c r="M160" s="116">
        <v>0</v>
      </c>
      <c r="N160" s="191">
        <v>0</v>
      </c>
      <c r="O160" s="116"/>
    </row>
    <row r="161" spans="1:15" hidden="1">
      <c r="A161" s="112">
        <v>4179</v>
      </c>
      <c r="B161" s="113" t="s">
        <v>72</v>
      </c>
      <c r="C161" s="116">
        <v>0</v>
      </c>
      <c r="D161" s="116">
        <v>0</v>
      </c>
      <c r="E161" s="116">
        <v>0</v>
      </c>
      <c r="F161" s="116">
        <v>0</v>
      </c>
      <c r="G161" s="116">
        <v>0</v>
      </c>
      <c r="H161" s="116">
        <v>0</v>
      </c>
      <c r="I161" s="116">
        <v>0</v>
      </c>
      <c r="J161" s="116">
        <v>0</v>
      </c>
      <c r="K161" s="116">
        <v>0</v>
      </c>
      <c r="L161" s="116">
        <v>0</v>
      </c>
      <c r="M161" s="116">
        <v>0</v>
      </c>
      <c r="N161" s="191">
        <v>0</v>
      </c>
      <c r="O161" s="116"/>
    </row>
    <row r="162" spans="1:15" hidden="1">
      <c r="A162" s="112">
        <v>4188</v>
      </c>
      <c r="B162" s="113" t="s">
        <v>73</v>
      </c>
      <c r="C162" s="116">
        <v>0</v>
      </c>
      <c r="D162" s="116">
        <v>0</v>
      </c>
      <c r="E162" s="116">
        <v>0</v>
      </c>
      <c r="F162" s="116">
        <v>0</v>
      </c>
      <c r="G162" s="116">
        <v>0</v>
      </c>
      <c r="H162" s="116">
        <v>0</v>
      </c>
      <c r="I162" s="116">
        <v>0</v>
      </c>
      <c r="J162" s="116">
        <v>0</v>
      </c>
      <c r="K162" s="116">
        <v>0</v>
      </c>
      <c r="L162" s="116">
        <v>0</v>
      </c>
      <c r="M162" s="116">
        <v>0</v>
      </c>
      <c r="N162" s="191">
        <v>0</v>
      </c>
      <c r="O162" s="116"/>
    </row>
    <row r="163" spans="1:15" hidden="1">
      <c r="A163" s="112">
        <v>5317</v>
      </c>
      <c r="B163" s="113" t="s">
        <v>38</v>
      </c>
      <c r="C163" s="116">
        <v>0</v>
      </c>
      <c r="D163" s="116">
        <v>0</v>
      </c>
      <c r="E163" s="116">
        <v>0</v>
      </c>
      <c r="F163" s="116">
        <v>0</v>
      </c>
      <c r="G163" s="116">
        <v>0</v>
      </c>
      <c r="H163" s="116">
        <v>0</v>
      </c>
      <c r="I163" s="116">
        <v>0</v>
      </c>
      <c r="J163" s="116">
        <v>0</v>
      </c>
      <c r="K163" s="116">
        <v>0</v>
      </c>
      <c r="L163" s="116">
        <v>0</v>
      </c>
      <c r="M163" s="116">
        <v>0</v>
      </c>
      <c r="N163" s="191">
        <v>0</v>
      </c>
      <c r="O163" s="116"/>
    </row>
    <row r="164" spans="1:15" hidden="1">
      <c r="A164" s="112">
        <v>6410</v>
      </c>
      <c r="B164" s="113" t="s">
        <v>74</v>
      </c>
      <c r="C164" s="116">
        <v>0</v>
      </c>
      <c r="D164" s="116">
        <v>0</v>
      </c>
      <c r="E164" s="116">
        <v>0</v>
      </c>
      <c r="F164" s="116">
        <v>0</v>
      </c>
      <c r="G164" s="116">
        <v>0</v>
      </c>
      <c r="H164" s="116">
        <v>0</v>
      </c>
      <c r="I164" s="116">
        <v>0</v>
      </c>
      <c r="J164" s="116">
        <v>0</v>
      </c>
      <c r="K164" s="116">
        <v>0</v>
      </c>
      <c r="L164" s="116">
        <v>0</v>
      </c>
      <c r="M164" s="116">
        <v>0</v>
      </c>
      <c r="N164" s="191">
        <v>0</v>
      </c>
      <c r="O164" s="116"/>
    </row>
    <row r="165" spans="1:15" hidden="1">
      <c r="A165" s="112">
        <v>6947</v>
      </c>
      <c r="B165" s="113" t="s">
        <v>75</v>
      </c>
      <c r="C165" s="116">
        <v>0</v>
      </c>
      <c r="D165" s="116">
        <v>0</v>
      </c>
      <c r="E165" s="116">
        <v>0</v>
      </c>
      <c r="F165" s="116">
        <v>0</v>
      </c>
      <c r="G165" s="116">
        <v>0</v>
      </c>
      <c r="H165" s="116">
        <v>0</v>
      </c>
      <c r="I165" s="116">
        <v>0</v>
      </c>
      <c r="J165" s="116">
        <v>0</v>
      </c>
      <c r="K165" s="116">
        <v>0</v>
      </c>
      <c r="L165" s="116">
        <v>0</v>
      </c>
      <c r="M165" s="116">
        <v>0</v>
      </c>
      <c r="N165" s="191">
        <v>0</v>
      </c>
      <c r="O165" s="116"/>
    </row>
    <row r="166" spans="1:15" hidden="1">
      <c r="A166" s="112">
        <v>7167</v>
      </c>
      <c r="B166" s="113" t="s">
        <v>76</v>
      </c>
      <c r="C166" s="116">
        <v>0</v>
      </c>
      <c r="D166" s="116">
        <v>0</v>
      </c>
      <c r="E166" s="116">
        <v>0</v>
      </c>
      <c r="F166" s="116">
        <v>0</v>
      </c>
      <c r="G166" s="116">
        <v>0</v>
      </c>
      <c r="H166" s="116">
        <v>0</v>
      </c>
      <c r="I166" s="116">
        <v>0</v>
      </c>
      <c r="J166" s="116">
        <v>0</v>
      </c>
      <c r="K166" s="116">
        <v>0</v>
      </c>
      <c r="L166" s="116">
        <v>0</v>
      </c>
      <c r="M166" s="116">
        <v>0</v>
      </c>
      <c r="N166" s="191">
        <v>0</v>
      </c>
      <c r="O166" s="116"/>
    </row>
    <row r="167" spans="1:15" hidden="1">
      <c r="A167" s="112">
        <v>5465</v>
      </c>
      <c r="B167" s="113" t="s">
        <v>42</v>
      </c>
      <c r="C167" s="116">
        <v>0</v>
      </c>
      <c r="D167" s="116">
        <v>0</v>
      </c>
      <c r="E167" s="116">
        <v>0</v>
      </c>
      <c r="F167" s="116">
        <v>0</v>
      </c>
      <c r="G167" s="116">
        <v>0</v>
      </c>
      <c r="H167" s="116">
        <v>0</v>
      </c>
      <c r="I167" s="116">
        <v>0</v>
      </c>
      <c r="J167" s="116">
        <v>0</v>
      </c>
      <c r="K167" s="116">
        <v>0</v>
      </c>
      <c r="L167" s="116">
        <v>0</v>
      </c>
      <c r="M167" s="116">
        <v>0</v>
      </c>
      <c r="N167" s="191">
        <v>0</v>
      </c>
      <c r="O167" s="116"/>
    </row>
    <row r="168" spans="1:15" hidden="1">
      <c r="A168" s="112">
        <v>8244</v>
      </c>
      <c r="B168" s="113" t="s">
        <v>43</v>
      </c>
      <c r="C168" s="116">
        <v>0</v>
      </c>
      <c r="D168" s="116">
        <v>0</v>
      </c>
      <c r="E168" s="116">
        <v>0</v>
      </c>
      <c r="F168" s="116">
        <v>0</v>
      </c>
      <c r="G168" s="116">
        <v>0</v>
      </c>
      <c r="H168" s="116">
        <v>0</v>
      </c>
      <c r="I168" s="116">
        <v>0</v>
      </c>
      <c r="J168" s="116">
        <v>0</v>
      </c>
      <c r="K168" s="116">
        <v>0</v>
      </c>
      <c r="L168" s="116">
        <v>0</v>
      </c>
      <c r="M168" s="116">
        <v>0</v>
      </c>
      <c r="N168" s="191">
        <v>0</v>
      </c>
      <c r="O168" s="116"/>
    </row>
    <row r="169" spans="1:15" hidden="1">
      <c r="A169" s="112">
        <v>9191</v>
      </c>
      <c r="B169" s="113" t="s">
        <v>77</v>
      </c>
      <c r="C169" s="116">
        <v>0</v>
      </c>
      <c r="D169" s="116">
        <v>0</v>
      </c>
      <c r="E169" s="116">
        <v>0</v>
      </c>
      <c r="F169" s="116">
        <v>0</v>
      </c>
      <c r="G169" s="116">
        <v>0</v>
      </c>
      <c r="H169" s="116">
        <v>0</v>
      </c>
      <c r="I169" s="116">
        <v>0</v>
      </c>
      <c r="J169" s="116">
        <v>0</v>
      </c>
      <c r="K169" s="116">
        <v>0</v>
      </c>
      <c r="L169" s="116">
        <v>0</v>
      </c>
      <c r="M169" s="116">
        <v>0</v>
      </c>
      <c r="N169" s="191">
        <v>0</v>
      </c>
      <c r="O169" s="116"/>
    </row>
    <row r="170" spans="1:15" hidden="1">
      <c r="A170" s="112">
        <v>9235</v>
      </c>
      <c r="B170" s="113" t="s">
        <v>45</v>
      </c>
      <c r="C170" s="116">
        <v>0</v>
      </c>
      <c r="D170" s="116">
        <v>0</v>
      </c>
      <c r="E170" s="116">
        <v>0</v>
      </c>
      <c r="F170" s="116">
        <v>0</v>
      </c>
      <c r="G170" s="116">
        <v>0</v>
      </c>
      <c r="H170" s="116">
        <v>0</v>
      </c>
      <c r="I170" s="116">
        <v>0</v>
      </c>
      <c r="J170" s="116">
        <v>0</v>
      </c>
      <c r="K170" s="116">
        <v>0</v>
      </c>
      <c r="L170" s="116">
        <v>0</v>
      </c>
      <c r="M170" s="116">
        <v>0</v>
      </c>
      <c r="N170" s="191">
        <v>0</v>
      </c>
      <c r="O170" s="116"/>
    </row>
    <row r="171" spans="1:15" hidden="1">
      <c r="A171" s="112">
        <v>9885</v>
      </c>
      <c r="B171" s="113" t="s">
        <v>46</v>
      </c>
      <c r="C171" s="116">
        <v>0</v>
      </c>
      <c r="D171" s="116">
        <v>0</v>
      </c>
      <c r="E171" s="116">
        <v>0</v>
      </c>
      <c r="F171" s="116">
        <v>0</v>
      </c>
      <c r="G171" s="116">
        <v>0</v>
      </c>
      <c r="H171" s="116">
        <v>0</v>
      </c>
      <c r="I171" s="116">
        <v>0</v>
      </c>
      <c r="J171" s="116">
        <v>0</v>
      </c>
      <c r="K171" s="116">
        <v>0</v>
      </c>
      <c r="L171" s="116">
        <v>0</v>
      </c>
      <c r="M171" s="116">
        <v>0</v>
      </c>
      <c r="N171" s="191">
        <v>0</v>
      </c>
      <c r="O171" s="116"/>
    </row>
    <row r="172" spans="1:15" hidden="1">
      <c r="A172" s="112">
        <v>9893</v>
      </c>
      <c r="B172" s="113" t="s">
        <v>47</v>
      </c>
      <c r="C172" s="116">
        <v>0</v>
      </c>
      <c r="D172" s="116">
        <v>0</v>
      </c>
      <c r="E172" s="116">
        <v>0</v>
      </c>
      <c r="F172" s="116">
        <v>0</v>
      </c>
      <c r="G172" s="116">
        <v>0</v>
      </c>
      <c r="H172" s="116">
        <v>0</v>
      </c>
      <c r="I172" s="116">
        <v>0</v>
      </c>
      <c r="J172" s="116">
        <v>0</v>
      </c>
      <c r="K172" s="116">
        <v>0</v>
      </c>
      <c r="L172" s="116">
        <v>0</v>
      </c>
      <c r="M172" s="116">
        <v>0</v>
      </c>
      <c r="N172" s="191">
        <v>0</v>
      </c>
      <c r="O172" s="116"/>
    </row>
    <row r="173" spans="1:15" hidden="1">
      <c r="A173" s="112">
        <v>5170</v>
      </c>
      <c r="B173" s="113" t="s">
        <v>48</v>
      </c>
      <c r="C173" s="116">
        <v>0</v>
      </c>
      <c r="D173" s="116">
        <v>0</v>
      </c>
      <c r="E173" s="116">
        <v>0</v>
      </c>
      <c r="F173" s="116">
        <v>0</v>
      </c>
      <c r="G173" s="116">
        <v>0</v>
      </c>
      <c r="H173" s="116">
        <v>0</v>
      </c>
      <c r="I173" s="116">
        <v>0</v>
      </c>
      <c r="J173" s="116">
        <v>0</v>
      </c>
      <c r="K173" s="116">
        <v>0</v>
      </c>
      <c r="L173" s="116">
        <v>0</v>
      </c>
      <c r="M173" s="116">
        <v>0</v>
      </c>
      <c r="N173" s="191">
        <v>0</v>
      </c>
      <c r="O173" s="116"/>
    </row>
    <row r="174" spans="1:15" hidden="1">
      <c r="A174" s="112">
        <v>11007</v>
      </c>
      <c r="B174" s="113" t="s">
        <v>78</v>
      </c>
      <c r="C174" s="116">
        <v>0</v>
      </c>
      <c r="D174" s="116">
        <v>0</v>
      </c>
      <c r="E174" s="116">
        <v>0</v>
      </c>
      <c r="F174" s="116">
        <v>0</v>
      </c>
      <c r="G174" s="116">
        <v>0</v>
      </c>
      <c r="H174" s="116">
        <v>0</v>
      </c>
      <c r="I174" s="116">
        <v>0</v>
      </c>
      <c r="J174" s="116">
        <v>0</v>
      </c>
      <c r="K174" s="116">
        <v>0</v>
      </c>
      <c r="L174" s="116">
        <v>0</v>
      </c>
      <c r="M174" s="116">
        <v>0</v>
      </c>
      <c r="N174" s="191">
        <v>0</v>
      </c>
      <c r="O174" s="116"/>
    </row>
    <row r="175" spans="1:15" hidden="1"/>
    <row r="176" spans="1:15" ht="21" hidden="1">
      <c r="A176" s="115" t="s">
        <v>79</v>
      </c>
      <c r="B176" s="115"/>
      <c r="C176" s="111" t="s">
        <v>10</v>
      </c>
      <c r="D176" s="111" t="s">
        <v>11</v>
      </c>
      <c r="E176" s="111" t="s">
        <v>12</v>
      </c>
      <c r="F176" s="111" t="s">
        <v>13</v>
      </c>
      <c r="G176" s="111" t="s">
        <v>14</v>
      </c>
      <c r="H176" s="111" t="s">
        <v>15</v>
      </c>
      <c r="I176" s="111" t="s">
        <v>16</v>
      </c>
      <c r="J176" s="111" t="s">
        <v>17</v>
      </c>
      <c r="K176" s="111" t="s">
        <v>18</v>
      </c>
      <c r="L176" s="111" t="s">
        <v>19</v>
      </c>
      <c r="M176" s="111" t="s">
        <v>20</v>
      </c>
      <c r="N176" s="189" t="s">
        <v>21</v>
      </c>
      <c r="O176" s="111"/>
    </row>
    <row r="177" spans="1:15" hidden="1">
      <c r="A177" s="112">
        <v>1147</v>
      </c>
      <c r="B177" s="113" t="s">
        <v>71</v>
      </c>
      <c r="C177" s="116">
        <v>0</v>
      </c>
      <c r="D177" s="116">
        <v>0</v>
      </c>
      <c r="E177" s="116">
        <v>0</v>
      </c>
      <c r="F177" s="116">
        <v>0</v>
      </c>
      <c r="G177" s="116">
        <v>0</v>
      </c>
      <c r="H177" s="116">
        <v>0</v>
      </c>
      <c r="I177" s="116">
        <v>0</v>
      </c>
      <c r="J177" s="116">
        <v>0</v>
      </c>
      <c r="K177" s="116">
        <v>0</v>
      </c>
      <c r="L177" s="116">
        <v>0</v>
      </c>
      <c r="M177" s="116">
        <v>0</v>
      </c>
      <c r="N177" s="191">
        <v>0</v>
      </c>
      <c r="O177" s="116"/>
    </row>
    <row r="178" spans="1:15" hidden="1">
      <c r="A178" s="112">
        <v>1149</v>
      </c>
      <c r="B178" s="113" t="s">
        <v>31</v>
      </c>
      <c r="C178" s="116">
        <v>0</v>
      </c>
      <c r="D178" s="116">
        <v>0</v>
      </c>
      <c r="E178" s="116">
        <v>0</v>
      </c>
      <c r="F178" s="116">
        <v>0</v>
      </c>
      <c r="G178" s="116">
        <v>0</v>
      </c>
      <c r="H178" s="116">
        <v>0</v>
      </c>
      <c r="I178" s="116">
        <v>0</v>
      </c>
      <c r="J178" s="116">
        <v>0</v>
      </c>
      <c r="K178" s="116">
        <v>0</v>
      </c>
      <c r="L178" s="116">
        <v>0</v>
      </c>
      <c r="M178" s="116">
        <v>0</v>
      </c>
      <c r="N178" s="191">
        <v>0</v>
      </c>
      <c r="O178" s="116"/>
    </row>
    <row r="179" spans="1:15" hidden="1">
      <c r="A179" s="112">
        <v>1163</v>
      </c>
      <c r="B179" s="113" t="s">
        <v>32</v>
      </c>
      <c r="C179" s="116">
        <v>0</v>
      </c>
      <c r="D179" s="116">
        <v>0</v>
      </c>
      <c r="E179" s="116">
        <v>0</v>
      </c>
      <c r="F179" s="116">
        <v>0</v>
      </c>
      <c r="G179" s="116">
        <v>0</v>
      </c>
      <c r="H179" s="116">
        <v>0</v>
      </c>
      <c r="I179" s="116">
        <v>0</v>
      </c>
      <c r="J179" s="116">
        <v>0</v>
      </c>
      <c r="K179" s="116">
        <v>0</v>
      </c>
      <c r="L179" s="116">
        <v>0</v>
      </c>
      <c r="M179" s="116">
        <v>0</v>
      </c>
      <c r="N179" s="191">
        <v>0</v>
      </c>
      <c r="O179" s="116"/>
    </row>
    <row r="180" spans="1:15" hidden="1">
      <c r="A180" s="112">
        <v>1376</v>
      </c>
      <c r="B180" s="113" t="s">
        <v>33</v>
      </c>
      <c r="C180" s="116">
        <v>0</v>
      </c>
      <c r="D180" s="116">
        <v>0</v>
      </c>
      <c r="E180" s="116">
        <v>0</v>
      </c>
      <c r="F180" s="116">
        <v>0</v>
      </c>
      <c r="G180" s="116">
        <v>0</v>
      </c>
      <c r="H180" s="116">
        <v>0</v>
      </c>
      <c r="I180" s="116">
        <v>0</v>
      </c>
      <c r="J180" s="116">
        <v>0</v>
      </c>
      <c r="K180" s="116">
        <v>0</v>
      </c>
      <c r="L180" s="116">
        <v>0</v>
      </c>
      <c r="M180" s="116">
        <v>0</v>
      </c>
      <c r="N180" s="191">
        <v>0</v>
      </c>
      <c r="O180" s="116"/>
    </row>
    <row r="181" spans="1:15" hidden="1">
      <c r="A181" s="112">
        <v>2172</v>
      </c>
      <c r="B181" s="113" t="s">
        <v>34</v>
      </c>
      <c r="C181" s="116">
        <v>0</v>
      </c>
      <c r="D181" s="116">
        <v>0</v>
      </c>
      <c r="E181" s="116">
        <v>0</v>
      </c>
      <c r="F181" s="116">
        <v>0</v>
      </c>
      <c r="G181" s="116">
        <v>0</v>
      </c>
      <c r="H181" s="116">
        <v>0</v>
      </c>
      <c r="I181" s="116">
        <v>0</v>
      </c>
      <c r="J181" s="116">
        <v>0</v>
      </c>
      <c r="K181" s="116">
        <v>0</v>
      </c>
      <c r="L181" s="116">
        <v>0</v>
      </c>
      <c r="M181" s="116">
        <v>0</v>
      </c>
      <c r="N181" s="191">
        <v>0</v>
      </c>
      <c r="O181" s="116"/>
    </row>
    <row r="182" spans="1:15" hidden="1">
      <c r="A182" s="112">
        <v>2526</v>
      </c>
      <c r="B182" s="113" t="s">
        <v>35</v>
      </c>
      <c r="C182" s="116">
        <v>0</v>
      </c>
      <c r="D182" s="116">
        <v>0</v>
      </c>
      <c r="E182" s="116">
        <v>0</v>
      </c>
      <c r="F182" s="116">
        <v>0</v>
      </c>
      <c r="G182" s="116">
        <v>0</v>
      </c>
      <c r="H182" s="116">
        <v>0</v>
      </c>
      <c r="I182" s="116">
        <v>0</v>
      </c>
      <c r="J182" s="116">
        <v>0</v>
      </c>
      <c r="K182" s="116">
        <v>0</v>
      </c>
      <c r="L182" s="116">
        <v>0</v>
      </c>
      <c r="M182" s="116">
        <v>0</v>
      </c>
      <c r="N182" s="191">
        <v>0</v>
      </c>
      <c r="O182" s="116"/>
    </row>
    <row r="183" spans="1:15" hidden="1">
      <c r="A183" s="112">
        <v>4179</v>
      </c>
      <c r="B183" s="113" t="s">
        <v>72</v>
      </c>
      <c r="C183" s="116">
        <v>0</v>
      </c>
      <c r="D183" s="116">
        <v>0</v>
      </c>
      <c r="E183" s="116">
        <v>0</v>
      </c>
      <c r="F183" s="116">
        <v>0</v>
      </c>
      <c r="G183" s="116">
        <v>0</v>
      </c>
      <c r="H183" s="116">
        <v>0</v>
      </c>
      <c r="I183" s="116">
        <v>0</v>
      </c>
      <c r="J183" s="116">
        <v>0</v>
      </c>
      <c r="K183" s="116">
        <v>0</v>
      </c>
      <c r="L183" s="116">
        <v>0</v>
      </c>
      <c r="M183" s="116">
        <v>0</v>
      </c>
      <c r="N183" s="191">
        <v>0</v>
      </c>
      <c r="O183" s="116"/>
    </row>
    <row r="184" spans="1:15" hidden="1">
      <c r="A184" s="112">
        <v>4188</v>
      </c>
      <c r="B184" s="113" t="s">
        <v>73</v>
      </c>
      <c r="C184" s="116">
        <v>0</v>
      </c>
      <c r="D184" s="116">
        <v>0</v>
      </c>
      <c r="E184" s="116">
        <v>0</v>
      </c>
      <c r="F184" s="116">
        <v>0</v>
      </c>
      <c r="G184" s="116">
        <v>0</v>
      </c>
      <c r="H184" s="116">
        <v>0</v>
      </c>
      <c r="I184" s="116">
        <v>0</v>
      </c>
      <c r="J184" s="116">
        <v>0</v>
      </c>
      <c r="K184" s="116">
        <v>0</v>
      </c>
      <c r="L184" s="116">
        <v>0</v>
      </c>
      <c r="M184" s="116">
        <v>0</v>
      </c>
      <c r="N184" s="191">
        <v>0</v>
      </c>
      <c r="O184" s="116"/>
    </row>
    <row r="185" spans="1:15" hidden="1">
      <c r="A185" s="112">
        <v>5317</v>
      </c>
      <c r="B185" s="113" t="s">
        <v>38</v>
      </c>
      <c r="C185" s="116">
        <v>0</v>
      </c>
      <c r="D185" s="116">
        <v>0</v>
      </c>
      <c r="E185" s="116">
        <v>0</v>
      </c>
      <c r="F185" s="116">
        <v>0</v>
      </c>
      <c r="G185" s="116">
        <v>0</v>
      </c>
      <c r="H185" s="116">
        <v>0</v>
      </c>
      <c r="I185" s="116">
        <v>0</v>
      </c>
      <c r="J185" s="116">
        <v>0</v>
      </c>
      <c r="K185" s="116">
        <v>0</v>
      </c>
      <c r="L185" s="116">
        <v>0</v>
      </c>
      <c r="M185" s="116">
        <v>0</v>
      </c>
      <c r="N185" s="191">
        <v>0</v>
      </c>
      <c r="O185" s="116"/>
    </row>
    <row r="186" spans="1:15" hidden="1">
      <c r="A186" s="112">
        <v>6410</v>
      </c>
      <c r="B186" s="113" t="s">
        <v>74</v>
      </c>
      <c r="C186" s="116">
        <v>0</v>
      </c>
      <c r="D186" s="116">
        <v>0</v>
      </c>
      <c r="E186" s="116">
        <v>0</v>
      </c>
      <c r="F186" s="116">
        <v>0</v>
      </c>
      <c r="G186" s="116">
        <v>0</v>
      </c>
      <c r="H186" s="116">
        <v>0</v>
      </c>
      <c r="I186" s="116">
        <v>0</v>
      </c>
      <c r="J186" s="116">
        <v>0</v>
      </c>
      <c r="K186" s="116">
        <v>0</v>
      </c>
      <c r="L186" s="116">
        <v>0</v>
      </c>
      <c r="M186" s="116">
        <v>0</v>
      </c>
      <c r="N186" s="191">
        <v>0</v>
      </c>
      <c r="O186" s="116"/>
    </row>
    <row r="187" spans="1:15" hidden="1">
      <c r="A187" s="112">
        <v>6947</v>
      </c>
      <c r="B187" s="113" t="s">
        <v>75</v>
      </c>
      <c r="C187" s="116">
        <v>0</v>
      </c>
      <c r="D187" s="116">
        <v>0</v>
      </c>
      <c r="E187" s="116">
        <v>0</v>
      </c>
      <c r="F187" s="116">
        <v>0</v>
      </c>
      <c r="G187" s="116">
        <v>0</v>
      </c>
      <c r="H187" s="116">
        <v>0</v>
      </c>
      <c r="I187" s="116">
        <v>0</v>
      </c>
      <c r="J187" s="116">
        <v>0</v>
      </c>
      <c r="K187" s="116">
        <v>0</v>
      </c>
      <c r="L187" s="116">
        <v>0</v>
      </c>
      <c r="M187" s="116">
        <v>0</v>
      </c>
      <c r="N187" s="191">
        <v>0</v>
      </c>
      <c r="O187" s="116"/>
    </row>
    <row r="188" spans="1:15" hidden="1">
      <c r="A188" s="112">
        <v>7167</v>
      </c>
      <c r="B188" s="113" t="s">
        <v>76</v>
      </c>
      <c r="C188" s="116">
        <v>0</v>
      </c>
      <c r="D188" s="116">
        <v>0</v>
      </c>
      <c r="E188" s="116">
        <v>0</v>
      </c>
      <c r="F188" s="116">
        <v>0</v>
      </c>
      <c r="G188" s="116">
        <v>0</v>
      </c>
      <c r="H188" s="116">
        <v>0</v>
      </c>
      <c r="I188" s="116">
        <v>0</v>
      </c>
      <c r="J188" s="116">
        <v>0</v>
      </c>
      <c r="K188" s="116">
        <v>0</v>
      </c>
      <c r="L188" s="116">
        <v>0</v>
      </c>
      <c r="M188" s="116">
        <v>0</v>
      </c>
      <c r="N188" s="191">
        <v>0</v>
      </c>
      <c r="O188" s="116"/>
    </row>
    <row r="189" spans="1:15" hidden="1">
      <c r="A189" s="112">
        <v>5465</v>
      </c>
      <c r="B189" s="113" t="s">
        <v>42</v>
      </c>
      <c r="C189" s="116">
        <v>0</v>
      </c>
      <c r="D189" s="116">
        <v>0</v>
      </c>
      <c r="E189" s="116">
        <v>0</v>
      </c>
      <c r="F189" s="116">
        <v>0</v>
      </c>
      <c r="G189" s="116">
        <v>0</v>
      </c>
      <c r="H189" s="116">
        <v>0</v>
      </c>
      <c r="I189" s="116">
        <v>0</v>
      </c>
      <c r="J189" s="116">
        <v>0</v>
      </c>
      <c r="K189" s="116">
        <v>0</v>
      </c>
      <c r="L189" s="116">
        <v>0</v>
      </c>
      <c r="M189" s="116">
        <v>0</v>
      </c>
      <c r="N189" s="191">
        <v>0</v>
      </c>
      <c r="O189" s="116"/>
    </row>
    <row r="190" spans="1:15" hidden="1">
      <c r="A190" s="112">
        <v>8244</v>
      </c>
      <c r="B190" s="113" t="s">
        <v>43</v>
      </c>
      <c r="C190" s="116">
        <v>0</v>
      </c>
      <c r="D190" s="116">
        <v>0</v>
      </c>
      <c r="E190" s="116">
        <v>0</v>
      </c>
      <c r="F190" s="116">
        <v>0</v>
      </c>
      <c r="G190" s="116">
        <v>0</v>
      </c>
      <c r="H190" s="116">
        <v>0</v>
      </c>
      <c r="I190" s="116">
        <v>0</v>
      </c>
      <c r="J190" s="116">
        <v>0</v>
      </c>
      <c r="K190" s="116">
        <v>0</v>
      </c>
      <c r="L190" s="116">
        <v>0</v>
      </c>
      <c r="M190" s="116">
        <v>0</v>
      </c>
      <c r="N190" s="191">
        <v>0</v>
      </c>
      <c r="O190" s="116"/>
    </row>
    <row r="191" spans="1:15" hidden="1">
      <c r="A191" s="112">
        <v>9191</v>
      </c>
      <c r="B191" s="113" t="s">
        <v>77</v>
      </c>
      <c r="C191" s="116">
        <v>0</v>
      </c>
      <c r="D191" s="116">
        <v>0</v>
      </c>
      <c r="E191" s="116">
        <v>0</v>
      </c>
      <c r="F191" s="116">
        <v>0</v>
      </c>
      <c r="G191" s="116">
        <v>0</v>
      </c>
      <c r="H191" s="116">
        <v>0</v>
      </c>
      <c r="I191" s="116">
        <v>0</v>
      </c>
      <c r="J191" s="116">
        <v>0</v>
      </c>
      <c r="K191" s="116">
        <v>0</v>
      </c>
      <c r="L191" s="116">
        <v>0</v>
      </c>
      <c r="M191" s="116">
        <v>0</v>
      </c>
      <c r="N191" s="191">
        <v>0</v>
      </c>
      <c r="O191" s="116"/>
    </row>
    <row r="192" spans="1:15" hidden="1">
      <c r="A192" s="112">
        <v>9235</v>
      </c>
      <c r="B192" s="113" t="s">
        <v>45</v>
      </c>
      <c r="C192" s="116">
        <v>0</v>
      </c>
      <c r="D192" s="116">
        <v>0</v>
      </c>
      <c r="E192" s="116">
        <v>0</v>
      </c>
      <c r="F192" s="116">
        <v>0</v>
      </c>
      <c r="G192" s="116">
        <v>0</v>
      </c>
      <c r="H192" s="116">
        <v>0</v>
      </c>
      <c r="I192" s="116">
        <v>0</v>
      </c>
      <c r="J192" s="116">
        <v>0</v>
      </c>
      <c r="K192" s="116">
        <v>0</v>
      </c>
      <c r="L192" s="116">
        <v>0</v>
      </c>
      <c r="M192" s="116">
        <v>0</v>
      </c>
      <c r="N192" s="191">
        <v>0</v>
      </c>
      <c r="O192" s="116"/>
    </row>
    <row r="193" spans="1:15" hidden="1">
      <c r="A193" s="112">
        <v>9885</v>
      </c>
      <c r="B193" s="113" t="s">
        <v>46</v>
      </c>
      <c r="C193" s="116">
        <v>0</v>
      </c>
      <c r="D193" s="116">
        <v>0</v>
      </c>
      <c r="E193" s="116">
        <v>0</v>
      </c>
      <c r="F193" s="116">
        <v>0</v>
      </c>
      <c r="G193" s="116">
        <v>0</v>
      </c>
      <c r="H193" s="116">
        <v>0</v>
      </c>
      <c r="I193" s="116">
        <v>0</v>
      </c>
      <c r="J193" s="116">
        <v>0</v>
      </c>
      <c r="K193" s="116">
        <v>0</v>
      </c>
      <c r="L193" s="116">
        <v>0</v>
      </c>
      <c r="M193" s="116">
        <v>0</v>
      </c>
      <c r="N193" s="191">
        <v>0</v>
      </c>
      <c r="O193" s="116"/>
    </row>
    <row r="194" spans="1:15" hidden="1">
      <c r="A194" s="112">
        <v>9893</v>
      </c>
      <c r="B194" s="113" t="s">
        <v>47</v>
      </c>
      <c r="C194" s="116">
        <v>0</v>
      </c>
      <c r="D194" s="116">
        <v>0</v>
      </c>
      <c r="E194" s="116">
        <v>0</v>
      </c>
      <c r="F194" s="116">
        <v>0</v>
      </c>
      <c r="G194" s="116">
        <v>0</v>
      </c>
      <c r="H194" s="116">
        <v>0</v>
      </c>
      <c r="I194" s="116">
        <v>0</v>
      </c>
      <c r="J194" s="116">
        <v>0</v>
      </c>
      <c r="K194" s="116">
        <v>0</v>
      </c>
      <c r="L194" s="116">
        <v>0</v>
      </c>
      <c r="M194" s="116">
        <v>0</v>
      </c>
      <c r="N194" s="191">
        <v>0</v>
      </c>
      <c r="O194" s="116"/>
    </row>
    <row r="195" spans="1:15" hidden="1">
      <c r="A195" s="112">
        <v>5170</v>
      </c>
      <c r="B195" s="113" t="s">
        <v>48</v>
      </c>
      <c r="C195" s="116">
        <v>0</v>
      </c>
      <c r="D195" s="116">
        <v>0</v>
      </c>
      <c r="E195" s="116">
        <v>0</v>
      </c>
      <c r="F195" s="116">
        <v>0</v>
      </c>
      <c r="G195" s="116">
        <v>0</v>
      </c>
      <c r="H195" s="116">
        <v>0</v>
      </c>
      <c r="I195" s="116">
        <v>0</v>
      </c>
      <c r="J195" s="116">
        <v>0</v>
      </c>
      <c r="K195" s="116">
        <v>0</v>
      </c>
      <c r="L195" s="116">
        <v>0</v>
      </c>
      <c r="M195" s="116">
        <v>0</v>
      </c>
      <c r="N195" s="191">
        <v>0</v>
      </c>
      <c r="O195" s="116"/>
    </row>
    <row r="196" spans="1:15" hidden="1">
      <c r="A196" s="112">
        <v>11007</v>
      </c>
      <c r="B196" s="113" t="s">
        <v>78</v>
      </c>
      <c r="C196" s="116">
        <v>0</v>
      </c>
      <c r="D196" s="116">
        <v>0</v>
      </c>
      <c r="E196" s="116">
        <v>0</v>
      </c>
      <c r="F196" s="116">
        <v>0</v>
      </c>
      <c r="G196" s="116">
        <v>0</v>
      </c>
      <c r="H196" s="116">
        <v>0</v>
      </c>
      <c r="I196" s="116">
        <v>0</v>
      </c>
      <c r="J196" s="116">
        <v>0</v>
      </c>
      <c r="K196" s="116">
        <v>0</v>
      </c>
      <c r="L196" s="116">
        <v>0</v>
      </c>
      <c r="M196" s="116">
        <v>0</v>
      </c>
      <c r="N196" s="191">
        <v>0</v>
      </c>
      <c r="O196" s="116"/>
    </row>
    <row r="197" spans="1:15" hidden="1"/>
    <row r="198" spans="1:15" ht="21" hidden="1">
      <c r="A198" s="115" t="s">
        <v>80</v>
      </c>
      <c r="B198" s="115"/>
      <c r="C198" s="111" t="s">
        <v>10</v>
      </c>
      <c r="D198" s="111" t="s">
        <v>11</v>
      </c>
      <c r="E198" s="111" t="s">
        <v>12</v>
      </c>
      <c r="F198" s="111" t="s">
        <v>13</v>
      </c>
      <c r="G198" s="111" t="s">
        <v>14</v>
      </c>
      <c r="H198" s="111" t="s">
        <v>15</v>
      </c>
      <c r="I198" s="111" t="s">
        <v>16</v>
      </c>
      <c r="J198" s="111" t="s">
        <v>17</v>
      </c>
      <c r="K198" s="111" t="s">
        <v>18</v>
      </c>
      <c r="L198" s="111" t="s">
        <v>19</v>
      </c>
      <c r="M198" s="111" t="s">
        <v>20</v>
      </c>
      <c r="N198" s="189" t="s">
        <v>21</v>
      </c>
      <c r="O198" s="111"/>
    </row>
    <row r="199" spans="1:15" hidden="1">
      <c r="A199" s="112">
        <v>1147</v>
      </c>
      <c r="B199" s="113" t="s">
        <v>71</v>
      </c>
      <c r="C199" s="116">
        <v>0</v>
      </c>
      <c r="D199" s="116">
        <v>0</v>
      </c>
      <c r="E199" s="116">
        <v>0</v>
      </c>
      <c r="F199" s="116">
        <v>0</v>
      </c>
      <c r="G199" s="116">
        <v>0</v>
      </c>
      <c r="H199" s="116">
        <v>0</v>
      </c>
      <c r="I199" s="116">
        <v>0</v>
      </c>
      <c r="J199" s="116">
        <v>0</v>
      </c>
      <c r="K199" s="116">
        <v>0</v>
      </c>
      <c r="L199" s="116">
        <v>0</v>
      </c>
      <c r="M199" s="116">
        <v>0</v>
      </c>
      <c r="N199" s="191">
        <v>0</v>
      </c>
      <c r="O199" s="116"/>
    </row>
    <row r="200" spans="1:15" hidden="1">
      <c r="A200" s="112">
        <v>1149</v>
      </c>
      <c r="B200" s="113" t="s">
        <v>31</v>
      </c>
      <c r="C200" s="116">
        <v>0</v>
      </c>
      <c r="D200" s="116">
        <v>0</v>
      </c>
      <c r="E200" s="116">
        <v>0</v>
      </c>
      <c r="F200" s="116">
        <v>0</v>
      </c>
      <c r="G200" s="116">
        <v>0</v>
      </c>
      <c r="H200" s="116">
        <v>0</v>
      </c>
      <c r="I200" s="116">
        <v>0</v>
      </c>
      <c r="J200" s="116">
        <v>0</v>
      </c>
      <c r="K200" s="116">
        <v>0</v>
      </c>
      <c r="L200" s="116">
        <v>0</v>
      </c>
      <c r="M200" s="116">
        <v>0</v>
      </c>
      <c r="N200" s="191">
        <v>0</v>
      </c>
      <c r="O200" s="116"/>
    </row>
    <row r="201" spans="1:15" hidden="1">
      <c r="A201" s="112">
        <v>1163</v>
      </c>
      <c r="B201" s="113" t="s">
        <v>32</v>
      </c>
      <c r="C201" s="116">
        <v>0</v>
      </c>
      <c r="D201" s="116">
        <v>0</v>
      </c>
      <c r="E201" s="116">
        <v>0</v>
      </c>
      <c r="F201" s="116">
        <v>0</v>
      </c>
      <c r="G201" s="116">
        <v>0</v>
      </c>
      <c r="H201" s="116">
        <v>0</v>
      </c>
      <c r="I201" s="116">
        <v>0</v>
      </c>
      <c r="J201" s="116">
        <v>0</v>
      </c>
      <c r="K201" s="116">
        <v>0</v>
      </c>
      <c r="L201" s="116">
        <v>0</v>
      </c>
      <c r="M201" s="116">
        <v>0</v>
      </c>
      <c r="N201" s="191">
        <v>0</v>
      </c>
      <c r="O201" s="116"/>
    </row>
    <row r="202" spans="1:15" hidden="1">
      <c r="A202" s="112">
        <v>1376</v>
      </c>
      <c r="B202" s="113" t="s">
        <v>33</v>
      </c>
      <c r="C202" s="116">
        <v>0</v>
      </c>
      <c r="D202" s="116">
        <v>0</v>
      </c>
      <c r="E202" s="116">
        <v>0</v>
      </c>
      <c r="F202" s="116">
        <v>0</v>
      </c>
      <c r="G202" s="116">
        <v>0</v>
      </c>
      <c r="H202" s="116">
        <v>0</v>
      </c>
      <c r="I202" s="116">
        <v>0</v>
      </c>
      <c r="J202" s="116">
        <v>0</v>
      </c>
      <c r="K202" s="116">
        <v>0</v>
      </c>
      <c r="L202" s="116">
        <v>0</v>
      </c>
      <c r="M202" s="116">
        <v>0</v>
      </c>
      <c r="N202" s="191">
        <v>0</v>
      </c>
      <c r="O202" s="116"/>
    </row>
    <row r="203" spans="1:15" hidden="1">
      <c r="A203" s="112">
        <v>2172</v>
      </c>
      <c r="B203" s="113" t="s">
        <v>34</v>
      </c>
      <c r="C203" s="116">
        <v>0</v>
      </c>
      <c r="D203" s="116">
        <v>0</v>
      </c>
      <c r="E203" s="116">
        <v>0</v>
      </c>
      <c r="F203" s="116">
        <v>0</v>
      </c>
      <c r="G203" s="116">
        <v>0</v>
      </c>
      <c r="H203" s="116">
        <v>0</v>
      </c>
      <c r="I203" s="116">
        <v>0</v>
      </c>
      <c r="J203" s="116">
        <v>0</v>
      </c>
      <c r="K203" s="116">
        <v>0</v>
      </c>
      <c r="L203" s="116">
        <v>0</v>
      </c>
      <c r="M203" s="116">
        <v>0</v>
      </c>
      <c r="N203" s="191">
        <v>0</v>
      </c>
      <c r="O203" s="116"/>
    </row>
    <row r="204" spans="1:15" hidden="1">
      <c r="A204" s="112">
        <v>2526</v>
      </c>
      <c r="B204" s="113" t="s">
        <v>35</v>
      </c>
      <c r="C204" s="116">
        <v>0</v>
      </c>
      <c r="D204" s="116">
        <v>0</v>
      </c>
      <c r="E204" s="116">
        <v>0</v>
      </c>
      <c r="F204" s="116">
        <v>0</v>
      </c>
      <c r="G204" s="116">
        <v>0</v>
      </c>
      <c r="H204" s="116">
        <v>0</v>
      </c>
      <c r="I204" s="116">
        <v>0</v>
      </c>
      <c r="J204" s="116">
        <v>0</v>
      </c>
      <c r="K204" s="116">
        <v>0</v>
      </c>
      <c r="L204" s="116">
        <v>0</v>
      </c>
      <c r="M204" s="116">
        <v>0</v>
      </c>
      <c r="N204" s="191">
        <v>0</v>
      </c>
      <c r="O204" s="116"/>
    </row>
    <row r="205" spans="1:15" hidden="1">
      <c r="A205" s="112">
        <v>4179</v>
      </c>
      <c r="B205" s="113" t="s">
        <v>72</v>
      </c>
      <c r="C205" s="116">
        <v>0</v>
      </c>
      <c r="D205" s="116">
        <v>0</v>
      </c>
      <c r="E205" s="116">
        <v>0</v>
      </c>
      <c r="F205" s="116">
        <v>0</v>
      </c>
      <c r="G205" s="116">
        <v>0</v>
      </c>
      <c r="H205" s="116">
        <v>0</v>
      </c>
      <c r="I205" s="116">
        <v>0</v>
      </c>
      <c r="J205" s="116">
        <v>0</v>
      </c>
      <c r="K205" s="116">
        <v>0</v>
      </c>
      <c r="L205" s="116">
        <v>0</v>
      </c>
      <c r="M205" s="116">
        <v>0</v>
      </c>
      <c r="N205" s="191">
        <v>0</v>
      </c>
      <c r="O205" s="116"/>
    </row>
    <row r="206" spans="1:15" hidden="1">
      <c r="A206" s="112">
        <v>4188</v>
      </c>
      <c r="B206" s="113" t="s">
        <v>73</v>
      </c>
      <c r="C206" s="116">
        <v>0</v>
      </c>
      <c r="D206" s="116">
        <v>0</v>
      </c>
      <c r="E206" s="116">
        <v>0</v>
      </c>
      <c r="F206" s="116">
        <v>0</v>
      </c>
      <c r="G206" s="116">
        <v>0</v>
      </c>
      <c r="H206" s="116">
        <v>0</v>
      </c>
      <c r="I206" s="116">
        <v>0</v>
      </c>
      <c r="J206" s="116">
        <v>0</v>
      </c>
      <c r="K206" s="116">
        <v>0</v>
      </c>
      <c r="L206" s="116">
        <v>0</v>
      </c>
      <c r="M206" s="116">
        <v>0</v>
      </c>
      <c r="N206" s="191">
        <v>0</v>
      </c>
      <c r="O206" s="116"/>
    </row>
    <row r="207" spans="1:15" hidden="1">
      <c r="A207" s="112">
        <v>5317</v>
      </c>
      <c r="B207" s="113" t="s">
        <v>38</v>
      </c>
      <c r="C207" s="116">
        <v>0</v>
      </c>
      <c r="D207" s="116">
        <v>0</v>
      </c>
      <c r="E207" s="116">
        <v>0</v>
      </c>
      <c r="F207" s="116">
        <v>0</v>
      </c>
      <c r="G207" s="116">
        <v>0</v>
      </c>
      <c r="H207" s="116">
        <v>0</v>
      </c>
      <c r="I207" s="116">
        <v>0</v>
      </c>
      <c r="J207" s="116">
        <v>0</v>
      </c>
      <c r="K207" s="116">
        <v>0</v>
      </c>
      <c r="L207" s="116">
        <v>0</v>
      </c>
      <c r="M207" s="116">
        <v>0</v>
      </c>
      <c r="N207" s="191">
        <v>0</v>
      </c>
      <c r="O207" s="116"/>
    </row>
    <row r="208" spans="1:15" hidden="1">
      <c r="A208" s="112">
        <v>6410</v>
      </c>
      <c r="B208" s="113" t="s">
        <v>74</v>
      </c>
      <c r="C208" s="116">
        <v>0</v>
      </c>
      <c r="D208" s="116">
        <v>0</v>
      </c>
      <c r="E208" s="116">
        <v>0</v>
      </c>
      <c r="F208" s="116">
        <v>0</v>
      </c>
      <c r="G208" s="116">
        <v>0</v>
      </c>
      <c r="H208" s="116">
        <v>0</v>
      </c>
      <c r="I208" s="116">
        <v>0</v>
      </c>
      <c r="J208" s="116">
        <v>0</v>
      </c>
      <c r="K208" s="116">
        <v>0</v>
      </c>
      <c r="L208" s="116">
        <v>0</v>
      </c>
      <c r="M208" s="116">
        <v>0</v>
      </c>
      <c r="N208" s="191">
        <v>0</v>
      </c>
      <c r="O208" s="116"/>
    </row>
    <row r="209" spans="1:15" hidden="1">
      <c r="A209" s="112">
        <v>6947</v>
      </c>
      <c r="B209" s="113" t="s">
        <v>75</v>
      </c>
      <c r="C209" s="116">
        <v>0</v>
      </c>
      <c r="D209" s="116">
        <v>0</v>
      </c>
      <c r="E209" s="116">
        <v>0</v>
      </c>
      <c r="F209" s="116">
        <v>0</v>
      </c>
      <c r="G209" s="116">
        <v>0</v>
      </c>
      <c r="H209" s="116">
        <v>0</v>
      </c>
      <c r="I209" s="116">
        <v>0</v>
      </c>
      <c r="J209" s="116">
        <v>0</v>
      </c>
      <c r="K209" s="116">
        <v>0</v>
      </c>
      <c r="L209" s="116">
        <v>0</v>
      </c>
      <c r="M209" s="116">
        <v>0</v>
      </c>
      <c r="N209" s="191">
        <v>0</v>
      </c>
      <c r="O209" s="116"/>
    </row>
    <row r="210" spans="1:15" hidden="1">
      <c r="A210" s="112">
        <v>7167</v>
      </c>
      <c r="B210" s="113" t="s">
        <v>76</v>
      </c>
      <c r="C210" s="116">
        <v>0</v>
      </c>
      <c r="D210" s="116">
        <v>0</v>
      </c>
      <c r="E210" s="116">
        <v>0</v>
      </c>
      <c r="F210" s="116">
        <v>0</v>
      </c>
      <c r="G210" s="116">
        <v>0</v>
      </c>
      <c r="H210" s="116">
        <v>0</v>
      </c>
      <c r="I210" s="116">
        <v>0</v>
      </c>
      <c r="J210" s="116">
        <v>0</v>
      </c>
      <c r="K210" s="116">
        <v>0</v>
      </c>
      <c r="L210" s="116">
        <v>0</v>
      </c>
      <c r="M210" s="116">
        <v>0</v>
      </c>
      <c r="N210" s="191">
        <v>0</v>
      </c>
      <c r="O210" s="116"/>
    </row>
    <row r="211" spans="1:15" hidden="1">
      <c r="A211" s="112">
        <v>5465</v>
      </c>
      <c r="B211" s="113" t="s">
        <v>42</v>
      </c>
      <c r="C211" s="116">
        <v>0</v>
      </c>
      <c r="D211" s="116">
        <v>0</v>
      </c>
      <c r="E211" s="116">
        <v>0</v>
      </c>
      <c r="F211" s="116">
        <v>0</v>
      </c>
      <c r="G211" s="116">
        <v>0</v>
      </c>
      <c r="H211" s="116">
        <v>0</v>
      </c>
      <c r="I211" s="116">
        <v>0</v>
      </c>
      <c r="J211" s="116">
        <v>0</v>
      </c>
      <c r="K211" s="116">
        <v>0</v>
      </c>
      <c r="L211" s="116">
        <v>0</v>
      </c>
      <c r="M211" s="116">
        <v>0</v>
      </c>
      <c r="N211" s="191">
        <v>0</v>
      </c>
      <c r="O211" s="116"/>
    </row>
    <row r="212" spans="1:15" hidden="1">
      <c r="A212" s="112">
        <v>8244</v>
      </c>
      <c r="B212" s="113" t="s">
        <v>43</v>
      </c>
      <c r="C212" s="116">
        <v>0</v>
      </c>
      <c r="D212" s="116">
        <v>0</v>
      </c>
      <c r="E212" s="116">
        <v>0</v>
      </c>
      <c r="F212" s="116">
        <v>0</v>
      </c>
      <c r="G212" s="116">
        <v>0</v>
      </c>
      <c r="H212" s="116">
        <v>0</v>
      </c>
      <c r="I212" s="116">
        <v>0</v>
      </c>
      <c r="J212" s="116">
        <v>0</v>
      </c>
      <c r="K212" s="116">
        <v>0</v>
      </c>
      <c r="L212" s="116">
        <v>0</v>
      </c>
      <c r="M212" s="116">
        <v>0</v>
      </c>
      <c r="N212" s="191">
        <v>0</v>
      </c>
      <c r="O212" s="116"/>
    </row>
    <row r="213" spans="1:15" hidden="1">
      <c r="A213" s="112">
        <v>9191</v>
      </c>
      <c r="B213" s="113" t="s">
        <v>77</v>
      </c>
      <c r="C213" s="116">
        <v>0</v>
      </c>
      <c r="D213" s="116">
        <v>0</v>
      </c>
      <c r="E213" s="116">
        <v>0</v>
      </c>
      <c r="F213" s="116">
        <v>0</v>
      </c>
      <c r="G213" s="116">
        <v>0</v>
      </c>
      <c r="H213" s="116">
        <v>0</v>
      </c>
      <c r="I213" s="116">
        <v>0</v>
      </c>
      <c r="J213" s="116">
        <v>0</v>
      </c>
      <c r="K213" s="116">
        <v>0</v>
      </c>
      <c r="L213" s="116">
        <v>0</v>
      </c>
      <c r="M213" s="116">
        <v>0</v>
      </c>
      <c r="N213" s="191">
        <v>0</v>
      </c>
      <c r="O213" s="116"/>
    </row>
    <row r="214" spans="1:15" hidden="1">
      <c r="A214" s="112">
        <v>9235</v>
      </c>
      <c r="B214" s="113" t="s">
        <v>45</v>
      </c>
      <c r="C214" s="116">
        <v>0</v>
      </c>
      <c r="D214" s="116">
        <v>0</v>
      </c>
      <c r="E214" s="116">
        <v>0</v>
      </c>
      <c r="F214" s="116">
        <v>0</v>
      </c>
      <c r="G214" s="116">
        <v>0</v>
      </c>
      <c r="H214" s="116">
        <v>0</v>
      </c>
      <c r="I214" s="116">
        <v>0</v>
      </c>
      <c r="J214" s="116">
        <v>0</v>
      </c>
      <c r="K214" s="116">
        <v>0</v>
      </c>
      <c r="L214" s="116">
        <v>0</v>
      </c>
      <c r="M214" s="116">
        <v>0</v>
      </c>
      <c r="N214" s="191">
        <v>0</v>
      </c>
      <c r="O214" s="116"/>
    </row>
    <row r="215" spans="1:15" hidden="1">
      <c r="A215" s="112">
        <v>9885</v>
      </c>
      <c r="B215" s="113" t="s">
        <v>46</v>
      </c>
      <c r="C215" s="116">
        <v>0</v>
      </c>
      <c r="D215" s="116">
        <v>0</v>
      </c>
      <c r="E215" s="116">
        <v>0</v>
      </c>
      <c r="F215" s="116">
        <v>0</v>
      </c>
      <c r="G215" s="116">
        <v>0</v>
      </c>
      <c r="H215" s="116">
        <v>0</v>
      </c>
      <c r="I215" s="116">
        <v>0</v>
      </c>
      <c r="J215" s="116">
        <v>0</v>
      </c>
      <c r="K215" s="116">
        <v>0</v>
      </c>
      <c r="L215" s="116">
        <v>0</v>
      </c>
      <c r="M215" s="116">
        <v>0</v>
      </c>
      <c r="N215" s="191">
        <v>0</v>
      </c>
      <c r="O215" s="116"/>
    </row>
    <row r="216" spans="1:15" hidden="1">
      <c r="A216" s="112">
        <v>9893</v>
      </c>
      <c r="B216" s="113" t="s">
        <v>47</v>
      </c>
      <c r="C216" s="116">
        <v>0</v>
      </c>
      <c r="D216" s="116">
        <v>0</v>
      </c>
      <c r="E216" s="116">
        <v>0</v>
      </c>
      <c r="F216" s="116">
        <v>0</v>
      </c>
      <c r="G216" s="116">
        <v>0</v>
      </c>
      <c r="H216" s="116">
        <v>0</v>
      </c>
      <c r="I216" s="116">
        <v>0</v>
      </c>
      <c r="J216" s="116">
        <v>0</v>
      </c>
      <c r="K216" s="116">
        <v>0</v>
      </c>
      <c r="L216" s="116">
        <v>0</v>
      </c>
      <c r="M216" s="116">
        <v>0</v>
      </c>
      <c r="N216" s="191">
        <v>0</v>
      </c>
      <c r="O216" s="116"/>
    </row>
    <row r="217" spans="1:15" hidden="1">
      <c r="A217" s="112">
        <v>5170</v>
      </c>
      <c r="B217" s="113" t="s">
        <v>48</v>
      </c>
      <c r="C217" s="116">
        <v>0</v>
      </c>
      <c r="D217" s="116">
        <v>0</v>
      </c>
      <c r="E217" s="116">
        <v>0</v>
      </c>
      <c r="F217" s="116">
        <v>0</v>
      </c>
      <c r="G217" s="116">
        <v>0</v>
      </c>
      <c r="H217" s="116">
        <v>0</v>
      </c>
      <c r="I217" s="116">
        <v>0</v>
      </c>
      <c r="J217" s="116">
        <v>0</v>
      </c>
      <c r="K217" s="116">
        <v>0</v>
      </c>
      <c r="L217" s="116">
        <v>0</v>
      </c>
      <c r="M217" s="116">
        <v>0</v>
      </c>
      <c r="N217" s="191">
        <v>0</v>
      </c>
      <c r="O217" s="116"/>
    </row>
    <row r="218" spans="1:15" hidden="1">
      <c r="A218" s="112">
        <v>11007</v>
      </c>
      <c r="B218" s="113" t="s">
        <v>78</v>
      </c>
      <c r="C218" s="116">
        <v>0</v>
      </c>
      <c r="D218" s="116">
        <v>0</v>
      </c>
      <c r="E218" s="116">
        <v>0</v>
      </c>
      <c r="F218" s="116">
        <v>0</v>
      </c>
      <c r="G218" s="116">
        <v>0</v>
      </c>
      <c r="H218" s="116">
        <v>0</v>
      </c>
      <c r="I218" s="116">
        <v>0</v>
      </c>
      <c r="J218" s="116">
        <v>0</v>
      </c>
      <c r="K218" s="116">
        <v>0</v>
      </c>
      <c r="L218" s="116">
        <v>0</v>
      </c>
      <c r="M218" s="116">
        <v>0</v>
      </c>
      <c r="N218" s="191">
        <v>0</v>
      </c>
      <c r="O218" s="116"/>
    </row>
    <row r="219" spans="1:15" hidden="1"/>
    <row r="220" spans="1:15" hidden="1"/>
    <row r="221" spans="1:15" hidden="1"/>
    <row r="222" spans="1:15" hidden="1"/>
    <row r="223" spans="1:15" hidden="1"/>
    <row r="224" spans="1:15" hidden="1"/>
  </sheetData>
  <mergeCells count="7">
    <mergeCell ref="A124:B124"/>
    <mergeCell ref="A1:B1"/>
    <mergeCell ref="D1:E1"/>
    <mergeCell ref="A67:B67"/>
    <mergeCell ref="A95:B95"/>
    <mergeCell ref="A6:B6"/>
    <mergeCell ref="A66:B6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9C76-F8C2-4A1D-9566-C2AA1D9F37F5}">
  <sheetPr>
    <tabColor rgb="FFFF0000"/>
    <outlinePr summaryBelow="0" summaryRight="0"/>
  </sheetPr>
  <dimension ref="A1:BP392"/>
  <sheetViews>
    <sheetView showGridLines="0" zoomScale="70" zoomScaleNormal="70" workbookViewId="0">
      <pane xSplit="9" ySplit="3" topLeftCell="AN39" activePane="bottomRight" state="frozen"/>
      <selection pane="bottomRight" activeCell="AN39" sqref="AN39"/>
      <selection pane="bottomLeft" activeCell="W46" sqref="W46"/>
      <selection pane="topRight" activeCell="W46" sqref="W46"/>
    </sheetView>
  </sheetViews>
  <sheetFormatPr defaultColWidth="11.42578125" defaultRowHeight="15" outlineLevelRow="1" outlineLevelCol="1"/>
  <cols>
    <col min="1" max="1" width="11.42578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1.42578125" style="7" customWidth="1"/>
    <col min="6" max="8" width="10.28515625" style="6" hidden="1" customWidth="1"/>
    <col min="9" max="9" width="57.85546875" style="5" bestFit="1" customWidth="1" collapsed="1"/>
    <col min="10" max="10" width="21.140625" style="4" hidden="1" customWidth="1" outlineLevel="1"/>
    <col min="11" max="12" width="21.5703125" style="4" hidden="1" customWidth="1" outlineLevel="1"/>
    <col min="13" max="14" width="21.5703125" style="3" hidden="1" customWidth="1" outlineLevel="1"/>
    <col min="15" max="15" width="21.140625" style="3" hidden="1" customWidth="1" outlineLevel="1"/>
    <col min="16" max="16" width="21.5703125" style="3" hidden="1" customWidth="1" outlineLevel="1"/>
    <col min="17" max="17" width="21.140625" style="4" hidden="1" customWidth="1" outlineLevel="1"/>
    <col min="18" max="19" width="20.5703125" style="3" hidden="1" customWidth="1" outlineLevel="1"/>
    <col min="20" max="20" width="21.140625" style="3" hidden="1" customWidth="1" outlineLevel="1"/>
    <col min="21" max="21" width="21.140625" style="4" hidden="1" customWidth="1" outlineLevel="1"/>
    <col min="22" max="22" width="13.28515625" style="4" bestFit="1" customWidth="1"/>
    <col min="23" max="23" width="11.42578125" style="83" customWidth="1"/>
    <col min="24" max="24" width="2.140625" style="179" customWidth="1"/>
    <col min="25" max="25" width="19.140625" style="4" customWidth="1" outlineLevel="1"/>
    <col min="26" max="26" width="19.5703125" style="4" customWidth="1" outlineLevel="1"/>
    <col min="27" max="27" width="19.140625" style="4" customWidth="1" outlineLevel="1"/>
    <col min="28" max="29" width="19.5703125" style="3" customWidth="1" outlineLevel="1"/>
    <col min="30" max="30" width="19.140625" style="3" customWidth="1" outlineLevel="1"/>
    <col min="31" max="31" width="19.5703125" style="3" customWidth="1" outlineLevel="1"/>
    <col min="32" max="32" width="19.5703125" style="4" customWidth="1" outlineLevel="1"/>
    <col min="33" max="33" width="19.5703125" style="3" customWidth="1" outlineLevel="1"/>
    <col min="34" max="35" width="19.140625" style="3" customWidth="1" outlineLevel="1"/>
    <col min="36" max="36" width="19.85546875" style="4" customWidth="1" outlineLevel="1"/>
    <col min="37" max="37" width="15.85546875" style="4" bestFit="1" customWidth="1"/>
    <col min="38" max="38" width="16" style="83" bestFit="1" customWidth="1"/>
    <col min="39" max="39" width="11.42578125" style="2" customWidth="1"/>
    <col min="40" max="40" width="13.7109375" style="1" customWidth="1"/>
    <col min="41" max="41" width="14.85546875" style="1" customWidth="1"/>
    <col min="42" max="44" width="11.42578125" style="1" customWidth="1"/>
    <col min="45" max="16384" width="11.42578125" style="1"/>
  </cols>
  <sheetData>
    <row r="1" spans="1:39" s="57" customFormat="1" ht="6.75" customHeight="1">
      <c r="A1" s="6"/>
      <c r="B1" s="8"/>
      <c r="C1" s="8"/>
      <c r="D1" s="6"/>
      <c r="E1" s="7"/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39" s="52" customFormat="1" ht="18.75">
      <c r="A2" s="55"/>
      <c r="B2" s="55"/>
      <c r="C2" s="55"/>
      <c r="D2" s="55"/>
      <c r="E2" s="56"/>
      <c r="F2" s="55"/>
      <c r="G2" s="55"/>
      <c r="H2" s="55"/>
      <c r="I2" s="54"/>
      <c r="J2" s="309">
        <v>2024</v>
      </c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1"/>
      <c r="V2" s="312" t="s">
        <v>81</v>
      </c>
      <c r="W2" s="313"/>
      <c r="X2" s="85"/>
      <c r="Y2" s="309">
        <v>2025</v>
      </c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1"/>
      <c r="AK2" s="312" t="s">
        <v>81</v>
      </c>
      <c r="AL2" s="314"/>
      <c r="AM2" s="53"/>
    </row>
    <row r="3" spans="1:39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2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2024</v>
      </c>
      <c r="W3" s="69" t="s">
        <v>82</v>
      </c>
      <c r="X3" s="86"/>
      <c r="Y3" s="132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2025</v>
      </c>
      <c r="AL3" s="69" t="s">
        <v>82</v>
      </c>
      <c r="AM3" s="45" t="s">
        <v>83</v>
      </c>
    </row>
    <row r="4" spans="1:39">
      <c r="I4" s="43" t="s">
        <v>84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39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39" collapsed="1">
      <c r="A6" s="12" t="s">
        <v>85</v>
      </c>
      <c r="B6" s="19"/>
      <c r="C6" s="19"/>
      <c r="D6" s="12"/>
      <c r="E6" s="7" t="s">
        <v>86</v>
      </c>
      <c r="I6" s="167" t="s">
        <v>87</v>
      </c>
      <c r="J6" s="15">
        <f t="shared" ref="J6:V6" si="1">SUM(J7:J12)</f>
        <v>69452870</v>
      </c>
      <c r="K6" s="15">
        <f t="shared" si="1"/>
        <v>68676679</v>
      </c>
      <c r="L6" s="15">
        <f t="shared" si="1"/>
        <v>74038427</v>
      </c>
      <c r="M6" s="15">
        <f t="shared" si="1"/>
        <v>69224559</v>
      </c>
      <c r="N6" s="15">
        <f t="shared" si="1"/>
        <v>77933808</v>
      </c>
      <c r="O6" s="15">
        <f t="shared" si="1"/>
        <v>77696456</v>
      </c>
      <c r="P6" s="15">
        <f t="shared" si="1"/>
        <v>76552162</v>
      </c>
      <c r="Q6" s="15">
        <f t="shared" si="1"/>
        <v>70332214</v>
      </c>
      <c r="R6" s="15">
        <f t="shared" si="1"/>
        <v>71885191</v>
      </c>
      <c r="S6" s="15">
        <f t="shared" si="1"/>
        <v>79723068.137388021</v>
      </c>
      <c r="T6" s="15">
        <f t="shared" si="1"/>
        <v>81125621.857406527</v>
      </c>
      <c r="U6" s="15">
        <f t="shared" si="1"/>
        <v>79522835.227935821</v>
      </c>
      <c r="V6" s="15">
        <f t="shared" si="1"/>
        <v>896163891.22273028</v>
      </c>
      <c r="W6" s="72">
        <f t="shared" ref="W6:W34" si="2">V6/V$6</f>
        <v>1</v>
      </c>
      <c r="X6" s="89"/>
      <c r="Y6" s="15">
        <f t="shared" ref="Y6:AK6" si="3">SUM(Y7:Y12)</f>
        <v>69733029.479999989</v>
      </c>
      <c r="Z6" s="15">
        <f t="shared" si="3"/>
        <v>69139078.191288009</v>
      </c>
      <c r="AA6" s="15">
        <f t="shared" si="3"/>
        <v>76712716.706637576</v>
      </c>
      <c r="AB6" s="15">
        <f t="shared" si="3"/>
        <v>72969416.091157511</v>
      </c>
      <c r="AC6" s="15">
        <f t="shared" si="3"/>
        <v>84041095.136656061</v>
      </c>
      <c r="AD6" s="15">
        <f t="shared" si="3"/>
        <v>83841111.612472981</v>
      </c>
      <c r="AE6" s="15">
        <f t="shared" si="3"/>
        <v>83649040.243588477</v>
      </c>
      <c r="AF6" s="15">
        <f t="shared" si="3"/>
        <v>85393701.667022631</v>
      </c>
      <c r="AG6" s="15">
        <f t="shared" si="3"/>
        <v>84667179.444870025</v>
      </c>
      <c r="AH6" s="15">
        <f t="shared" si="3"/>
        <v>86983778.169820681</v>
      </c>
      <c r="AI6" s="15">
        <f t="shared" si="3"/>
        <v>84957433.985583857</v>
      </c>
      <c r="AJ6" s="15">
        <f t="shared" si="3"/>
        <v>81090698.479772866</v>
      </c>
      <c r="AK6" s="15">
        <f t="shared" si="3"/>
        <v>963178279.20887077</v>
      </c>
      <c r="AL6" s="72">
        <f t="shared" ref="AL6:AL34" si="4">AK6/AK$6</f>
        <v>1</v>
      </c>
      <c r="AM6" s="10">
        <f>IFERROR(AK6/V6-1,0)</f>
        <v>7.4779165554980986E-2</v>
      </c>
    </row>
    <row r="7" spans="1:39" ht="15" hidden="1" customHeight="1" outlineLevel="1">
      <c r="A7" s="12" t="s">
        <v>85</v>
      </c>
      <c r="B7" s="19" t="s">
        <v>88</v>
      </c>
      <c r="C7" s="19" t="s">
        <v>89</v>
      </c>
      <c r="D7" s="12" t="s">
        <v>90</v>
      </c>
      <c r="E7" s="20"/>
      <c r="F7" s="12"/>
      <c r="G7" s="12"/>
      <c r="H7" s="12"/>
      <c r="I7" s="117" t="s">
        <v>22</v>
      </c>
      <c r="J7" s="65">
        <f>SUM(A:B!J7)</f>
        <v>52024925</v>
      </c>
      <c r="K7" s="65">
        <f>SUM(A:B!K7)</f>
        <v>51666858</v>
      </c>
      <c r="L7" s="65">
        <f>SUM(A:B!L7)</f>
        <v>55424481</v>
      </c>
      <c r="M7" s="65">
        <f>SUM(A:B!M7)</f>
        <v>52126321</v>
      </c>
      <c r="N7" s="65">
        <f>SUM(A:B!N7)</f>
        <v>58611053</v>
      </c>
      <c r="O7" s="65">
        <f>SUM(A:B!O7)</f>
        <v>57223116</v>
      </c>
      <c r="P7" s="65">
        <f>SUM(A:B!P7)</f>
        <v>55837049</v>
      </c>
      <c r="Q7" s="65">
        <f>SUM(A:B!Q7)</f>
        <v>53402377</v>
      </c>
      <c r="R7" s="65">
        <f>SUM(A:B!R7)</f>
        <v>54015333</v>
      </c>
      <c r="S7" s="65">
        <f>SUM(A:B!S7)</f>
        <v>59219220.73719947</v>
      </c>
      <c r="T7" s="65">
        <f>SUM(A:B!T7)</f>
        <v>63748302.14508196</v>
      </c>
      <c r="U7" s="65">
        <f>SUM(A:B!U7)</f>
        <v>62663938.345174223</v>
      </c>
      <c r="V7" s="11">
        <f t="shared" ref="V7:V33" si="5">SUM(J7:U7)</f>
        <v>675962974.22745562</v>
      </c>
      <c r="W7" s="73">
        <f t="shared" si="2"/>
        <v>0.75428499278761219</v>
      </c>
      <c r="X7" s="89"/>
      <c r="Y7" s="65">
        <f>SUM(A:B!Y7)</f>
        <v>51376336.199999988</v>
      </c>
      <c r="Z7" s="65">
        <f>SUM(A:B!Z7)</f>
        <v>51093582.643440001</v>
      </c>
      <c r="AA7" s="65">
        <f>SUM(A:B!AA7)</f>
        <v>56927256.912454173</v>
      </c>
      <c r="AB7" s="65">
        <f>SUM(A:B!AB7)</f>
        <v>54191883.171600036</v>
      </c>
      <c r="AC7" s="65">
        <f>SUM(A:B!AC7)</f>
        <v>63090563.17294763</v>
      </c>
      <c r="AD7" s="65">
        <f>SUM(A:B!AD7)</f>
        <v>62100321.273764752</v>
      </c>
      <c r="AE7" s="65">
        <f>SUM(A:B!AE7)</f>
        <v>61646408.557971463</v>
      </c>
      <c r="AF7" s="65">
        <f>SUM(A:B!AF7)</f>
        <v>64583060.163786747</v>
      </c>
      <c r="AG7" s="65">
        <f>SUM(A:B!AG7)</f>
        <v>63257609.937570706</v>
      </c>
      <c r="AH7" s="65">
        <f>SUM(A:B!AH7)</f>
        <v>65125691.085454822</v>
      </c>
      <c r="AI7" s="65">
        <f>SUM(A:B!AI7)</f>
        <v>63526592.512250751</v>
      </c>
      <c r="AJ7" s="65">
        <f>SUM(A:B!AJ7)</f>
        <v>60670597.527093664</v>
      </c>
      <c r="AK7" s="65">
        <f t="shared" ref="AK7:AK33" si="6">SUM(Y7:AJ7)</f>
        <v>717589903.15833485</v>
      </c>
      <c r="AL7" s="73">
        <f t="shared" si="4"/>
        <v>0.74502292944951398</v>
      </c>
      <c r="AM7" s="14">
        <f t="shared" ref="AM7:AM94" si="7">IFERROR(AK7/V7-1,0)</f>
        <v>6.1581670177207171E-2</v>
      </c>
    </row>
    <row r="8" spans="1:39" ht="15" hidden="1" customHeight="1" outlineLevel="1">
      <c r="A8" s="12" t="s">
        <v>85</v>
      </c>
      <c r="B8" s="19" t="s">
        <v>88</v>
      </c>
      <c r="C8" s="19" t="s">
        <v>91</v>
      </c>
      <c r="D8" s="12" t="s">
        <v>92</v>
      </c>
      <c r="E8" s="20"/>
      <c r="F8" s="12"/>
      <c r="G8" s="12"/>
      <c r="H8" s="12"/>
      <c r="I8" s="117" t="s">
        <v>23</v>
      </c>
      <c r="J8" s="65">
        <f>SUM(A:B!J8)</f>
        <v>5468366</v>
      </c>
      <c r="K8" s="65">
        <f>SUM(A:B!K8)</f>
        <v>5650927</v>
      </c>
      <c r="L8" s="65">
        <f>SUM(A:B!L8)</f>
        <v>6229300</v>
      </c>
      <c r="M8" s="65">
        <f>SUM(A:B!M8)</f>
        <v>5959245</v>
      </c>
      <c r="N8" s="65">
        <f>SUM(A:B!N8)</f>
        <v>6580767</v>
      </c>
      <c r="O8" s="65">
        <f>SUM(A:B!O8)</f>
        <v>6797460</v>
      </c>
      <c r="P8" s="65">
        <f>SUM(A:B!P8)</f>
        <v>6511011</v>
      </c>
      <c r="Q8" s="65">
        <f>SUM(A:B!Q8)</f>
        <v>4596705</v>
      </c>
      <c r="R8" s="65">
        <f>SUM(A:B!R8)</f>
        <v>5358201</v>
      </c>
      <c r="S8" s="65">
        <f>SUM(A:B!S8)</f>
        <v>6254403</v>
      </c>
      <c r="T8" s="65">
        <f>SUM(A:B!T8)</f>
        <v>6221519.3130164351</v>
      </c>
      <c r="U8" s="65">
        <f>SUM(A:B!U8)</f>
        <v>6115975.2687260583</v>
      </c>
      <c r="V8" s="11">
        <f t="shared" si="5"/>
        <v>71743879.581742495</v>
      </c>
      <c r="W8" s="73">
        <f t="shared" si="2"/>
        <v>8.0056650668947182E-2</v>
      </c>
      <c r="X8" s="89"/>
      <c r="Y8" s="65">
        <f>SUM(A:B!Y8)</f>
        <v>5360351.76</v>
      </c>
      <c r="Z8" s="65">
        <f>SUM(A:B!Z8)</f>
        <v>5553280.3513679998</v>
      </c>
      <c r="AA8" s="65">
        <f>SUM(A:B!AA8)</f>
        <v>6278391.050546593</v>
      </c>
      <c r="AB8" s="65">
        <f>SUM(A:B!AB8)</f>
        <v>5971144.2028230336</v>
      </c>
      <c r="AC8" s="65">
        <f>SUM(A:B!AC8)</f>
        <v>6969804.5066061942</v>
      </c>
      <c r="AD8" s="65">
        <f>SUM(A:B!AD8)</f>
        <v>7376823.9556597164</v>
      </c>
      <c r="AE8" s="65">
        <f>SUM(A:B!AE8)</f>
        <v>7096503.4488426708</v>
      </c>
      <c r="AF8" s="65">
        <f>SUM(A:B!AF8)</f>
        <v>7282731.014810143</v>
      </c>
      <c r="AG8" s="65">
        <f>SUM(A:B!AG8)</f>
        <v>7198787.3718169611</v>
      </c>
      <c r="AH8" s="65">
        <f>SUM(A:B!AH8)</f>
        <v>6883910.1351395687</v>
      </c>
      <c r="AI8" s="65">
        <f>SUM(A:B!AI8)</f>
        <v>6717463.7242335156</v>
      </c>
      <c r="AJ8" s="65">
        <f>SUM(A:B!AJ8)</f>
        <v>6418291.7646252885</v>
      </c>
      <c r="AK8" s="65">
        <f t="shared" si="6"/>
        <v>79107483.286471695</v>
      </c>
      <c r="AL8" s="73">
        <f t="shared" si="4"/>
        <v>8.2131714339995804E-2</v>
      </c>
      <c r="AM8" s="14">
        <f t="shared" si="7"/>
        <v>0.10263737823571928</v>
      </c>
    </row>
    <row r="9" spans="1:39" ht="15" hidden="1" customHeight="1" outlineLevel="1">
      <c r="A9" s="12" t="s">
        <v>85</v>
      </c>
      <c r="B9" s="19" t="s">
        <v>88</v>
      </c>
      <c r="C9" s="19" t="s">
        <v>93</v>
      </c>
      <c r="D9" s="12" t="s">
        <v>94</v>
      </c>
      <c r="E9" s="20"/>
      <c r="F9" s="12"/>
      <c r="G9" s="12"/>
      <c r="H9" s="12"/>
      <c r="I9" s="117" t="s">
        <v>5</v>
      </c>
      <c r="J9" s="65">
        <f>SUM(A:B!J9)</f>
        <v>11903653</v>
      </c>
      <c r="K9" s="65">
        <f>SUM(A:B!K9)</f>
        <v>11298703</v>
      </c>
      <c r="L9" s="65">
        <f>SUM(A:B!L9)</f>
        <v>12326817</v>
      </c>
      <c r="M9" s="65">
        <f>SUM(A:B!M9)</f>
        <v>11076012</v>
      </c>
      <c r="N9" s="65">
        <f>SUM(A:B!N9)</f>
        <v>12676022</v>
      </c>
      <c r="O9" s="65">
        <f>SUM(A:B!O9)</f>
        <v>13611508</v>
      </c>
      <c r="P9" s="65">
        <f>SUM(A:B!P9)</f>
        <v>14146233</v>
      </c>
      <c r="Q9" s="65">
        <f>SUM(A:B!Q9)</f>
        <v>12274004</v>
      </c>
      <c r="R9" s="65">
        <f>SUM(A:B!R9)</f>
        <v>12458185</v>
      </c>
      <c r="S9" s="65">
        <f>SUM(A:B!S9)</f>
        <v>14188089.000188544</v>
      </c>
      <c r="T9" s="65">
        <f>SUM(A:B!T9)</f>
        <v>11089481.199308127</v>
      </c>
      <c r="U9" s="65">
        <f>SUM(A:B!U9)</f>
        <v>10676098.414035542</v>
      </c>
      <c r="V9" s="11">
        <f t="shared" si="5"/>
        <v>147724805.61353222</v>
      </c>
      <c r="W9" s="73">
        <f t="shared" si="2"/>
        <v>0.16484128300681228</v>
      </c>
      <c r="X9" s="89"/>
      <c r="Y9" s="65">
        <f>SUM(A:B!Y9)</f>
        <v>12921701.52</v>
      </c>
      <c r="Z9" s="65">
        <f>SUM(A:B!Z9)</f>
        <v>12420215.196480002</v>
      </c>
      <c r="AA9" s="65">
        <f>SUM(A:B!AA9)</f>
        <v>13411608.743636813</v>
      </c>
      <c r="AB9" s="65">
        <f>SUM(A:B!AB9)</f>
        <v>12736668.716734434</v>
      </c>
      <c r="AC9" s="65">
        <f>SUM(A:B!AC9)</f>
        <v>13904947.457102239</v>
      </c>
      <c r="AD9" s="65">
        <f>SUM(A:B!AD9)</f>
        <v>14292866.383048516</v>
      </c>
      <c r="AE9" s="65">
        <f>SUM(A:B!AE9)</f>
        <v>14834428.236774337</v>
      </c>
      <c r="AF9" s="65">
        <f>SUM(A:B!AF9)</f>
        <v>13459330.488425752</v>
      </c>
      <c r="AG9" s="65">
        <f>SUM(A:B!AG9)</f>
        <v>14141422.135482352</v>
      </c>
      <c r="AH9" s="65">
        <f>SUM(A:B!AH9)</f>
        <v>14897856.949226284</v>
      </c>
      <c r="AI9" s="65">
        <f>SUM(A:B!AI9)</f>
        <v>14634837.749099595</v>
      </c>
      <c r="AJ9" s="65">
        <f>SUM(A:B!AJ9)</f>
        <v>13925549.18805391</v>
      </c>
      <c r="AK9" s="65">
        <f t="shared" si="6"/>
        <v>165581432.76406422</v>
      </c>
      <c r="AL9" s="73">
        <f t="shared" si="4"/>
        <v>0.1719115104008247</v>
      </c>
      <c r="AM9" s="14">
        <f t="shared" si="7"/>
        <v>0.12087764865467032</v>
      </c>
    </row>
    <row r="10" spans="1:39" ht="15" hidden="1" customHeight="1" outlineLevel="1">
      <c r="A10" s="12"/>
      <c r="B10" s="19"/>
      <c r="C10" s="19"/>
      <c r="D10" s="12"/>
      <c r="E10" s="20"/>
      <c r="F10" s="12"/>
      <c r="G10" s="12"/>
      <c r="H10" s="12"/>
      <c r="I10" s="117" t="s">
        <v>95</v>
      </c>
      <c r="J10" s="65">
        <f>SUM(A:B!J10)</f>
        <v>55926</v>
      </c>
      <c r="K10" s="65">
        <f>SUM(A:B!K10)</f>
        <v>60191</v>
      </c>
      <c r="L10" s="65">
        <f>SUM(A:B!L10)</f>
        <v>57829</v>
      </c>
      <c r="M10" s="65">
        <f>SUM(A:B!M10)</f>
        <v>62981</v>
      </c>
      <c r="N10" s="65">
        <f>SUM(A:B!N10)</f>
        <v>65966</v>
      </c>
      <c r="O10" s="65">
        <f>SUM(A:B!O10)</f>
        <v>64372</v>
      </c>
      <c r="P10" s="65">
        <f>SUM(A:B!P10)</f>
        <v>57869</v>
      </c>
      <c r="Q10" s="65">
        <f>SUM(A:B!Q10)</f>
        <v>59128</v>
      </c>
      <c r="R10" s="65">
        <f>SUM(A:B!R10)</f>
        <v>53472</v>
      </c>
      <c r="S10" s="65">
        <f>SUM(A:B!S10)</f>
        <v>61355.4</v>
      </c>
      <c r="T10" s="65">
        <f>SUM(A:B!T10)</f>
        <v>66319.199999999997</v>
      </c>
      <c r="U10" s="65">
        <f>SUM(A:B!U10)</f>
        <v>66823.199999999997</v>
      </c>
      <c r="V10" s="11">
        <f t="shared" si="5"/>
        <v>732231.79999999993</v>
      </c>
      <c r="W10" s="73">
        <f t="shared" si="2"/>
        <v>8.1707353662837203E-4</v>
      </c>
      <c r="X10" s="89"/>
      <c r="Y10" s="65">
        <f>SUM(A:B!Y10)</f>
        <v>74640</v>
      </c>
      <c r="Z10" s="65">
        <f>SUM(A:B!Z10)</f>
        <v>72000</v>
      </c>
      <c r="AA10" s="65">
        <f>SUM(A:B!AA10)</f>
        <v>95460</v>
      </c>
      <c r="AB10" s="65">
        <f>SUM(A:B!AB10)</f>
        <v>69720</v>
      </c>
      <c r="AC10" s="65">
        <f>SUM(A:B!AC10)</f>
        <v>75780</v>
      </c>
      <c r="AD10" s="65">
        <f>SUM(A:B!AD10)</f>
        <v>71100</v>
      </c>
      <c r="AE10" s="65">
        <f>SUM(A:B!AE10)</f>
        <v>71700</v>
      </c>
      <c r="AF10" s="65">
        <f>SUM(A:B!AF10)</f>
        <v>68580</v>
      </c>
      <c r="AG10" s="65">
        <f>SUM(A:B!AG10)</f>
        <v>69360</v>
      </c>
      <c r="AH10" s="65">
        <f>SUM(A:B!AH10)</f>
        <v>76320</v>
      </c>
      <c r="AI10" s="65">
        <f>SUM(A:B!AI10)</f>
        <v>78540</v>
      </c>
      <c r="AJ10" s="65">
        <f>SUM(A:B!AJ10)</f>
        <v>76260</v>
      </c>
      <c r="AK10" s="65">
        <f t="shared" si="6"/>
        <v>899460</v>
      </c>
      <c r="AL10" s="73">
        <f t="shared" si="4"/>
        <v>9.3384580966546791E-4</v>
      </c>
      <c r="AM10" s="14">
        <f t="shared" si="7"/>
        <v>0.22838150432690862</v>
      </c>
    </row>
    <row r="11" spans="1:39" ht="15" hidden="1" customHeight="1" outlineLevel="1">
      <c r="A11" s="12"/>
      <c r="B11" s="19"/>
      <c r="C11" s="19"/>
      <c r="D11" s="12"/>
      <c r="E11" s="20"/>
      <c r="F11" s="12"/>
      <c r="G11" s="12"/>
      <c r="H11" s="12"/>
      <c r="I11" s="214" t="s">
        <v>96</v>
      </c>
      <c r="J11" s="65">
        <f>SUM(A:B!J11)</f>
        <v>0</v>
      </c>
      <c r="K11" s="65">
        <f>SUM(A:B!K11)</f>
        <v>0</v>
      </c>
      <c r="L11" s="65">
        <f>SUM(A:B!L11)</f>
        <v>0</v>
      </c>
      <c r="M11" s="65">
        <f>SUM(A:B!M11)</f>
        <v>0</v>
      </c>
      <c r="N11" s="65">
        <f>SUM(A:B!N11)</f>
        <v>0</v>
      </c>
      <c r="O11" s="65">
        <f>SUM(A:B!O11)</f>
        <v>0</v>
      </c>
      <c r="P11" s="65">
        <f>SUM(A:B!P11)</f>
        <v>0</v>
      </c>
      <c r="Q11" s="65">
        <f>SUM(A:B!Q11)</f>
        <v>0</v>
      </c>
      <c r="R11" s="65">
        <f>SUM(A:B!R11)</f>
        <v>0</v>
      </c>
      <c r="S11" s="65">
        <f>SUM(A:B!S11)</f>
        <v>0</v>
      </c>
      <c r="T11" s="65">
        <f>SUM(A:B!T11)</f>
        <v>0</v>
      </c>
      <c r="U11" s="65">
        <f>SUM(A:B!U11)</f>
        <v>0</v>
      </c>
      <c r="V11" s="11">
        <f t="shared" si="5"/>
        <v>0</v>
      </c>
      <c r="W11" s="73">
        <f t="shared" si="2"/>
        <v>0</v>
      </c>
      <c r="X11" s="89"/>
      <c r="Y11" s="65">
        <f>SUM(A:B!Y11)</f>
        <v>0</v>
      </c>
      <c r="Z11" s="65">
        <f>SUM(A:B!Z11)</f>
        <v>0</v>
      </c>
      <c r="AA11" s="65">
        <f>SUM(A:B!AA11)</f>
        <v>0</v>
      </c>
      <c r="AB11" s="65">
        <f>SUM(A:B!AB11)</f>
        <v>0</v>
      </c>
      <c r="AC11" s="65">
        <f>SUM(A:B!AC11)</f>
        <v>0</v>
      </c>
      <c r="AD11" s="65">
        <f>SUM(A:B!AD11)</f>
        <v>0</v>
      </c>
      <c r="AE11" s="65">
        <f>SUM(A:B!AE11)</f>
        <v>0</v>
      </c>
      <c r="AF11" s="65">
        <f>SUM(A:B!AF11)</f>
        <v>0</v>
      </c>
      <c r="AG11" s="65">
        <f>SUM(A:B!AG11)</f>
        <v>0</v>
      </c>
      <c r="AH11" s="65">
        <f>SUM(A:B!AH11)</f>
        <v>0</v>
      </c>
      <c r="AI11" s="65">
        <f>SUM(A:B!AI11)</f>
        <v>0</v>
      </c>
      <c r="AJ11" s="65">
        <f>SUM(A:B!AJ11)</f>
        <v>0</v>
      </c>
      <c r="AK11" s="65">
        <f t="shared" si="6"/>
        <v>0</v>
      </c>
      <c r="AL11" s="73">
        <f t="shared" si="4"/>
        <v>0</v>
      </c>
      <c r="AM11" s="14">
        <f t="shared" si="7"/>
        <v>0</v>
      </c>
    </row>
    <row r="12" spans="1:39" ht="15" hidden="1" customHeight="1" outlineLevel="1">
      <c r="A12" s="12"/>
      <c r="B12" s="19"/>
      <c r="C12" s="19"/>
      <c r="D12" s="12"/>
      <c r="E12" s="20"/>
      <c r="F12" s="12"/>
      <c r="G12" s="12"/>
      <c r="H12" s="12"/>
      <c r="I12" s="117"/>
      <c r="J12" s="65">
        <f>SUM(A:B!J12)</f>
        <v>0</v>
      </c>
      <c r="K12" s="65">
        <f>SUM(A:B!K12)</f>
        <v>0</v>
      </c>
      <c r="L12" s="65">
        <f>SUM(A:B!L12)</f>
        <v>0</v>
      </c>
      <c r="M12" s="65">
        <f>SUM(A:B!M12)</f>
        <v>0</v>
      </c>
      <c r="N12" s="65">
        <f>SUM(A:B!N12)</f>
        <v>0</v>
      </c>
      <c r="O12" s="65">
        <f>SUM(A:B!O12)</f>
        <v>0</v>
      </c>
      <c r="P12" s="65">
        <f>SUM(A:B!P12)</f>
        <v>0</v>
      </c>
      <c r="Q12" s="65">
        <f>SUM(A:B!Q12)</f>
        <v>0</v>
      </c>
      <c r="R12" s="65">
        <f>SUM(A:B!R12)</f>
        <v>0</v>
      </c>
      <c r="S12" s="65">
        <f>SUM(A:B!S12)</f>
        <v>0</v>
      </c>
      <c r="T12" s="65">
        <f>SUM(A:B!T12)</f>
        <v>0</v>
      </c>
      <c r="U12" s="65">
        <f>SUM(A:B!U12)</f>
        <v>0</v>
      </c>
      <c r="V12" s="11">
        <f t="shared" si="5"/>
        <v>0</v>
      </c>
      <c r="W12" s="73">
        <f t="shared" si="2"/>
        <v>0</v>
      </c>
      <c r="X12" s="89"/>
      <c r="Y12" s="65">
        <f>SUM(A:B!Y12)</f>
        <v>0</v>
      </c>
      <c r="Z12" s="65">
        <f>SUM(A:B!Z12)</f>
        <v>0</v>
      </c>
      <c r="AA12" s="65">
        <f>SUM(A:B!AA12)</f>
        <v>0</v>
      </c>
      <c r="AB12" s="65">
        <f>SUM(A:B!AB12)</f>
        <v>0</v>
      </c>
      <c r="AC12" s="65">
        <f>SUM(A:B!AC12)</f>
        <v>0</v>
      </c>
      <c r="AD12" s="65">
        <f>SUM(A:B!AD12)</f>
        <v>0</v>
      </c>
      <c r="AE12" s="65">
        <f>SUM(A:B!AE12)</f>
        <v>0</v>
      </c>
      <c r="AF12" s="65">
        <f>SUM(A:B!AF12)</f>
        <v>0</v>
      </c>
      <c r="AG12" s="65">
        <f>SUM(A:B!AG12)</f>
        <v>0</v>
      </c>
      <c r="AH12" s="65">
        <f>SUM(A:B!AH12)</f>
        <v>0</v>
      </c>
      <c r="AI12" s="65">
        <f>SUM(A:B!AI12)</f>
        <v>0</v>
      </c>
      <c r="AJ12" s="65">
        <f>SUM(A:B!AJ12)</f>
        <v>0</v>
      </c>
      <c r="AK12" s="65">
        <f t="shared" si="6"/>
        <v>0</v>
      </c>
      <c r="AL12" s="73">
        <f t="shared" si="4"/>
        <v>0</v>
      </c>
      <c r="AM12" s="14">
        <f t="shared" si="7"/>
        <v>0</v>
      </c>
    </row>
    <row r="13" spans="1:39" collapsed="1">
      <c r="A13" s="12" t="s">
        <v>97</v>
      </c>
      <c r="B13" s="19"/>
      <c r="E13" s="7" t="s">
        <v>98</v>
      </c>
      <c r="I13" s="167" t="s">
        <v>99</v>
      </c>
      <c r="J13" s="15">
        <f>SUM(J14:J33)</f>
        <v>59783497</v>
      </c>
      <c r="K13" s="15">
        <f t="shared" ref="K13:U13" si="8">SUM(K14:K33)</f>
        <v>58274255</v>
      </c>
      <c r="L13" s="15">
        <f t="shared" si="8"/>
        <v>63406479</v>
      </c>
      <c r="M13" s="15">
        <f t="shared" si="8"/>
        <v>59049480</v>
      </c>
      <c r="N13" s="15">
        <f t="shared" si="8"/>
        <v>65462131</v>
      </c>
      <c r="O13" s="15">
        <f t="shared" si="8"/>
        <v>66797081</v>
      </c>
      <c r="P13" s="15">
        <f t="shared" si="8"/>
        <v>66311059</v>
      </c>
      <c r="Q13" s="15">
        <f t="shared" si="8"/>
        <v>61034025</v>
      </c>
      <c r="R13" s="15">
        <f t="shared" si="8"/>
        <v>62477554</v>
      </c>
      <c r="S13" s="15">
        <f t="shared" si="8"/>
        <v>67457807.417388022</v>
      </c>
      <c r="T13" s="15">
        <f t="shared" si="8"/>
        <v>69565854.767406508</v>
      </c>
      <c r="U13" s="15">
        <f t="shared" si="8"/>
        <v>68305764.897935823</v>
      </c>
      <c r="V13" s="15">
        <f>SUM(V14:V33)</f>
        <v>767924988.08273041</v>
      </c>
      <c r="W13" s="72">
        <f t="shared" si="2"/>
        <v>0.85690239877325325</v>
      </c>
      <c r="X13" s="89"/>
      <c r="Y13" s="15">
        <f>SUM(Y14:Y33)</f>
        <v>60165791.109999999</v>
      </c>
      <c r="Z13" s="15">
        <f t="shared" ref="Z13:AJ13" si="9">SUM(Z14:Z33)</f>
        <v>59829241.151287995</v>
      </c>
      <c r="AA13" s="15">
        <f t="shared" si="9"/>
        <v>66068704.436637588</v>
      </c>
      <c r="AB13" s="15">
        <f t="shared" si="9"/>
        <v>63509117.341157496</v>
      </c>
      <c r="AC13" s="15">
        <f t="shared" si="9"/>
        <v>72484085.346656069</v>
      </c>
      <c r="AD13" s="15">
        <f t="shared" si="9"/>
        <v>73043996.622472972</v>
      </c>
      <c r="AE13" s="15">
        <f t="shared" si="9"/>
        <v>72992851.263588473</v>
      </c>
      <c r="AF13" s="15">
        <f t="shared" si="9"/>
        <v>74396670.107022643</v>
      </c>
      <c r="AG13" s="15">
        <f t="shared" si="9"/>
        <v>74129574.874870017</v>
      </c>
      <c r="AH13" s="15">
        <f t="shared" si="9"/>
        <v>76116786.719820678</v>
      </c>
      <c r="AI13" s="15">
        <f t="shared" si="9"/>
        <v>74664445.605583861</v>
      </c>
      <c r="AJ13" s="15">
        <f t="shared" si="9"/>
        <v>71476883.539772868</v>
      </c>
      <c r="AK13" s="15">
        <f t="shared" si="6"/>
        <v>838878148.11887085</v>
      </c>
      <c r="AL13" s="72">
        <f t="shared" si="4"/>
        <v>0.87094795037103956</v>
      </c>
      <c r="AM13" s="10">
        <f t="shared" si="7"/>
        <v>9.2395951606274007E-2</v>
      </c>
    </row>
    <row r="14" spans="1:39" hidden="1" outlineLevel="1">
      <c r="A14" s="37" t="s">
        <v>97</v>
      </c>
      <c r="B14" s="39"/>
      <c r="C14" s="39" t="s">
        <v>100</v>
      </c>
      <c r="D14" s="37" t="s">
        <v>101</v>
      </c>
      <c r="E14" s="38"/>
      <c r="F14" s="37"/>
      <c r="G14" s="37"/>
      <c r="H14" s="37"/>
      <c r="I14" s="171" t="s">
        <v>102</v>
      </c>
      <c r="J14" s="65">
        <f>SUM(A:B!J14)</f>
        <v>54037503</v>
      </c>
      <c r="K14" s="65">
        <f>SUM(A:B!K14)</f>
        <v>52988836</v>
      </c>
      <c r="L14" s="65">
        <f>SUM(A:B!L14)</f>
        <v>58109663</v>
      </c>
      <c r="M14" s="65">
        <f>SUM(A:B!M14)</f>
        <v>54182667</v>
      </c>
      <c r="N14" s="65">
        <f>SUM(A:B!N14)</f>
        <v>61241981</v>
      </c>
      <c r="O14" s="65">
        <f>SUM(A:B!O14)</f>
        <v>60864148</v>
      </c>
      <c r="P14" s="65">
        <f>SUM(A:B!P14)</f>
        <v>59642077</v>
      </c>
      <c r="Q14" s="65">
        <f>SUM(A:B!Q14)</f>
        <v>56951729</v>
      </c>
      <c r="R14" s="65">
        <f>SUM(A:B!R14)</f>
        <v>57368004</v>
      </c>
      <c r="S14" s="65">
        <f>SUM(A:B!S14)</f>
        <v>59555392.517199472</v>
      </c>
      <c r="T14" s="65">
        <f>SUM(A:B!T14)</f>
        <v>54321586.985081956</v>
      </c>
      <c r="U14" s="65">
        <f>SUM(A:B!U14)</f>
        <v>53503308.565174222</v>
      </c>
      <c r="V14" s="11">
        <f t="shared" si="5"/>
        <v>682766896.06745565</v>
      </c>
      <c r="W14" s="73">
        <f t="shared" si="2"/>
        <v>0.7618772668198952</v>
      </c>
      <c r="X14" s="89"/>
      <c r="Y14" s="65">
        <f>SUM(A:B!Y14)</f>
        <v>43965152.07</v>
      </c>
      <c r="Z14" s="65">
        <f>SUM(A:B!Z14)</f>
        <v>43858766.963439994</v>
      </c>
      <c r="AA14" s="65">
        <f>SUM(A:B!AA14)</f>
        <v>48610578.482454181</v>
      </c>
      <c r="AB14" s="65">
        <f>SUM(A:B!AB14)</f>
        <v>46833763.341600031</v>
      </c>
      <c r="AC14" s="65">
        <f>SUM(A:B!AC14)</f>
        <v>53940556.53294763</v>
      </c>
      <c r="AD14" s="65">
        <f>SUM(A:B!AD14)</f>
        <v>53743510.523764744</v>
      </c>
      <c r="AE14" s="65">
        <f>SUM(A:B!AE14)</f>
        <v>53413436.587971464</v>
      </c>
      <c r="AF14" s="65">
        <f>SUM(A:B!AF14)</f>
        <v>55867225.93378675</v>
      </c>
      <c r="AG14" s="65">
        <f>SUM(A:B!AG14)</f>
        <v>55039674.8575707</v>
      </c>
      <c r="AH14" s="65">
        <f>SUM(A:B!AH14)</f>
        <v>56595564.015454821</v>
      </c>
      <c r="AI14" s="65">
        <f>SUM(A:B!AI14)</f>
        <v>55478985.102250747</v>
      </c>
      <c r="AJ14" s="65">
        <f>SUM(A:B!AJ14)</f>
        <v>53142544.947093666</v>
      </c>
      <c r="AK14" s="65">
        <f t="shared" si="6"/>
        <v>620489759.35833478</v>
      </c>
      <c r="AL14" s="73">
        <f t="shared" si="4"/>
        <v>0.6442107061093495</v>
      </c>
      <c r="AM14" s="14">
        <f t="shared" si="7"/>
        <v>-9.1212882563316389E-2</v>
      </c>
    </row>
    <row r="15" spans="1:39" hidden="1" outlineLevel="1">
      <c r="A15" s="37" t="s">
        <v>97</v>
      </c>
      <c r="B15" s="39"/>
      <c r="C15" s="39" t="s">
        <v>103</v>
      </c>
      <c r="D15" s="37" t="s">
        <v>104</v>
      </c>
      <c r="E15" s="38"/>
      <c r="F15" s="37"/>
      <c r="G15" s="37"/>
      <c r="H15" s="37"/>
      <c r="I15" s="172" t="s">
        <v>105</v>
      </c>
      <c r="J15" s="65">
        <f>SUM(A:B!J15)</f>
        <v>5319273</v>
      </c>
      <c r="K15" s="65">
        <f>SUM(A:B!K15)</f>
        <v>5477157</v>
      </c>
      <c r="L15" s="65">
        <f>SUM(A:B!L15)</f>
        <v>6024604</v>
      </c>
      <c r="M15" s="65">
        <f>SUM(A:B!M15)</f>
        <v>5759007</v>
      </c>
      <c r="N15" s="65">
        <f>SUM(A:B!N15)</f>
        <v>6417905</v>
      </c>
      <c r="O15" s="65">
        <f>SUM(A:B!O15)</f>
        <v>6709392</v>
      </c>
      <c r="P15" s="65">
        <f>SUM(A:B!P15)</f>
        <v>6539768</v>
      </c>
      <c r="Q15" s="65">
        <f>SUM(A:B!Q15)</f>
        <v>4716580</v>
      </c>
      <c r="R15" s="65">
        <f>SUM(A:B!R15)</f>
        <v>5503630</v>
      </c>
      <c r="S15" s="65">
        <f>SUM(A:B!S15)</f>
        <v>6336060</v>
      </c>
      <c r="T15" s="65">
        <f>SUM(A:B!T15)</f>
        <v>5363980.7730164351</v>
      </c>
      <c r="U15" s="65">
        <f>SUM(A:B!U15)</f>
        <v>5274244.5487260567</v>
      </c>
      <c r="V15" s="11">
        <f t="shared" si="5"/>
        <v>69441601.32174249</v>
      </c>
      <c r="W15" s="73">
        <f t="shared" si="2"/>
        <v>7.7487613595986382E-2</v>
      </c>
      <c r="X15" s="89"/>
      <c r="Y15" s="65">
        <f>SUM(A:B!Y15)</f>
        <v>4659126.84</v>
      </c>
      <c r="Z15" s="65">
        <f>SUM(A:B!Z15)</f>
        <v>4832868.1913680006</v>
      </c>
      <c r="AA15" s="65">
        <f>SUM(A:B!AA15)</f>
        <v>5459075.1605465924</v>
      </c>
      <c r="AB15" s="65">
        <f>SUM(A:B!AB15)</f>
        <v>5216593.8828230342</v>
      </c>
      <c r="AC15" s="65">
        <f>SUM(A:B!AC15)</f>
        <v>6098775.5566061949</v>
      </c>
      <c r="AD15" s="65">
        <f>SUM(A:B!AD15)</f>
        <v>6452141.9656597171</v>
      </c>
      <c r="AE15" s="65">
        <f>SUM(A:B!AE15)</f>
        <v>6245227.5888426714</v>
      </c>
      <c r="AF15" s="65">
        <f>SUM(A:B!AF15)</f>
        <v>6398892.3648101427</v>
      </c>
      <c r="AG15" s="65">
        <f>SUM(A:B!AG15)</f>
        <v>6347553.3418169618</v>
      </c>
      <c r="AH15" s="65">
        <f>SUM(A:B!AH15)</f>
        <v>6067245.9951395709</v>
      </c>
      <c r="AI15" s="65">
        <f>SUM(A:B!AI15)</f>
        <v>5940787.7542335168</v>
      </c>
      <c r="AJ15" s="65">
        <f>SUM(A:B!AJ15)</f>
        <v>5685605.9346252894</v>
      </c>
      <c r="AK15" s="65">
        <f t="shared" si="6"/>
        <v>69403894.576471686</v>
      </c>
      <c r="AL15" s="73">
        <f t="shared" si="4"/>
        <v>7.2057163325441903E-2</v>
      </c>
      <c r="AM15" s="14">
        <f t="shared" si="7"/>
        <v>-5.4299936281854144E-4</v>
      </c>
    </row>
    <row r="16" spans="1:39" hidden="1" outlineLevel="1">
      <c r="A16" s="37" t="s">
        <v>97</v>
      </c>
      <c r="B16" s="39"/>
      <c r="C16" s="39" t="s">
        <v>106</v>
      </c>
      <c r="D16" s="37" t="s">
        <v>107</v>
      </c>
      <c r="E16" s="38"/>
      <c r="F16" s="37"/>
      <c r="G16" s="37"/>
      <c r="H16" s="37"/>
      <c r="I16" s="167" t="s">
        <v>5</v>
      </c>
      <c r="J16" s="65">
        <f>SUM(A:B!J16)</f>
        <v>10212607</v>
      </c>
      <c r="K16" s="65">
        <f>SUM(A:B!K16)</f>
        <v>10010596</v>
      </c>
      <c r="L16" s="65">
        <f>SUM(A:B!L16)</f>
        <v>10864455</v>
      </c>
      <c r="M16" s="65">
        <f>SUM(A:B!M16)</f>
        <v>9847047</v>
      </c>
      <c r="N16" s="65">
        <f>SUM(A:B!N16)</f>
        <v>11207696</v>
      </c>
      <c r="O16" s="65">
        <f>SUM(A:B!O16)</f>
        <v>12305498</v>
      </c>
      <c r="P16" s="65">
        <f>SUM(A:B!P16)</f>
        <v>12857250</v>
      </c>
      <c r="Q16" s="65">
        <f>SUM(A:B!Q16)</f>
        <v>10940446</v>
      </c>
      <c r="R16" s="65">
        <f>SUM(A:B!R16)</f>
        <v>11564167</v>
      </c>
      <c r="S16" s="65">
        <f>SUM(A:B!S16)</f>
        <v>12472838.360188544</v>
      </c>
      <c r="T16" s="65">
        <f>SUM(A:B!T16)</f>
        <v>9823915.6893081274</v>
      </c>
      <c r="U16" s="65">
        <f>SUM(A:B!U16)</f>
        <v>9471412.0640355423</v>
      </c>
      <c r="V16" s="11">
        <f t="shared" si="5"/>
        <v>131577928.11353222</v>
      </c>
      <c r="W16" s="73">
        <f t="shared" si="2"/>
        <v>0.14682351007694214</v>
      </c>
      <c r="X16" s="89"/>
      <c r="Y16" s="65">
        <f>SUM(A:B!Y16)</f>
        <v>11478068.200000001</v>
      </c>
      <c r="Z16" s="65">
        <f>SUM(A:B!Z16)</f>
        <v>11076405.996480001</v>
      </c>
      <c r="AA16" s="65">
        <f>SUM(A:B!AA16)</f>
        <v>11917909.793636814</v>
      </c>
      <c r="AB16" s="65">
        <f>SUM(A:B!AB16)</f>
        <v>11399498.116734434</v>
      </c>
      <c r="AC16" s="65">
        <f>SUM(A:B!AC16)</f>
        <v>12380340.257102238</v>
      </c>
      <c r="AD16" s="65">
        <f>SUM(A:B!AD16)</f>
        <v>12787909.133048516</v>
      </c>
      <c r="AE16" s="65">
        <f>SUM(A:B!AE16)</f>
        <v>13273242.086774338</v>
      </c>
      <c r="AF16" s="65">
        <f>SUM(A:B!AF16)</f>
        <v>12072258.808425754</v>
      </c>
      <c r="AG16" s="65">
        <f>SUM(A:B!AG16)</f>
        <v>12683390.675482353</v>
      </c>
      <c r="AH16" s="65">
        <f>SUM(A:B!AH16)</f>
        <v>13389104.709226284</v>
      </c>
      <c r="AI16" s="65">
        <f>SUM(A:B!AI16)</f>
        <v>13177913.749099597</v>
      </c>
      <c r="AJ16" s="65">
        <f>SUM(A:B!AJ16)</f>
        <v>12583911.65805391</v>
      </c>
      <c r="AK16" s="65">
        <f t="shared" si="6"/>
        <v>148219953.18406424</v>
      </c>
      <c r="AL16" s="73">
        <f t="shared" si="4"/>
        <v>0.15388631199803238</v>
      </c>
      <c r="AM16" s="14">
        <f t="shared" si="7"/>
        <v>0.12648037029563519</v>
      </c>
    </row>
    <row r="17" spans="1:39" hidden="1" outlineLevel="1">
      <c r="A17" s="37" t="s">
        <v>97</v>
      </c>
      <c r="B17" s="39"/>
      <c r="C17" s="39" t="s">
        <v>108</v>
      </c>
      <c r="D17" s="37"/>
      <c r="E17" s="38"/>
      <c r="F17" s="37"/>
      <c r="G17" s="37"/>
      <c r="H17" s="37"/>
      <c r="I17" s="171" t="s">
        <v>109</v>
      </c>
      <c r="J17" s="65">
        <f>SUM(A:B!J17)</f>
        <v>667991</v>
      </c>
      <c r="K17" s="65">
        <f>SUM(A:B!K17)</f>
        <v>194258</v>
      </c>
      <c r="L17" s="65">
        <f>SUM(A:B!L17)</f>
        <v>95173</v>
      </c>
      <c r="M17" s="65">
        <f>SUM(A:B!M17)</f>
        <v>32472</v>
      </c>
      <c r="N17" s="65">
        <f>SUM(A:B!N17)</f>
        <v>0</v>
      </c>
      <c r="O17" s="65">
        <f>SUM(A:B!O17)</f>
        <v>0</v>
      </c>
      <c r="P17" s="65">
        <f>SUM(A:B!P17)</f>
        <v>0</v>
      </c>
      <c r="Q17" s="65">
        <f>SUM(A:B!Q17)</f>
        <v>0</v>
      </c>
      <c r="R17" s="65">
        <f>SUM(A:B!R17)</f>
        <v>0</v>
      </c>
      <c r="S17" s="65">
        <f>SUM(A:B!S17)</f>
        <v>0</v>
      </c>
      <c r="T17" s="65">
        <f>SUM(A:B!T17)</f>
        <v>0</v>
      </c>
      <c r="U17" s="65">
        <f>SUM(A:B!U17)</f>
        <v>0</v>
      </c>
      <c r="V17" s="11">
        <f t="shared" si="5"/>
        <v>989894</v>
      </c>
      <c r="W17" s="73">
        <f t="shared" si="2"/>
        <v>1.1045903653285828E-3</v>
      </c>
      <c r="X17" s="89"/>
      <c r="Y17" s="65">
        <f>SUM(A:B!Y17)</f>
        <v>0</v>
      </c>
      <c r="Z17" s="65">
        <f>SUM(A:B!Z17)</f>
        <v>0</v>
      </c>
      <c r="AA17" s="65">
        <f>SUM(A:B!AA17)</f>
        <v>0</v>
      </c>
      <c r="AB17" s="65">
        <f>SUM(A:B!AB17)</f>
        <v>0</v>
      </c>
      <c r="AC17" s="65">
        <f>SUM(A:B!AC17)</f>
        <v>0</v>
      </c>
      <c r="AD17" s="65">
        <f>SUM(A:B!AD17)</f>
        <v>0</v>
      </c>
      <c r="AE17" s="65">
        <f>SUM(A:B!AE17)</f>
        <v>0</v>
      </c>
      <c r="AF17" s="65">
        <f>SUM(A:B!AF17)</f>
        <v>0</v>
      </c>
      <c r="AG17" s="65">
        <f>SUM(A:B!AG17)</f>
        <v>0</v>
      </c>
      <c r="AH17" s="65">
        <f>SUM(A:B!AH17)</f>
        <v>0</v>
      </c>
      <c r="AI17" s="65">
        <f>SUM(A:B!AI17)</f>
        <v>0</v>
      </c>
      <c r="AJ17" s="65">
        <f>SUM(A:B!AJ17)</f>
        <v>0</v>
      </c>
      <c r="AK17" s="65">
        <f t="shared" si="6"/>
        <v>0</v>
      </c>
      <c r="AL17" s="73">
        <f t="shared" si="4"/>
        <v>0</v>
      </c>
      <c r="AM17" s="14">
        <f t="shared" si="7"/>
        <v>-1</v>
      </c>
    </row>
    <row r="18" spans="1:39" hidden="1" outlineLevel="1">
      <c r="A18" s="37" t="s">
        <v>97</v>
      </c>
      <c r="B18" s="39"/>
      <c r="C18" s="39" t="s">
        <v>110</v>
      </c>
      <c r="D18" s="37"/>
      <c r="E18" s="38"/>
      <c r="F18" s="37"/>
      <c r="G18" s="37"/>
      <c r="H18" s="37"/>
      <c r="I18" s="172" t="s">
        <v>111</v>
      </c>
      <c r="J18" s="65">
        <f>SUM(A:B!J18)</f>
        <v>112597</v>
      </c>
      <c r="K18" s="65">
        <f>SUM(A:B!K18)</f>
        <v>32019</v>
      </c>
      <c r="L18" s="65">
        <f>SUM(A:B!L18)</f>
        <v>-1798</v>
      </c>
      <c r="M18" s="65">
        <f>SUM(A:B!M18)</f>
        <v>5421</v>
      </c>
      <c r="N18" s="65">
        <f>SUM(A:B!N18)</f>
        <v>1054</v>
      </c>
      <c r="O18" s="65">
        <f>SUM(A:B!O18)</f>
        <v>0</v>
      </c>
      <c r="P18" s="65">
        <f>SUM(A:B!P18)</f>
        <v>4980</v>
      </c>
      <c r="Q18" s="65">
        <f>SUM(A:B!Q18)</f>
        <v>0</v>
      </c>
      <c r="R18" s="65">
        <f>SUM(A:B!R18)</f>
        <v>10470</v>
      </c>
      <c r="S18" s="65">
        <f>SUM(A:B!S18)</f>
        <v>11452</v>
      </c>
      <c r="T18" s="65">
        <f>SUM(A:B!T18)</f>
        <v>0</v>
      </c>
      <c r="U18" s="65">
        <f>SUM(A:B!U18)</f>
        <v>0</v>
      </c>
      <c r="V18" s="11">
        <f t="shared" si="5"/>
        <v>176195</v>
      </c>
      <c r="W18" s="73">
        <f t="shared" si="2"/>
        <v>1.9661024253007862E-4</v>
      </c>
      <c r="X18" s="89"/>
      <c r="Y18" s="65">
        <f>SUM(A:B!Y18)</f>
        <v>0</v>
      </c>
      <c r="Z18" s="65">
        <f>SUM(A:B!Z18)</f>
        <v>0</v>
      </c>
      <c r="AA18" s="65">
        <f>SUM(A:B!AA18)</f>
        <v>0</v>
      </c>
      <c r="AB18" s="65">
        <f>SUM(A:B!AB18)</f>
        <v>0</v>
      </c>
      <c r="AC18" s="65">
        <f>SUM(A:B!AC18)</f>
        <v>0</v>
      </c>
      <c r="AD18" s="65">
        <f>SUM(A:B!AD18)</f>
        <v>0</v>
      </c>
      <c r="AE18" s="65">
        <f>SUM(A:B!AE18)</f>
        <v>0</v>
      </c>
      <c r="AF18" s="65">
        <f>SUM(A:B!AF18)</f>
        <v>0</v>
      </c>
      <c r="AG18" s="65">
        <f>SUM(A:B!AG18)</f>
        <v>0</v>
      </c>
      <c r="AH18" s="65">
        <f>SUM(A:B!AH18)</f>
        <v>0</v>
      </c>
      <c r="AI18" s="65">
        <f>SUM(A:B!AI18)</f>
        <v>0</v>
      </c>
      <c r="AJ18" s="65">
        <f>SUM(A:B!AJ18)</f>
        <v>0</v>
      </c>
      <c r="AK18" s="65">
        <f t="shared" si="6"/>
        <v>0</v>
      </c>
      <c r="AL18" s="73">
        <f t="shared" si="4"/>
        <v>0</v>
      </c>
      <c r="AM18" s="14">
        <f t="shared" si="7"/>
        <v>-1</v>
      </c>
    </row>
    <row r="19" spans="1:39" hidden="1" outlineLevel="1">
      <c r="A19" s="37" t="s">
        <v>97</v>
      </c>
      <c r="B19" s="39"/>
      <c r="C19" s="39" t="s">
        <v>112</v>
      </c>
      <c r="D19" s="37"/>
      <c r="E19" s="38"/>
      <c r="F19" s="37"/>
      <c r="G19" s="37"/>
      <c r="H19" s="37"/>
      <c r="I19" s="167" t="s">
        <v>113</v>
      </c>
      <c r="J19" s="65">
        <f>SUM(A:B!J19)</f>
        <v>852</v>
      </c>
      <c r="K19" s="65">
        <f>SUM(A:B!K19)</f>
        <v>0</v>
      </c>
      <c r="L19" s="65">
        <f>SUM(A:B!L19)</f>
        <v>302</v>
      </c>
      <c r="M19" s="65">
        <f>SUM(A:B!M19)</f>
        <v>384</v>
      </c>
      <c r="N19" s="65">
        <f>SUM(A:B!N19)</f>
        <v>1771</v>
      </c>
      <c r="O19" s="65">
        <f>SUM(A:B!O19)</f>
        <v>0</v>
      </c>
      <c r="P19" s="65">
        <f>SUM(A:B!P19)</f>
        <v>0</v>
      </c>
      <c r="Q19" s="65">
        <f>SUM(A:B!Q19)</f>
        <v>9479</v>
      </c>
      <c r="R19" s="65">
        <f>SUM(A:B!R19)</f>
        <v>0</v>
      </c>
      <c r="S19" s="65">
        <f>SUM(A:B!S19)</f>
        <v>2184</v>
      </c>
      <c r="T19" s="65">
        <f>SUM(A:B!T19)</f>
        <v>0</v>
      </c>
      <c r="U19" s="65">
        <f>SUM(A:B!U19)</f>
        <v>0</v>
      </c>
      <c r="V19" s="11">
        <f t="shared" si="5"/>
        <v>14972</v>
      </c>
      <c r="W19" s="73">
        <f t="shared" si="2"/>
        <v>1.6706765522065537E-5</v>
      </c>
      <c r="X19" s="89"/>
      <c r="Y19" s="65">
        <f>SUM(A:B!Y19)</f>
        <v>0</v>
      </c>
      <c r="Z19" s="65">
        <f>SUM(A:B!Z19)</f>
        <v>0</v>
      </c>
      <c r="AA19" s="65">
        <f>SUM(A:B!AA19)</f>
        <v>0</v>
      </c>
      <c r="AB19" s="65">
        <f>SUM(A:B!AB19)</f>
        <v>0</v>
      </c>
      <c r="AC19" s="65">
        <f>SUM(A:B!AC19)</f>
        <v>0</v>
      </c>
      <c r="AD19" s="65">
        <f>SUM(A:B!AD19)</f>
        <v>0</v>
      </c>
      <c r="AE19" s="65">
        <f>SUM(A:B!AE19)</f>
        <v>0</v>
      </c>
      <c r="AF19" s="65">
        <f>SUM(A:B!AF19)</f>
        <v>0</v>
      </c>
      <c r="AG19" s="65">
        <f>SUM(A:B!AG19)</f>
        <v>0</v>
      </c>
      <c r="AH19" s="65">
        <f>SUM(A:B!AH19)</f>
        <v>0</v>
      </c>
      <c r="AI19" s="65">
        <f>SUM(A:B!AI19)</f>
        <v>0</v>
      </c>
      <c r="AJ19" s="65">
        <f>SUM(A:B!AJ19)</f>
        <v>0</v>
      </c>
      <c r="AK19" s="65">
        <f t="shared" si="6"/>
        <v>0</v>
      </c>
      <c r="AL19" s="73">
        <f t="shared" si="4"/>
        <v>0</v>
      </c>
      <c r="AM19" s="14">
        <f t="shared" si="7"/>
        <v>-1</v>
      </c>
    </row>
    <row r="20" spans="1:39" hidden="1" outlineLevel="1">
      <c r="A20" s="37"/>
      <c r="B20" s="39"/>
      <c r="C20" s="39"/>
      <c r="D20" s="37"/>
      <c r="E20" s="38"/>
      <c r="F20" s="37"/>
      <c r="G20" s="37"/>
      <c r="H20" s="37"/>
      <c r="I20" s="167" t="s">
        <v>114</v>
      </c>
      <c r="J20" s="65">
        <f>SUM(A:B!J20)</f>
        <v>0</v>
      </c>
      <c r="K20" s="65">
        <f>SUM(A:B!K20)</f>
        <v>-29285</v>
      </c>
      <c r="L20" s="65">
        <f>SUM(A:B!L20)</f>
        <v>-144224</v>
      </c>
      <c r="M20" s="65">
        <f>SUM(A:B!M20)</f>
        <v>-252600</v>
      </c>
      <c r="N20" s="65">
        <f>SUM(A:B!N20)</f>
        <v>-542629</v>
      </c>
      <c r="O20" s="65">
        <f>SUM(A:B!O20)</f>
        <v>-772168</v>
      </c>
      <c r="P20" s="65">
        <f>SUM(A:B!P20)</f>
        <v>-628594</v>
      </c>
      <c r="Q20" s="65">
        <f>SUM(A:B!Q20)</f>
        <v>-417439</v>
      </c>
      <c r="R20" s="65">
        <f>SUM(A:B!R20)</f>
        <v>-568617</v>
      </c>
      <c r="S20" s="65">
        <f>SUM(A:B!S20)</f>
        <v>-462556</v>
      </c>
      <c r="T20" s="65">
        <f>SUM(A:B!T20)</f>
        <v>0</v>
      </c>
      <c r="U20" s="65">
        <f>SUM(A:B!U20)</f>
        <v>0</v>
      </c>
      <c r="V20" s="11">
        <f t="shared" si="5"/>
        <v>-3818112</v>
      </c>
      <c r="W20" s="73">
        <f t="shared" si="2"/>
        <v>-4.2605064066914703E-3</v>
      </c>
      <c r="X20" s="89"/>
      <c r="Y20" s="65">
        <f>SUM(A:B!Y20)</f>
        <v>0</v>
      </c>
      <c r="Z20" s="65">
        <f>SUM(A:B!Z20)</f>
        <v>0</v>
      </c>
      <c r="AA20" s="65">
        <f>SUM(A:B!AA20)</f>
        <v>0</v>
      </c>
      <c r="AB20" s="65">
        <f>SUM(A:B!AB20)</f>
        <v>0</v>
      </c>
      <c r="AC20" s="65">
        <f>SUM(A:B!AC20)</f>
        <v>0</v>
      </c>
      <c r="AD20" s="65">
        <f>SUM(A:B!AD20)</f>
        <v>0</v>
      </c>
      <c r="AE20" s="65">
        <f>SUM(A:B!AE20)</f>
        <v>0</v>
      </c>
      <c r="AF20" s="65">
        <f>SUM(A:B!AF20)</f>
        <v>0</v>
      </c>
      <c r="AG20" s="65">
        <f>SUM(A:B!AG20)</f>
        <v>0</v>
      </c>
      <c r="AH20" s="65">
        <f>SUM(A:B!AH20)</f>
        <v>0</v>
      </c>
      <c r="AI20" s="65">
        <f>SUM(A:B!AI20)</f>
        <v>0</v>
      </c>
      <c r="AJ20" s="65">
        <f>SUM(A:B!AJ20)</f>
        <v>0</v>
      </c>
      <c r="AK20" s="65">
        <f t="shared" si="6"/>
        <v>0</v>
      </c>
      <c r="AL20" s="73">
        <f t="shared" si="4"/>
        <v>0</v>
      </c>
      <c r="AM20" s="14">
        <f t="shared" si="7"/>
        <v>-1</v>
      </c>
    </row>
    <row r="21" spans="1:39" hidden="1" outlineLevel="1">
      <c r="A21" s="37"/>
      <c r="B21" s="39"/>
      <c r="C21" s="39"/>
      <c r="D21" s="37"/>
      <c r="E21" s="38"/>
      <c r="F21" s="37"/>
      <c r="G21" s="37"/>
      <c r="H21" s="37"/>
      <c r="I21" s="167" t="s">
        <v>115</v>
      </c>
      <c r="J21" s="65">
        <f>SUM(A:B!J21)</f>
        <v>-11558</v>
      </c>
      <c r="K21" s="65">
        <f>SUM(A:B!K21)</f>
        <v>-10191</v>
      </c>
      <c r="L21" s="65">
        <f>SUM(A:B!L21)</f>
        <v>-23886</v>
      </c>
      <c r="M21" s="65">
        <f>SUM(A:B!M21)</f>
        <v>-25404</v>
      </c>
      <c r="N21" s="65">
        <f>SUM(A:B!N21)</f>
        <v>-70527</v>
      </c>
      <c r="O21" s="65">
        <f>SUM(A:B!O21)</f>
        <v>-88473</v>
      </c>
      <c r="P21" s="65">
        <f>SUM(A:B!P21)</f>
        <v>-75995</v>
      </c>
      <c r="Q21" s="65">
        <f>SUM(A:B!Q21)</f>
        <v>-29922</v>
      </c>
      <c r="R21" s="65">
        <f>SUM(A:B!R21)</f>
        <v>-40605</v>
      </c>
      <c r="S21" s="65">
        <f>SUM(A:B!S21)</f>
        <v>-35220</v>
      </c>
      <c r="T21" s="65">
        <f>SUM(A:B!T21)</f>
        <v>0</v>
      </c>
      <c r="U21" s="65">
        <f>SUM(A:B!U21)</f>
        <v>0</v>
      </c>
      <c r="V21" s="11">
        <f t="shared" si="5"/>
        <v>-411781</v>
      </c>
      <c r="W21" s="73">
        <f t="shared" si="2"/>
        <v>-4.594929610901462E-4</v>
      </c>
      <c r="X21" s="89"/>
      <c r="Y21" s="65">
        <f>SUM(A:B!Y21)</f>
        <v>0</v>
      </c>
      <c r="Z21" s="65">
        <f>SUM(A:B!Z21)</f>
        <v>0</v>
      </c>
      <c r="AA21" s="65">
        <f>SUM(A:B!AA21)</f>
        <v>0</v>
      </c>
      <c r="AB21" s="65">
        <f>SUM(A:B!AB21)</f>
        <v>0</v>
      </c>
      <c r="AC21" s="65">
        <f>SUM(A:B!AC21)</f>
        <v>0</v>
      </c>
      <c r="AD21" s="65">
        <f>SUM(A:B!AD21)</f>
        <v>0</v>
      </c>
      <c r="AE21" s="65">
        <f>SUM(A:B!AE21)</f>
        <v>0</v>
      </c>
      <c r="AF21" s="65">
        <f>SUM(A:B!AF21)</f>
        <v>0</v>
      </c>
      <c r="AG21" s="65">
        <f>SUM(A:B!AG21)</f>
        <v>0</v>
      </c>
      <c r="AH21" s="65">
        <f>SUM(A:B!AH21)</f>
        <v>0</v>
      </c>
      <c r="AI21" s="65">
        <f>SUM(A:B!AI21)</f>
        <v>0</v>
      </c>
      <c r="AJ21" s="65">
        <f>SUM(A:B!AJ21)</f>
        <v>0</v>
      </c>
      <c r="AK21" s="65">
        <f t="shared" si="6"/>
        <v>0</v>
      </c>
      <c r="AL21" s="73">
        <f t="shared" si="4"/>
        <v>0</v>
      </c>
      <c r="AM21" s="14">
        <f t="shared" si="7"/>
        <v>-1</v>
      </c>
    </row>
    <row r="22" spans="1:39" hidden="1" outlineLevel="1">
      <c r="A22" s="37"/>
      <c r="B22" s="39"/>
      <c r="C22" s="39"/>
      <c r="D22" s="37"/>
      <c r="E22" s="38"/>
      <c r="F22" s="37"/>
      <c r="G22" s="37"/>
      <c r="H22" s="37"/>
      <c r="I22" s="167" t="s">
        <v>116</v>
      </c>
      <c r="J22" s="65">
        <f>SUM(A:B!J22)</f>
        <v>-59339</v>
      </c>
      <c r="K22" s="65">
        <f>SUM(A:B!K22)</f>
        <v>-93897</v>
      </c>
      <c r="L22" s="65">
        <f>SUM(A:B!L22)</f>
        <v>-118699</v>
      </c>
      <c r="M22" s="65">
        <f>SUM(A:B!M22)</f>
        <v>-121515</v>
      </c>
      <c r="N22" s="65">
        <f>SUM(A:B!N22)</f>
        <v>-185372</v>
      </c>
      <c r="O22" s="65">
        <f>SUM(A:B!O22)</f>
        <v>-209250</v>
      </c>
      <c r="P22" s="65">
        <f>SUM(A:B!P22)</f>
        <v>-242095</v>
      </c>
      <c r="Q22" s="65">
        <f>SUM(A:B!Q22)</f>
        <v>-81498</v>
      </c>
      <c r="R22" s="65">
        <f>SUM(A:B!R22)</f>
        <v>-262758</v>
      </c>
      <c r="S22" s="65">
        <f>SUM(A:B!S22)</f>
        <v>-141507</v>
      </c>
      <c r="T22" s="65">
        <f>SUM(A:B!T22)</f>
        <v>0</v>
      </c>
      <c r="U22" s="65">
        <f>SUM(A:B!U22)</f>
        <v>0</v>
      </c>
      <c r="V22" s="11">
        <f t="shared" si="5"/>
        <v>-1515930</v>
      </c>
      <c r="W22" s="73">
        <f t="shared" si="2"/>
        <v>-1.6915767471189426E-3</v>
      </c>
      <c r="X22" s="89"/>
      <c r="Y22" s="65">
        <f>SUM(A:B!Y22)</f>
        <v>0</v>
      </c>
      <c r="Z22" s="65">
        <f>SUM(A:B!Z22)</f>
        <v>0</v>
      </c>
      <c r="AA22" s="65">
        <f>SUM(A:B!AA22)</f>
        <v>0</v>
      </c>
      <c r="AB22" s="65">
        <f>SUM(A:B!AB22)</f>
        <v>0</v>
      </c>
      <c r="AC22" s="65">
        <f>SUM(A:B!AC22)</f>
        <v>0</v>
      </c>
      <c r="AD22" s="65">
        <f>SUM(A:B!AD22)</f>
        <v>0</v>
      </c>
      <c r="AE22" s="65">
        <f>SUM(A:B!AE22)</f>
        <v>0</v>
      </c>
      <c r="AF22" s="65">
        <f>SUM(A:B!AF22)</f>
        <v>0</v>
      </c>
      <c r="AG22" s="65">
        <f>SUM(A:B!AG22)</f>
        <v>0</v>
      </c>
      <c r="AH22" s="65">
        <f>SUM(A:B!AH22)</f>
        <v>0</v>
      </c>
      <c r="AI22" s="65">
        <f>SUM(A:B!AI22)</f>
        <v>0</v>
      </c>
      <c r="AJ22" s="65">
        <f>SUM(A:B!AJ22)</f>
        <v>0</v>
      </c>
      <c r="AK22" s="65">
        <f t="shared" si="6"/>
        <v>0</v>
      </c>
      <c r="AL22" s="73">
        <f t="shared" si="4"/>
        <v>0</v>
      </c>
      <c r="AM22" s="14">
        <f t="shared" si="7"/>
        <v>-1</v>
      </c>
    </row>
    <row r="23" spans="1:39" hidden="1" outlineLevel="1">
      <c r="A23" s="37" t="s">
        <v>97</v>
      </c>
      <c r="B23" s="39"/>
      <c r="C23" s="39" t="s">
        <v>117</v>
      </c>
      <c r="D23" s="37" t="s">
        <v>118</v>
      </c>
      <c r="E23" s="38"/>
      <c r="F23" s="37"/>
      <c r="G23" s="37"/>
      <c r="H23" s="37"/>
      <c r="I23" s="171" t="s">
        <v>119</v>
      </c>
      <c r="J23" s="65">
        <f>SUM(A:B!J23)</f>
        <v>110309</v>
      </c>
      <c r="K23" s="65">
        <f>SUM(A:B!K23)</f>
        <v>183033</v>
      </c>
      <c r="L23" s="65">
        <f>SUM(A:B!L23)</f>
        <v>118902</v>
      </c>
      <c r="M23" s="65">
        <f>SUM(A:B!M23)</f>
        <v>491588</v>
      </c>
      <c r="N23" s="65">
        <f>SUM(A:B!N23)</f>
        <v>-240501</v>
      </c>
      <c r="O23" s="65">
        <f>SUM(A:B!O23)</f>
        <v>129867</v>
      </c>
      <c r="P23" s="65">
        <f>SUM(A:B!P23)</f>
        <v>132184</v>
      </c>
      <c r="Q23" s="65">
        <f>SUM(A:B!Q23)</f>
        <v>108896</v>
      </c>
      <c r="R23" s="65">
        <f>SUM(A:B!R23)</f>
        <v>132792</v>
      </c>
      <c r="S23" s="65">
        <f>SUM(A:B!S23)</f>
        <v>105932</v>
      </c>
      <c r="T23" s="65">
        <f>SUM(A:B!T23)</f>
        <v>0</v>
      </c>
      <c r="U23" s="65">
        <f>SUM(A:B!U23)</f>
        <v>0</v>
      </c>
      <c r="V23" s="11">
        <f t="shared" si="5"/>
        <v>1273002</v>
      </c>
      <c r="W23" s="73">
        <f t="shared" si="2"/>
        <v>1.4205013306919899E-3</v>
      </c>
      <c r="X23" s="89"/>
      <c r="Y23" s="65">
        <f>SUM(A:B!Y23)</f>
        <v>0</v>
      </c>
      <c r="Z23" s="65">
        <f>SUM(A:B!Z23)</f>
        <v>0</v>
      </c>
      <c r="AA23" s="65">
        <f>SUM(A:B!AA23)</f>
        <v>0</v>
      </c>
      <c r="AB23" s="65">
        <f>SUM(A:B!AB23)</f>
        <v>0</v>
      </c>
      <c r="AC23" s="65">
        <f>SUM(A:B!AC23)</f>
        <v>0</v>
      </c>
      <c r="AD23" s="65">
        <f>SUM(A:B!AD23)</f>
        <v>0</v>
      </c>
      <c r="AE23" s="65">
        <f>SUM(A:B!AE23)</f>
        <v>0</v>
      </c>
      <c r="AF23" s="65">
        <f>SUM(A:B!AF23)</f>
        <v>0</v>
      </c>
      <c r="AG23" s="65">
        <f>SUM(A:B!AG23)</f>
        <v>0</v>
      </c>
      <c r="AH23" s="65">
        <f>SUM(A:B!AH23)</f>
        <v>0</v>
      </c>
      <c r="AI23" s="65">
        <f>SUM(A:B!AI23)</f>
        <v>0</v>
      </c>
      <c r="AJ23" s="65">
        <f>SUM(A:B!AJ23)</f>
        <v>0</v>
      </c>
      <c r="AK23" s="65">
        <f t="shared" si="6"/>
        <v>0</v>
      </c>
      <c r="AL23" s="73">
        <f t="shared" si="4"/>
        <v>0</v>
      </c>
      <c r="AM23" s="14">
        <f t="shared" si="7"/>
        <v>-1</v>
      </c>
    </row>
    <row r="24" spans="1:39" hidden="1" outlineLevel="1">
      <c r="A24" s="37" t="s">
        <v>97</v>
      </c>
      <c r="B24" s="39"/>
      <c r="C24" s="39" t="s">
        <v>120</v>
      </c>
      <c r="D24" s="37"/>
      <c r="E24" s="38"/>
      <c r="F24" s="37"/>
      <c r="G24" s="37"/>
      <c r="H24" s="37"/>
      <c r="I24" s="172" t="s">
        <v>121</v>
      </c>
      <c r="J24" s="65">
        <f>SUM(A:B!J24)</f>
        <v>10018</v>
      </c>
      <c r="K24" s="65">
        <f>SUM(A:B!K24)</f>
        <v>20216</v>
      </c>
      <c r="L24" s="65">
        <f>SUM(A:B!L24)</f>
        <v>12073</v>
      </c>
      <c r="M24" s="65">
        <f>SUM(A:B!M24)</f>
        <v>11105</v>
      </c>
      <c r="N24" s="65">
        <f>SUM(A:B!N24)</f>
        <v>12892</v>
      </c>
      <c r="O24" s="65">
        <f>SUM(A:B!O24)</f>
        <v>14241</v>
      </c>
      <c r="P24" s="65">
        <f>SUM(A:B!P24)</f>
        <v>14417</v>
      </c>
      <c r="Q24" s="65">
        <f>SUM(A:B!Q24)</f>
        <v>3951</v>
      </c>
      <c r="R24" s="65">
        <f>SUM(A:B!R24)</f>
        <v>15302</v>
      </c>
      <c r="S24" s="65">
        <f>SUM(A:B!S24)</f>
        <v>11726</v>
      </c>
      <c r="T24" s="65">
        <f>SUM(A:B!T24)</f>
        <v>0</v>
      </c>
      <c r="U24" s="65">
        <f>SUM(A:B!U24)</f>
        <v>0</v>
      </c>
      <c r="V24" s="11">
        <f t="shared" si="5"/>
        <v>125941</v>
      </c>
      <c r="W24" s="73">
        <f t="shared" si="2"/>
        <v>1.4053344620721718E-4</v>
      </c>
      <c r="X24" s="89"/>
      <c r="Y24" s="65">
        <f>SUM(A:B!Y24)</f>
        <v>0</v>
      </c>
      <c r="Z24" s="65">
        <f>SUM(A:B!Z24)</f>
        <v>0</v>
      </c>
      <c r="AA24" s="65">
        <f>SUM(A:B!AA24)</f>
        <v>0</v>
      </c>
      <c r="AB24" s="65">
        <f>SUM(A:B!AB24)</f>
        <v>0</v>
      </c>
      <c r="AC24" s="65">
        <f>SUM(A:B!AC24)</f>
        <v>0</v>
      </c>
      <c r="AD24" s="65">
        <f>SUM(A:B!AD24)</f>
        <v>0</v>
      </c>
      <c r="AE24" s="65">
        <f>SUM(A:B!AE24)</f>
        <v>0</v>
      </c>
      <c r="AF24" s="65">
        <f>SUM(A:B!AF24)</f>
        <v>0</v>
      </c>
      <c r="AG24" s="65">
        <f>SUM(A:B!AG24)</f>
        <v>0</v>
      </c>
      <c r="AH24" s="65">
        <f>SUM(A:B!AH24)</f>
        <v>0</v>
      </c>
      <c r="AI24" s="65">
        <f>SUM(A:B!AI24)</f>
        <v>0</v>
      </c>
      <c r="AJ24" s="65">
        <f>SUM(A:B!AJ24)</f>
        <v>0</v>
      </c>
      <c r="AK24" s="65">
        <f t="shared" si="6"/>
        <v>0</v>
      </c>
      <c r="AL24" s="73">
        <f t="shared" si="4"/>
        <v>0</v>
      </c>
      <c r="AM24" s="14">
        <f t="shared" si="7"/>
        <v>-1</v>
      </c>
    </row>
    <row r="25" spans="1:39" hidden="1" outlineLevel="1">
      <c r="A25" s="37" t="s">
        <v>97</v>
      </c>
      <c r="B25" s="39"/>
      <c r="C25" s="39" t="s">
        <v>122</v>
      </c>
      <c r="D25" s="37"/>
      <c r="E25" s="38"/>
      <c r="F25" s="37"/>
      <c r="G25" s="37"/>
      <c r="H25" s="37"/>
      <c r="I25" s="171" t="s">
        <v>123</v>
      </c>
      <c r="J25" s="65">
        <f>SUM(A:B!J25)</f>
        <v>0</v>
      </c>
      <c r="K25" s="65">
        <f>SUM(A:B!K25)</f>
        <v>0</v>
      </c>
      <c r="L25" s="65">
        <f>SUM(A:B!L25)</f>
        <v>0</v>
      </c>
      <c r="M25" s="65">
        <f>SUM(A:B!M25)</f>
        <v>0</v>
      </c>
      <c r="N25" s="65">
        <f>SUM(A:B!N25)</f>
        <v>1841</v>
      </c>
      <c r="O25" s="65">
        <f>SUM(A:B!O25)</f>
        <v>0</v>
      </c>
      <c r="P25" s="65">
        <f>SUM(A:B!P25)</f>
        <v>0</v>
      </c>
      <c r="Q25" s="65">
        <f>SUM(A:B!Q25)</f>
        <v>916</v>
      </c>
      <c r="R25" s="65">
        <f>SUM(A:B!R25)</f>
        <v>0</v>
      </c>
      <c r="S25" s="65">
        <f>SUM(A:B!S25)</f>
        <v>0</v>
      </c>
      <c r="T25" s="65">
        <f>SUM(A:B!T25)</f>
        <v>0</v>
      </c>
      <c r="U25" s="65">
        <f>SUM(A:B!U25)</f>
        <v>0</v>
      </c>
      <c r="V25" s="11">
        <f t="shared" si="5"/>
        <v>2757</v>
      </c>
      <c r="W25" s="73">
        <f t="shared" si="2"/>
        <v>3.0764462025337087E-6</v>
      </c>
      <c r="X25" s="89"/>
      <c r="Y25" s="65">
        <f>SUM(A:B!Y25)</f>
        <v>0</v>
      </c>
      <c r="Z25" s="65">
        <f>SUM(A:B!Z25)</f>
        <v>0</v>
      </c>
      <c r="AA25" s="65">
        <f>SUM(A:B!AA25)</f>
        <v>0</v>
      </c>
      <c r="AB25" s="65">
        <f>SUM(A:B!AB25)</f>
        <v>0</v>
      </c>
      <c r="AC25" s="65">
        <f>SUM(A:B!AC25)</f>
        <v>0</v>
      </c>
      <c r="AD25" s="65">
        <f>SUM(A:B!AD25)</f>
        <v>0</v>
      </c>
      <c r="AE25" s="65">
        <f>SUM(A:B!AE25)</f>
        <v>0</v>
      </c>
      <c r="AF25" s="65">
        <f>SUM(A:B!AF25)</f>
        <v>0</v>
      </c>
      <c r="AG25" s="65">
        <f>SUM(A:B!AG25)</f>
        <v>0</v>
      </c>
      <c r="AH25" s="65">
        <f>SUM(A:B!AH25)</f>
        <v>0</v>
      </c>
      <c r="AI25" s="65">
        <f>SUM(A:B!AI25)</f>
        <v>0</v>
      </c>
      <c r="AJ25" s="65">
        <f>SUM(A:B!AJ25)</f>
        <v>0</v>
      </c>
      <c r="AK25" s="65">
        <f t="shared" si="6"/>
        <v>0</v>
      </c>
      <c r="AL25" s="73">
        <f t="shared" si="4"/>
        <v>0</v>
      </c>
      <c r="AM25" s="14">
        <f t="shared" si="7"/>
        <v>-1</v>
      </c>
    </row>
    <row r="26" spans="1:39" hidden="1" outlineLevel="1">
      <c r="A26" s="37" t="s">
        <v>97</v>
      </c>
      <c r="B26" s="39"/>
      <c r="C26" s="39" t="s">
        <v>124</v>
      </c>
      <c r="D26" s="37"/>
      <c r="E26" s="38"/>
      <c r="F26" s="37"/>
      <c r="G26" s="37"/>
      <c r="H26" s="37"/>
      <c r="I26" s="172" t="s">
        <v>125</v>
      </c>
      <c r="J26" s="65">
        <f>SUM(A:B!J26)</f>
        <v>0</v>
      </c>
      <c r="K26" s="65">
        <f>SUM(A:B!K26)</f>
        <v>0</v>
      </c>
      <c r="L26" s="65">
        <f>SUM(A:B!L26)</f>
        <v>0</v>
      </c>
      <c r="M26" s="65">
        <f>SUM(A:B!M26)</f>
        <v>0</v>
      </c>
      <c r="N26" s="65">
        <f>SUM(A:B!N26)</f>
        <v>0</v>
      </c>
      <c r="O26" s="65">
        <f>SUM(A:B!O26)</f>
        <v>0</v>
      </c>
      <c r="P26" s="65">
        <f>SUM(A:B!P26)</f>
        <v>0</v>
      </c>
      <c r="Q26" s="65">
        <f>SUM(A:B!Q26)</f>
        <v>0</v>
      </c>
      <c r="R26" s="65">
        <f>SUM(A:B!R26)</f>
        <v>0</v>
      </c>
      <c r="S26" s="65">
        <f>SUM(A:B!S26)</f>
        <v>0</v>
      </c>
      <c r="T26" s="65">
        <f>SUM(A:B!T26)</f>
        <v>0</v>
      </c>
      <c r="U26" s="65">
        <f>SUM(A:B!U26)</f>
        <v>0</v>
      </c>
      <c r="V26" s="11">
        <f t="shared" si="5"/>
        <v>0</v>
      </c>
      <c r="W26" s="73">
        <f t="shared" si="2"/>
        <v>0</v>
      </c>
      <c r="X26" s="89"/>
      <c r="Y26" s="65">
        <f>SUM(A:B!Y26)</f>
        <v>0</v>
      </c>
      <c r="Z26" s="65">
        <f>SUM(A:B!Z26)</f>
        <v>0</v>
      </c>
      <c r="AA26" s="65">
        <f>SUM(A:B!AA26)</f>
        <v>0</v>
      </c>
      <c r="AB26" s="65">
        <f>SUM(A:B!AB26)</f>
        <v>0</v>
      </c>
      <c r="AC26" s="65">
        <f>SUM(A:B!AC26)</f>
        <v>0</v>
      </c>
      <c r="AD26" s="65">
        <f>SUM(A:B!AD26)</f>
        <v>0</v>
      </c>
      <c r="AE26" s="65">
        <f>SUM(A:B!AE26)</f>
        <v>0</v>
      </c>
      <c r="AF26" s="65">
        <f>SUM(A:B!AF26)</f>
        <v>0</v>
      </c>
      <c r="AG26" s="65">
        <f>SUM(A:B!AG26)</f>
        <v>0</v>
      </c>
      <c r="AH26" s="65">
        <f>SUM(A:B!AH26)</f>
        <v>0</v>
      </c>
      <c r="AI26" s="65">
        <f>SUM(A:B!AI26)</f>
        <v>0</v>
      </c>
      <c r="AJ26" s="65">
        <f>SUM(A:B!AJ26)</f>
        <v>0</v>
      </c>
      <c r="AK26" s="65">
        <f t="shared" si="6"/>
        <v>0</v>
      </c>
      <c r="AL26" s="73">
        <f t="shared" si="4"/>
        <v>0</v>
      </c>
      <c r="AM26" s="14">
        <f t="shared" si="7"/>
        <v>0</v>
      </c>
    </row>
    <row r="27" spans="1:39" hidden="1" outlineLevel="1">
      <c r="A27" s="37" t="s">
        <v>97</v>
      </c>
      <c r="B27" s="39"/>
      <c r="C27" s="39" t="s">
        <v>126</v>
      </c>
      <c r="D27" s="37"/>
      <c r="E27" s="38"/>
      <c r="F27" s="37"/>
      <c r="G27" s="37"/>
      <c r="H27" s="37"/>
      <c r="I27" s="167" t="s">
        <v>126</v>
      </c>
      <c r="J27" s="65">
        <f>SUM(A:B!J27)</f>
        <v>0</v>
      </c>
      <c r="K27" s="65">
        <f>SUM(A:B!K27)</f>
        <v>0</v>
      </c>
      <c r="L27" s="65">
        <f>SUM(A:B!L27)</f>
        <v>0</v>
      </c>
      <c r="M27" s="65">
        <f>SUM(A:B!M27)</f>
        <v>0</v>
      </c>
      <c r="N27" s="65">
        <f>SUM(A:B!N27)</f>
        <v>0</v>
      </c>
      <c r="O27" s="65">
        <f>SUM(A:B!O27)</f>
        <v>0</v>
      </c>
      <c r="P27" s="65">
        <f>SUM(A:B!P27)</f>
        <v>0</v>
      </c>
      <c r="Q27" s="65">
        <f>SUM(A:B!Q27)</f>
        <v>0</v>
      </c>
      <c r="R27" s="65">
        <f>SUM(A:B!R27)</f>
        <v>0</v>
      </c>
      <c r="S27" s="65">
        <f>SUM(A:B!S27)</f>
        <v>0</v>
      </c>
      <c r="T27" s="65">
        <f>SUM(A:B!T27)</f>
        <v>0</v>
      </c>
      <c r="U27" s="65">
        <f>SUM(A:B!U27)</f>
        <v>0</v>
      </c>
      <c r="V27" s="11">
        <f t="shared" si="5"/>
        <v>0</v>
      </c>
      <c r="W27" s="73">
        <f t="shared" si="2"/>
        <v>0</v>
      </c>
      <c r="X27" s="89"/>
      <c r="Y27" s="65">
        <f>SUM(A:B!Y27)</f>
        <v>0</v>
      </c>
      <c r="Z27" s="65">
        <f>SUM(A:B!Z27)</f>
        <v>0</v>
      </c>
      <c r="AA27" s="65">
        <f>SUM(A:B!AA27)</f>
        <v>0</v>
      </c>
      <c r="AB27" s="65">
        <f>SUM(A:B!AB27)</f>
        <v>0</v>
      </c>
      <c r="AC27" s="65">
        <f>SUM(A:B!AC27)</f>
        <v>0</v>
      </c>
      <c r="AD27" s="65">
        <f>SUM(A:B!AD27)</f>
        <v>0</v>
      </c>
      <c r="AE27" s="65">
        <f>SUM(A:B!AE27)</f>
        <v>0</v>
      </c>
      <c r="AF27" s="65">
        <f>SUM(A:B!AF27)</f>
        <v>0</v>
      </c>
      <c r="AG27" s="65">
        <f>SUM(A:B!AG27)</f>
        <v>0</v>
      </c>
      <c r="AH27" s="65">
        <f>SUM(A:B!AH27)</f>
        <v>0</v>
      </c>
      <c r="AI27" s="65">
        <f>SUM(A:B!AI27)</f>
        <v>0</v>
      </c>
      <c r="AJ27" s="65">
        <f>SUM(A:B!AJ27)</f>
        <v>0</v>
      </c>
      <c r="AK27" s="65">
        <f t="shared" si="6"/>
        <v>0</v>
      </c>
      <c r="AL27" s="73">
        <f t="shared" si="4"/>
        <v>0</v>
      </c>
      <c r="AM27" s="14">
        <f t="shared" si="7"/>
        <v>0</v>
      </c>
    </row>
    <row r="28" spans="1:39" hidden="1" outlineLevel="1">
      <c r="A28" s="37" t="s">
        <v>97</v>
      </c>
      <c r="B28" s="39"/>
      <c r="C28" s="39" t="s">
        <v>127</v>
      </c>
      <c r="D28" s="37" t="s">
        <v>90</v>
      </c>
      <c r="E28" s="38"/>
      <c r="F28" s="37"/>
      <c r="G28" s="37"/>
      <c r="H28" s="37"/>
      <c r="I28" s="171" t="s">
        <v>128</v>
      </c>
      <c r="J28" s="65">
        <f>SUM(A:B!J28)</f>
        <v>-9895352</v>
      </c>
      <c r="K28" s="65">
        <f>SUM(A:B!K28)</f>
        <v>-9741490</v>
      </c>
      <c r="L28" s="65">
        <f>SUM(A:B!L28)</f>
        <v>-10698216</v>
      </c>
      <c r="M28" s="65">
        <f>SUM(A:B!M28)</f>
        <v>-10091896</v>
      </c>
      <c r="N28" s="65">
        <f>SUM(A:B!N28)</f>
        <v>-11479619</v>
      </c>
      <c r="O28" s="65">
        <f>SUM(A:B!O28)</f>
        <v>-11206376</v>
      </c>
      <c r="P28" s="65">
        <f>SUM(A:B!P28)</f>
        <v>-11021279</v>
      </c>
      <c r="Q28" s="65">
        <f>SUM(A:B!Q28)</f>
        <v>-10539195</v>
      </c>
      <c r="R28" s="65">
        <f>SUM(A:B!R28)</f>
        <v>-10508948</v>
      </c>
      <c r="S28" s="65">
        <f>SUM(A:B!S28)</f>
        <v>-9535970</v>
      </c>
      <c r="T28" s="65">
        <f>SUM(A:B!T28)</f>
        <v>0</v>
      </c>
      <c r="U28" s="65">
        <f>SUM(A:B!U28)</f>
        <v>0</v>
      </c>
      <c r="V28" s="11">
        <f t="shared" si="5"/>
        <v>-104718341</v>
      </c>
      <c r="W28" s="73">
        <f t="shared" si="2"/>
        <v>-0.11685177457565468</v>
      </c>
      <c r="X28" s="89"/>
      <c r="Y28" s="65">
        <f>SUM(A:B!Y28)</f>
        <v>0</v>
      </c>
      <c r="Z28" s="65">
        <f>SUM(A:B!Z28)</f>
        <v>0</v>
      </c>
      <c r="AA28" s="65">
        <f>SUM(A:B!AA28)</f>
        <v>0</v>
      </c>
      <c r="AB28" s="65">
        <f>SUM(A:B!AB28)</f>
        <v>0</v>
      </c>
      <c r="AC28" s="65">
        <f>SUM(A:B!AC28)</f>
        <v>0</v>
      </c>
      <c r="AD28" s="65">
        <f>SUM(A:B!AD28)</f>
        <v>0</v>
      </c>
      <c r="AE28" s="65">
        <f>SUM(A:B!AE28)</f>
        <v>0</v>
      </c>
      <c r="AF28" s="65">
        <f>SUM(A:B!AF28)</f>
        <v>0</v>
      </c>
      <c r="AG28" s="65">
        <f>SUM(A:B!AG28)</f>
        <v>0</v>
      </c>
      <c r="AH28" s="65">
        <f>SUM(A:B!AH28)</f>
        <v>0</v>
      </c>
      <c r="AI28" s="65">
        <f>SUM(A:B!AI28)</f>
        <v>0</v>
      </c>
      <c r="AJ28" s="65">
        <f>SUM(A:B!AJ28)</f>
        <v>0</v>
      </c>
      <c r="AK28" s="65">
        <f t="shared" si="6"/>
        <v>0</v>
      </c>
      <c r="AL28" s="73">
        <f t="shared" si="4"/>
        <v>0</v>
      </c>
      <c r="AM28" s="14">
        <f t="shared" si="7"/>
        <v>-1</v>
      </c>
    </row>
    <row r="29" spans="1:39" hidden="1" outlineLevel="1">
      <c r="A29" s="37" t="s">
        <v>97</v>
      </c>
      <c r="B29" s="39"/>
      <c r="C29" s="39" t="s">
        <v>129</v>
      </c>
      <c r="D29" s="37" t="s">
        <v>90</v>
      </c>
      <c r="E29" s="38"/>
      <c r="F29" s="37"/>
      <c r="G29" s="37"/>
      <c r="H29" s="37"/>
      <c r="I29" s="172" t="s">
        <v>130</v>
      </c>
      <c r="J29" s="65">
        <f>SUM(A:B!J29)</f>
        <v>-775258</v>
      </c>
      <c r="K29" s="65">
        <f>SUM(A:B!K29)</f>
        <v>-798009</v>
      </c>
      <c r="L29" s="65">
        <f>SUM(A:B!L29)</f>
        <v>-878327</v>
      </c>
      <c r="M29" s="65">
        <f>SUM(A:B!M29)</f>
        <v>-837300</v>
      </c>
      <c r="N29" s="65">
        <f>SUM(A:B!N29)</f>
        <v>-954984</v>
      </c>
      <c r="O29" s="65">
        <f>SUM(A:B!O29)</f>
        <v>-999309</v>
      </c>
      <c r="P29" s="65">
        <f>SUM(A:B!P29)</f>
        <v>-956207</v>
      </c>
      <c r="Q29" s="65">
        <f>SUM(A:B!Q29)</f>
        <v>-675074</v>
      </c>
      <c r="R29" s="65">
        <f>SUM(A:B!R29)</f>
        <v>-786834</v>
      </c>
      <c r="S29" s="65">
        <f>SUM(A:B!S29)</f>
        <v>-918388</v>
      </c>
      <c r="T29" s="65">
        <f>SUM(A:B!T29)</f>
        <v>0</v>
      </c>
      <c r="U29" s="65">
        <f>SUM(A:B!U29)</f>
        <v>0</v>
      </c>
      <c r="V29" s="11">
        <f t="shared" si="5"/>
        <v>-8579690</v>
      </c>
      <c r="W29" s="73">
        <f t="shared" si="2"/>
        <v>-9.573795690756776E-3</v>
      </c>
      <c r="X29" s="89"/>
      <c r="Y29" s="65">
        <f>SUM(A:B!Y29)</f>
        <v>0</v>
      </c>
      <c r="Z29" s="65">
        <f>SUM(A:B!Z29)</f>
        <v>0</v>
      </c>
      <c r="AA29" s="65">
        <f>SUM(A:B!AA29)</f>
        <v>0</v>
      </c>
      <c r="AB29" s="65">
        <f>SUM(A:B!AB29)</f>
        <v>0</v>
      </c>
      <c r="AC29" s="65">
        <f>SUM(A:B!AC29)</f>
        <v>0</v>
      </c>
      <c r="AD29" s="65">
        <f>SUM(A:B!AD29)</f>
        <v>0</v>
      </c>
      <c r="AE29" s="65">
        <f>SUM(A:B!AE29)</f>
        <v>0</v>
      </c>
      <c r="AF29" s="65">
        <f>SUM(A:B!AF29)</f>
        <v>0</v>
      </c>
      <c r="AG29" s="65">
        <f>SUM(A:B!AG29)</f>
        <v>0</v>
      </c>
      <c r="AH29" s="65">
        <f>SUM(A:B!AH29)</f>
        <v>0</v>
      </c>
      <c r="AI29" s="65">
        <f>SUM(A:B!AI29)</f>
        <v>0</v>
      </c>
      <c r="AJ29" s="65">
        <f>SUM(A:B!AJ29)</f>
        <v>0</v>
      </c>
      <c r="AK29" s="65">
        <f t="shared" si="6"/>
        <v>0</v>
      </c>
      <c r="AL29" s="73">
        <f t="shared" si="4"/>
        <v>0</v>
      </c>
      <c r="AM29" s="14">
        <f t="shared" si="7"/>
        <v>-1</v>
      </c>
    </row>
    <row r="30" spans="1:39" hidden="1" outlineLevel="1">
      <c r="A30" s="37"/>
      <c r="B30" s="39"/>
      <c r="C30" s="39"/>
      <c r="D30" s="37"/>
      <c r="E30" s="38"/>
      <c r="F30" s="37"/>
      <c r="G30" s="37"/>
      <c r="H30" s="37"/>
      <c r="I30" s="172" t="s">
        <v>131</v>
      </c>
      <c r="J30" s="65">
        <f>SUM(A:B!J30)</f>
        <v>53854</v>
      </c>
      <c r="K30" s="65">
        <f>SUM(A:B!K30)</f>
        <v>41012</v>
      </c>
      <c r="L30" s="65">
        <f>SUM(A:B!L30)</f>
        <v>46457</v>
      </c>
      <c r="M30" s="65">
        <f>SUM(A:B!M30)</f>
        <v>48504</v>
      </c>
      <c r="N30" s="65">
        <f>SUM(A:B!N30)</f>
        <v>50623</v>
      </c>
      <c r="O30" s="65">
        <f>SUM(A:B!O30)</f>
        <v>49511</v>
      </c>
      <c r="P30" s="65">
        <f>SUM(A:B!P30)</f>
        <v>44553</v>
      </c>
      <c r="Q30" s="65">
        <f>SUM(A:B!Q30)</f>
        <v>45156</v>
      </c>
      <c r="R30" s="65">
        <f>SUM(A:B!R30)</f>
        <v>50951</v>
      </c>
      <c r="S30" s="65">
        <f>SUM(A:B!S30)</f>
        <v>55863.54</v>
      </c>
      <c r="T30" s="65">
        <f>SUM(A:B!T30)</f>
        <v>56371.32</v>
      </c>
      <c r="U30" s="65">
        <f>SUM(A:B!U30)</f>
        <v>56799.719999999994</v>
      </c>
      <c r="V30" s="11">
        <f t="shared" si="5"/>
        <v>599655.57999999996</v>
      </c>
      <c r="W30" s="73">
        <f t="shared" si="2"/>
        <v>6.691360652590309E-4</v>
      </c>
      <c r="X30" s="89"/>
      <c r="Y30" s="65">
        <f>SUM(A:B!Y30)</f>
        <v>63444</v>
      </c>
      <c r="Z30" s="65">
        <f>SUM(A:B!Z30)</f>
        <v>61200</v>
      </c>
      <c r="AA30" s="65">
        <f>SUM(A:B!AA30)</f>
        <v>81141</v>
      </c>
      <c r="AB30" s="65">
        <f>SUM(A:B!AB30)</f>
        <v>59262</v>
      </c>
      <c r="AC30" s="65">
        <f>SUM(A:B!AC30)</f>
        <v>64413</v>
      </c>
      <c r="AD30" s="65">
        <f>SUM(A:B!AD30)</f>
        <v>60435</v>
      </c>
      <c r="AE30" s="65">
        <f>SUM(A:B!AE30)</f>
        <v>60945</v>
      </c>
      <c r="AF30" s="65">
        <f>SUM(A:B!AF30)</f>
        <v>58293</v>
      </c>
      <c r="AG30" s="65">
        <f>SUM(A:B!AG30)</f>
        <v>58956</v>
      </c>
      <c r="AH30" s="65">
        <f>SUM(A:B!AH30)</f>
        <v>64872</v>
      </c>
      <c r="AI30" s="65">
        <f>SUM(A:B!AI30)</f>
        <v>66759</v>
      </c>
      <c r="AJ30" s="65">
        <f>SUM(A:B!AJ30)</f>
        <v>64821</v>
      </c>
      <c r="AK30" s="65">
        <f t="shared" si="6"/>
        <v>764541</v>
      </c>
      <c r="AL30" s="73">
        <f t="shared" si="4"/>
        <v>7.9376893821564768E-4</v>
      </c>
      <c r="AM30" s="14">
        <f t="shared" si="7"/>
        <v>0.27496687348427584</v>
      </c>
    </row>
    <row r="31" spans="1:39" hidden="1" outlineLevel="1">
      <c r="A31" s="37"/>
      <c r="B31" s="39"/>
      <c r="C31" s="39"/>
      <c r="D31" s="37"/>
      <c r="E31" s="38"/>
      <c r="F31" s="37"/>
      <c r="G31" s="37"/>
      <c r="H31" s="37"/>
      <c r="I31" s="172" t="s">
        <v>132</v>
      </c>
      <c r="J31" s="65">
        <f>SUM(A:B!J31)</f>
        <v>0</v>
      </c>
      <c r="K31" s="65">
        <f>SUM(A:B!K31)</f>
        <v>0</v>
      </c>
      <c r="L31" s="65">
        <f>SUM(A:B!L31)</f>
        <v>0</v>
      </c>
      <c r="M31" s="65">
        <f>SUM(A:B!M31)</f>
        <v>0</v>
      </c>
      <c r="N31" s="65">
        <f>SUM(A:B!N31)</f>
        <v>0</v>
      </c>
      <c r="O31" s="65">
        <f>SUM(A:B!O31)</f>
        <v>0</v>
      </c>
      <c r="P31" s="65">
        <f>SUM(A:B!P31)</f>
        <v>0</v>
      </c>
      <c r="Q31" s="65">
        <f>SUM(A:B!Q31)</f>
        <v>0</v>
      </c>
      <c r="R31" s="65">
        <f>SUM(A:B!R31)</f>
        <v>0</v>
      </c>
      <c r="S31" s="65">
        <f>SUM(A:B!S31)</f>
        <v>0</v>
      </c>
      <c r="T31" s="65">
        <f>SUM(A:B!T31)</f>
        <v>0</v>
      </c>
      <c r="U31" s="65">
        <f>SUM(A:B!U31)</f>
        <v>0</v>
      </c>
      <c r="V31" s="11">
        <f t="shared" si="5"/>
        <v>0</v>
      </c>
      <c r="W31" s="73">
        <f t="shared" si="2"/>
        <v>0</v>
      </c>
      <c r="X31" s="89"/>
      <c r="Y31" s="65">
        <f>SUM(A:B!Y31)</f>
        <v>0</v>
      </c>
      <c r="Z31" s="65">
        <f>SUM(A:B!Z31)</f>
        <v>0</v>
      </c>
      <c r="AA31" s="65">
        <f>SUM(A:B!AA31)</f>
        <v>0</v>
      </c>
      <c r="AB31" s="65">
        <f>SUM(A:B!AB31)</f>
        <v>0</v>
      </c>
      <c r="AC31" s="65">
        <f>SUM(A:B!AC31)</f>
        <v>0</v>
      </c>
      <c r="AD31" s="65">
        <f>SUM(A:B!AD31)</f>
        <v>0</v>
      </c>
      <c r="AE31" s="65">
        <f>SUM(A:B!AE31)</f>
        <v>0</v>
      </c>
      <c r="AF31" s="65">
        <f>SUM(A:B!AF31)</f>
        <v>0</v>
      </c>
      <c r="AG31" s="65">
        <f>SUM(A:B!AG31)</f>
        <v>0</v>
      </c>
      <c r="AH31" s="65">
        <f>SUM(A:B!AH31)</f>
        <v>0</v>
      </c>
      <c r="AI31" s="65">
        <f>SUM(A:B!AI31)</f>
        <v>0</v>
      </c>
      <c r="AJ31" s="65">
        <f>SUM(A:B!AJ31)</f>
        <v>0</v>
      </c>
      <c r="AK31" s="65">
        <f t="shared" si="6"/>
        <v>0</v>
      </c>
      <c r="AL31" s="73">
        <f t="shared" si="4"/>
        <v>0</v>
      </c>
      <c r="AM31" s="14">
        <f t="shared" si="7"/>
        <v>0</v>
      </c>
    </row>
    <row r="32" spans="1:39" hidden="1" outlineLevel="1">
      <c r="A32" s="37"/>
      <c r="B32" s="39"/>
      <c r="C32" s="39"/>
      <c r="D32" s="37"/>
      <c r="E32" s="38"/>
      <c r="F32" s="37"/>
      <c r="G32" s="37"/>
      <c r="H32" s="37"/>
      <c r="I32" s="172" t="s">
        <v>133</v>
      </c>
      <c r="J32" s="65">
        <f>SUM(A:B!J32)</f>
        <v>0</v>
      </c>
      <c r="K32" s="65">
        <f>SUM(A:B!K32)</f>
        <v>0</v>
      </c>
      <c r="L32" s="65">
        <f>SUM(A:B!L32)</f>
        <v>0</v>
      </c>
      <c r="M32" s="65">
        <f>SUM(A:B!M32)</f>
        <v>0</v>
      </c>
      <c r="N32" s="65">
        <f>SUM(A:B!N32)</f>
        <v>0</v>
      </c>
      <c r="O32" s="65">
        <f>SUM(A:B!O32)</f>
        <v>0</v>
      </c>
      <c r="P32" s="65">
        <f>SUM(A:B!P32)</f>
        <v>0</v>
      </c>
      <c r="Q32" s="65">
        <f>SUM(A:B!Q32)</f>
        <v>0</v>
      </c>
      <c r="R32" s="65">
        <f>SUM(A:B!R32)</f>
        <v>0</v>
      </c>
      <c r="S32" s="65">
        <f>SUM(A:B!S32)</f>
        <v>0</v>
      </c>
      <c r="T32" s="65">
        <f>SUM(A:B!T32)</f>
        <v>0</v>
      </c>
      <c r="U32" s="65">
        <f>SUM(A:B!U32)</f>
        <v>0</v>
      </c>
      <c r="V32" s="11">
        <f t="shared" si="5"/>
        <v>0</v>
      </c>
      <c r="W32" s="73">
        <f t="shared" si="2"/>
        <v>0</v>
      </c>
      <c r="X32" s="89"/>
      <c r="Y32" s="65">
        <f>SUM(A:B!Y32)</f>
        <v>0</v>
      </c>
      <c r="Z32" s="65">
        <f>SUM(A:B!Z32)</f>
        <v>0</v>
      </c>
      <c r="AA32" s="65">
        <f>SUM(A:B!AA32)</f>
        <v>0</v>
      </c>
      <c r="AB32" s="65">
        <f>SUM(A:B!AB32)</f>
        <v>0</v>
      </c>
      <c r="AC32" s="65">
        <f>SUM(A:B!AC32)</f>
        <v>0</v>
      </c>
      <c r="AD32" s="65">
        <f>SUM(A:B!AD32)</f>
        <v>0</v>
      </c>
      <c r="AE32" s="65">
        <f>SUM(A:B!AE32)</f>
        <v>0</v>
      </c>
      <c r="AF32" s="65">
        <f>SUM(A:B!AF32)</f>
        <v>0</v>
      </c>
      <c r="AG32" s="65">
        <f>SUM(A:B!AG32)</f>
        <v>0</v>
      </c>
      <c r="AH32" s="65">
        <f>SUM(A:B!AH32)</f>
        <v>0</v>
      </c>
      <c r="AI32" s="65">
        <f>SUM(A:B!AI32)</f>
        <v>0</v>
      </c>
      <c r="AJ32" s="65">
        <f>SUM(A:B!AJ32)</f>
        <v>0</v>
      </c>
      <c r="AK32" s="65">
        <f t="shared" si="6"/>
        <v>0</v>
      </c>
      <c r="AL32" s="73">
        <f t="shared" si="4"/>
        <v>0</v>
      </c>
      <c r="AM32" s="14">
        <f t="shared" si="7"/>
        <v>0</v>
      </c>
    </row>
    <row r="33" spans="1:41" hidden="1" outlineLevel="1">
      <c r="A33" s="37"/>
      <c r="B33" s="39"/>
      <c r="C33" s="39"/>
      <c r="D33" s="37"/>
      <c r="E33" s="38"/>
      <c r="F33" s="37"/>
      <c r="G33" s="37"/>
      <c r="H33" s="37"/>
      <c r="I33" s="172" t="s">
        <v>134</v>
      </c>
      <c r="J33" s="65">
        <f>SUM(A:B!J33)</f>
        <v>0</v>
      </c>
      <c r="K33" s="65">
        <f>SUM(A:B!K33)</f>
        <v>0</v>
      </c>
      <c r="L33" s="65">
        <f>SUM(A:B!L33)</f>
        <v>0</v>
      </c>
      <c r="M33" s="65">
        <f>SUM(A:B!M33)</f>
        <v>0</v>
      </c>
      <c r="N33" s="65">
        <f>SUM(A:B!N33)</f>
        <v>0</v>
      </c>
      <c r="O33" s="65">
        <f>SUM(A:B!O33)</f>
        <v>0</v>
      </c>
      <c r="P33" s="65">
        <f>SUM(A:B!P33)</f>
        <v>0</v>
      </c>
      <c r="Q33" s="65">
        <f>SUM(A:B!Q33)</f>
        <v>0</v>
      </c>
      <c r="R33" s="65">
        <f>SUM(A:B!R33)</f>
        <v>0</v>
      </c>
      <c r="S33" s="65">
        <f>SUM(A:B!S33)</f>
        <v>0</v>
      </c>
      <c r="T33" s="65">
        <f>SUM(A:B!T33)</f>
        <v>0</v>
      </c>
      <c r="U33" s="65">
        <f>SUM(A:B!U33)</f>
        <v>0</v>
      </c>
      <c r="V33" s="11">
        <f t="shared" si="5"/>
        <v>0</v>
      </c>
      <c r="W33" s="73">
        <f t="shared" si="2"/>
        <v>0</v>
      </c>
      <c r="X33" s="89"/>
      <c r="Y33" s="65">
        <f>SUM(A:B!Y33)</f>
        <v>0</v>
      </c>
      <c r="Z33" s="65">
        <f>SUM(A:B!Z33)</f>
        <v>0</v>
      </c>
      <c r="AA33" s="65">
        <f>SUM(A:B!AA33)</f>
        <v>0</v>
      </c>
      <c r="AB33" s="65">
        <f>SUM(A:B!AB33)</f>
        <v>0</v>
      </c>
      <c r="AC33" s="65">
        <f>SUM(A:B!AC33)</f>
        <v>0</v>
      </c>
      <c r="AD33" s="65">
        <f>SUM(A:B!AD33)</f>
        <v>0</v>
      </c>
      <c r="AE33" s="65">
        <f>SUM(A:B!AE33)</f>
        <v>0</v>
      </c>
      <c r="AF33" s="65">
        <f>SUM(A:B!AF33)</f>
        <v>0</v>
      </c>
      <c r="AG33" s="65">
        <f>SUM(A:B!AG33)</f>
        <v>0</v>
      </c>
      <c r="AH33" s="65">
        <f>SUM(A:B!AH33)</f>
        <v>0</v>
      </c>
      <c r="AI33" s="65">
        <f>SUM(A:B!AI33)</f>
        <v>0</v>
      </c>
      <c r="AJ33" s="65">
        <f>SUM(A:B!AJ33)</f>
        <v>0</v>
      </c>
      <c r="AK33" s="65">
        <f t="shared" si="6"/>
        <v>0</v>
      </c>
      <c r="AL33" s="73">
        <f t="shared" si="4"/>
        <v>0</v>
      </c>
      <c r="AM33" s="14">
        <f t="shared" si="7"/>
        <v>0</v>
      </c>
    </row>
    <row r="34" spans="1:41" ht="15.75" collapsed="1">
      <c r="I34" s="36" t="s">
        <v>135</v>
      </c>
      <c r="J34" s="35">
        <f t="shared" ref="J34:V34" si="10">J6-J13</f>
        <v>9669373</v>
      </c>
      <c r="K34" s="35">
        <f t="shared" si="10"/>
        <v>10402424</v>
      </c>
      <c r="L34" s="35">
        <f t="shared" si="10"/>
        <v>10631948</v>
      </c>
      <c r="M34" s="35">
        <f t="shared" si="10"/>
        <v>10175079</v>
      </c>
      <c r="N34" s="35">
        <f t="shared" si="10"/>
        <v>12471677</v>
      </c>
      <c r="O34" s="35">
        <f t="shared" si="10"/>
        <v>10899375</v>
      </c>
      <c r="P34" s="35">
        <f t="shared" si="10"/>
        <v>10241103</v>
      </c>
      <c r="Q34" s="35">
        <f t="shared" si="10"/>
        <v>9298189</v>
      </c>
      <c r="R34" s="35">
        <f t="shared" si="10"/>
        <v>9407637</v>
      </c>
      <c r="S34" s="35">
        <f t="shared" si="10"/>
        <v>12265260.719999999</v>
      </c>
      <c r="T34" s="35">
        <f t="shared" si="10"/>
        <v>11559767.090000018</v>
      </c>
      <c r="U34" s="35">
        <f t="shared" si="10"/>
        <v>11217070.329999998</v>
      </c>
      <c r="V34" s="35">
        <f t="shared" si="10"/>
        <v>128238903.13999987</v>
      </c>
      <c r="W34" s="73">
        <f t="shared" si="2"/>
        <v>0.1430976012267467</v>
      </c>
      <c r="X34" s="89"/>
      <c r="Y34" s="35">
        <f t="shared" ref="Y34:AK34" si="11">Y6-Y13</f>
        <v>9567238.3699999899</v>
      </c>
      <c r="Z34" s="35">
        <f t="shared" si="11"/>
        <v>9309837.040000014</v>
      </c>
      <c r="AA34" s="35">
        <f t="shared" si="11"/>
        <v>10644012.269999988</v>
      </c>
      <c r="AB34" s="35">
        <f t="shared" si="11"/>
        <v>9460298.7500000149</v>
      </c>
      <c r="AC34" s="35">
        <f t="shared" si="11"/>
        <v>11557009.789999992</v>
      </c>
      <c r="AD34" s="35">
        <f t="shared" si="11"/>
        <v>10797114.99000001</v>
      </c>
      <c r="AE34" s="35">
        <f t="shared" si="11"/>
        <v>10656188.980000004</v>
      </c>
      <c r="AF34" s="35">
        <f t="shared" si="11"/>
        <v>10997031.559999987</v>
      </c>
      <c r="AG34" s="35">
        <f t="shared" si="11"/>
        <v>10537604.570000008</v>
      </c>
      <c r="AH34" s="35">
        <f t="shared" si="11"/>
        <v>10866991.450000003</v>
      </c>
      <c r="AI34" s="35">
        <f t="shared" si="11"/>
        <v>10292988.379999995</v>
      </c>
      <c r="AJ34" s="35">
        <f t="shared" si="11"/>
        <v>9613814.9399999976</v>
      </c>
      <c r="AK34" s="35">
        <f t="shared" si="11"/>
        <v>124300131.08999991</v>
      </c>
      <c r="AL34" s="73">
        <f t="shared" si="4"/>
        <v>0.12905204962896044</v>
      </c>
      <c r="AM34" s="34">
        <f t="shared" si="7"/>
        <v>-3.0714330468812223E-2</v>
      </c>
    </row>
    <row r="35" spans="1:41" hidden="1" outlineLevel="1">
      <c r="I35" s="31" t="s">
        <v>136</v>
      </c>
      <c r="J35" s="30">
        <f>SUM(A:B!J35)</f>
        <v>7104474</v>
      </c>
      <c r="K35" s="30">
        <f>SUM(A:B!K35)</f>
        <v>8071504</v>
      </c>
      <c r="L35" s="30">
        <f>SUM(A:B!L35)</f>
        <v>7943183</v>
      </c>
      <c r="M35" s="30">
        <f>SUM(A:B!M35)</f>
        <v>7764090</v>
      </c>
      <c r="N35" s="30">
        <f>SUM(A:B!N35)</f>
        <v>9629979</v>
      </c>
      <c r="O35" s="30">
        <f>SUM(A:B!O35)</f>
        <v>8207647</v>
      </c>
      <c r="P35" s="30">
        <f>SUM(A:B!P35)</f>
        <v>7712661</v>
      </c>
      <c r="Q35" s="30">
        <f>SUM(A:B!Q35)</f>
        <v>7297471</v>
      </c>
      <c r="R35" s="30">
        <f>SUM(A:B!R35)</f>
        <v>7592101</v>
      </c>
      <c r="S35" s="30">
        <f>SUM(A:B!S35)</f>
        <v>9317248.3333333321</v>
      </c>
      <c r="T35" s="30">
        <f>SUM(A:B!T35)</f>
        <v>8181433.777777778</v>
      </c>
      <c r="U35" s="30">
        <f>SUM(A:B!U35)</f>
        <v>8363594.3703703694</v>
      </c>
      <c r="V35" s="32">
        <f t="shared" ref="V35:V42" si="12">SUM(J35:U35)</f>
        <v>97185386.481481478</v>
      </c>
      <c r="W35" s="74">
        <f>V35/V$39</f>
        <v>2.0333925410449587</v>
      </c>
      <c r="X35" s="90"/>
      <c r="Y35" s="30">
        <f>SUM(A:B!Y35)</f>
        <v>7411184.129999999</v>
      </c>
      <c r="Z35" s="30">
        <f>SUM(A:B!Z35)</f>
        <v>7234815.6799999997</v>
      </c>
      <c r="AA35" s="30">
        <f>SUM(A:B!AA35)</f>
        <v>8316678.4299999997</v>
      </c>
      <c r="AB35" s="30">
        <f>SUM(A:B!AB35)</f>
        <v>7358119.8300000001</v>
      </c>
      <c r="AC35" s="30">
        <f>SUM(A:B!AC35)</f>
        <v>9150006.6399999987</v>
      </c>
      <c r="AD35" s="30">
        <f>SUM(A:B!AD35)</f>
        <v>8356810.75</v>
      </c>
      <c r="AE35" s="30">
        <f>SUM(A:B!AE35)</f>
        <v>8232971.9700000007</v>
      </c>
      <c r="AF35" s="30">
        <f>SUM(A:B!AF35)</f>
        <v>8715834.2300000004</v>
      </c>
      <c r="AG35" s="30">
        <f>SUM(A:B!AG35)</f>
        <v>8217935.080000001</v>
      </c>
      <c r="AH35" s="30">
        <f>SUM(A:B!AH35)</f>
        <v>8530127.0700000003</v>
      </c>
      <c r="AI35" s="30">
        <f>SUM(A:B!AI35)</f>
        <v>8047607.4100000001</v>
      </c>
      <c r="AJ35" s="30">
        <f>SUM(A:B!AJ35)</f>
        <v>7528052.580000001</v>
      </c>
      <c r="AK35" s="30">
        <f t="shared" ref="AK35:AK42" si="13">SUM(Y35:AJ35)</f>
        <v>97100143.799999997</v>
      </c>
      <c r="AL35" s="74">
        <f>AK35/AK$39</f>
        <v>1.9585461275757945</v>
      </c>
      <c r="AM35" s="29">
        <f>IFERROR(AK35/V35-1,0)</f>
        <v>-8.771141893614276E-4</v>
      </c>
    </row>
    <row r="36" spans="1:41" hidden="1" outlineLevel="1">
      <c r="I36" s="31" t="s">
        <v>137</v>
      </c>
      <c r="J36" s="30">
        <f>SUM(A:B!J36)</f>
        <v>813291</v>
      </c>
      <c r="K36" s="30">
        <f>SUM(A:B!K36)</f>
        <v>929738</v>
      </c>
      <c r="L36" s="30">
        <f>SUM(A:B!L36)</f>
        <v>1096634</v>
      </c>
      <c r="M36" s="30">
        <f>SUM(A:B!M36)</f>
        <v>1046417</v>
      </c>
      <c r="N36" s="30">
        <f>SUM(A:B!N36)</f>
        <v>1174426</v>
      </c>
      <c r="O36" s="30">
        <f>SUM(A:B!O36)</f>
        <v>1161608</v>
      </c>
      <c r="P36" s="30">
        <f>SUM(A:B!P36)</f>
        <v>984047</v>
      </c>
      <c r="Q36" s="30">
        <f>SUM(A:B!Q36)</f>
        <v>581170</v>
      </c>
      <c r="R36" s="30">
        <f>SUM(A:B!R36)</f>
        <v>656238</v>
      </c>
      <c r="S36" s="30">
        <f>SUM(A:B!S36)</f>
        <v>848777</v>
      </c>
      <c r="T36" s="30">
        <f>SUM(A:B!T36)</f>
        <v>821637.33333333326</v>
      </c>
      <c r="U36" s="30">
        <f>SUM(A:B!U36)</f>
        <v>775550.77777777775</v>
      </c>
      <c r="V36" s="32">
        <f t="shared" si="12"/>
        <v>10889534.111111112</v>
      </c>
      <c r="W36" s="74">
        <f>V36/V$39</f>
        <v>0.22783978372311389</v>
      </c>
      <c r="X36" s="90"/>
      <c r="Y36" s="30">
        <f>SUM(A:B!Y36)</f>
        <v>701224.92</v>
      </c>
      <c r="Z36" s="30">
        <f>SUM(A:B!Z36)</f>
        <v>720412.16000000003</v>
      </c>
      <c r="AA36" s="30">
        <f>SUM(A:B!AA36)</f>
        <v>819315.8899999999</v>
      </c>
      <c r="AB36" s="30">
        <f>SUM(A:B!AB36)</f>
        <v>754550.32</v>
      </c>
      <c r="AC36" s="30">
        <f>SUM(A:B!AC36)</f>
        <v>871028.95</v>
      </c>
      <c r="AD36" s="30">
        <f>SUM(A:B!AD36)</f>
        <v>924681.99</v>
      </c>
      <c r="AE36" s="30">
        <f>SUM(A:B!AE36)</f>
        <v>851275.85999999987</v>
      </c>
      <c r="AF36" s="30">
        <f>SUM(A:B!AF36)</f>
        <v>883838.64999999991</v>
      </c>
      <c r="AG36" s="30">
        <f>SUM(A:B!AG36)</f>
        <v>851234.03</v>
      </c>
      <c r="AH36" s="30">
        <f>SUM(A:B!AH36)</f>
        <v>816664.1399999999</v>
      </c>
      <c r="AI36" s="30">
        <f>SUM(A:B!AI36)</f>
        <v>776675.96999999986</v>
      </c>
      <c r="AJ36" s="30">
        <f>SUM(A:B!AJ36)</f>
        <v>732685.83</v>
      </c>
      <c r="AK36" s="30">
        <f t="shared" si="13"/>
        <v>9703588.7100000009</v>
      </c>
      <c r="AL36" s="74">
        <f>AK36/AK$39</f>
        <v>0.19572500459632378</v>
      </c>
      <c r="AM36" s="29">
        <f>IFERROR(AK36/V36-1,0)</f>
        <v>-0.10890689987380031</v>
      </c>
    </row>
    <row r="37" spans="1:41" hidden="1" outlineLevel="1">
      <c r="I37" s="31" t="s">
        <v>138</v>
      </c>
      <c r="J37" s="30">
        <f>SUM(A:B!J37)</f>
        <v>1749533</v>
      </c>
      <c r="K37" s="30">
        <f>SUM(A:B!K37)</f>
        <v>1382005</v>
      </c>
      <c r="L37" s="30">
        <f>SUM(A:B!L37)</f>
        <v>1580760</v>
      </c>
      <c r="M37" s="30">
        <f>SUM(A:B!M37)</f>
        <v>1350095</v>
      </c>
      <c r="N37" s="30">
        <f>SUM(A:B!N37)</f>
        <v>1651925</v>
      </c>
      <c r="O37" s="30">
        <f>SUM(A:B!O37)</f>
        <v>1515260</v>
      </c>
      <c r="P37" s="30">
        <f>SUM(A:B!P37)</f>
        <v>1531075</v>
      </c>
      <c r="Q37" s="30">
        <f>SUM(A:B!Q37)</f>
        <v>1405577</v>
      </c>
      <c r="R37" s="30">
        <f>SUM(A:B!R37)</f>
        <v>1156775</v>
      </c>
      <c r="S37" s="30">
        <f>SUM(A:B!S37)</f>
        <v>1843588.3333333335</v>
      </c>
      <c r="T37" s="30">
        <f>SUM(A:B!T37)</f>
        <v>1478922.7777777778</v>
      </c>
      <c r="U37" s="30">
        <f>SUM(A:B!U37)</f>
        <v>1493095.3703703703</v>
      </c>
      <c r="V37" s="32">
        <f t="shared" si="12"/>
        <v>18138611.481481481</v>
      </c>
      <c r="W37" s="74">
        <f>V37/V$39</f>
        <v>0.37951093911001599</v>
      </c>
      <c r="X37" s="90"/>
      <c r="Y37" s="30">
        <f>SUM(A:B!Y37)</f>
        <v>1443633.3199999998</v>
      </c>
      <c r="Z37" s="30">
        <f>SUM(A:B!Z37)</f>
        <v>1343809.2</v>
      </c>
      <c r="AA37" s="30">
        <f>SUM(A:B!AA37)</f>
        <v>1493698.95</v>
      </c>
      <c r="AB37" s="30">
        <f>SUM(A:B!AB37)</f>
        <v>1337170.5999999999</v>
      </c>
      <c r="AC37" s="30">
        <f>SUM(A:B!AC37)</f>
        <v>1524607.2</v>
      </c>
      <c r="AD37" s="30">
        <f>SUM(A:B!AD37)</f>
        <v>1504957.25</v>
      </c>
      <c r="AE37" s="30">
        <f>SUM(A:B!AE37)</f>
        <v>1561186.15</v>
      </c>
      <c r="AF37" s="30">
        <f>SUM(A:B!AF37)</f>
        <v>1387071.6800000002</v>
      </c>
      <c r="AG37" s="30">
        <f>SUM(A:B!AG37)</f>
        <v>1458031.4600000002</v>
      </c>
      <c r="AH37" s="30">
        <f>SUM(A:B!AH37)</f>
        <v>1508752.2399999998</v>
      </c>
      <c r="AI37" s="30">
        <f>SUM(A:B!AI37)</f>
        <v>1456924</v>
      </c>
      <c r="AJ37" s="30">
        <f>SUM(A:B!AJ37)</f>
        <v>1341637.53</v>
      </c>
      <c r="AK37" s="30">
        <f t="shared" si="13"/>
        <v>17361479.580000002</v>
      </c>
      <c r="AL37" s="74">
        <f>AK37/AK$39</f>
        <v>0.3501875205296579</v>
      </c>
      <c r="AM37" s="29">
        <f>IFERROR(AK37/V37-1,0)</f>
        <v>-4.2844067875586145E-2</v>
      </c>
    </row>
    <row r="38" spans="1:41" ht="14.25" hidden="1" customHeight="1" outlineLevel="1">
      <c r="I38" s="31" t="s">
        <v>139</v>
      </c>
      <c r="J38" s="30">
        <f>SUM(A:B!J38)</f>
        <v>2073</v>
      </c>
      <c r="K38" s="30">
        <f>SUM(A:B!K38)</f>
        <v>19180</v>
      </c>
      <c r="L38" s="30">
        <f>SUM(A:B!L38)</f>
        <v>11371</v>
      </c>
      <c r="M38" s="30">
        <f>SUM(A:B!M38)</f>
        <v>14475</v>
      </c>
      <c r="N38" s="30">
        <f>SUM(A:B!N38)</f>
        <v>15343</v>
      </c>
      <c r="O38" s="30">
        <f>SUM(A:B!O38)</f>
        <v>14861</v>
      </c>
      <c r="P38" s="30">
        <f>SUM(A:B!P38)</f>
        <v>13316</v>
      </c>
      <c r="Q38" s="30">
        <f>SUM(A:B!Q38)</f>
        <v>13972</v>
      </c>
      <c r="R38" s="30">
        <f>SUM(A:B!R38)</f>
        <v>2522</v>
      </c>
      <c r="S38" s="30">
        <f>SUM(A:B!S38)</f>
        <v>3724.666666666667</v>
      </c>
      <c r="T38" s="30">
        <f>SUM(A:B!T38)</f>
        <v>6307.5555555555547</v>
      </c>
      <c r="U38" s="30">
        <f>SUM(A:B!U38)</f>
        <v>4184.74074074074</v>
      </c>
      <c r="V38" s="32">
        <f t="shared" si="12"/>
        <v>121329.96296296296</v>
      </c>
      <c r="W38" s="74">
        <f t="shared" ref="W38:W46" si="14">V38/V$39</f>
        <v>2.5385652167073539E-3</v>
      </c>
      <c r="X38" s="90"/>
      <c r="Y38" s="30">
        <f>SUM(A:B!Y38)</f>
        <v>11196</v>
      </c>
      <c r="Z38" s="30">
        <f>SUM(A:B!Z38)</f>
        <v>10800</v>
      </c>
      <c r="AA38" s="30">
        <f>SUM(A:B!AA38)</f>
        <v>14319</v>
      </c>
      <c r="AB38" s="30">
        <f>SUM(A:B!AB38)</f>
        <v>10458</v>
      </c>
      <c r="AC38" s="30">
        <f>SUM(A:B!AC38)</f>
        <v>11367</v>
      </c>
      <c r="AD38" s="30">
        <f>SUM(A:B!AD38)</f>
        <v>10665</v>
      </c>
      <c r="AE38" s="30">
        <f>SUM(A:B!AE38)</f>
        <v>10755</v>
      </c>
      <c r="AF38" s="30">
        <f>SUM(A:B!AF38)</f>
        <v>10287</v>
      </c>
      <c r="AG38" s="30">
        <f>SUM(A:B!AG38)</f>
        <v>10404</v>
      </c>
      <c r="AH38" s="30">
        <f>SUM(A:B!AH38)</f>
        <v>11448</v>
      </c>
      <c r="AI38" s="30">
        <f>SUM(A:B!AI38)</f>
        <v>11781</v>
      </c>
      <c r="AJ38" s="30">
        <f>SUM(A:B!AJ38)</f>
        <v>11439</v>
      </c>
      <c r="AK38" s="30">
        <f t="shared" si="13"/>
        <v>134919</v>
      </c>
      <c r="AL38" s="74">
        <f t="shared" ref="AL38:AL46" si="15">AK38/AK$39</f>
        <v>2.7213665669813211E-3</v>
      </c>
      <c r="AM38" s="29">
        <f>IFERROR(AK38/V38-1,0)</f>
        <v>0.11200066912725593</v>
      </c>
    </row>
    <row r="39" spans="1:41" collapsed="1">
      <c r="I39" s="18" t="s">
        <v>140</v>
      </c>
      <c r="J39" s="33">
        <f>SUM(A:B!J39)</f>
        <v>3700569</v>
      </c>
      <c r="K39" s="33">
        <f>SUM(A:B!K39)</f>
        <v>3632738</v>
      </c>
      <c r="L39" s="33">
        <f>SUM(A:B!L39)</f>
        <v>3988189</v>
      </c>
      <c r="M39" s="33">
        <f>SUM(A:B!M39)</f>
        <v>3743720</v>
      </c>
      <c r="N39" s="33">
        <f>SUM(A:B!N39)</f>
        <v>4276090</v>
      </c>
      <c r="O39" s="33">
        <f>SUM(A:B!O39)</f>
        <v>4259792</v>
      </c>
      <c r="P39" s="33">
        <f>SUM(A:B!P39)</f>
        <v>4201852</v>
      </c>
      <c r="Q39" s="33">
        <f>SUM(A:B!Q39)</f>
        <v>3874166</v>
      </c>
      <c r="R39" s="33">
        <f>SUM(A:B!R39)</f>
        <v>3936481</v>
      </c>
      <c r="S39" s="33">
        <f>SUM(A:B!S39)</f>
        <v>4261827</v>
      </c>
      <c r="T39" s="33">
        <f>SUM(A:B!T39)</f>
        <v>4068566</v>
      </c>
      <c r="U39" s="33">
        <f>SUM(A:B!U39)</f>
        <v>3850710</v>
      </c>
      <c r="V39" s="33">
        <f>SUM(A:B!V39)</f>
        <v>47794700</v>
      </c>
      <c r="W39" s="74">
        <f t="shared" si="14"/>
        <v>1</v>
      </c>
      <c r="X39" s="90"/>
      <c r="Y39" s="33">
        <f>SUM(A:B!Y39)</f>
        <v>3821480</v>
      </c>
      <c r="Z39" s="33">
        <f>SUM(A:B!Z39)</f>
        <v>3748758</v>
      </c>
      <c r="AA39" s="33">
        <f>SUM(A:B!AA39)</f>
        <v>4114391</v>
      </c>
      <c r="AB39" s="33">
        <f>SUM(A:B!AB39)</f>
        <v>3870153</v>
      </c>
      <c r="AC39" s="33">
        <f>SUM(A:B!AC39)</f>
        <v>4414525</v>
      </c>
      <c r="AD39" s="33">
        <f>SUM(A:B!AD39)</f>
        <v>4346815</v>
      </c>
      <c r="AE39" s="33">
        <f>SUM(A:B!AE39)</f>
        <v>4282241</v>
      </c>
      <c r="AF39" s="33">
        <f>SUM(A:B!AF39)</f>
        <v>4339623</v>
      </c>
      <c r="AG39" s="33">
        <f>SUM(A:B!AG39)</f>
        <v>4244920</v>
      </c>
      <c r="AH39" s="33">
        <f>SUM(A:B!AH39)</f>
        <v>4309564</v>
      </c>
      <c r="AI39" s="33">
        <f>SUM(A:B!AI39)</f>
        <v>4159855</v>
      </c>
      <c r="AJ39" s="33">
        <f>SUM(A:B!AJ39)</f>
        <v>3925340</v>
      </c>
      <c r="AK39" s="33">
        <f t="shared" si="13"/>
        <v>49577665</v>
      </c>
      <c r="AL39" s="74">
        <f t="shared" si="15"/>
        <v>1</v>
      </c>
      <c r="AM39" s="16">
        <f>IFERROR(AK39/V39-1,0)</f>
        <v>3.7304659303228238E-2</v>
      </c>
      <c r="AN39" s="3">
        <v>48793805</v>
      </c>
    </row>
    <row r="40" spans="1:41" hidden="1" outlineLevel="1">
      <c r="E40" s="127"/>
      <c r="I40" s="31" t="s">
        <v>141</v>
      </c>
      <c r="J40" s="30">
        <f>SUM(A:B!J40)</f>
        <v>2902809</v>
      </c>
      <c r="K40" s="30">
        <f>SUM(A:B!K40)</f>
        <v>2857785</v>
      </c>
      <c r="L40" s="30">
        <f>SUM(A:B!L40)</f>
        <v>3134970</v>
      </c>
      <c r="M40" s="30">
        <f>SUM(A:B!M40)</f>
        <v>2960554</v>
      </c>
      <c r="N40" s="30">
        <f>SUM(A:B!N40)</f>
        <v>3367706</v>
      </c>
      <c r="O40" s="30">
        <f>SUM(A:B!O40)</f>
        <v>3288023</v>
      </c>
      <c r="P40" s="30">
        <f>SUM(A:B!P40)</f>
        <v>3234223</v>
      </c>
      <c r="Q40" s="30">
        <f>SUM(A:B!Q40)</f>
        <v>3091988</v>
      </c>
      <c r="R40" s="30">
        <f>SUM(A:B!R40)</f>
        <v>3083493</v>
      </c>
      <c r="S40" s="30">
        <f>SUM(A:B!S40)</f>
        <v>3317420</v>
      </c>
      <c r="T40" s="30">
        <f>SUM(A:B!T40)</f>
        <v>3181610</v>
      </c>
      <c r="U40" s="30">
        <f>SUM(A:B!U40)</f>
        <v>3012428</v>
      </c>
      <c r="V40" s="32">
        <f t="shared" si="12"/>
        <v>37433009</v>
      </c>
      <c r="W40" s="74">
        <f t="shared" si="14"/>
        <v>0.78320418372748446</v>
      </c>
      <c r="X40" s="90"/>
      <c r="Y40" s="30">
        <f>SUM(A:B!Y40)</f>
        <v>2952663</v>
      </c>
      <c r="Z40" s="30">
        <f>SUM(A:B!Z40)</f>
        <v>2902741</v>
      </c>
      <c r="AA40" s="30">
        <f>SUM(A:B!AA40)</f>
        <v>3197079</v>
      </c>
      <c r="AB40" s="30">
        <f>SUM(A:B!AB40)</f>
        <v>3008559</v>
      </c>
      <c r="AC40" s="30">
        <f>SUM(A:B!AC40)</f>
        <v>3462421</v>
      </c>
      <c r="AD40" s="30">
        <f>SUM(A:B!AD40)</f>
        <v>3368996</v>
      </c>
      <c r="AE40" s="30">
        <f>SUM(A:B!AE40)</f>
        <v>3306021</v>
      </c>
      <c r="AF40" s="30">
        <f>SUM(A:B!AF40)</f>
        <v>3423794</v>
      </c>
      <c r="AG40" s="30">
        <f>SUM(A:B!AG40)</f>
        <v>3315072</v>
      </c>
      <c r="AH40" s="30">
        <f>SUM(A:B!AH40)</f>
        <v>3373834</v>
      </c>
      <c r="AI40" s="30">
        <f>SUM(A:B!AI40)</f>
        <v>3253255</v>
      </c>
      <c r="AJ40" s="30">
        <f>SUM(A:B!AJ40)</f>
        <v>3071369</v>
      </c>
      <c r="AK40" s="32">
        <f t="shared" si="13"/>
        <v>38635804</v>
      </c>
      <c r="AL40" s="74">
        <f t="shared" si="15"/>
        <v>0.77929858132689389</v>
      </c>
      <c r="AM40" s="29">
        <f t="shared" si="7"/>
        <v>3.2131934678294227E-2</v>
      </c>
    </row>
    <row r="41" spans="1:41" hidden="1" outlineLevel="1">
      <c r="E41" s="127"/>
      <c r="I41" s="31" t="s">
        <v>142</v>
      </c>
      <c r="J41" s="30">
        <f>SUM(A:B!J41)</f>
        <v>271069</v>
      </c>
      <c r="K41" s="30">
        <f>SUM(A:B!K41)</f>
        <v>279451</v>
      </c>
      <c r="L41" s="30">
        <f>SUM(A:B!L41)</f>
        <v>310795</v>
      </c>
      <c r="M41" s="30">
        <f>SUM(A:B!M41)</f>
        <v>292788</v>
      </c>
      <c r="N41" s="30">
        <f>SUM(A:B!N41)</f>
        <v>333910</v>
      </c>
      <c r="O41" s="30">
        <f>SUM(A:B!O41)</f>
        <v>349797</v>
      </c>
      <c r="P41" s="30">
        <f>SUM(A:B!P41)</f>
        <v>334339</v>
      </c>
      <c r="Q41" s="30">
        <f>SUM(A:B!Q41)</f>
        <v>236040</v>
      </c>
      <c r="R41" s="30">
        <f>SUM(A:B!R41)</f>
        <v>275117</v>
      </c>
      <c r="S41" s="30">
        <f>SUM(A:B!S41)</f>
        <v>321116</v>
      </c>
      <c r="T41" s="30">
        <f>SUM(A:B!T41)</f>
        <v>301876</v>
      </c>
      <c r="U41" s="30">
        <f>SUM(A:B!U41)</f>
        <v>286641</v>
      </c>
      <c r="V41" s="32">
        <f t="shared" si="12"/>
        <v>3592939</v>
      </c>
      <c r="W41" s="74">
        <f t="shared" si="14"/>
        <v>7.5174423105490773E-2</v>
      </c>
      <c r="X41" s="90"/>
      <c r="Y41" s="30">
        <f>SUM(A:B!Y41)</f>
        <v>277164</v>
      </c>
      <c r="Z41" s="30">
        <f>SUM(A:B!Z41)</f>
        <v>283847</v>
      </c>
      <c r="AA41" s="30">
        <f>SUM(A:B!AA41)</f>
        <v>317230</v>
      </c>
      <c r="AB41" s="30">
        <f>SUM(A:B!AB41)</f>
        <v>298246</v>
      </c>
      <c r="AC41" s="30">
        <f>SUM(A:B!AC41)</f>
        <v>344135</v>
      </c>
      <c r="AD41" s="30">
        <f>SUM(A:B!AD41)</f>
        <v>360055</v>
      </c>
      <c r="AE41" s="30">
        <f>SUM(A:B!AE41)</f>
        <v>342401</v>
      </c>
      <c r="AF41" s="30">
        <f>SUM(A:B!AF41)</f>
        <v>347357</v>
      </c>
      <c r="AG41" s="30">
        <f>SUM(A:B!AG41)</f>
        <v>339416</v>
      </c>
      <c r="AH41" s="30">
        <f>SUM(A:B!AH41)</f>
        <v>320848</v>
      </c>
      <c r="AI41" s="30">
        <f>SUM(A:B!AI41)</f>
        <v>309500</v>
      </c>
      <c r="AJ41" s="30">
        <f>SUM(A:B!AJ41)</f>
        <v>292325</v>
      </c>
      <c r="AK41" s="32">
        <f t="shared" si="13"/>
        <v>3832524</v>
      </c>
      <c r="AL41" s="74">
        <f t="shared" si="15"/>
        <v>7.7303438957845236E-2</v>
      </c>
      <c r="AM41" s="29">
        <f t="shared" si="7"/>
        <v>6.6682178573028938E-2</v>
      </c>
    </row>
    <row r="42" spans="1:41" hidden="1" outlineLevel="1">
      <c r="E42" s="127"/>
      <c r="I42" s="31" t="s">
        <v>143</v>
      </c>
      <c r="J42" s="30">
        <f>SUM(A:B!J42)</f>
        <v>526691</v>
      </c>
      <c r="K42" s="30">
        <f>SUM(A:B!K42)</f>
        <v>495501</v>
      </c>
      <c r="L42" s="30">
        <f>SUM(A:B!L42)</f>
        <v>542424</v>
      </c>
      <c r="M42" s="30">
        <f>SUM(A:B!M42)</f>
        <v>490379</v>
      </c>
      <c r="N42" s="30">
        <f>SUM(A:B!N42)</f>
        <v>574474</v>
      </c>
      <c r="O42" s="30">
        <f>SUM(A:B!O42)</f>
        <v>621973</v>
      </c>
      <c r="P42" s="30">
        <f>SUM(A:B!P42)</f>
        <v>633290</v>
      </c>
      <c r="Q42" s="30">
        <f>SUM(A:B!Q42)</f>
        <v>546137</v>
      </c>
      <c r="R42" s="30">
        <f>SUM(A:B!R42)</f>
        <v>577870</v>
      </c>
      <c r="S42" s="30">
        <f>SUM(A:B!S42)</f>
        <v>623291</v>
      </c>
      <c r="T42" s="30">
        <f>SUM(A:B!T42)</f>
        <v>585080</v>
      </c>
      <c r="U42" s="30">
        <f>SUM(A:B!U42)</f>
        <v>551641</v>
      </c>
      <c r="V42" s="32">
        <f t="shared" si="12"/>
        <v>6768751</v>
      </c>
      <c r="W42" s="74">
        <f t="shared" si="14"/>
        <v>0.14162137224420282</v>
      </c>
      <c r="X42" s="90"/>
      <c r="Y42" s="30">
        <f>SUM(A:B!Y42)</f>
        <v>591653</v>
      </c>
      <c r="Z42" s="30">
        <f>SUM(A:B!Z42)</f>
        <v>562170</v>
      </c>
      <c r="AA42" s="30">
        <f>SUM(A:B!AA42)</f>
        <v>600082</v>
      </c>
      <c r="AB42" s="30">
        <f>SUM(A:B!AB42)</f>
        <v>563348</v>
      </c>
      <c r="AC42" s="30">
        <f>SUM(A:B!AC42)</f>
        <v>607969</v>
      </c>
      <c r="AD42" s="30">
        <f>SUM(A:B!AD42)</f>
        <v>617764</v>
      </c>
      <c r="AE42" s="30">
        <f>SUM(A:B!AE42)</f>
        <v>633819</v>
      </c>
      <c r="AF42" s="30">
        <f>SUM(A:B!AF42)</f>
        <v>568472</v>
      </c>
      <c r="AG42" s="30">
        <f>SUM(A:B!AG42)</f>
        <v>590432</v>
      </c>
      <c r="AH42" s="30">
        <f>SUM(A:B!AH42)</f>
        <v>614882</v>
      </c>
      <c r="AI42" s="30">
        <f>SUM(A:B!AI42)</f>
        <v>597100</v>
      </c>
      <c r="AJ42" s="30">
        <f>SUM(A:B!AJ42)</f>
        <v>561646</v>
      </c>
      <c r="AK42" s="32">
        <f t="shared" si="13"/>
        <v>7109337</v>
      </c>
      <c r="AL42" s="74">
        <f t="shared" si="15"/>
        <v>0.14339797971526089</v>
      </c>
      <c r="AM42" s="29">
        <f t="shared" si="7"/>
        <v>5.0317407155322957E-2</v>
      </c>
    </row>
    <row r="43" spans="1:41" collapsed="1">
      <c r="I43" s="18" t="s">
        <v>144</v>
      </c>
      <c r="J43" s="17">
        <f t="shared" ref="J43:V43" si="16">J34/J39</f>
        <v>2.6129422259117447</v>
      </c>
      <c r="K43" s="17">
        <f t="shared" si="16"/>
        <v>2.8635216742853462</v>
      </c>
      <c r="L43" s="17">
        <f t="shared" si="16"/>
        <v>2.6658586140225551</v>
      </c>
      <c r="M43" s="17">
        <f t="shared" si="16"/>
        <v>2.717905986558824</v>
      </c>
      <c r="N43" s="17">
        <f t="shared" si="16"/>
        <v>2.916607695347853</v>
      </c>
      <c r="O43" s="17">
        <f t="shared" si="16"/>
        <v>2.5586636624511243</v>
      </c>
      <c r="P43" s="17">
        <f t="shared" si="16"/>
        <v>2.4372831313430363</v>
      </c>
      <c r="Q43" s="17">
        <f t="shared" si="16"/>
        <v>2.4000491976853855</v>
      </c>
      <c r="R43" s="17">
        <f t="shared" si="16"/>
        <v>2.3898596233539551</v>
      </c>
      <c r="S43" s="17">
        <f t="shared" si="16"/>
        <v>2.8779349138292094</v>
      </c>
      <c r="T43" s="17">
        <f t="shared" si="16"/>
        <v>2.8412386796724003</v>
      </c>
      <c r="U43" s="17">
        <f t="shared" si="16"/>
        <v>2.912987560735552</v>
      </c>
      <c r="V43" s="17">
        <f>+V34/V39</f>
        <v>2.6831197421471389</v>
      </c>
      <c r="W43" s="74">
        <f t="shared" si="14"/>
        <v>5.6138436733511014E-8</v>
      </c>
      <c r="X43" s="90"/>
      <c r="Y43" s="17">
        <f t="shared" ref="Y43:AK43" si="17">Y34/Y39</f>
        <v>2.5035427033505315</v>
      </c>
      <c r="Z43" s="17">
        <f t="shared" si="17"/>
        <v>2.4834457278917483</v>
      </c>
      <c r="AA43" s="17">
        <f t="shared" si="17"/>
        <v>2.5870201130616874</v>
      </c>
      <c r="AB43" s="17">
        <f t="shared" si="17"/>
        <v>2.4444250007687072</v>
      </c>
      <c r="AC43" s="17">
        <f t="shared" si="17"/>
        <v>2.6179509211070253</v>
      </c>
      <c r="AD43" s="17">
        <f t="shared" si="17"/>
        <v>2.4839140819197527</v>
      </c>
      <c r="AE43" s="17">
        <f t="shared" si="17"/>
        <v>2.4884608269361777</v>
      </c>
      <c r="AF43" s="17">
        <f t="shared" si="17"/>
        <v>2.5340983675310014</v>
      </c>
      <c r="AG43" s="17">
        <f t="shared" si="17"/>
        <v>2.4824035717987636</v>
      </c>
      <c r="AH43" s="17">
        <f t="shared" si="17"/>
        <v>2.521598809067461</v>
      </c>
      <c r="AI43" s="17">
        <f t="shared" si="17"/>
        <v>2.4743622986858904</v>
      </c>
      <c r="AJ43" s="17">
        <f t="shared" si="17"/>
        <v>2.4491674453677894</v>
      </c>
      <c r="AK43" s="17">
        <f>+AK34/AK39</f>
        <v>2.5071800192687559</v>
      </c>
      <c r="AL43" s="74">
        <f t="shared" si="15"/>
        <v>5.0570756393403279E-8</v>
      </c>
      <c r="AM43" s="16">
        <f t="shared" si="7"/>
        <v>-6.5572818132070831E-2</v>
      </c>
      <c r="AN43" s="3">
        <v>2.8</v>
      </c>
      <c r="AO43" s="3">
        <f>+AN39*AN43</f>
        <v>136622654</v>
      </c>
    </row>
    <row r="44" spans="1:41" hidden="1" outlineLevel="1">
      <c r="I44" s="31" t="s">
        <v>141</v>
      </c>
      <c r="J44" s="30">
        <f t="shared" ref="J44:S45" si="18">IFERROR((J7+J11-(J14+J17+J23+J25+J28))/J40,0)</f>
        <v>2.4474479719471725</v>
      </c>
      <c r="K44" s="30">
        <f t="shared" si="18"/>
        <v>2.8141448709402561</v>
      </c>
      <c r="L44" s="30">
        <f t="shared" si="18"/>
        <v>2.4877300261246518</v>
      </c>
      <c r="M44" s="30">
        <f t="shared" si="18"/>
        <v>2.5371906744480932</v>
      </c>
      <c r="N44" s="30">
        <f t="shared" si="18"/>
        <v>2.698380143634866</v>
      </c>
      <c r="O44" s="30">
        <f t="shared" si="18"/>
        <v>2.2613822956834548</v>
      </c>
      <c r="P44" s="30">
        <f t="shared" si="18"/>
        <v>2.1903458728727117</v>
      </c>
      <c r="Q44" s="30">
        <f t="shared" si="18"/>
        <v>2.225115686089338</v>
      </c>
      <c r="R44" s="30">
        <f t="shared" si="18"/>
        <v>2.2777690755257107</v>
      </c>
      <c r="S44" s="30">
        <f t="shared" si="18"/>
        <v>2.7412465771593584</v>
      </c>
      <c r="T44" s="30">
        <v>2.34</v>
      </c>
      <c r="U44" s="30">
        <v>2.34</v>
      </c>
      <c r="V44" s="30">
        <f>+V35/V40</f>
        <v>2.5962483133931733</v>
      </c>
      <c r="W44" s="74">
        <f t="shared" si="14"/>
        <v>5.4320841293975549E-8</v>
      </c>
      <c r="X44" s="90"/>
      <c r="Y44" s="30">
        <f>IFERROR((Y7+Y11-(Y14+Y17+Y23+Y25+Y28))/Y40,0)</f>
        <v>2.5099999999999958</v>
      </c>
      <c r="Z44" s="30">
        <f t="shared" ref="Z44:AK45" si="19">IFERROR((Z7+Z11-(Z14+Z17+Z23+Z25+Z28))/Z40,0)</f>
        <v>2.4924082720435639</v>
      </c>
      <c r="AA44" s="30">
        <f t="shared" si="19"/>
        <v>2.601336541887139</v>
      </c>
      <c r="AB44" s="30">
        <f t="shared" si="19"/>
        <v>2.445728945319007</v>
      </c>
      <c r="AC44" s="30">
        <f t="shared" si="19"/>
        <v>2.6426614903271441</v>
      </c>
      <c r="AD44" s="30">
        <f t="shared" si="19"/>
        <v>2.4805048002431609</v>
      </c>
      <c r="AE44" s="30">
        <f t="shared" si="19"/>
        <v>2.4902963320559666</v>
      </c>
      <c r="AF44" s="30">
        <f t="shared" si="19"/>
        <v>2.5456654898045841</v>
      </c>
      <c r="AG44" s="30">
        <f t="shared" si="19"/>
        <v>2.4789612653963489</v>
      </c>
      <c r="AH44" s="30">
        <f t="shared" si="19"/>
        <v>2.5283185450143666</v>
      </c>
      <c r="AI44" s="30">
        <f t="shared" si="19"/>
        <v>2.47370938029758</v>
      </c>
      <c r="AJ44" s="30">
        <f t="shared" si="19"/>
        <v>2.4510414020588209</v>
      </c>
      <c r="AK44" s="30">
        <f>+AK35/AK40</f>
        <v>2.5132165956737951</v>
      </c>
      <c r="AL44" s="74">
        <f t="shared" si="15"/>
        <v>5.0692516391681515E-8</v>
      </c>
      <c r="AM44" s="29">
        <f t="shared" si="7"/>
        <v>-3.1981423845725998E-2</v>
      </c>
    </row>
    <row r="45" spans="1:41" hidden="1" outlineLevel="1">
      <c r="I45" s="31" t="s">
        <v>142</v>
      </c>
      <c r="J45" s="30">
        <f t="shared" si="18"/>
        <v>2.9576823613175982</v>
      </c>
      <c r="K45" s="30">
        <f t="shared" si="18"/>
        <v>3.2905375182053382</v>
      </c>
      <c r="L45" s="30">
        <f t="shared" si="18"/>
        <v>3.4516256696536303</v>
      </c>
      <c r="M45" s="30">
        <f t="shared" si="18"/>
        <v>3.4872057597988988</v>
      </c>
      <c r="N45" s="30">
        <f t="shared" si="18"/>
        <v>3.305980653469498</v>
      </c>
      <c r="O45" s="30">
        <f t="shared" si="18"/>
        <v>3.0678822288355816</v>
      </c>
      <c r="P45" s="30">
        <f t="shared" si="18"/>
        <v>2.7159649337947411</v>
      </c>
      <c r="Q45" s="30">
        <f t="shared" si="18"/>
        <v>2.3354007795288934</v>
      </c>
      <c r="R45" s="30">
        <f t="shared" si="18"/>
        <v>2.2377134092040842</v>
      </c>
      <c r="S45" s="30">
        <f t="shared" si="18"/>
        <v>2.5335174827788087</v>
      </c>
      <c r="T45" s="30">
        <v>2.13</v>
      </c>
      <c r="U45" s="30">
        <v>2.13</v>
      </c>
      <c r="V45" s="30">
        <f>+V36/V41</f>
        <v>3.0308151936648833</v>
      </c>
      <c r="W45" s="74">
        <f t="shared" si="14"/>
        <v>6.3413206771145829E-8</v>
      </c>
      <c r="X45" s="90"/>
      <c r="Y45" s="30">
        <f>IFERROR((Y8+Y12-(Y15+Y18+Y24+Y26+Y29))/Y41,0)</f>
        <v>2.5299999999999998</v>
      </c>
      <c r="Z45" s="30">
        <f t="shared" si="19"/>
        <v>2.5380298541115431</v>
      </c>
      <c r="AA45" s="30">
        <f t="shared" si="19"/>
        <v>2.5827188160010106</v>
      </c>
      <c r="AB45" s="30">
        <f t="shared" si="19"/>
        <v>2.5299595635817393</v>
      </c>
      <c r="AC45" s="30">
        <f t="shared" si="19"/>
        <v>2.5310676042832005</v>
      </c>
      <c r="AD45" s="30">
        <f t="shared" si="19"/>
        <v>2.5681687242226863</v>
      </c>
      <c r="AE45" s="30">
        <f t="shared" si="19"/>
        <v>2.4861956010642476</v>
      </c>
      <c r="AF45" s="30">
        <f t="shared" si="19"/>
        <v>2.5444676514364195</v>
      </c>
      <c r="AG45" s="30">
        <f t="shared" si="19"/>
        <v>2.5079372510429661</v>
      </c>
      <c r="AH45" s="30">
        <f t="shared" si="19"/>
        <v>2.5453303121727355</v>
      </c>
      <c r="AI45" s="30">
        <f t="shared" si="19"/>
        <v>2.5094538610662318</v>
      </c>
      <c r="AJ45" s="30">
        <f t="shared" si="19"/>
        <v>2.506408381082696</v>
      </c>
      <c r="AK45" s="30">
        <f>+AK36/AK41</f>
        <v>2.5319055301414943</v>
      </c>
      <c r="AL45" s="74">
        <f t="shared" si="15"/>
        <v>5.1069479172556721E-8</v>
      </c>
      <c r="AM45" s="29">
        <f t="shared" si="7"/>
        <v>-0.16461236718300332</v>
      </c>
    </row>
    <row r="46" spans="1:41" hidden="1" outlineLevel="1">
      <c r="I46" s="31" t="s">
        <v>143</v>
      </c>
      <c r="J46" s="30">
        <f t="shared" ref="J46:S46" si="20">IFERROR((J9-(J16+J19+J27))/J42,0)</f>
        <v>3.209080846264698</v>
      </c>
      <c r="K46" s="30">
        <f t="shared" si="20"/>
        <v>2.5996052480216991</v>
      </c>
      <c r="L46" s="30">
        <f t="shared" si="20"/>
        <v>2.6954190817515449</v>
      </c>
      <c r="M46" s="30">
        <f t="shared" si="20"/>
        <v>2.505370336005416</v>
      </c>
      <c r="N46" s="30">
        <f t="shared" si="20"/>
        <v>2.5528657519748501</v>
      </c>
      <c r="O46" s="30">
        <f t="shared" si="20"/>
        <v>2.0997856820151357</v>
      </c>
      <c r="P46" s="30">
        <f t="shared" si="20"/>
        <v>2.0353755783290435</v>
      </c>
      <c r="Q46" s="30">
        <f t="shared" si="20"/>
        <v>2.4244447821700414</v>
      </c>
      <c r="R46" s="30">
        <f t="shared" si="20"/>
        <v>1.5470919064841573</v>
      </c>
      <c r="S46" s="30">
        <f t="shared" si="20"/>
        <v>2.7484219088676087</v>
      </c>
      <c r="T46" s="30">
        <v>2.0499999999999998</v>
      </c>
      <c r="U46" s="30">
        <v>2.0499999999999998</v>
      </c>
      <c r="V46" s="30">
        <f>IFERROR(+V37/V42,0)</f>
        <v>2.6797575330340089</v>
      </c>
      <c r="W46" s="74">
        <f t="shared" si="14"/>
        <v>5.6068089830755477E-8</v>
      </c>
      <c r="X46" s="90"/>
      <c r="Y46" s="30">
        <f>IFERROR((Y9+Y11-(Y16+Y19+Y27))/Y42,0)</f>
        <v>2.4399999999999973</v>
      </c>
      <c r="Z46" s="30">
        <f t="shared" ref="Z46:AJ46" si="21">IFERROR((Z9+Z11-(Z16+Z19+Z27))/Z42,0)</f>
        <v>2.3903964992795794</v>
      </c>
      <c r="AA46" s="30">
        <f t="shared" si="21"/>
        <v>2.4891580650644398</v>
      </c>
      <c r="AB46" s="30">
        <f t="shared" si="21"/>
        <v>2.3736138230720614</v>
      </c>
      <c r="AC46" s="30">
        <f t="shared" si="21"/>
        <v>2.507705491562894</v>
      </c>
      <c r="AD46" s="30">
        <f t="shared" si="21"/>
        <v>2.436136210591747</v>
      </c>
      <c r="AE46" s="30">
        <f t="shared" si="21"/>
        <v>2.4631419222206947</v>
      </c>
      <c r="AF46" s="30">
        <f t="shared" si="21"/>
        <v>2.4399999999999964</v>
      </c>
      <c r="AG46" s="30">
        <f t="shared" si="21"/>
        <v>2.4694316364966653</v>
      </c>
      <c r="AH46" s="30">
        <f t="shared" si="21"/>
        <v>2.4537264710952673</v>
      </c>
      <c r="AI46" s="30">
        <f t="shared" si="21"/>
        <v>2.4399999999999968</v>
      </c>
      <c r="AJ46" s="30">
        <f t="shared" si="21"/>
        <v>2.3887600552661272</v>
      </c>
      <c r="AK46" s="30">
        <f>IFERROR(+AK37/AK42,0)</f>
        <v>2.4420673235774308</v>
      </c>
      <c r="AL46" s="74">
        <f t="shared" si="15"/>
        <v>4.925740902838871E-8</v>
      </c>
      <c r="AM46" s="29">
        <f t="shared" si="7"/>
        <v>-8.8698401451069442E-2</v>
      </c>
    </row>
    <row r="47" spans="1:41"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L47" s="3"/>
      <c r="AM47" s="13"/>
    </row>
    <row r="48" spans="1:41">
      <c r="A48" s="21"/>
      <c r="B48" s="21"/>
      <c r="C48" s="21"/>
      <c r="D48" s="21"/>
      <c r="E48" s="7" t="s">
        <v>98</v>
      </c>
      <c r="I48" s="139" t="s">
        <v>145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M48" s="13"/>
    </row>
    <row r="49" spans="1:43">
      <c r="A49" s="21"/>
      <c r="B49" s="21"/>
      <c r="C49" s="21"/>
      <c r="D49" s="21"/>
      <c r="E49" s="22"/>
      <c r="F49" s="21"/>
      <c r="G49" s="21"/>
      <c r="H49" s="21"/>
      <c r="I49" s="139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</row>
    <row r="50" spans="1:43" collapsed="1">
      <c r="A50" s="12" t="s">
        <v>146</v>
      </c>
      <c r="B50" s="19" t="s">
        <v>88</v>
      </c>
      <c r="I50" s="166" t="s">
        <v>147</v>
      </c>
      <c r="J50" s="15">
        <f t="shared" ref="J50:V50" si="22">SUM(J51:J90)</f>
        <v>1461923</v>
      </c>
      <c r="K50" s="15">
        <f t="shared" si="22"/>
        <v>1540749</v>
      </c>
      <c r="L50" s="15">
        <f t="shared" si="22"/>
        <v>1586455</v>
      </c>
      <c r="M50" s="15">
        <f t="shared" si="22"/>
        <v>1475793</v>
      </c>
      <c r="N50" s="15">
        <f t="shared" si="22"/>
        <v>1563436</v>
      </c>
      <c r="O50" s="15">
        <f t="shared" si="22"/>
        <v>1546044</v>
      </c>
      <c r="P50" s="15">
        <f t="shared" si="22"/>
        <v>1664258</v>
      </c>
      <c r="Q50" s="15">
        <f t="shared" si="22"/>
        <v>1730204</v>
      </c>
      <c r="R50" s="15">
        <f t="shared" si="22"/>
        <v>1566448</v>
      </c>
      <c r="S50" s="15">
        <f t="shared" si="22"/>
        <v>1700871.1829333333</v>
      </c>
      <c r="T50" s="15">
        <f t="shared" si="22"/>
        <v>1860391.5609777779</v>
      </c>
      <c r="U50" s="15">
        <f t="shared" si="22"/>
        <v>1527728.2602370372</v>
      </c>
      <c r="V50" s="15">
        <f t="shared" si="22"/>
        <v>19224301.004148148</v>
      </c>
      <c r="W50" s="72">
        <f t="shared" ref="W50:W160" si="23">V50/V$6</f>
        <v>2.1451769249393009E-2</v>
      </c>
      <c r="X50" s="89"/>
      <c r="Y50" s="15">
        <f t="shared" ref="Y50:AK50" si="24">SUM(Y51:Y90)</f>
        <v>1618230.4504762748</v>
      </c>
      <c r="Z50" s="15">
        <f t="shared" si="24"/>
        <v>1580031.9311942752</v>
      </c>
      <c r="AA50" s="15">
        <f t="shared" si="24"/>
        <v>2041213.2556892133</v>
      </c>
      <c r="AB50" s="15">
        <f t="shared" si="24"/>
        <v>1599133.9044859037</v>
      </c>
      <c r="AC50" s="15">
        <f t="shared" si="24"/>
        <v>1576904.8669049011</v>
      </c>
      <c r="AD50" s="15">
        <f t="shared" si="24"/>
        <v>1685312.9454215625</v>
      </c>
      <c r="AE50" s="15">
        <f t="shared" si="24"/>
        <v>1668523.6300030388</v>
      </c>
      <c r="AF50" s="15">
        <f t="shared" si="24"/>
        <v>1770033.9887996707</v>
      </c>
      <c r="AG50" s="15">
        <f t="shared" si="24"/>
        <v>1752888.6352396884</v>
      </c>
      <c r="AH50" s="15">
        <f t="shared" si="24"/>
        <v>1942599.2663907532</v>
      </c>
      <c r="AI50" s="15">
        <f t="shared" si="24"/>
        <v>1793573.6742512451</v>
      </c>
      <c r="AJ50" s="15">
        <f t="shared" si="24"/>
        <v>1678630.3115018648</v>
      </c>
      <c r="AK50" s="15">
        <f t="shared" si="24"/>
        <v>20707076.860358391</v>
      </c>
      <c r="AL50" s="72">
        <f t="shared" ref="AL50:AL160" si="25">AK50/AK$6</f>
        <v>2.1498695835797541E-2</v>
      </c>
      <c r="AM50" s="10">
        <f t="shared" si="7"/>
        <v>7.7130287124109076E-2</v>
      </c>
      <c r="AN50" s="9"/>
      <c r="AO50" s="220"/>
      <c r="AP50" s="129"/>
      <c r="AQ50" s="9"/>
    </row>
    <row r="51" spans="1:43" hidden="1" outlineLevel="1">
      <c r="A51" s="12" t="s">
        <v>146</v>
      </c>
      <c r="B51" s="8" t="s">
        <v>88</v>
      </c>
      <c r="C51" s="19" t="s">
        <v>148</v>
      </c>
      <c r="D51" s="12"/>
      <c r="E51" s="20"/>
      <c r="F51" s="12"/>
      <c r="G51" s="12"/>
      <c r="H51" s="12"/>
      <c r="I51" s="246" t="s">
        <v>149</v>
      </c>
      <c r="J51" s="65">
        <f>SUM(A:B!J51)</f>
        <v>260645</v>
      </c>
      <c r="K51" s="65">
        <f>SUM(A:B!K51)</f>
        <v>231021</v>
      </c>
      <c r="L51" s="65">
        <f>SUM(A:B!L51)</f>
        <v>337830</v>
      </c>
      <c r="M51" s="65">
        <f>SUM(A:B!M51)</f>
        <v>235718</v>
      </c>
      <c r="N51" s="65">
        <f>SUM(A:B!N51)</f>
        <v>275972</v>
      </c>
      <c r="O51" s="65">
        <f>SUM(A:B!O51)</f>
        <v>184532</v>
      </c>
      <c r="P51" s="65">
        <f>SUM(A:B!P51)</f>
        <v>231937</v>
      </c>
      <c r="Q51" s="65">
        <f>SUM(A:B!Q51)</f>
        <v>332077</v>
      </c>
      <c r="R51" s="65">
        <f>SUM(A:B!R51)</f>
        <v>243484</v>
      </c>
      <c r="S51" s="65">
        <f>SUM(A:B!S51)</f>
        <v>321243</v>
      </c>
      <c r="T51" s="65">
        <f>SUM(A:B!T51)</f>
        <v>298934.66666666669</v>
      </c>
      <c r="U51" s="65">
        <f>SUM(A:B!U51)</f>
        <v>287887.22222222225</v>
      </c>
      <c r="V51" s="11">
        <f>SUM(J51:U51)</f>
        <v>3241280.888888889</v>
      </c>
      <c r="W51" s="73">
        <f t="shared" si="23"/>
        <v>3.6168394203726171E-3</v>
      </c>
      <c r="X51" s="89"/>
      <c r="Y51" s="65">
        <f>SUM(A:B!Y51)</f>
        <v>262450.4273044978</v>
      </c>
      <c r="Z51" s="65">
        <f>SUM(A:B!Z51)</f>
        <v>252088.36311472871</v>
      </c>
      <c r="AA51" s="65">
        <f>SUM(A:B!AA51)</f>
        <v>280138.01549066755</v>
      </c>
      <c r="AB51" s="65">
        <f>SUM(A:B!AB51)</f>
        <v>269811.60847422353</v>
      </c>
      <c r="AC51" s="65">
        <f>SUM(A:B!AC51)</f>
        <v>293266.45129522099</v>
      </c>
      <c r="AD51" s="65">
        <f>SUM(A:B!AD51)</f>
        <v>288475.29998788226</v>
      </c>
      <c r="AE51" s="65">
        <f>SUM(A:B!AE51)</f>
        <v>287748.2078853586</v>
      </c>
      <c r="AF51" s="65">
        <f>SUM(A:B!AF51)</f>
        <v>292873.60979799036</v>
      </c>
      <c r="AG51" s="65">
        <f>SUM(A:B!AG51)</f>
        <v>287048.35653200821</v>
      </c>
      <c r="AH51" s="65">
        <f>SUM(A:B!AH51)</f>
        <v>292225.46400640672</v>
      </c>
      <c r="AI51" s="65">
        <f>SUM(A:B!AI51)</f>
        <v>286407.9417673428</v>
      </c>
      <c r="AJ51" s="65">
        <f>SUM(A:B!AJ51)</f>
        <v>280903.83872322185</v>
      </c>
      <c r="AK51" s="124">
        <f>SUM(Y51:AJ51)</f>
        <v>3373437.5843795496</v>
      </c>
      <c r="AL51" s="73">
        <f t="shared" si="25"/>
        <v>3.502402054945012E-3</v>
      </c>
      <c r="AM51" s="14">
        <f t="shared" si="7"/>
        <v>4.0772984514761967E-2</v>
      </c>
      <c r="AN51" s="9">
        <f>+AK51-V51</f>
        <v>132156.69549066061</v>
      </c>
      <c r="AO51" s="1" t="s">
        <v>150</v>
      </c>
    </row>
    <row r="52" spans="1:43" hidden="1" outlineLevel="1">
      <c r="A52" s="12" t="s">
        <v>146</v>
      </c>
      <c r="B52" s="8" t="s">
        <v>88</v>
      </c>
      <c r="I52" s="246" t="s">
        <v>148</v>
      </c>
      <c r="J52" s="65">
        <f>SUM(A:B!J52)</f>
        <v>426209</v>
      </c>
      <c r="K52" s="65">
        <f>SUM(A:B!K52)</f>
        <v>426209</v>
      </c>
      <c r="L52" s="65">
        <f>SUM(A:B!L52)</f>
        <v>426209</v>
      </c>
      <c r="M52" s="65">
        <f>SUM(A:B!M52)</f>
        <v>426209</v>
      </c>
      <c r="N52" s="65">
        <f>SUM(A:B!N52)</f>
        <v>426209</v>
      </c>
      <c r="O52" s="65">
        <f>SUM(A:B!O52)</f>
        <v>426209</v>
      </c>
      <c r="P52" s="65">
        <f>SUM(A:B!P52)</f>
        <v>426209</v>
      </c>
      <c r="Q52" s="65">
        <f>SUM(A:B!Q52)</f>
        <v>426209</v>
      </c>
      <c r="R52" s="65">
        <f>SUM(A:B!R52)</f>
        <v>441378</v>
      </c>
      <c r="S52" s="65">
        <f>SUM(A:B!S52)</f>
        <v>441378</v>
      </c>
      <c r="T52" s="65">
        <f>SUM(A:B!T52)</f>
        <v>441378</v>
      </c>
      <c r="U52" s="65">
        <f>SUM(A:B!U52)</f>
        <v>441378</v>
      </c>
      <c r="V52" s="11">
        <f t="shared" ref="V52:V90" si="26">SUM(J52:U52)</f>
        <v>5175184</v>
      </c>
      <c r="W52" s="73">
        <f t="shared" si="23"/>
        <v>5.7748187030153093E-3</v>
      </c>
      <c r="X52" s="89"/>
      <c r="Y52" s="65">
        <f>SUM(A:B!Y52)</f>
        <v>451038</v>
      </c>
      <c r="Z52" s="65">
        <f>SUM(A:B!Z52)</f>
        <v>451038</v>
      </c>
      <c r="AA52" s="65">
        <f>SUM(A:B!AA52)</f>
        <v>451038</v>
      </c>
      <c r="AB52" s="65">
        <f>SUM(A:B!AB52)</f>
        <v>451038</v>
      </c>
      <c r="AC52" s="65">
        <f>SUM(A:B!AC52)</f>
        <v>451038</v>
      </c>
      <c r="AD52" s="65">
        <f>SUM(A:B!AD52)</f>
        <v>451038</v>
      </c>
      <c r="AE52" s="65">
        <f>SUM(A:B!AE52)</f>
        <v>451038</v>
      </c>
      <c r="AF52" s="65">
        <f>SUM(A:B!AF52)</f>
        <v>451038</v>
      </c>
      <c r="AG52" s="65">
        <f>SUM(A:B!AG52)</f>
        <v>468693.12000000011</v>
      </c>
      <c r="AH52" s="65">
        <f>SUM(A:B!AH52)</f>
        <v>468693.12000000011</v>
      </c>
      <c r="AI52" s="65">
        <f>SUM(A:B!AI52)</f>
        <v>468693.12000000011</v>
      </c>
      <c r="AJ52" s="65">
        <f>SUM(A:B!AJ52)</f>
        <v>468693.12000000011</v>
      </c>
      <c r="AK52" s="124">
        <f t="shared" ref="AK52:AK90" si="27">SUM(Y52:AJ52)</f>
        <v>5483076.4800000004</v>
      </c>
      <c r="AL52" s="73">
        <f t="shared" si="25"/>
        <v>5.6926911646135283E-3</v>
      </c>
      <c r="AM52" s="14">
        <f t="shared" si="7"/>
        <v>5.9494016058173171E-2</v>
      </c>
      <c r="AN52" s="9" t="s">
        <v>151</v>
      </c>
    </row>
    <row r="53" spans="1:43" hidden="1" outlineLevel="1">
      <c r="A53" s="12" t="s">
        <v>146</v>
      </c>
      <c r="B53" s="8" t="s">
        <v>88</v>
      </c>
      <c r="I53" s="246" t="s">
        <v>152</v>
      </c>
      <c r="J53" s="65">
        <f>SUM(A:B!J53)</f>
        <v>0</v>
      </c>
      <c r="K53" s="65">
        <f>SUM(A:B!K53)</f>
        <v>0</v>
      </c>
      <c r="L53" s="65">
        <f>SUM(A:B!L53)</f>
        <v>0</v>
      </c>
      <c r="M53" s="65">
        <f>SUM(A:B!M53)</f>
        <v>0</v>
      </c>
      <c r="N53" s="65">
        <f>SUM(A:B!N53)</f>
        <v>0</v>
      </c>
      <c r="O53" s="65">
        <f>SUM(A:B!O53)</f>
        <v>0</v>
      </c>
      <c r="P53" s="65">
        <f>SUM(A:B!P53)</f>
        <v>0</v>
      </c>
      <c r="Q53" s="65">
        <f>SUM(A:B!Q53)</f>
        <v>0</v>
      </c>
      <c r="R53" s="65">
        <f>SUM(A:B!R53)</f>
        <v>0</v>
      </c>
      <c r="S53" s="65">
        <f>SUM(A:B!S53)</f>
        <v>0</v>
      </c>
      <c r="T53" s="65">
        <f>SUM(A:B!T53)</f>
        <v>0</v>
      </c>
      <c r="U53" s="65">
        <f>SUM(A:B!U53)</f>
        <v>0</v>
      </c>
      <c r="V53" s="11">
        <f t="shared" si="26"/>
        <v>0</v>
      </c>
      <c r="W53" s="73">
        <f t="shared" si="23"/>
        <v>0</v>
      </c>
      <c r="X53" s="89"/>
      <c r="Y53" s="65">
        <f>SUM(A:B!Y53)</f>
        <v>0</v>
      </c>
      <c r="Z53" s="65">
        <f>SUM(A:B!Z53)</f>
        <v>0</v>
      </c>
      <c r="AA53" s="65">
        <f>SUM(A:B!AA53)</f>
        <v>0</v>
      </c>
      <c r="AB53" s="65">
        <f>SUM(A:B!AB53)</f>
        <v>0</v>
      </c>
      <c r="AC53" s="65">
        <f>SUM(A:B!AC53)</f>
        <v>0</v>
      </c>
      <c r="AD53" s="65">
        <f>SUM(A:B!AD53)</f>
        <v>0</v>
      </c>
      <c r="AE53" s="65">
        <f>SUM(A:B!AE53)</f>
        <v>0</v>
      </c>
      <c r="AF53" s="65">
        <f>SUM(A:B!AF53)</f>
        <v>0</v>
      </c>
      <c r="AG53" s="65">
        <f>SUM(A:B!AG53)</f>
        <v>0</v>
      </c>
      <c r="AH53" s="65">
        <f>SUM(A:B!AH53)</f>
        <v>0</v>
      </c>
      <c r="AI53" s="65">
        <f>SUM(A:B!AI53)</f>
        <v>0</v>
      </c>
      <c r="AJ53" s="65">
        <f>SUM(A:B!AJ53)</f>
        <v>0</v>
      </c>
      <c r="AK53" s="124">
        <f t="shared" si="27"/>
        <v>0</v>
      </c>
      <c r="AL53" s="73">
        <f t="shared" si="25"/>
        <v>0</v>
      </c>
      <c r="AM53" s="14">
        <f t="shared" si="7"/>
        <v>0</v>
      </c>
    </row>
    <row r="54" spans="1:43" hidden="1" outlineLevel="1">
      <c r="A54" s="12" t="s">
        <v>146</v>
      </c>
      <c r="B54" s="8" t="s">
        <v>88</v>
      </c>
      <c r="I54" s="246" t="s">
        <v>153</v>
      </c>
      <c r="J54" s="65">
        <f>SUM(A:B!J54)</f>
        <v>0</v>
      </c>
      <c r="K54" s="65">
        <f>SUM(A:B!K54)</f>
        <v>0</v>
      </c>
      <c r="L54" s="65">
        <f>SUM(A:B!L54)</f>
        <v>0</v>
      </c>
      <c r="M54" s="65">
        <f>SUM(A:B!M54)</f>
        <v>0</v>
      </c>
      <c r="N54" s="65">
        <f>SUM(A:B!N54)</f>
        <v>0</v>
      </c>
      <c r="O54" s="65">
        <f>SUM(A:B!O54)</f>
        <v>0</v>
      </c>
      <c r="P54" s="65">
        <f>SUM(A:B!P54)</f>
        <v>1160</v>
      </c>
      <c r="Q54" s="65">
        <f>SUM(A:B!Q54)</f>
        <v>0</v>
      </c>
      <c r="R54" s="65">
        <f>SUM(A:B!R54)</f>
        <v>0</v>
      </c>
      <c r="S54" s="65">
        <f>SUM(A:B!S54)</f>
        <v>0</v>
      </c>
      <c r="T54" s="65">
        <f>SUM(A:B!T54)</f>
        <v>0</v>
      </c>
      <c r="U54" s="65">
        <f>SUM(A:B!U54)</f>
        <v>0</v>
      </c>
      <c r="V54" s="11">
        <f t="shared" si="26"/>
        <v>1160</v>
      </c>
      <c r="W54" s="73">
        <f t="shared" si="23"/>
        <v>1.2944060917443243E-6</v>
      </c>
      <c r="X54" s="89"/>
      <c r="Y54" s="65">
        <f>SUM(A:B!Y54)</f>
        <v>0</v>
      </c>
      <c r="Z54" s="65">
        <f>SUM(A:B!Z54)</f>
        <v>0</v>
      </c>
      <c r="AA54" s="65">
        <f>SUM(A:B!AA54)</f>
        <v>0</v>
      </c>
      <c r="AB54" s="65">
        <f>SUM(A:B!AB54)</f>
        <v>0</v>
      </c>
      <c r="AC54" s="65">
        <f>SUM(A:B!AC54)</f>
        <v>0</v>
      </c>
      <c r="AD54" s="65">
        <f>SUM(A:B!AD54)</f>
        <v>0</v>
      </c>
      <c r="AE54" s="65">
        <f>SUM(A:B!AE54)</f>
        <v>0</v>
      </c>
      <c r="AF54" s="65">
        <f>SUM(A:B!AF54)</f>
        <v>0</v>
      </c>
      <c r="AG54" s="65">
        <f>SUM(A:B!AG54)</f>
        <v>0</v>
      </c>
      <c r="AH54" s="65">
        <f>SUM(A:B!AH54)</f>
        <v>0</v>
      </c>
      <c r="AI54" s="65">
        <f>SUM(A:B!AI54)</f>
        <v>0</v>
      </c>
      <c r="AJ54" s="65">
        <f>SUM(A:B!AJ54)</f>
        <v>8694.84</v>
      </c>
      <c r="AK54" s="124">
        <f t="shared" si="27"/>
        <v>8694.84</v>
      </c>
      <c r="AL54" s="73">
        <f t="shared" si="25"/>
        <v>9.027238453863092E-6</v>
      </c>
      <c r="AM54" s="14">
        <f t="shared" si="7"/>
        <v>6.4955517241379308</v>
      </c>
      <c r="AN54" s="9">
        <f>+AK54-V54</f>
        <v>7534.84</v>
      </c>
      <c r="AO54" s="1" t="s">
        <v>154</v>
      </c>
    </row>
    <row r="55" spans="1:43" hidden="1" outlineLevel="1">
      <c r="A55" s="12" t="s">
        <v>146</v>
      </c>
      <c r="B55" s="8" t="s">
        <v>88</v>
      </c>
      <c r="C55" s="8" t="s">
        <v>155</v>
      </c>
      <c r="I55" s="246" t="s">
        <v>156</v>
      </c>
      <c r="J55" s="65">
        <f>SUM(A:B!J55)</f>
        <v>0</v>
      </c>
      <c r="K55" s="65">
        <f>SUM(A:B!K55)</f>
        <v>0</v>
      </c>
      <c r="L55" s="65">
        <f>SUM(A:B!L55)</f>
        <v>0</v>
      </c>
      <c r="M55" s="65">
        <f>SUM(A:B!M55)</f>
        <v>0</v>
      </c>
      <c r="N55" s="65">
        <f>SUM(A:B!N55)</f>
        <v>0</v>
      </c>
      <c r="O55" s="65">
        <f>SUM(A:B!O55)</f>
        <v>0</v>
      </c>
      <c r="P55" s="65">
        <f>SUM(A:B!P55)</f>
        <v>0</v>
      </c>
      <c r="Q55" s="65">
        <f>SUM(A:B!Q55)</f>
        <v>0</v>
      </c>
      <c r="R55" s="65">
        <f>SUM(A:B!R55)</f>
        <v>0</v>
      </c>
      <c r="S55" s="65">
        <f>SUM(A:B!S55)</f>
        <v>0</v>
      </c>
      <c r="T55" s="65">
        <f>SUM(A:B!T55)</f>
        <v>0</v>
      </c>
      <c r="U55" s="65">
        <f>SUM(A:B!U55)</f>
        <v>0</v>
      </c>
      <c r="V55" s="11">
        <f t="shared" si="26"/>
        <v>0</v>
      </c>
      <c r="W55" s="73">
        <f t="shared" si="23"/>
        <v>0</v>
      </c>
      <c r="X55" s="89"/>
      <c r="Y55" s="65">
        <f>SUM(A:B!Y55)</f>
        <v>15505.797999999999</v>
      </c>
      <c r="Z55" s="65">
        <f>SUM(A:B!Z55)</f>
        <v>0</v>
      </c>
      <c r="AA55" s="65">
        <f>SUM(A:B!AA55)</f>
        <v>358383.70809999993</v>
      </c>
      <c r="AB55" s="65">
        <f>SUM(A:B!AB55)</f>
        <v>0</v>
      </c>
      <c r="AC55" s="65">
        <f>SUM(A:B!AC55)</f>
        <v>15505.797999999999</v>
      </c>
      <c r="AD55" s="65">
        <f>SUM(A:B!AD55)</f>
        <v>0</v>
      </c>
      <c r="AE55" s="65">
        <f>SUM(A:B!AE55)</f>
        <v>0</v>
      </c>
      <c r="AF55" s="65">
        <f>SUM(A:B!AF55)</f>
        <v>0</v>
      </c>
      <c r="AG55" s="65">
        <f>SUM(A:B!AG55)</f>
        <v>0</v>
      </c>
      <c r="AH55" s="65">
        <f>SUM(A:B!AH55)</f>
        <v>0</v>
      </c>
      <c r="AI55" s="65">
        <f>SUM(A:B!AI55)</f>
        <v>0</v>
      </c>
      <c r="AJ55" s="65">
        <f>SUM(A:B!AJ55)</f>
        <v>0</v>
      </c>
      <c r="AK55" s="124">
        <f t="shared" si="27"/>
        <v>389395.30409999995</v>
      </c>
      <c r="AL55" s="73">
        <f t="shared" si="25"/>
        <v>4.0428165014252498E-4</v>
      </c>
      <c r="AM55" s="14">
        <f t="shared" si="7"/>
        <v>0</v>
      </c>
      <c r="AO55" s="1" t="s">
        <v>157</v>
      </c>
    </row>
    <row r="56" spans="1:43" ht="13.15" hidden="1" customHeight="1" outlineLevel="1">
      <c r="A56" s="12" t="s">
        <v>146</v>
      </c>
      <c r="B56" s="8" t="s">
        <v>88</v>
      </c>
      <c r="I56" s="246" t="s">
        <v>158</v>
      </c>
      <c r="J56" s="65">
        <f>SUM(A:B!J56)</f>
        <v>13379</v>
      </c>
      <c r="K56" s="65">
        <f>SUM(A:B!K56)</f>
        <v>22956</v>
      </c>
      <c r="L56" s="65">
        <f>SUM(A:B!L56)</f>
        <v>20639</v>
      </c>
      <c r="M56" s="65">
        <f>SUM(A:B!M56)</f>
        <v>20334</v>
      </c>
      <c r="N56" s="65">
        <f>SUM(A:B!N56)</f>
        <v>21736</v>
      </c>
      <c r="O56" s="65">
        <f>SUM(A:B!O56)</f>
        <v>22160</v>
      </c>
      <c r="P56" s="65">
        <f>SUM(A:B!P56)</f>
        <v>17121</v>
      </c>
      <c r="Q56" s="65">
        <f>SUM(A:B!Q56)</f>
        <v>19114</v>
      </c>
      <c r="R56" s="65">
        <f>SUM(A:B!R56)</f>
        <v>25362</v>
      </c>
      <c r="S56" s="65">
        <f>SUM(A:B!S56)</f>
        <v>29803.666666666668</v>
      </c>
      <c r="T56" s="65">
        <f>SUM(A:B!T56)</f>
        <v>24759.888888888891</v>
      </c>
      <c r="U56" s="65">
        <f>SUM(A:B!U56)</f>
        <v>26641.851851851854</v>
      </c>
      <c r="V56" s="11">
        <f t="shared" si="26"/>
        <v>264006.40740740742</v>
      </c>
      <c r="W56" s="73">
        <f t="shared" si="23"/>
        <v>2.9459612242041554E-4</v>
      </c>
      <c r="X56" s="89"/>
      <c r="Y56" s="65">
        <f>SUM(A:B!Y56)</f>
        <v>22888.1312</v>
      </c>
      <c r="Z56" s="65">
        <f>SUM(A:B!Z56)</f>
        <v>22888.1312</v>
      </c>
      <c r="AA56" s="65">
        <f>SUM(A:B!AA56)</f>
        <v>22888.1312</v>
      </c>
      <c r="AB56" s="65">
        <f>SUM(A:B!AB56)</f>
        <v>22888.1312</v>
      </c>
      <c r="AC56" s="65">
        <f>SUM(A:B!AC56)</f>
        <v>22888.1312</v>
      </c>
      <c r="AD56" s="65">
        <f>SUM(A:B!AD56)</f>
        <v>22888.1312</v>
      </c>
      <c r="AE56" s="65">
        <f>SUM(A:B!AE56)</f>
        <v>22888.1312</v>
      </c>
      <c r="AF56" s="65">
        <f>SUM(A:B!AF56)</f>
        <v>22888.1312</v>
      </c>
      <c r="AG56" s="65">
        <f>SUM(A:B!AG56)</f>
        <v>22888.1312</v>
      </c>
      <c r="AH56" s="65">
        <f>SUM(A:B!AH56)</f>
        <v>22888.1312</v>
      </c>
      <c r="AI56" s="65">
        <f>SUM(A:B!AI56)</f>
        <v>22888.1312</v>
      </c>
      <c r="AJ56" s="65">
        <f>SUM(A:B!AJ56)</f>
        <v>22888.1312</v>
      </c>
      <c r="AK56" s="124">
        <f t="shared" si="27"/>
        <v>274657.57439999998</v>
      </c>
      <c r="AL56" s="73">
        <f t="shared" si="25"/>
        <v>2.8515756670260099E-4</v>
      </c>
      <c r="AM56" s="14">
        <f t="shared" si="7"/>
        <v>4.0344350340542956E-2</v>
      </c>
      <c r="AN56" s="9">
        <f>+AK56-V56</f>
        <v>10651.166992592567</v>
      </c>
      <c r="AO56" s="254">
        <f>+AK56/7/12</f>
        <v>3269.7330285714283</v>
      </c>
      <c r="AP56" s="254">
        <f>+V56/7/12</f>
        <v>3142.9334215167551</v>
      </c>
      <c r="AQ56" s="1">
        <f>+AP56*1.04</f>
        <v>3268.6507583774255</v>
      </c>
    </row>
    <row r="57" spans="1:43" ht="16.149999999999999" hidden="1" customHeight="1" outlineLevel="1">
      <c r="A57" s="12" t="s">
        <v>146</v>
      </c>
      <c r="B57" s="8" t="s">
        <v>88</v>
      </c>
      <c r="I57" s="246" t="s">
        <v>159</v>
      </c>
      <c r="J57" s="65">
        <f>SUM(A:B!J57)</f>
        <v>27502</v>
      </c>
      <c r="K57" s="65">
        <f>SUM(A:B!K57)</f>
        <v>78424</v>
      </c>
      <c r="L57" s="65">
        <f>SUM(A:B!L57)</f>
        <v>57419</v>
      </c>
      <c r="M57" s="65">
        <f>SUM(A:B!M57)</f>
        <v>76267</v>
      </c>
      <c r="N57" s="65">
        <f>SUM(A:B!N57)</f>
        <v>123704</v>
      </c>
      <c r="O57" s="65">
        <f>SUM(A:B!O57)</f>
        <v>55712</v>
      </c>
      <c r="P57" s="65">
        <f>SUM(A:B!P57)</f>
        <v>176653</v>
      </c>
      <c r="Q57" s="65">
        <f>SUM(A:B!Q57)</f>
        <v>80915</v>
      </c>
      <c r="R57" s="65">
        <f>SUM(A:B!R57)</f>
        <v>66430</v>
      </c>
      <c r="S57" s="65">
        <f>SUM(A:B!S57)</f>
        <v>7344.6</v>
      </c>
      <c r="T57" s="65">
        <f>SUM(A:B!T57)</f>
        <v>0</v>
      </c>
      <c r="U57" s="65">
        <f>SUM(A:B!U57)</f>
        <v>0</v>
      </c>
      <c r="V57" s="11">
        <f t="shared" si="26"/>
        <v>750370.6</v>
      </c>
      <c r="W57" s="73">
        <f t="shared" si="23"/>
        <v>8.3731403078089967E-4</v>
      </c>
      <c r="X57" s="89"/>
      <c r="Y57" s="65">
        <f>SUM(A:B!Y57)</f>
        <v>49063.74</v>
      </c>
      <c r="Z57" s="65">
        <f>SUM(A:B!Z57)</f>
        <v>10868.55</v>
      </c>
      <c r="AA57" s="65">
        <f>SUM(A:B!AA57)</f>
        <v>135204.76199999999</v>
      </c>
      <c r="AB57" s="65">
        <f>SUM(A:B!AB57)</f>
        <v>56516.459999999992</v>
      </c>
      <c r="AC57" s="65">
        <f>SUM(A:B!AC57)</f>
        <v>13042.26</v>
      </c>
      <c r="AD57" s="65">
        <f>SUM(A:B!AD57)</f>
        <v>65625.34</v>
      </c>
      <c r="AE57" s="65">
        <f>SUM(A:B!AE57)</f>
        <v>44322.981999999996</v>
      </c>
      <c r="AF57" s="65">
        <f>SUM(A:B!AF57)</f>
        <v>59621.759999999995</v>
      </c>
      <c r="AG57" s="65">
        <f>SUM(A:B!AG57)</f>
        <v>17389.68</v>
      </c>
      <c r="AH57" s="65">
        <f>SUM(A:B!AH57)</f>
        <v>198842.70999999996</v>
      </c>
      <c r="AI57" s="65">
        <f>SUM(A:B!AI57)</f>
        <v>57158.221999999994</v>
      </c>
      <c r="AJ57" s="65">
        <f>SUM(A:B!AJ57)</f>
        <v>61588.44999999999</v>
      </c>
      <c r="AK57" s="124">
        <f t="shared" si="27"/>
        <v>769244.91599999985</v>
      </c>
      <c r="AL57" s="73">
        <f t="shared" si="25"/>
        <v>7.9865268206820168E-4</v>
      </c>
      <c r="AM57" s="14">
        <f t="shared" si="7"/>
        <v>2.5153325570058227E-2</v>
      </c>
    </row>
    <row r="58" spans="1:43" hidden="1" outlineLevel="1">
      <c r="A58" s="12" t="s">
        <v>146</v>
      </c>
      <c r="B58" s="8" t="s">
        <v>88</v>
      </c>
      <c r="I58" s="246" t="s">
        <v>160</v>
      </c>
      <c r="J58" s="65">
        <f>SUM(A:B!J58)</f>
        <v>0</v>
      </c>
      <c r="K58" s="65">
        <f>SUM(A:B!K58)</f>
        <v>0</v>
      </c>
      <c r="L58" s="65">
        <f>SUM(A:B!L58)</f>
        <v>0</v>
      </c>
      <c r="M58" s="65">
        <f>SUM(A:B!M58)</f>
        <v>0</v>
      </c>
      <c r="N58" s="65">
        <f>SUM(A:B!N58)</f>
        <v>0</v>
      </c>
      <c r="O58" s="65">
        <f>SUM(A:B!O58)</f>
        <v>0</v>
      </c>
      <c r="P58" s="65">
        <f>SUM(A:B!P58)</f>
        <v>0</v>
      </c>
      <c r="Q58" s="65">
        <f>SUM(A:B!Q58)</f>
        <v>0</v>
      </c>
      <c r="R58" s="65">
        <f>SUM(A:B!R58)</f>
        <v>0</v>
      </c>
      <c r="S58" s="65">
        <f>SUM(A:B!S58)</f>
        <v>0</v>
      </c>
      <c r="T58" s="65">
        <f>SUM(A:B!T58)</f>
        <v>9100</v>
      </c>
      <c r="U58" s="65">
        <f>SUM(A:B!U58)</f>
        <v>0</v>
      </c>
      <c r="V58" s="11">
        <f t="shared" si="26"/>
        <v>9100</v>
      </c>
      <c r="W58" s="73">
        <f t="shared" si="23"/>
        <v>1.0154392616270129E-5</v>
      </c>
      <c r="X58" s="89"/>
      <c r="Y58" s="65">
        <f>SUM(A:B!Y58)</f>
        <v>6033.936298076922</v>
      </c>
      <c r="Z58" s="65">
        <f>SUM(A:B!Z58)</f>
        <v>19308.596153846152</v>
      </c>
      <c r="AA58" s="65">
        <f>SUM(A:B!AA58)</f>
        <v>3620.3617788461534</v>
      </c>
      <c r="AB58" s="65">
        <f>SUM(A:B!AB58)</f>
        <v>0</v>
      </c>
      <c r="AC58" s="65">
        <f>SUM(A:B!AC58)</f>
        <v>0</v>
      </c>
      <c r="AD58" s="65">
        <f>SUM(A:B!AD58)</f>
        <v>0</v>
      </c>
      <c r="AE58" s="65">
        <f>SUM(A:B!AE58)</f>
        <v>0</v>
      </c>
      <c r="AF58" s="65">
        <f>SUM(A:B!AF58)</f>
        <v>0</v>
      </c>
      <c r="AG58" s="65">
        <f>SUM(A:B!AG58)</f>
        <v>0</v>
      </c>
      <c r="AH58" s="65">
        <f>SUM(A:B!AH58)</f>
        <v>0</v>
      </c>
      <c r="AI58" s="65">
        <f>SUM(A:B!AI58)</f>
        <v>0</v>
      </c>
      <c r="AJ58" s="65">
        <f>SUM(A:B!AJ58)</f>
        <v>0</v>
      </c>
      <c r="AK58" s="124">
        <f t="shared" si="27"/>
        <v>28962.894230769227</v>
      </c>
      <c r="AL58" s="73">
        <f t="shared" si="25"/>
        <v>3.0070128091508234E-5</v>
      </c>
      <c r="AM58" s="14">
        <f t="shared" si="7"/>
        <v>2.1827356297548599</v>
      </c>
      <c r="AN58" s="9">
        <f>+AK58-V58</f>
        <v>19862.894230769227</v>
      </c>
    </row>
    <row r="59" spans="1:43" hidden="1" outlineLevel="1">
      <c r="A59" s="12" t="s">
        <v>146</v>
      </c>
      <c r="B59" s="8" t="s">
        <v>88</v>
      </c>
      <c r="I59" s="246" t="s">
        <v>161</v>
      </c>
      <c r="J59" s="65">
        <f>SUM(A:B!J59)</f>
        <v>0</v>
      </c>
      <c r="K59" s="65">
        <f>SUM(A:B!K59)</f>
        <v>0</v>
      </c>
      <c r="L59" s="65">
        <f>SUM(A:B!L59)</f>
        <v>0</v>
      </c>
      <c r="M59" s="65">
        <f>SUM(A:B!M59)</f>
        <v>0</v>
      </c>
      <c r="N59" s="65">
        <f>SUM(A:B!N59)</f>
        <v>0</v>
      </c>
      <c r="O59" s="65">
        <f>SUM(A:B!O59)</f>
        <v>0</v>
      </c>
      <c r="P59" s="65">
        <f>SUM(A:B!P59)</f>
        <v>0</v>
      </c>
      <c r="Q59" s="65">
        <f>SUM(A:B!Q59)</f>
        <v>0</v>
      </c>
      <c r="R59" s="65">
        <f>SUM(A:B!R59)</f>
        <v>0</v>
      </c>
      <c r="S59" s="65">
        <f>SUM(A:B!S59)</f>
        <v>0</v>
      </c>
      <c r="T59" s="65">
        <f>SUM(A:B!T59)</f>
        <v>0</v>
      </c>
      <c r="U59" s="65">
        <f>SUM(A:B!U59)</f>
        <v>0</v>
      </c>
      <c r="V59" s="11">
        <f t="shared" si="26"/>
        <v>0</v>
      </c>
      <c r="W59" s="73">
        <f t="shared" si="23"/>
        <v>0</v>
      </c>
      <c r="X59" s="89"/>
      <c r="Y59" s="65">
        <f>SUM(A:B!Y59)</f>
        <v>0</v>
      </c>
      <c r="Z59" s="65">
        <f>SUM(A:B!Z59)</f>
        <v>0</v>
      </c>
      <c r="AA59" s="65">
        <f>SUM(A:B!AA59)</f>
        <v>0</v>
      </c>
      <c r="AB59" s="65">
        <f>SUM(A:B!AB59)</f>
        <v>0</v>
      </c>
      <c r="AC59" s="65">
        <f>SUM(A:B!AC59)</f>
        <v>0</v>
      </c>
      <c r="AD59" s="65">
        <f>SUM(A:B!AD59)</f>
        <v>0</v>
      </c>
      <c r="AE59" s="65">
        <f>SUM(A:B!AE59)</f>
        <v>0</v>
      </c>
      <c r="AF59" s="65">
        <f>SUM(A:B!AF59)</f>
        <v>0</v>
      </c>
      <c r="AG59" s="65">
        <f>SUM(A:B!AG59)</f>
        <v>0</v>
      </c>
      <c r="AH59" s="65">
        <f>SUM(A:B!AH59)</f>
        <v>0</v>
      </c>
      <c r="AI59" s="65">
        <f>SUM(A:B!AI59)</f>
        <v>0</v>
      </c>
      <c r="AJ59" s="65">
        <f>SUM(A:B!AJ59)</f>
        <v>0</v>
      </c>
      <c r="AK59" s="124">
        <f t="shared" si="27"/>
        <v>0</v>
      </c>
      <c r="AL59" s="73">
        <f t="shared" si="25"/>
        <v>0</v>
      </c>
      <c r="AM59" s="14">
        <f t="shared" si="7"/>
        <v>0</v>
      </c>
    </row>
    <row r="60" spans="1:43" hidden="1" outlineLevel="1">
      <c r="A60" s="12" t="s">
        <v>146</v>
      </c>
      <c r="B60" s="8" t="s">
        <v>88</v>
      </c>
      <c r="I60" s="246" t="s">
        <v>162</v>
      </c>
      <c r="J60" s="65">
        <f>SUM(A:B!J60)</f>
        <v>35000</v>
      </c>
      <c r="K60" s="65">
        <f>SUM(A:B!K60)</f>
        <v>0</v>
      </c>
      <c r="L60" s="65">
        <f>SUM(A:B!L60)</f>
        <v>0</v>
      </c>
      <c r="M60" s="65">
        <f>SUM(A:B!M60)</f>
        <v>14250</v>
      </c>
      <c r="N60" s="65">
        <f>SUM(A:B!N60)</f>
        <v>0</v>
      </c>
      <c r="O60" s="65">
        <f>SUM(A:B!O60)</f>
        <v>104998</v>
      </c>
      <c r="P60" s="65">
        <f>SUM(A:B!P60)</f>
        <v>84960</v>
      </c>
      <c r="Q60" s="65">
        <f>SUM(A:B!Q60)</f>
        <v>132000</v>
      </c>
      <c r="R60" s="65">
        <f>SUM(A:B!R60)</f>
        <v>60000</v>
      </c>
      <c r="S60" s="65">
        <f>SUM(A:B!S60)</f>
        <v>60000</v>
      </c>
      <c r="T60" s="65">
        <f>SUM(A:B!T60)</f>
        <v>60000</v>
      </c>
      <c r="U60" s="65">
        <f>SUM(A:B!U60)</f>
        <v>60000</v>
      </c>
      <c r="V60" s="11">
        <f t="shared" si="26"/>
        <v>611208</v>
      </c>
      <c r="W60" s="73">
        <f t="shared" si="23"/>
        <v>6.8202703320936634E-4</v>
      </c>
      <c r="X60" s="89"/>
      <c r="Y60" s="65">
        <f>SUM(A:B!Y60)</f>
        <v>36312.5</v>
      </c>
      <c r="Z60" s="65">
        <f>SUM(A:B!Z60)</f>
        <v>0</v>
      </c>
      <c r="AA60" s="65">
        <f>SUM(A:B!AA60)</f>
        <v>0</v>
      </c>
      <c r="AB60" s="65">
        <f>SUM(A:B!AB60)</f>
        <v>14784.375000000002</v>
      </c>
      <c r="AC60" s="65">
        <f>SUM(A:B!AC60)</f>
        <v>0</v>
      </c>
      <c r="AD60" s="65">
        <f>SUM(A:B!AD60)</f>
        <v>108935.42500000002</v>
      </c>
      <c r="AE60" s="65">
        <f>SUM(A:B!AE60)</f>
        <v>88146</v>
      </c>
      <c r="AF60" s="65">
        <f>SUM(A:B!AF60)</f>
        <v>136950</v>
      </c>
      <c r="AG60" s="65">
        <f>SUM(A:B!AG60)</f>
        <v>62250.000000000007</v>
      </c>
      <c r="AH60" s="65">
        <f>SUM(A:B!AH60)</f>
        <v>62250.000000000007</v>
      </c>
      <c r="AI60" s="65">
        <f>SUM(A:B!AI60)</f>
        <v>62250.000000000007</v>
      </c>
      <c r="AJ60" s="65">
        <f>SUM(A:B!AJ60)</f>
        <v>62250.000000000007</v>
      </c>
      <c r="AK60" s="124">
        <f t="shared" si="27"/>
        <v>634128.30000000005</v>
      </c>
      <c r="AL60" s="73">
        <f t="shared" si="25"/>
        <v>6.5837063987869032E-4</v>
      </c>
      <c r="AM60" s="14">
        <f t="shared" si="7"/>
        <v>3.7500000000000089E-2</v>
      </c>
    </row>
    <row r="61" spans="1:43" hidden="1" outlineLevel="1">
      <c r="A61" s="12" t="s">
        <v>146</v>
      </c>
      <c r="B61" s="8" t="s">
        <v>88</v>
      </c>
      <c r="I61" s="246" t="s">
        <v>163</v>
      </c>
      <c r="J61" s="65">
        <f>SUM(A:B!J61)</f>
        <v>7125</v>
      </c>
      <c r="K61" s="65">
        <f>SUM(A:B!K61)</f>
        <v>7125</v>
      </c>
      <c r="L61" s="65">
        <f>SUM(A:B!L61)</f>
        <v>0</v>
      </c>
      <c r="M61" s="65">
        <f>SUM(A:B!M61)</f>
        <v>0</v>
      </c>
      <c r="N61" s="65">
        <f>SUM(A:B!N61)</f>
        <v>0</v>
      </c>
      <c r="O61" s="65">
        <f>SUM(A:B!O61)</f>
        <v>0</v>
      </c>
      <c r="P61" s="65">
        <f>SUM(A:B!P61)</f>
        <v>7125</v>
      </c>
      <c r="Q61" s="65">
        <f>SUM(A:B!Q61)</f>
        <v>0</v>
      </c>
      <c r="R61" s="65">
        <f>SUM(A:B!R61)</f>
        <v>0</v>
      </c>
      <c r="S61" s="65">
        <f>SUM(A:B!S61)</f>
        <v>0</v>
      </c>
      <c r="T61" s="65">
        <f>SUM(A:B!T61)</f>
        <v>0</v>
      </c>
      <c r="U61" s="65">
        <f>SUM(A:B!U61)</f>
        <v>0</v>
      </c>
      <c r="V61" s="11">
        <f t="shared" si="26"/>
        <v>21375</v>
      </c>
      <c r="W61" s="73">
        <f t="shared" si="23"/>
        <v>2.3851663975030111E-5</v>
      </c>
      <c r="X61" s="89"/>
      <c r="Y61" s="65">
        <f>SUM(A:B!Y61)</f>
        <v>7392.1875000000009</v>
      </c>
      <c r="Z61" s="65">
        <f>SUM(A:B!Z61)</f>
        <v>7392.1875000000009</v>
      </c>
      <c r="AA61" s="65">
        <f>SUM(A:B!AA61)</f>
        <v>0</v>
      </c>
      <c r="AB61" s="65">
        <f>SUM(A:B!AB61)</f>
        <v>0</v>
      </c>
      <c r="AC61" s="65">
        <f>SUM(A:B!AC61)</f>
        <v>0</v>
      </c>
      <c r="AD61" s="65">
        <f>SUM(A:B!AD61)</f>
        <v>0</v>
      </c>
      <c r="AE61" s="65">
        <f>SUM(A:B!AE61)</f>
        <v>7392.1875000000009</v>
      </c>
      <c r="AF61" s="65">
        <f>SUM(A:B!AF61)</f>
        <v>0</v>
      </c>
      <c r="AG61" s="65">
        <f>SUM(A:B!AG61)</f>
        <v>0</v>
      </c>
      <c r="AH61" s="65">
        <f>SUM(A:B!AH61)</f>
        <v>0</v>
      </c>
      <c r="AI61" s="65">
        <f>SUM(A:B!AI61)</f>
        <v>0</v>
      </c>
      <c r="AJ61" s="65">
        <f>SUM(A:B!AJ61)</f>
        <v>0</v>
      </c>
      <c r="AK61" s="124">
        <f t="shared" si="27"/>
        <v>22176.562500000004</v>
      </c>
      <c r="AL61" s="73">
        <f t="shared" si="25"/>
        <v>2.3024359019199693E-5</v>
      </c>
      <c r="AM61" s="14">
        <f t="shared" si="7"/>
        <v>3.7500000000000089E-2</v>
      </c>
    </row>
    <row r="62" spans="1:43" hidden="1" outlineLevel="1">
      <c r="A62" s="12" t="s">
        <v>146</v>
      </c>
      <c r="B62" s="8" t="s">
        <v>88</v>
      </c>
      <c r="I62" s="246" t="s">
        <v>164</v>
      </c>
      <c r="J62" s="65">
        <f>SUM(A:B!J62)</f>
        <v>0</v>
      </c>
      <c r="K62" s="65">
        <f>SUM(A:B!K62)</f>
        <v>0</v>
      </c>
      <c r="L62" s="65">
        <f>SUM(A:B!L62)</f>
        <v>0</v>
      </c>
      <c r="M62" s="65">
        <f>SUM(A:B!M62)</f>
        <v>0</v>
      </c>
      <c r="N62" s="65">
        <f>SUM(A:B!N62)</f>
        <v>2390</v>
      </c>
      <c r="O62" s="65">
        <f>SUM(A:B!O62)</f>
        <v>0</v>
      </c>
      <c r="P62" s="65">
        <f>SUM(A:B!P62)</f>
        <v>0</v>
      </c>
      <c r="Q62" s="65">
        <f>SUM(A:B!Q62)</f>
        <v>0</v>
      </c>
      <c r="R62" s="65">
        <f>SUM(A:B!R62)</f>
        <v>0</v>
      </c>
      <c r="S62" s="65">
        <f>SUM(A:B!S62)</f>
        <v>0</v>
      </c>
      <c r="T62" s="65">
        <f>SUM(A:B!T62)</f>
        <v>0</v>
      </c>
      <c r="U62" s="65">
        <f>SUM(A:B!U62)</f>
        <v>0</v>
      </c>
      <c r="V62" s="11">
        <f t="shared" si="26"/>
        <v>2390</v>
      </c>
      <c r="W62" s="73">
        <f t="shared" si="23"/>
        <v>2.6669228959214956E-6</v>
      </c>
      <c r="X62" s="89"/>
      <c r="Y62" s="65">
        <f>SUM(A:B!Y62)</f>
        <v>0</v>
      </c>
      <c r="Z62" s="65">
        <f>SUM(A:B!Z62)</f>
        <v>0</v>
      </c>
      <c r="AA62" s="65">
        <f>SUM(A:B!AA62)</f>
        <v>0</v>
      </c>
      <c r="AB62" s="65">
        <f>SUM(A:B!AB62)</f>
        <v>0</v>
      </c>
      <c r="AC62" s="65">
        <f>SUM(A:B!AC62)</f>
        <v>2479.625</v>
      </c>
      <c r="AD62" s="65">
        <f>SUM(A:B!AD62)</f>
        <v>0</v>
      </c>
      <c r="AE62" s="65">
        <f>SUM(A:B!AE62)</f>
        <v>0</v>
      </c>
      <c r="AF62" s="65">
        <f>SUM(A:B!AF62)</f>
        <v>0</v>
      </c>
      <c r="AG62" s="65">
        <f>SUM(A:B!AG62)</f>
        <v>0</v>
      </c>
      <c r="AH62" s="65">
        <f>SUM(A:B!AH62)</f>
        <v>0</v>
      </c>
      <c r="AI62" s="65">
        <f>SUM(A:B!AI62)</f>
        <v>0</v>
      </c>
      <c r="AJ62" s="65">
        <f>SUM(A:B!AJ62)</f>
        <v>0</v>
      </c>
      <c r="AK62" s="124">
        <f t="shared" si="27"/>
        <v>2479.625</v>
      </c>
      <c r="AL62" s="73">
        <f t="shared" si="25"/>
        <v>2.5744195581701641E-6</v>
      </c>
      <c r="AM62" s="14">
        <f t="shared" si="7"/>
        <v>3.7500000000000089E-2</v>
      </c>
    </row>
    <row r="63" spans="1:43" hidden="1" outlineLevel="1">
      <c r="A63" s="12" t="s">
        <v>146</v>
      </c>
      <c r="B63" s="8" t="s">
        <v>88</v>
      </c>
      <c r="I63" s="246" t="s">
        <v>165</v>
      </c>
      <c r="J63" s="65">
        <f>SUM(A:B!J63)</f>
        <v>4090</v>
      </c>
      <c r="K63" s="65">
        <f>SUM(A:B!K63)</f>
        <v>-3499</v>
      </c>
      <c r="L63" s="65">
        <f>SUM(A:B!L63)</f>
        <v>2988</v>
      </c>
      <c r="M63" s="65">
        <f>SUM(A:B!M63)</f>
        <v>216</v>
      </c>
      <c r="N63" s="65">
        <f>SUM(A:B!N63)</f>
        <v>781</v>
      </c>
      <c r="O63" s="65">
        <f>SUM(A:B!O63)</f>
        <v>122</v>
      </c>
      <c r="P63" s="65">
        <f>SUM(A:B!P63)</f>
        <v>186</v>
      </c>
      <c r="Q63" s="65">
        <f>SUM(A:B!Q63)</f>
        <v>163</v>
      </c>
      <c r="R63" s="65">
        <f>SUM(A:B!R63)</f>
        <v>383</v>
      </c>
      <c r="S63" s="65">
        <f>SUM(A:B!S63)</f>
        <v>2</v>
      </c>
      <c r="T63" s="65">
        <f>SUM(A:B!T63)</f>
        <v>0</v>
      </c>
      <c r="U63" s="65">
        <f>SUM(A:B!U63)</f>
        <v>0</v>
      </c>
      <c r="V63" s="11">
        <f t="shared" si="26"/>
        <v>5432</v>
      </c>
      <c r="W63" s="73">
        <f t="shared" si="23"/>
        <v>6.0613912847889386E-6</v>
      </c>
      <c r="X63" s="89"/>
      <c r="Y63" s="65">
        <f>SUM(A:B!Y63)</f>
        <v>0</v>
      </c>
      <c r="Z63" s="65">
        <f>SUM(A:B!Z63)</f>
        <v>0</v>
      </c>
      <c r="AA63" s="65">
        <f>SUM(A:B!AA63)</f>
        <v>0</v>
      </c>
      <c r="AB63" s="65">
        <f>SUM(A:B!AB63)</f>
        <v>0</v>
      </c>
      <c r="AC63" s="65">
        <f>SUM(A:B!AC63)</f>
        <v>0</v>
      </c>
      <c r="AD63" s="65">
        <f>SUM(A:B!AD63)</f>
        <v>0</v>
      </c>
      <c r="AE63" s="65">
        <f>SUM(A:B!AE63)</f>
        <v>0</v>
      </c>
      <c r="AF63" s="65">
        <f>SUM(A:B!AF63)</f>
        <v>0</v>
      </c>
      <c r="AG63" s="65">
        <f>SUM(A:B!AG63)</f>
        <v>0</v>
      </c>
      <c r="AH63" s="65">
        <f>SUM(A:B!AH63)</f>
        <v>0</v>
      </c>
      <c r="AI63" s="65">
        <f>SUM(A:B!AI63)</f>
        <v>0</v>
      </c>
      <c r="AJ63" s="65">
        <f>SUM(A:B!AJ63)</f>
        <v>0</v>
      </c>
      <c r="AK63" s="124">
        <f t="shared" si="27"/>
        <v>0</v>
      </c>
      <c r="AL63" s="73">
        <f t="shared" si="25"/>
        <v>0</v>
      </c>
      <c r="AM63" s="14">
        <f t="shared" si="7"/>
        <v>-1</v>
      </c>
      <c r="AN63" s="9">
        <f>+AK63-V63</f>
        <v>-5432</v>
      </c>
      <c r="AO63" s="1" t="s">
        <v>166</v>
      </c>
    </row>
    <row r="64" spans="1:43" hidden="1" outlineLevel="1">
      <c r="A64" s="12" t="s">
        <v>146</v>
      </c>
      <c r="B64" s="8" t="s">
        <v>88</v>
      </c>
      <c r="I64" s="252" t="s">
        <v>167</v>
      </c>
      <c r="J64" s="65">
        <f>SUM(A:B!J64)</f>
        <v>4633</v>
      </c>
      <c r="K64" s="65">
        <f>SUM(A:B!K64)</f>
        <v>5751</v>
      </c>
      <c r="L64" s="65">
        <f>SUM(A:B!L64)</f>
        <v>7472</v>
      </c>
      <c r="M64" s="65">
        <f>SUM(A:B!M64)</f>
        <v>9066</v>
      </c>
      <c r="N64" s="65">
        <f>SUM(A:B!N64)</f>
        <v>6060</v>
      </c>
      <c r="O64" s="65">
        <f>SUM(A:B!O64)</f>
        <v>6638</v>
      </c>
      <c r="P64" s="65">
        <f>SUM(A:B!P64)</f>
        <v>1363</v>
      </c>
      <c r="Q64" s="65">
        <f>SUM(A:B!Q64)</f>
        <v>11196</v>
      </c>
      <c r="R64" s="65">
        <f>SUM(A:B!R64)</f>
        <v>7871</v>
      </c>
      <c r="S64" s="65">
        <f>SUM(A:B!S64)</f>
        <v>7506.666666666667</v>
      </c>
      <c r="T64" s="65">
        <f>SUM(A:B!T64)</f>
        <v>8857.8888888888887</v>
      </c>
      <c r="U64" s="65">
        <f>SUM(A:B!U64)</f>
        <v>8078.5185185185182</v>
      </c>
      <c r="V64" s="11">
        <f t="shared" si="26"/>
        <v>84493.074074074073</v>
      </c>
      <c r="W64" s="73">
        <f t="shared" si="23"/>
        <v>9.4283060165246474E-5</v>
      </c>
      <c r="X64" s="89"/>
      <c r="Y64" s="65">
        <f>SUM(A:B!Y64)</f>
        <v>8298.3966999999993</v>
      </c>
      <c r="Z64" s="65">
        <f>SUM(A:B!Z64)</f>
        <v>8298.3966999999993</v>
      </c>
      <c r="AA64" s="65">
        <f>SUM(A:B!AA64)</f>
        <v>8298.3966999999993</v>
      </c>
      <c r="AB64" s="65">
        <f>SUM(A:B!AB64)</f>
        <v>8298.3966999999993</v>
      </c>
      <c r="AC64" s="65">
        <f>SUM(A:B!AC64)</f>
        <v>8298.3966999999993</v>
      </c>
      <c r="AD64" s="65">
        <f>SUM(A:B!AD64)</f>
        <v>8298.3966999999993</v>
      </c>
      <c r="AE64" s="65">
        <f>SUM(A:B!AE64)</f>
        <v>8298.3966999999993</v>
      </c>
      <c r="AF64" s="65">
        <f>SUM(A:B!AF64)</f>
        <v>8298.3966999999993</v>
      </c>
      <c r="AG64" s="65">
        <f>SUM(A:B!AG64)</f>
        <v>8298.3966999999993</v>
      </c>
      <c r="AH64" s="65">
        <f>SUM(A:B!AH64)</f>
        <v>8298.3966999999993</v>
      </c>
      <c r="AI64" s="65">
        <f>SUM(A:B!AI64)</f>
        <v>8298.3966999999993</v>
      </c>
      <c r="AJ64" s="65">
        <f>SUM(A:B!AJ64)</f>
        <v>8298.3966999999993</v>
      </c>
      <c r="AK64" s="124">
        <f t="shared" si="27"/>
        <v>99580.760399999985</v>
      </c>
      <c r="AL64" s="73">
        <f t="shared" si="25"/>
        <v>1.0338767240660056E-4</v>
      </c>
      <c r="AM64" s="14">
        <f t="shared" si="7"/>
        <v>0.17856713690756143</v>
      </c>
    </row>
    <row r="65" spans="1:41" hidden="1" outlineLevel="1">
      <c r="A65" s="12" t="s">
        <v>146</v>
      </c>
      <c r="B65" s="8" t="s">
        <v>88</v>
      </c>
      <c r="I65" s="246" t="s">
        <v>168</v>
      </c>
      <c r="J65" s="65">
        <f>SUM(A:B!J65)</f>
        <v>0</v>
      </c>
      <c r="K65" s="65">
        <f>SUM(A:B!K65)</f>
        <v>0</v>
      </c>
      <c r="L65" s="65">
        <f>SUM(A:B!L65)</f>
        <v>0</v>
      </c>
      <c r="M65" s="65">
        <f>SUM(A:B!M65)</f>
        <v>0</v>
      </c>
      <c r="N65" s="65">
        <f>SUM(A:B!N65)</f>
        <v>0</v>
      </c>
      <c r="O65" s="65">
        <f>SUM(A:B!O65)</f>
        <v>0</v>
      </c>
      <c r="P65" s="65">
        <f>SUM(A:B!P65)</f>
        <v>0</v>
      </c>
      <c r="Q65" s="65">
        <f>SUM(A:B!Q65)</f>
        <v>0</v>
      </c>
      <c r="R65" s="65">
        <f>SUM(A:B!R65)</f>
        <v>0</v>
      </c>
      <c r="S65" s="65">
        <f>SUM(A:B!S65)</f>
        <v>0</v>
      </c>
      <c r="T65" s="65">
        <f>SUM(A:B!T65)</f>
        <v>0</v>
      </c>
      <c r="U65" s="65">
        <f>SUM(A:B!U65)</f>
        <v>0</v>
      </c>
      <c r="V65" s="11">
        <f t="shared" si="26"/>
        <v>0</v>
      </c>
      <c r="W65" s="73">
        <f t="shared" si="23"/>
        <v>0</v>
      </c>
      <c r="X65" s="89"/>
      <c r="Y65" s="65">
        <f>SUM(A:B!Y65)</f>
        <v>0</v>
      </c>
      <c r="Z65" s="65">
        <f>SUM(A:B!Z65)</f>
        <v>0</v>
      </c>
      <c r="AA65" s="65">
        <f>SUM(A:B!AA65)</f>
        <v>0</v>
      </c>
      <c r="AB65" s="65">
        <f>SUM(A:B!AB65)</f>
        <v>0</v>
      </c>
      <c r="AC65" s="65">
        <f>SUM(A:B!AC65)</f>
        <v>0</v>
      </c>
      <c r="AD65" s="65">
        <f>SUM(A:B!AD65)</f>
        <v>0</v>
      </c>
      <c r="AE65" s="65">
        <f>SUM(A:B!AE65)</f>
        <v>0</v>
      </c>
      <c r="AF65" s="65">
        <f>SUM(A:B!AF65)</f>
        <v>0</v>
      </c>
      <c r="AG65" s="65">
        <f>SUM(A:B!AG65)</f>
        <v>0</v>
      </c>
      <c r="AH65" s="65">
        <f>SUM(A:B!AH65)</f>
        <v>0</v>
      </c>
      <c r="AI65" s="65">
        <f>SUM(A:B!AI65)</f>
        <v>0</v>
      </c>
      <c r="AJ65" s="65">
        <f>SUM(A:B!AJ65)</f>
        <v>0</v>
      </c>
      <c r="AK65" s="124">
        <f t="shared" si="27"/>
        <v>0</v>
      </c>
      <c r="AL65" s="73">
        <f t="shared" si="25"/>
        <v>0</v>
      </c>
      <c r="AM65" s="14">
        <f t="shared" si="7"/>
        <v>0</v>
      </c>
      <c r="AN65" s="9">
        <f>+AK65-V65</f>
        <v>0</v>
      </c>
      <c r="AO65" s="1" t="s">
        <v>169</v>
      </c>
    </row>
    <row r="66" spans="1:41" hidden="1" outlineLevel="1">
      <c r="A66" s="12" t="s">
        <v>146</v>
      </c>
      <c r="B66" s="8" t="s">
        <v>88</v>
      </c>
      <c r="I66" s="246" t="s">
        <v>170</v>
      </c>
      <c r="J66" s="65">
        <f>SUM(A:B!J66)</f>
        <v>8219</v>
      </c>
      <c r="K66" s="65">
        <f>SUM(A:B!K66)</f>
        <v>0</v>
      </c>
      <c r="L66" s="65">
        <f>SUM(A:B!L66)</f>
        <v>0</v>
      </c>
      <c r="M66" s="65">
        <f>SUM(A:B!M66)</f>
        <v>24988</v>
      </c>
      <c r="N66" s="65">
        <f>SUM(A:B!N66)</f>
        <v>0</v>
      </c>
      <c r="O66" s="65">
        <f>SUM(A:B!O66)</f>
        <v>0</v>
      </c>
      <c r="P66" s="65">
        <f>SUM(A:B!P66)</f>
        <v>0</v>
      </c>
      <c r="Q66" s="65">
        <f>SUM(A:B!Q66)</f>
        <v>7411</v>
      </c>
      <c r="R66" s="65">
        <f>SUM(A:B!R66)</f>
        <v>12981</v>
      </c>
      <c r="S66" s="65">
        <f>SUM(A:B!S66)</f>
        <v>1185.6000000000001</v>
      </c>
      <c r="T66" s="65">
        <f>SUM(A:B!T66)</f>
        <v>0</v>
      </c>
      <c r="U66" s="65">
        <f>SUM(A:B!U66)</f>
        <v>0</v>
      </c>
      <c r="V66" s="11">
        <f t="shared" si="26"/>
        <v>54784.6</v>
      </c>
      <c r="W66" s="73">
        <f t="shared" si="23"/>
        <v>6.1132344804979392E-5</v>
      </c>
      <c r="X66" s="89"/>
      <c r="Y66" s="65">
        <f>SUM(A:B!Y66)</f>
        <v>0</v>
      </c>
      <c r="Z66" s="65">
        <f>SUM(A:B!Z66)</f>
        <v>15458.183399999998</v>
      </c>
      <c r="AA66" s="65">
        <f>SUM(A:B!AA66)</f>
        <v>0</v>
      </c>
      <c r="AB66" s="65">
        <f>SUM(A:B!AB66)</f>
        <v>24925.207999999995</v>
      </c>
      <c r="AC66" s="65">
        <f>SUM(A:B!AC66)</f>
        <v>0</v>
      </c>
      <c r="AD66" s="65">
        <f>SUM(A:B!AD66)</f>
        <v>0</v>
      </c>
      <c r="AE66" s="65">
        <f>SUM(A:B!AE66)</f>
        <v>15898.100899999998</v>
      </c>
      <c r="AF66" s="65">
        <f>SUM(A:B!AF66)</f>
        <v>15288.426999999998</v>
      </c>
      <c r="AG66" s="65">
        <f>SUM(A:B!AG66)</f>
        <v>0</v>
      </c>
      <c r="AH66" s="65">
        <f>SUM(A:B!AH66)</f>
        <v>0</v>
      </c>
      <c r="AI66" s="65">
        <f>SUM(A:B!AI66)</f>
        <v>0</v>
      </c>
      <c r="AJ66" s="65">
        <f>SUM(A:B!AJ66)</f>
        <v>0</v>
      </c>
      <c r="AK66" s="124">
        <f t="shared" si="27"/>
        <v>71569.919299999994</v>
      </c>
      <c r="AL66" s="73">
        <f t="shared" si="25"/>
        <v>7.4305993858982824E-5</v>
      </c>
      <c r="AM66" s="14">
        <f t="shared" si="7"/>
        <v>0.3063875486906904</v>
      </c>
      <c r="AN66" s="9">
        <f>+AK66-V66</f>
        <v>16785.319299999996</v>
      </c>
    </row>
    <row r="67" spans="1:41" hidden="1" outlineLevel="1">
      <c r="A67" s="12" t="s">
        <v>146</v>
      </c>
      <c r="B67" s="8" t="s">
        <v>88</v>
      </c>
      <c r="I67" s="246" t="s">
        <v>171</v>
      </c>
      <c r="J67" s="65">
        <f>SUM(A:B!J67)</f>
        <v>23086</v>
      </c>
      <c r="K67" s="65">
        <f>SUM(A:B!K67)</f>
        <v>23086</v>
      </c>
      <c r="L67" s="65">
        <f>SUM(A:B!L67)</f>
        <v>23086</v>
      </c>
      <c r="M67" s="65">
        <f>SUM(A:B!M67)</f>
        <v>23086</v>
      </c>
      <c r="N67" s="65">
        <f>SUM(A:B!N67)</f>
        <v>23086</v>
      </c>
      <c r="O67" s="65">
        <f>SUM(A:B!O67)</f>
        <v>23086</v>
      </c>
      <c r="P67" s="65">
        <f>SUM(A:B!P67)</f>
        <v>23086</v>
      </c>
      <c r="Q67" s="65">
        <f>SUM(A:B!Q67)</f>
        <v>23086</v>
      </c>
      <c r="R67" s="65">
        <f>SUM(A:B!R67)</f>
        <v>23086</v>
      </c>
      <c r="S67" s="65">
        <f>SUM(A:B!S67)</f>
        <v>23086</v>
      </c>
      <c r="T67" s="65">
        <f>SUM(A:B!T67)</f>
        <v>23086</v>
      </c>
      <c r="U67" s="65">
        <f>SUM(A:B!U67)</f>
        <v>23086</v>
      </c>
      <c r="V67" s="11">
        <f t="shared" si="26"/>
        <v>277032</v>
      </c>
      <c r="W67" s="73">
        <f t="shared" si="23"/>
        <v>3.0913095552423587E-4</v>
      </c>
      <c r="X67" s="89"/>
      <c r="Y67" s="65">
        <f>SUM(A:B!Y67)</f>
        <v>34598.217499999999</v>
      </c>
      <c r="Z67" s="65">
        <f>SUM(A:B!Z67)</f>
        <v>34598.217499999999</v>
      </c>
      <c r="AA67" s="65">
        <f>SUM(A:B!AA67)</f>
        <v>34598.217499999999</v>
      </c>
      <c r="AB67" s="65">
        <f>SUM(A:B!AB67)</f>
        <v>34598.217499999999</v>
      </c>
      <c r="AC67" s="65">
        <f>SUM(A:B!AC67)</f>
        <v>34598.217499999999</v>
      </c>
      <c r="AD67" s="65">
        <f>SUM(A:B!AD67)</f>
        <v>34598.217499999999</v>
      </c>
      <c r="AE67" s="65">
        <f>SUM(A:B!AE67)</f>
        <v>34598.217499999999</v>
      </c>
      <c r="AF67" s="65">
        <f>SUM(A:B!AF67)</f>
        <v>34598.217499999999</v>
      </c>
      <c r="AG67" s="65">
        <f>SUM(A:B!AG67)</f>
        <v>34598.217499999999</v>
      </c>
      <c r="AH67" s="65">
        <f>SUM(A:B!AH67)</f>
        <v>34598.217499999999</v>
      </c>
      <c r="AI67" s="65">
        <f>SUM(A:B!AI67)</f>
        <v>34598.217499999999</v>
      </c>
      <c r="AJ67" s="65">
        <f>SUM(A:B!AJ67)</f>
        <v>34598.217499999999</v>
      </c>
      <c r="AK67" s="124">
        <f t="shared" si="27"/>
        <v>415178.6100000001</v>
      </c>
      <c r="AL67" s="73">
        <f t="shared" si="25"/>
        <v>4.3105063617196275E-4</v>
      </c>
      <c r="AM67" s="14">
        <f t="shared" si="7"/>
        <v>0.49866661613098895</v>
      </c>
    </row>
    <row r="68" spans="1:41" hidden="1" outlineLevel="1">
      <c r="A68" s="12" t="s">
        <v>146</v>
      </c>
      <c r="B68" s="8" t="s">
        <v>88</v>
      </c>
      <c r="I68" s="246" t="s">
        <v>172</v>
      </c>
      <c r="J68" s="65">
        <f>SUM(A:B!J68)</f>
        <v>0</v>
      </c>
      <c r="K68" s="65">
        <f>SUM(A:B!K68)</f>
        <v>0</v>
      </c>
      <c r="L68" s="65">
        <f>SUM(A:B!L68)</f>
        <v>0</v>
      </c>
      <c r="M68" s="65">
        <f>SUM(A:B!M68)</f>
        <v>0</v>
      </c>
      <c r="N68" s="65">
        <f>SUM(A:B!N68)</f>
        <v>0</v>
      </c>
      <c r="O68" s="65">
        <f>SUM(A:B!O68)</f>
        <v>0</v>
      </c>
      <c r="P68" s="65">
        <f>SUM(A:B!P68)</f>
        <v>0</v>
      </c>
      <c r="Q68" s="65">
        <f>SUM(A:B!Q68)</f>
        <v>0</v>
      </c>
      <c r="R68" s="65">
        <f>SUM(A:B!R68)</f>
        <v>0</v>
      </c>
      <c r="S68" s="65">
        <f>SUM(A:B!S68)</f>
        <v>0</v>
      </c>
      <c r="T68" s="65">
        <f>SUM(A:B!T68)</f>
        <v>0</v>
      </c>
      <c r="U68" s="65">
        <f>SUM(A:B!U68)</f>
        <v>0</v>
      </c>
      <c r="V68" s="11">
        <f t="shared" si="26"/>
        <v>0</v>
      </c>
      <c r="W68" s="73">
        <f t="shared" si="23"/>
        <v>0</v>
      </c>
      <c r="X68" s="89"/>
      <c r="Y68" s="65">
        <f>SUM(A:B!Y68)</f>
        <v>0</v>
      </c>
      <c r="Z68" s="65">
        <f>SUM(A:B!Z68)</f>
        <v>0</v>
      </c>
      <c r="AA68" s="65">
        <f>SUM(A:B!AA68)</f>
        <v>0</v>
      </c>
      <c r="AB68" s="65">
        <f>SUM(A:B!AB68)</f>
        <v>0</v>
      </c>
      <c r="AC68" s="65">
        <f>SUM(A:B!AC68)</f>
        <v>0</v>
      </c>
      <c r="AD68" s="65">
        <f>SUM(A:B!AD68)</f>
        <v>0</v>
      </c>
      <c r="AE68" s="65">
        <f>SUM(A:B!AE68)</f>
        <v>0</v>
      </c>
      <c r="AF68" s="65">
        <f>SUM(A:B!AF68)</f>
        <v>0</v>
      </c>
      <c r="AG68" s="65">
        <f>SUM(A:B!AG68)</f>
        <v>0</v>
      </c>
      <c r="AH68" s="65">
        <f>SUM(A:B!AH68)</f>
        <v>0</v>
      </c>
      <c r="AI68" s="65">
        <f>SUM(A:B!AI68)</f>
        <v>0</v>
      </c>
      <c r="AJ68" s="65">
        <f>SUM(A:B!AJ68)</f>
        <v>0</v>
      </c>
      <c r="AK68" s="124">
        <f t="shared" si="27"/>
        <v>0</v>
      </c>
      <c r="AL68" s="73">
        <f t="shared" si="25"/>
        <v>0</v>
      </c>
      <c r="AM68" s="14">
        <f t="shared" si="7"/>
        <v>0</v>
      </c>
    </row>
    <row r="69" spans="1:41" hidden="1" outlineLevel="1">
      <c r="A69" s="12" t="s">
        <v>146</v>
      </c>
      <c r="B69" s="8" t="s">
        <v>88</v>
      </c>
      <c r="I69" s="246" t="s">
        <v>173</v>
      </c>
      <c r="J69" s="65">
        <f>SUM(A:B!J69)</f>
        <v>0</v>
      </c>
      <c r="K69" s="65">
        <f>SUM(A:B!K69)</f>
        <v>0</v>
      </c>
      <c r="L69" s="65">
        <f>SUM(A:B!L69)</f>
        <v>0</v>
      </c>
      <c r="M69" s="65">
        <f>SUM(A:B!M69)</f>
        <v>0</v>
      </c>
      <c r="N69" s="65">
        <f>SUM(A:B!N69)</f>
        <v>662</v>
      </c>
      <c r="O69" s="65">
        <f>SUM(A:B!O69)</f>
        <v>0</v>
      </c>
      <c r="P69" s="65">
        <f>SUM(A:B!P69)</f>
        <v>0</v>
      </c>
      <c r="Q69" s="65">
        <f>SUM(A:B!Q69)</f>
        <v>0</v>
      </c>
      <c r="R69" s="65">
        <f>SUM(A:B!R69)</f>
        <v>0</v>
      </c>
      <c r="S69" s="65">
        <f>SUM(A:B!S69)</f>
        <v>183</v>
      </c>
      <c r="T69" s="65">
        <f>SUM(A:B!T69)</f>
        <v>0</v>
      </c>
      <c r="U69" s="65">
        <f>SUM(A:B!U69)</f>
        <v>0</v>
      </c>
      <c r="V69" s="11">
        <f t="shared" si="26"/>
        <v>845</v>
      </c>
      <c r="W69" s="73">
        <f t="shared" si="23"/>
        <v>9.4290788579651201E-7</v>
      </c>
      <c r="X69" s="89"/>
      <c r="Y69" s="65">
        <f>SUM(A:B!Y69)</f>
        <v>0</v>
      </c>
      <c r="Z69" s="65">
        <f>SUM(A:B!Z69)</f>
        <v>0</v>
      </c>
      <c r="AA69" s="65">
        <f>SUM(A:B!AA69)</f>
        <v>0</v>
      </c>
      <c r="AB69" s="65">
        <f>SUM(A:B!AB69)</f>
        <v>0</v>
      </c>
      <c r="AC69" s="65">
        <f>SUM(A:B!AC69)</f>
        <v>0</v>
      </c>
      <c r="AD69" s="65">
        <f>SUM(A:B!AD69)</f>
        <v>0</v>
      </c>
      <c r="AE69" s="65">
        <f>SUM(A:B!AE69)</f>
        <v>0</v>
      </c>
      <c r="AF69" s="65">
        <f>SUM(A:B!AF69)</f>
        <v>0</v>
      </c>
      <c r="AG69" s="65">
        <f>SUM(A:B!AG69)</f>
        <v>0</v>
      </c>
      <c r="AH69" s="65">
        <f>SUM(A:B!AH69)</f>
        <v>0</v>
      </c>
      <c r="AI69" s="65">
        <f>SUM(A:B!AI69)</f>
        <v>0</v>
      </c>
      <c r="AJ69" s="65">
        <f>SUM(A:B!AJ69)</f>
        <v>0</v>
      </c>
      <c r="AK69" s="124">
        <f t="shared" si="27"/>
        <v>0</v>
      </c>
      <c r="AL69" s="73">
        <f t="shared" si="25"/>
        <v>0</v>
      </c>
      <c r="AM69" s="14">
        <f t="shared" si="7"/>
        <v>-1</v>
      </c>
    </row>
    <row r="70" spans="1:41" hidden="1" outlineLevel="1">
      <c r="A70" s="12" t="s">
        <v>146</v>
      </c>
      <c r="B70" s="8" t="s">
        <v>88</v>
      </c>
      <c r="I70" s="246" t="s">
        <v>174</v>
      </c>
      <c r="J70" s="65">
        <f>SUM(A:B!J70)</f>
        <v>15144</v>
      </c>
      <c r="K70" s="65">
        <f>SUM(A:B!K70)</f>
        <v>21968</v>
      </c>
      <c r="L70" s="65">
        <f>SUM(A:B!L70)</f>
        <v>12968</v>
      </c>
      <c r="M70" s="65">
        <f>SUM(A:B!M70)</f>
        <v>0</v>
      </c>
      <c r="N70" s="65">
        <f>SUM(A:B!N70)</f>
        <v>9800</v>
      </c>
      <c r="O70" s="65">
        <f>SUM(A:B!O70)</f>
        <v>17450</v>
      </c>
      <c r="P70" s="65">
        <f>SUM(A:B!P70)</f>
        <v>9800</v>
      </c>
      <c r="Q70" s="65">
        <f>SUM(A:B!Q70)</f>
        <v>9800</v>
      </c>
      <c r="R70" s="65">
        <f>SUM(A:B!R70)</f>
        <v>9800</v>
      </c>
      <c r="S70" s="65">
        <f>SUM(A:B!S70)</f>
        <v>11600</v>
      </c>
      <c r="T70" s="65">
        <f>SUM(A:B!T70)</f>
        <v>10400</v>
      </c>
      <c r="U70" s="65">
        <f>SUM(A:B!U70)</f>
        <v>10600</v>
      </c>
      <c r="V70" s="11">
        <f t="shared" si="26"/>
        <v>139330</v>
      </c>
      <c r="W70" s="73">
        <f t="shared" si="23"/>
        <v>1.554737937609799E-4</v>
      </c>
      <c r="X70" s="89"/>
      <c r="Y70" s="65">
        <f>SUM(A:B!Y70)</f>
        <v>10500</v>
      </c>
      <c r="Z70" s="65">
        <f>SUM(A:B!Z70)</f>
        <v>10500</v>
      </c>
      <c r="AA70" s="65">
        <f>SUM(A:B!AA70)</f>
        <v>10500</v>
      </c>
      <c r="AB70" s="65">
        <f>SUM(A:B!AB70)</f>
        <v>10500</v>
      </c>
      <c r="AC70" s="65">
        <f>SUM(A:B!AC70)</f>
        <v>10500</v>
      </c>
      <c r="AD70" s="65">
        <f>SUM(A:B!AD70)</f>
        <v>10500</v>
      </c>
      <c r="AE70" s="65">
        <f>SUM(A:B!AE70)</f>
        <v>10500</v>
      </c>
      <c r="AF70" s="65">
        <f>SUM(A:B!AF70)</f>
        <v>10500</v>
      </c>
      <c r="AG70" s="65">
        <f>SUM(A:B!AG70)</f>
        <v>10500</v>
      </c>
      <c r="AH70" s="65">
        <f>SUM(A:B!AH70)</f>
        <v>10500</v>
      </c>
      <c r="AI70" s="65">
        <f>SUM(A:B!AI70)</f>
        <v>10500</v>
      </c>
      <c r="AJ70" s="65">
        <f>SUM(A:B!AJ70)</f>
        <v>10500</v>
      </c>
      <c r="AK70" s="124">
        <f t="shared" si="27"/>
        <v>126000</v>
      </c>
      <c r="AL70" s="73">
        <f t="shared" si="25"/>
        <v>1.3081690349526267E-4</v>
      </c>
      <c r="AM70" s="14">
        <f t="shared" si="7"/>
        <v>-9.5672145266633146E-2</v>
      </c>
    </row>
    <row r="71" spans="1:41" hidden="1" outlineLevel="1">
      <c r="A71" s="12" t="s">
        <v>146</v>
      </c>
      <c r="B71" s="8" t="s">
        <v>88</v>
      </c>
      <c r="I71" s="246" t="s">
        <v>175</v>
      </c>
      <c r="J71" s="65">
        <f>SUM(A:B!J71)</f>
        <v>0</v>
      </c>
      <c r="K71" s="65">
        <f>SUM(A:B!K71)</f>
        <v>0</v>
      </c>
      <c r="L71" s="65">
        <f>SUM(A:B!L71)</f>
        <v>0</v>
      </c>
      <c r="M71" s="65">
        <f>SUM(A:B!M71)</f>
        <v>0</v>
      </c>
      <c r="N71" s="65">
        <f>SUM(A:B!N71)</f>
        <v>0</v>
      </c>
      <c r="O71" s="65">
        <f>SUM(A:B!O71)</f>
        <v>0</v>
      </c>
      <c r="P71" s="65">
        <f>SUM(A:B!P71)</f>
        <v>0</v>
      </c>
      <c r="Q71" s="65">
        <f>SUM(A:B!Q71)</f>
        <v>0</v>
      </c>
      <c r="R71" s="65">
        <f>SUM(A:B!R71)</f>
        <v>0</v>
      </c>
      <c r="S71" s="65">
        <f>SUM(A:B!S71)</f>
        <v>0</v>
      </c>
      <c r="T71" s="65">
        <f>SUM(A:B!T71)</f>
        <v>0</v>
      </c>
      <c r="U71" s="65">
        <f>SUM(A:B!U71)</f>
        <v>0</v>
      </c>
      <c r="V71" s="11">
        <f t="shared" si="26"/>
        <v>0</v>
      </c>
      <c r="W71" s="73">
        <f t="shared" si="23"/>
        <v>0</v>
      </c>
      <c r="X71" s="89"/>
      <c r="Y71" s="65">
        <f>SUM(A:B!Y71)</f>
        <v>0</v>
      </c>
      <c r="Z71" s="65">
        <f>SUM(A:B!Z71)</f>
        <v>0</v>
      </c>
      <c r="AA71" s="65">
        <f>SUM(A:B!AA71)</f>
        <v>0</v>
      </c>
      <c r="AB71" s="65">
        <f>SUM(A:B!AB71)</f>
        <v>0</v>
      </c>
      <c r="AC71" s="65">
        <f>SUM(A:B!AC71)</f>
        <v>0</v>
      </c>
      <c r="AD71" s="65">
        <f>SUM(A:B!AD71)</f>
        <v>0</v>
      </c>
      <c r="AE71" s="65">
        <f>SUM(A:B!AE71)</f>
        <v>0</v>
      </c>
      <c r="AF71" s="65">
        <f>SUM(A:B!AF71)</f>
        <v>0</v>
      </c>
      <c r="AG71" s="65">
        <f>SUM(A:B!AG71)</f>
        <v>0</v>
      </c>
      <c r="AH71" s="65">
        <f>SUM(A:B!AH71)</f>
        <v>0</v>
      </c>
      <c r="AI71" s="65">
        <f>SUM(A:B!AI71)</f>
        <v>0</v>
      </c>
      <c r="AJ71" s="65">
        <f>SUM(A:B!AJ71)</f>
        <v>0</v>
      </c>
      <c r="AK71" s="124">
        <f t="shared" si="27"/>
        <v>0</v>
      </c>
      <c r="AL71" s="73">
        <f t="shared" si="25"/>
        <v>0</v>
      </c>
      <c r="AM71" s="14">
        <f t="shared" si="7"/>
        <v>0</v>
      </c>
    </row>
    <row r="72" spans="1:41" hidden="1" outlineLevel="1">
      <c r="A72" s="12"/>
      <c r="I72" s="246" t="s">
        <v>176</v>
      </c>
      <c r="J72" s="65">
        <f>SUM(A:B!J72)</f>
        <v>6314</v>
      </c>
      <c r="K72" s="65">
        <f>SUM(A:B!K72)</f>
        <v>6314</v>
      </c>
      <c r="L72" s="65">
        <f>SUM(A:B!L72)</f>
        <v>6314</v>
      </c>
      <c r="M72" s="65">
        <f>SUM(A:B!M72)</f>
        <v>6314</v>
      </c>
      <c r="N72" s="65">
        <f>SUM(A:B!N72)</f>
        <v>6314</v>
      </c>
      <c r="O72" s="65">
        <f>SUM(A:B!O72)</f>
        <v>6314</v>
      </c>
      <c r="P72" s="65">
        <f>SUM(A:B!P72)</f>
        <v>6314</v>
      </c>
      <c r="Q72" s="65">
        <f>SUM(A:B!Q72)</f>
        <v>6314</v>
      </c>
      <c r="R72" s="65">
        <f>SUM(A:B!R72)</f>
        <v>6314</v>
      </c>
      <c r="S72" s="65">
        <f>SUM(A:B!S72)</f>
        <v>6314</v>
      </c>
      <c r="T72" s="65">
        <f>SUM(A:B!T72)</f>
        <v>6314</v>
      </c>
      <c r="U72" s="65">
        <f>SUM(A:B!U72)</f>
        <v>6314</v>
      </c>
      <c r="V72" s="11">
        <f t="shared" si="26"/>
        <v>75768</v>
      </c>
      <c r="W72" s="73">
        <f t="shared" si="23"/>
        <v>8.4547035137313756E-5</v>
      </c>
      <c r="X72" s="89"/>
      <c r="Y72" s="65">
        <f>SUM(A:B!Y72)</f>
        <v>6550.7749999999996</v>
      </c>
      <c r="Z72" s="65">
        <f>SUM(A:B!Z72)</f>
        <v>6550.7749999999996</v>
      </c>
      <c r="AA72" s="65">
        <f>SUM(A:B!AA72)</f>
        <v>6550.7749999999996</v>
      </c>
      <c r="AB72" s="65">
        <f>SUM(A:B!AB72)</f>
        <v>6550.7749999999996</v>
      </c>
      <c r="AC72" s="65">
        <f>SUM(A:B!AC72)</f>
        <v>6550.7749999999996</v>
      </c>
      <c r="AD72" s="65">
        <f>SUM(A:B!AD72)</f>
        <v>6550.7749999999996</v>
      </c>
      <c r="AE72" s="65">
        <f>SUM(A:B!AE72)</f>
        <v>6550.7749999999996</v>
      </c>
      <c r="AF72" s="65">
        <f>SUM(A:B!AF72)</f>
        <v>6550.7749999999996</v>
      </c>
      <c r="AG72" s="65">
        <f>SUM(A:B!AG72)</f>
        <v>6550.7749999999996</v>
      </c>
      <c r="AH72" s="65">
        <f>SUM(A:B!AH72)</f>
        <v>6550.7749999999996</v>
      </c>
      <c r="AI72" s="65">
        <f>SUM(A:B!AI72)</f>
        <v>6550.7749999999996</v>
      </c>
      <c r="AJ72" s="65">
        <f>SUM(A:B!AJ72)</f>
        <v>6550.7749999999996</v>
      </c>
      <c r="AK72" s="124">
        <f t="shared" si="27"/>
        <v>78609.3</v>
      </c>
      <c r="AL72" s="73">
        <f t="shared" si="25"/>
        <v>8.161448580896945E-5</v>
      </c>
      <c r="AM72" s="14">
        <f t="shared" si="7"/>
        <v>3.7500000000000089E-2</v>
      </c>
    </row>
    <row r="73" spans="1:41" hidden="1" outlineLevel="1">
      <c r="A73" s="12"/>
      <c r="I73" s="251" t="s">
        <v>177</v>
      </c>
      <c r="J73" s="65">
        <f>SUM(A:B!J73)</f>
        <v>0</v>
      </c>
      <c r="K73" s="65">
        <f>SUM(A:B!K73)</f>
        <v>0</v>
      </c>
      <c r="L73" s="65">
        <f>SUM(A:B!L73)</f>
        <v>0</v>
      </c>
      <c r="M73" s="65">
        <f>SUM(A:B!M73)</f>
        <v>0</v>
      </c>
      <c r="N73" s="65">
        <f>SUM(A:B!N73)</f>
        <v>0</v>
      </c>
      <c r="O73" s="65">
        <f>SUM(A:B!O73)</f>
        <v>22400</v>
      </c>
      <c r="P73" s="65">
        <f>SUM(A:B!P73)</f>
        <v>0</v>
      </c>
      <c r="Q73" s="65">
        <f>SUM(A:B!Q73)</f>
        <v>0</v>
      </c>
      <c r="R73" s="65">
        <f>SUM(A:B!R73)</f>
        <v>0</v>
      </c>
      <c r="S73" s="65">
        <f>SUM(A:B!S73)</f>
        <v>0</v>
      </c>
      <c r="T73" s="65">
        <f>SUM(A:B!T73)</f>
        <v>0</v>
      </c>
      <c r="U73" s="65">
        <f>SUM(A:B!U73)</f>
        <v>0</v>
      </c>
      <c r="V73" s="11">
        <f t="shared" si="26"/>
        <v>22400</v>
      </c>
      <c r="W73" s="73">
        <f t="shared" si="23"/>
        <v>2.4995427978511087E-5</v>
      </c>
      <c r="X73" s="89"/>
      <c r="Y73" s="65">
        <f>SUM(A:B!Y73)</f>
        <v>0</v>
      </c>
      <c r="Z73" s="65">
        <f>SUM(A:B!Z73)</f>
        <v>0</v>
      </c>
      <c r="AA73" s="65">
        <f>SUM(A:B!AA73)</f>
        <v>0</v>
      </c>
      <c r="AB73" s="65">
        <f>SUM(A:B!AB73)</f>
        <v>0</v>
      </c>
      <c r="AC73" s="65">
        <f>SUM(A:B!AC73)</f>
        <v>0</v>
      </c>
      <c r="AD73" s="65">
        <f>SUM(A:B!AD73)</f>
        <v>0</v>
      </c>
      <c r="AE73" s="65">
        <f>SUM(A:B!AE73)</f>
        <v>0</v>
      </c>
      <c r="AF73" s="65">
        <f>SUM(A:B!AF73)</f>
        <v>0</v>
      </c>
      <c r="AG73" s="65">
        <f>SUM(A:B!AG73)</f>
        <v>0</v>
      </c>
      <c r="AH73" s="65">
        <f>SUM(A:B!AH73)</f>
        <v>0</v>
      </c>
      <c r="AI73" s="65">
        <f>SUM(A:B!AI73)</f>
        <v>0</v>
      </c>
      <c r="AJ73" s="65">
        <f>SUM(A:B!AJ73)</f>
        <v>0</v>
      </c>
      <c r="AK73" s="124">
        <f t="shared" si="27"/>
        <v>0</v>
      </c>
      <c r="AL73" s="73">
        <f t="shared" si="25"/>
        <v>0</v>
      </c>
      <c r="AM73" s="14">
        <f t="shared" si="7"/>
        <v>-1</v>
      </c>
    </row>
    <row r="74" spans="1:41" hidden="1" outlineLevel="1">
      <c r="A74" s="12"/>
      <c r="I74" s="246" t="s">
        <v>178</v>
      </c>
      <c r="J74" s="65">
        <f>SUM(A:B!J74)</f>
        <v>9100</v>
      </c>
      <c r="K74" s="65">
        <f>SUM(A:B!K74)</f>
        <v>9100</v>
      </c>
      <c r="L74" s="65">
        <f>SUM(A:B!L74)</f>
        <v>25900</v>
      </c>
      <c r="M74" s="65">
        <f>SUM(A:B!M74)</f>
        <v>9100</v>
      </c>
      <c r="N74" s="65">
        <f>SUM(A:B!N74)</f>
        <v>9100</v>
      </c>
      <c r="O74" s="65">
        <f>SUM(A:B!O74)</f>
        <v>9100</v>
      </c>
      <c r="P74" s="65">
        <f>SUM(A:B!P74)</f>
        <v>9100</v>
      </c>
      <c r="Q74" s="65">
        <f>SUM(A:B!Q74)</f>
        <v>9100</v>
      </c>
      <c r="R74" s="65">
        <f>SUM(A:B!R74)</f>
        <v>9100</v>
      </c>
      <c r="S74" s="65">
        <f>SUM(A:B!S74)</f>
        <v>9100</v>
      </c>
      <c r="T74" s="65">
        <f>SUM(A:B!T74)</f>
        <v>9100</v>
      </c>
      <c r="U74" s="65">
        <f>SUM(A:B!U74)</f>
        <v>9100</v>
      </c>
      <c r="V74" s="11">
        <f t="shared" si="26"/>
        <v>126000</v>
      </c>
      <c r="W74" s="73">
        <f t="shared" si="23"/>
        <v>1.4059928237912487E-4</v>
      </c>
      <c r="X74" s="89"/>
      <c r="Y74" s="65">
        <f>SUM(A:B!Y74)</f>
        <v>9441.2500000000018</v>
      </c>
      <c r="Z74" s="65">
        <f>SUM(A:B!Z74)</f>
        <v>9441.2500000000018</v>
      </c>
      <c r="AA74" s="65">
        <f>SUM(A:B!AA74)</f>
        <v>26871.25</v>
      </c>
      <c r="AB74" s="65">
        <f>SUM(A:B!AB74)</f>
        <v>9441.2500000000018</v>
      </c>
      <c r="AC74" s="65">
        <f>SUM(A:B!AC74)</f>
        <v>9441.2500000000018</v>
      </c>
      <c r="AD74" s="65">
        <f>SUM(A:B!AD74)</f>
        <v>9441.2500000000018</v>
      </c>
      <c r="AE74" s="65">
        <f>SUM(A:B!AE74)</f>
        <v>9441.2500000000018</v>
      </c>
      <c r="AF74" s="65">
        <f>SUM(A:B!AF74)</f>
        <v>9441.2500000000018</v>
      </c>
      <c r="AG74" s="65">
        <f>SUM(A:B!AG74)</f>
        <v>9441.2500000000018</v>
      </c>
      <c r="AH74" s="65">
        <f>SUM(A:B!AH74)</f>
        <v>9441.2500000000018</v>
      </c>
      <c r="AI74" s="65">
        <f>SUM(A:B!AI74)</f>
        <v>9441.2500000000018</v>
      </c>
      <c r="AJ74" s="65">
        <f>SUM(A:B!AJ74)</f>
        <v>9441.2500000000018</v>
      </c>
      <c r="AK74" s="124">
        <f t="shared" si="27"/>
        <v>130725</v>
      </c>
      <c r="AL74" s="73">
        <f t="shared" si="25"/>
        <v>1.3572253737633501E-4</v>
      </c>
      <c r="AM74" s="14">
        <f t="shared" si="7"/>
        <v>3.7500000000000089E-2</v>
      </c>
    </row>
    <row r="75" spans="1:41" hidden="1" outlineLevel="1">
      <c r="A75" s="12"/>
      <c r="I75" s="246" t="s">
        <v>179</v>
      </c>
      <c r="J75" s="65">
        <f>SUM(A:B!J75)</f>
        <v>0</v>
      </c>
      <c r="K75" s="65">
        <f>SUM(A:B!K75)</f>
        <v>0</v>
      </c>
      <c r="L75" s="65">
        <f>SUM(A:B!L75)</f>
        <v>0</v>
      </c>
      <c r="M75" s="65">
        <f>SUM(A:B!M75)</f>
        <v>0</v>
      </c>
      <c r="N75" s="65">
        <f>SUM(A:B!N75)</f>
        <v>0</v>
      </c>
      <c r="O75" s="65">
        <f>SUM(A:B!O75)</f>
        <v>0</v>
      </c>
      <c r="P75" s="65">
        <f>SUM(A:B!P75)</f>
        <v>0</v>
      </c>
      <c r="Q75" s="65">
        <f>SUM(A:B!Q75)</f>
        <v>0</v>
      </c>
      <c r="R75" s="65">
        <f>SUM(A:B!R75)</f>
        <v>0</v>
      </c>
      <c r="S75" s="65">
        <f>SUM(A:B!S75)</f>
        <v>0</v>
      </c>
      <c r="T75" s="65">
        <f>SUM(A:B!T75)</f>
        <v>0</v>
      </c>
      <c r="U75" s="65">
        <f>SUM(A:B!U75)</f>
        <v>0</v>
      </c>
      <c r="V75" s="11">
        <f t="shared" si="26"/>
        <v>0</v>
      </c>
      <c r="W75" s="73">
        <f t="shared" si="23"/>
        <v>0</v>
      </c>
      <c r="X75" s="89"/>
      <c r="Y75" s="65">
        <f>SUM(A:B!Y75)</f>
        <v>0</v>
      </c>
      <c r="Z75" s="65">
        <f>SUM(A:B!Z75)</f>
        <v>0</v>
      </c>
      <c r="AA75" s="65">
        <f>SUM(A:B!AA75)</f>
        <v>0</v>
      </c>
      <c r="AB75" s="65">
        <f>SUM(A:B!AB75)</f>
        <v>0</v>
      </c>
      <c r="AC75" s="65">
        <f>SUM(A:B!AC75)</f>
        <v>0</v>
      </c>
      <c r="AD75" s="65">
        <f>SUM(A:B!AD75)</f>
        <v>0</v>
      </c>
      <c r="AE75" s="65">
        <f>SUM(A:B!AE75)</f>
        <v>0</v>
      </c>
      <c r="AF75" s="65">
        <f>SUM(A:B!AF75)</f>
        <v>0</v>
      </c>
      <c r="AG75" s="65">
        <f>SUM(A:B!AG75)</f>
        <v>0</v>
      </c>
      <c r="AH75" s="65">
        <f>SUM(A:B!AH75)</f>
        <v>0</v>
      </c>
      <c r="AI75" s="65">
        <f>SUM(A:B!AI75)</f>
        <v>0</v>
      </c>
      <c r="AJ75" s="65">
        <f>SUM(A:B!AJ75)</f>
        <v>0</v>
      </c>
      <c r="AK75" s="124">
        <f t="shared" si="27"/>
        <v>0</v>
      </c>
      <c r="AL75" s="73">
        <f t="shared" si="25"/>
        <v>0</v>
      </c>
      <c r="AM75" s="14">
        <f t="shared" si="7"/>
        <v>0</v>
      </c>
    </row>
    <row r="76" spans="1:41" hidden="1" outlineLevel="1">
      <c r="A76" s="12"/>
      <c r="I76" s="246" t="s">
        <v>180</v>
      </c>
      <c r="J76" s="65">
        <f>SUM(A:B!J76)</f>
        <v>7032</v>
      </c>
      <c r="K76" s="65">
        <f>SUM(A:B!K76)</f>
        <v>6170</v>
      </c>
      <c r="L76" s="65">
        <f>SUM(A:B!L76)</f>
        <v>6043</v>
      </c>
      <c r="M76" s="65">
        <f>SUM(A:B!M76)</f>
        <v>6026</v>
      </c>
      <c r="N76" s="65">
        <f>SUM(A:B!N76)</f>
        <v>5614</v>
      </c>
      <c r="O76" s="65">
        <f>SUM(A:B!O76)</f>
        <v>6375</v>
      </c>
      <c r="P76" s="65">
        <f>SUM(A:B!P76)</f>
        <v>6423</v>
      </c>
      <c r="Q76" s="65">
        <f>SUM(A:B!Q76)</f>
        <v>6222</v>
      </c>
      <c r="R76" s="65">
        <f>SUM(A:B!R76)</f>
        <v>6008</v>
      </c>
      <c r="S76" s="65">
        <f>SUM(A:B!S76)</f>
        <v>6611.3333333333339</v>
      </c>
      <c r="T76" s="65">
        <f>SUM(A:B!T76)</f>
        <v>6280.4444444444443</v>
      </c>
      <c r="U76" s="65">
        <f>SUM(A:B!U76)</f>
        <v>6299.9259259259252</v>
      </c>
      <c r="V76" s="11">
        <f t="shared" si="26"/>
        <v>75104.703703703708</v>
      </c>
      <c r="W76" s="73">
        <f t="shared" si="23"/>
        <v>8.3806884476488432E-5</v>
      </c>
      <c r="X76" s="89"/>
      <c r="Y76" s="65">
        <f>SUM(A:B!Y76)</f>
        <v>6883.415</v>
      </c>
      <c r="Z76" s="65">
        <f>SUM(A:B!Z76)</f>
        <v>6883.415</v>
      </c>
      <c r="AA76" s="65">
        <f>SUM(A:B!AA76)</f>
        <v>6883.415</v>
      </c>
      <c r="AB76" s="65">
        <f>SUM(A:B!AB76)</f>
        <v>6883.415</v>
      </c>
      <c r="AC76" s="65">
        <f>SUM(A:B!AC76)</f>
        <v>6883.415</v>
      </c>
      <c r="AD76" s="65">
        <f>SUM(A:B!AD76)</f>
        <v>6883.415</v>
      </c>
      <c r="AE76" s="65">
        <f>SUM(A:B!AE76)</f>
        <v>6883.415</v>
      </c>
      <c r="AF76" s="65">
        <f>SUM(A:B!AF76)</f>
        <v>6883.415</v>
      </c>
      <c r="AG76" s="65">
        <f>SUM(A:B!AG76)</f>
        <v>6883.415</v>
      </c>
      <c r="AH76" s="65">
        <f>SUM(A:B!AH76)</f>
        <v>6883.415</v>
      </c>
      <c r="AI76" s="65">
        <f>SUM(A:B!AI76)</f>
        <v>6883.415</v>
      </c>
      <c r="AJ76" s="65">
        <f>SUM(A:B!AJ76)</f>
        <v>6883.415</v>
      </c>
      <c r="AK76" s="124">
        <f t="shared" si="27"/>
        <v>82600.979999999981</v>
      </c>
      <c r="AL76" s="73">
        <f t="shared" si="25"/>
        <v>8.575876531169935E-5</v>
      </c>
      <c r="AM76" s="14">
        <f t="shared" si="7"/>
        <v>9.9811009519056304E-2</v>
      </c>
    </row>
    <row r="77" spans="1:41" hidden="1" outlineLevel="1">
      <c r="A77" s="12"/>
      <c r="I77" s="246" t="s">
        <v>181</v>
      </c>
      <c r="J77" s="65">
        <f>SUM(A:B!J77)</f>
        <v>3787</v>
      </c>
      <c r="K77" s="65">
        <f>SUM(A:B!K77)</f>
        <v>3608</v>
      </c>
      <c r="L77" s="65">
        <f>SUM(A:B!L77)</f>
        <v>3675</v>
      </c>
      <c r="M77" s="65">
        <f>SUM(A:B!M77)</f>
        <v>3984</v>
      </c>
      <c r="N77" s="65">
        <f>SUM(A:B!N77)</f>
        <v>3884</v>
      </c>
      <c r="O77" s="65">
        <f>SUM(A:B!O77)</f>
        <v>4109</v>
      </c>
      <c r="P77" s="65">
        <f>SUM(A:B!P77)</f>
        <v>3912</v>
      </c>
      <c r="Q77" s="65">
        <f>SUM(A:B!Q77)</f>
        <v>4420</v>
      </c>
      <c r="R77" s="65">
        <f>SUM(A:B!R77)</f>
        <v>3645</v>
      </c>
      <c r="S77" s="65">
        <f>SUM(A:B!S77)</f>
        <v>3760.6666666666665</v>
      </c>
      <c r="T77" s="65">
        <f>SUM(A:B!T77)</f>
        <v>3941.8888888888891</v>
      </c>
      <c r="U77" s="65">
        <f>SUM(A:B!U77)</f>
        <v>3782.5185185185192</v>
      </c>
      <c r="V77" s="11">
        <f t="shared" si="26"/>
        <v>46509.074074074073</v>
      </c>
      <c r="W77" s="73">
        <f t="shared" si="23"/>
        <v>5.189795586454267E-5</v>
      </c>
      <c r="X77" s="89"/>
      <c r="Y77" s="65">
        <f>SUM(A:B!Y77)</f>
        <v>3929.0125000000007</v>
      </c>
      <c r="Z77" s="65">
        <f>SUM(A:B!Z77)</f>
        <v>3743.3000000000006</v>
      </c>
      <c r="AA77" s="65">
        <f>SUM(A:B!AA77)</f>
        <v>3812.8125</v>
      </c>
      <c r="AB77" s="65">
        <f>SUM(A:B!AB77)</f>
        <v>4133.3999999999996</v>
      </c>
      <c r="AC77" s="65">
        <f>SUM(A:B!AC77)</f>
        <v>4029.65</v>
      </c>
      <c r="AD77" s="65">
        <f>SUM(A:B!AD77)</f>
        <v>4263.0874999999996</v>
      </c>
      <c r="AE77" s="65">
        <f>SUM(A:B!AE77)</f>
        <v>4058.7</v>
      </c>
      <c r="AF77" s="65">
        <f>SUM(A:B!AF77)</f>
        <v>4585.75</v>
      </c>
      <c r="AG77" s="65">
        <f>SUM(A:B!AG77)</f>
        <v>3781.6875000000005</v>
      </c>
      <c r="AH77" s="65">
        <f>SUM(A:B!AH77)</f>
        <v>3901.6916666666671</v>
      </c>
      <c r="AI77" s="65">
        <f>SUM(A:B!AI77)</f>
        <v>4089.7097222222228</v>
      </c>
      <c r="AJ77" s="65">
        <f>SUM(A:B!AJ77)</f>
        <v>3924.3629629629631</v>
      </c>
      <c r="AK77" s="124">
        <f t="shared" si="27"/>
        <v>48253.164351851861</v>
      </c>
      <c r="AL77" s="73">
        <f t="shared" si="25"/>
        <v>5.0097853526644868E-5</v>
      </c>
      <c r="AM77" s="14">
        <f t="shared" si="7"/>
        <v>3.7500000000000311E-2</v>
      </c>
    </row>
    <row r="78" spans="1:41" hidden="1" outlineLevel="1">
      <c r="A78" s="12"/>
      <c r="I78" s="246" t="s">
        <v>182</v>
      </c>
      <c r="J78" s="65">
        <f>SUM(A:B!J78)</f>
        <v>0</v>
      </c>
      <c r="K78" s="65">
        <f>SUM(A:B!K78)</f>
        <v>0</v>
      </c>
      <c r="L78" s="65">
        <f>SUM(A:B!L78)</f>
        <v>0</v>
      </c>
      <c r="M78" s="65">
        <f>SUM(A:B!M78)</f>
        <v>0</v>
      </c>
      <c r="N78" s="65">
        <f>SUM(A:B!N78)</f>
        <v>0</v>
      </c>
      <c r="O78" s="65">
        <f>SUM(A:B!O78)</f>
        <v>0</v>
      </c>
      <c r="P78" s="65">
        <f>SUM(A:B!P78)</f>
        <v>0</v>
      </c>
      <c r="Q78" s="65">
        <f>SUM(A:B!Q78)</f>
        <v>0</v>
      </c>
      <c r="R78" s="65">
        <f>SUM(A:B!R78)</f>
        <v>0</v>
      </c>
      <c r="S78" s="65">
        <f>SUM(A:B!S78)</f>
        <v>0</v>
      </c>
      <c r="T78" s="65">
        <f>SUM(A:B!T78)</f>
        <v>0</v>
      </c>
      <c r="U78" s="65">
        <f>SUM(A:B!U78)</f>
        <v>0</v>
      </c>
      <c r="V78" s="11">
        <f t="shared" si="26"/>
        <v>0</v>
      </c>
      <c r="W78" s="73">
        <f t="shared" si="23"/>
        <v>0</v>
      </c>
      <c r="X78" s="89"/>
      <c r="Y78" s="65">
        <f>SUM(A:B!Y78)</f>
        <v>0</v>
      </c>
      <c r="Z78" s="65">
        <f>SUM(A:B!Z78)</f>
        <v>0</v>
      </c>
      <c r="AA78" s="65">
        <f>SUM(A:B!AA78)</f>
        <v>0</v>
      </c>
      <c r="AB78" s="65">
        <f>SUM(A:B!AB78)</f>
        <v>0</v>
      </c>
      <c r="AC78" s="65">
        <f>SUM(A:B!AC78)</f>
        <v>0</v>
      </c>
      <c r="AD78" s="65">
        <f>SUM(A:B!AD78)</f>
        <v>0</v>
      </c>
      <c r="AE78" s="65">
        <f>SUM(A:B!AE78)</f>
        <v>0</v>
      </c>
      <c r="AF78" s="65">
        <f>SUM(A:B!AF78)</f>
        <v>0</v>
      </c>
      <c r="AG78" s="65">
        <f>SUM(A:B!AG78)</f>
        <v>0</v>
      </c>
      <c r="AH78" s="65">
        <f>SUM(A:B!AH78)</f>
        <v>0</v>
      </c>
      <c r="AI78" s="65">
        <f>SUM(A:B!AI78)</f>
        <v>0</v>
      </c>
      <c r="AJ78" s="65">
        <f>SUM(A:B!AJ78)</f>
        <v>0</v>
      </c>
      <c r="AK78" s="124">
        <f t="shared" si="27"/>
        <v>0</v>
      </c>
      <c r="AL78" s="73">
        <f t="shared" si="25"/>
        <v>0</v>
      </c>
      <c r="AM78" s="14">
        <f t="shared" si="7"/>
        <v>0</v>
      </c>
    </row>
    <row r="79" spans="1:41" hidden="1" outlineLevel="1">
      <c r="A79" s="12"/>
      <c r="I79" s="246" t="s">
        <v>183</v>
      </c>
      <c r="J79" s="65">
        <f>SUM(A:B!J79)</f>
        <v>23656</v>
      </c>
      <c r="K79" s="65">
        <f>SUM(A:B!K79)</f>
        <v>90215</v>
      </c>
      <c r="L79" s="65">
        <f>SUM(A:B!L79)</f>
        <v>56390</v>
      </c>
      <c r="M79" s="65">
        <f>SUM(A:B!M79)</f>
        <v>29112</v>
      </c>
      <c r="N79" s="65">
        <f>SUM(A:B!N79)</f>
        <v>47011</v>
      </c>
      <c r="O79" s="65">
        <f>SUM(A:B!O79)</f>
        <v>51226</v>
      </c>
      <c r="P79" s="65">
        <f>SUM(A:B!P79)</f>
        <v>43481</v>
      </c>
      <c r="Q79" s="65">
        <f>SUM(A:B!Q79)</f>
        <v>37842</v>
      </c>
      <c r="R79" s="65">
        <f>SUM(A:B!R79)</f>
        <v>37172</v>
      </c>
      <c r="S79" s="65">
        <f>SUM(A:B!S79)</f>
        <v>23819.809599999997</v>
      </c>
      <c r="T79" s="65">
        <f>SUM(A:B!T79)</f>
        <v>217578.48319999999</v>
      </c>
      <c r="U79" s="65">
        <f>SUM(A:B!U79)</f>
        <v>37500.403200000001</v>
      </c>
      <c r="V79" s="11">
        <f t="shared" si="26"/>
        <v>695003.696</v>
      </c>
      <c r="W79" s="73">
        <f t="shared" si="23"/>
        <v>7.7553191197174171E-4</v>
      </c>
      <c r="X79" s="89"/>
      <c r="Y79" s="65">
        <f>SUM(A:B!Y79)</f>
        <v>58039.906723699991</v>
      </c>
      <c r="Z79" s="65">
        <f>SUM(A:B!Z79)</f>
        <v>53966.291375699991</v>
      </c>
      <c r="AA79" s="65">
        <f>SUM(A:B!AA79)</f>
        <v>62546.173169699992</v>
      </c>
      <c r="AB79" s="65">
        <f>SUM(A:B!AB79)</f>
        <v>49076.923861679999</v>
      </c>
      <c r="AC79" s="65">
        <f>SUM(A:B!AC79)</f>
        <v>51936.88445967999</v>
      </c>
      <c r="AD79" s="65">
        <f>SUM(A:B!AD79)</f>
        <v>17617.357283679998</v>
      </c>
      <c r="AE79" s="65">
        <f>SUM(A:B!AE79)</f>
        <v>40497.042067680006</v>
      </c>
      <c r="AF79" s="65">
        <f>SUM(A:B!AF79)</f>
        <v>63376.726851679996</v>
      </c>
      <c r="AG79" s="65">
        <f>SUM(A:B!AG79)</f>
        <v>54796.845057679995</v>
      </c>
      <c r="AH79" s="65">
        <f>SUM(A:B!AH79)</f>
        <v>179997.46906768001</v>
      </c>
      <c r="AI79" s="65">
        <f>SUM(A:B!AI79)</f>
        <v>70852.84011167998</v>
      </c>
      <c r="AJ79" s="65">
        <f>SUM(A:B!AJ79)</f>
        <v>63919.264165679997</v>
      </c>
      <c r="AK79" s="124">
        <f t="shared" si="27"/>
        <v>766623.72419621993</v>
      </c>
      <c r="AL79" s="73">
        <f t="shared" si="25"/>
        <v>7.9593128369329969E-4</v>
      </c>
      <c r="AM79" s="14">
        <f t="shared" si="7"/>
        <v>0.1030498522646992</v>
      </c>
      <c r="AN79" s="9">
        <f>+AK79-V79</f>
        <v>71620.028196219937</v>
      </c>
    </row>
    <row r="80" spans="1:41" hidden="1" outlineLevel="1">
      <c r="A80" s="12"/>
      <c r="I80" s="246" t="s">
        <v>184</v>
      </c>
      <c r="J80" s="65">
        <f>SUM(A:B!J80)</f>
        <v>0</v>
      </c>
      <c r="K80" s="65">
        <f>SUM(A:B!K80)</f>
        <v>0</v>
      </c>
      <c r="L80" s="65">
        <f>SUM(A:B!L80)</f>
        <v>0</v>
      </c>
      <c r="M80" s="65">
        <f>SUM(A:B!M80)</f>
        <v>0</v>
      </c>
      <c r="N80" s="65">
        <f>SUM(A:B!N80)</f>
        <v>730</v>
      </c>
      <c r="O80" s="65">
        <f>SUM(A:B!O80)</f>
        <v>1460</v>
      </c>
      <c r="P80" s="65">
        <f>SUM(A:B!P80)</f>
        <v>730</v>
      </c>
      <c r="Q80" s="65">
        <f>SUM(A:B!Q80)</f>
        <v>730</v>
      </c>
      <c r="R80" s="65">
        <f>SUM(A:B!R80)</f>
        <v>0</v>
      </c>
      <c r="S80" s="65">
        <f>SUM(A:B!S80)</f>
        <v>500.24</v>
      </c>
      <c r="T80" s="65">
        <f>SUM(A:B!T80)</f>
        <v>1750.84</v>
      </c>
      <c r="U80" s="65">
        <f>SUM(A:B!U80)</f>
        <v>750.36</v>
      </c>
      <c r="V80" s="11">
        <f t="shared" si="26"/>
        <v>6651.44</v>
      </c>
      <c r="W80" s="73">
        <f t="shared" si="23"/>
        <v>7.4221245300619548E-6</v>
      </c>
      <c r="X80" s="89"/>
      <c r="Y80" s="65">
        <f>SUM(A:B!Y80)</f>
        <v>978.16949999999997</v>
      </c>
      <c r="Z80" s="65">
        <f>SUM(A:B!Z80)</f>
        <v>4042.0654999999997</v>
      </c>
      <c r="AA80" s="65">
        <f>SUM(A:B!AA80)</f>
        <v>1552.65</v>
      </c>
      <c r="AB80" s="65">
        <f>SUM(A:B!AB80)</f>
        <v>1361.1565000000001</v>
      </c>
      <c r="AC80" s="65">
        <f>SUM(A:B!AC80)</f>
        <v>1552.6499999999999</v>
      </c>
      <c r="AD80" s="65">
        <f>SUM(A:B!AD80)</f>
        <v>3296.7934999999998</v>
      </c>
      <c r="AE80" s="65">
        <f>SUM(A:B!AE80)</f>
        <v>1935.6369999999999</v>
      </c>
      <c r="AF80" s="65">
        <f>SUM(A:B!AF80)</f>
        <v>1744.1435000000001</v>
      </c>
      <c r="AG80" s="65">
        <f>SUM(A:B!AG80)</f>
        <v>1744.1434999999999</v>
      </c>
      <c r="AH80" s="65">
        <f>SUM(A:B!AH80)</f>
        <v>1169.663</v>
      </c>
      <c r="AI80" s="65">
        <f>SUM(A:B!AI80)</f>
        <v>1169.663</v>
      </c>
      <c r="AJ80" s="65">
        <f>SUM(A:B!AJ80)</f>
        <v>1169.663</v>
      </c>
      <c r="AK80" s="124">
        <f t="shared" si="27"/>
        <v>21716.398000000001</v>
      </c>
      <c r="AL80" s="73">
        <f t="shared" si="25"/>
        <v>2.2546602709767579E-5</v>
      </c>
      <c r="AM80" s="14">
        <f t="shared" si="7"/>
        <v>2.2649167699024577</v>
      </c>
    </row>
    <row r="81" spans="1:68" hidden="1" outlineLevel="1">
      <c r="A81" s="12"/>
      <c r="I81" s="246" t="s">
        <v>185</v>
      </c>
      <c r="J81" s="65">
        <f>SUM(A:B!J81)</f>
        <v>0</v>
      </c>
      <c r="K81" s="65">
        <f>SUM(A:B!K81)</f>
        <v>2659</v>
      </c>
      <c r="L81" s="65">
        <f>SUM(A:B!L81)</f>
        <v>0</v>
      </c>
      <c r="M81" s="65">
        <f>SUM(A:B!M81)</f>
        <v>0</v>
      </c>
      <c r="N81" s="65">
        <f>SUM(A:B!N81)</f>
        <v>0</v>
      </c>
      <c r="O81" s="65">
        <f>SUM(A:B!O81)</f>
        <v>0</v>
      </c>
      <c r="P81" s="65">
        <f>SUM(A:B!P81)</f>
        <v>11560</v>
      </c>
      <c r="Q81" s="65">
        <f>SUM(A:B!Q81)</f>
        <v>0</v>
      </c>
      <c r="R81" s="65">
        <f>SUM(A:B!R81)</f>
        <v>0</v>
      </c>
      <c r="S81" s="65">
        <f>SUM(A:B!S81)</f>
        <v>0</v>
      </c>
      <c r="T81" s="65">
        <f>SUM(A:B!T81)</f>
        <v>0</v>
      </c>
      <c r="U81" s="65">
        <f>SUM(A:B!U81)</f>
        <v>0</v>
      </c>
      <c r="V81" s="11">
        <f t="shared" si="26"/>
        <v>14219</v>
      </c>
      <c r="W81" s="73">
        <f t="shared" si="23"/>
        <v>1.5866517429752196E-5</v>
      </c>
      <c r="X81" s="89"/>
      <c r="Y81" s="65">
        <f>SUM(A:B!Y81)</f>
        <v>0</v>
      </c>
      <c r="Z81" s="65">
        <f>SUM(A:B!Z81)</f>
        <v>0</v>
      </c>
      <c r="AA81" s="65">
        <f>SUM(A:B!AA81)</f>
        <v>0</v>
      </c>
      <c r="AB81" s="65">
        <f>SUM(A:B!AB81)</f>
        <v>0</v>
      </c>
      <c r="AC81" s="65">
        <f>SUM(A:B!AC81)</f>
        <v>0</v>
      </c>
      <c r="AD81" s="65">
        <f>SUM(A:B!AD81)</f>
        <v>0</v>
      </c>
      <c r="AE81" s="65">
        <f>SUM(A:B!AE81)</f>
        <v>0</v>
      </c>
      <c r="AF81" s="65">
        <f>SUM(A:B!AF81)</f>
        <v>0</v>
      </c>
      <c r="AG81" s="65">
        <f>SUM(A:B!AG81)</f>
        <v>0</v>
      </c>
      <c r="AH81" s="65">
        <f>SUM(A:B!AH81)</f>
        <v>0</v>
      </c>
      <c r="AI81" s="65">
        <f>SUM(A:B!AI81)</f>
        <v>0</v>
      </c>
      <c r="AJ81" s="65">
        <f>SUM(A:B!AJ81)</f>
        <v>0</v>
      </c>
      <c r="AK81" s="124">
        <f t="shared" si="27"/>
        <v>0</v>
      </c>
      <c r="AL81" s="73">
        <f t="shared" si="25"/>
        <v>0</v>
      </c>
      <c r="AM81" s="14">
        <f t="shared" si="7"/>
        <v>-1</v>
      </c>
    </row>
    <row r="82" spans="1:68" hidden="1" outlineLevel="1">
      <c r="A82" s="12"/>
      <c r="I82" s="246" t="s">
        <v>186</v>
      </c>
      <c r="J82" s="65">
        <f>SUM(A:B!J82)</f>
        <v>21806</v>
      </c>
      <c r="K82" s="65">
        <f>SUM(A:B!K82)</f>
        <v>18801</v>
      </c>
      <c r="L82" s="65">
        <f>SUM(A:B!L82)</f>
        <v>18801</v>
      </c>
      <c r="M82" s="65">
        <f>SUM(A:B!M82)</f>
        <v>18801</v>
      </c>
      <c r="N82" s="65">
        <f>SUM(A:B!N82)</f>
        <v>18801</v>
      </c>
      <c r="O82" s="65">
        <f>SUM(A:B!O82)</f>
        <v>18801</v>
      </c>
      <c r="P82" s="65">
        <f>SUM(A:B!P82)</f>
        <v>18801</v>
      </c>
      <c r="Q82" s="65">
        <f>SUM(A:B!Q82)</f>
        <v>41113</v>
      </c>
      <c r="R82" s="65">
        <f>SUM(A:B!R82)</f>
        <v>41113</v>
      </c>
      <c r="S82" s="65">
        <f>SUM(A:B!S82)</f>
        <v>41113</v>
      </c>
      <c r="T82" s="65">
        <f>SUM(A:B!T82)</f>
        <v>41113</v>
      </c>
      <c r="U82" s="65">
        <f>SUM(A:B!U82)</f>
        <v>41113</v>
      </c>
      <c r="V82" s="11">
        <f t="shared" si="26"/>
        <v>340177</v>
      </c>
      <c r="W82" s="73">
        <f t="shared" si="23"/>
        <v>3.7959239747526634E-4</v>
      </c>
      <c r="X82" s="89"/>
      <c r="Y82" s="65">
        <f>SUM(A:B!Y82)</f>
        <v>41935.260000000009</v>
      </c>
      <c r="Z82" s="65">
        <f>SUM(A:B!Z82)</f>
        <v>41935.260000000009</v>
      </c>
      <c r="AA82" s="65">
        <f>SUM(A:B!AA82)</f>
        <v>41935.260000000009</v>
      </c>
      <c r="AB82" s="65">
        <f>SUM(A:B!AB82)</f>
        <v>41935.260000000009</v>
      </c>
      <c r="AC82" s="65">
        <f>SUM(A:B!AC82)</f>
        <v>41935.260000000009</v>
      </c>
      <c r="AD82" s="65">
        <f>SUM(A:B!AD82)</f>
        <v>41935.260000000009</v>
      </c>
      <c r="AE82" s="65">
        <f>SUM(A:B!AE82)</f>
        <v>41935.260000000009</v>
      </c>
      <c r="AF82" s="65">
        <f>SUM(A:B!AF82)</f>
        <v>41935.260000000009</v>
      </c>
      <c r="AG82" s="65">
        <f>SUM(A:B!AG82)</f>
        <v>41935.260000000009</v>
      </c>
      <c r="AH82" s="65">
        <f>SUM(A:B!AH82)</f>
        <v>41935.260000000009</v>
      </c>
      <c r="AI82" s="65">
        <f>SUM(A:B!AI82)</f>
        <v>41935.260000000009</v>
      </c>
      <c r="AJ82" s="65">
        <f>SUM(A:B!AJ82)</f>
        <v>41935.260000000009</v>
      </c>
      <c r="AK82" s="124">
        <f t="shared" si="27"/>
        <v>503223.12000000011</v>
      </c>
      <c r="AL82" s="73">
        <f t="shared" si="25"/>
        <v>5.2246103433035713E-4</v>
      </c>
      <c r="AM82" s="14">
        <f t="shared" si="7"/>
        <v>0.47929789491940999</v>
      </c>
    </row>
    <row r="83" spans="1:68" hidden="1" outlineLevel="1">
      <c r="A83" s="12"/>
      <c r="I83" s="246" t="s">
        <v>187</v>
      </c>
      <c r="J83" s="65">
        <f>SUM(A:B!J83)</f>
        <v>0</v>
      </c>
      <c r="K83" s="65">
        <f>SUM(A:B!K83)</f>
        <v>0</v>
      </c>
      <c r="L83" s="65">
        <f>SUM(A:B!L83)</f>
        <v>0</v>
      </c>
      <c r="M83" s="65">
        <f>SUM(A:B!M83)</f>
        <v>0</v>
      </c>
      <c r="N83" s="65">
        <f>SUM(A:B!N83)</f>
        <v>0</v>
      </c>
      <c r="O83" s="65">
        <f>SUM(A:B!O83)</f>
        <v>0</v>
      </c>
      <c r="P83" s="65">
        <f>SUM(A:B!P83)</f>
        <v>0</v>
      </c>
      <c r="Q83" s="65">
        <f>SUM(A:B!Q83)</f>
        <v>0</v>
      </c>
      <c r="R83" s="65">
        <f>SUM(A:B!R83)</f>
        <v>0</v>
      </c>
      <c r="S83" s="65">
        <f>SUM(A:B!S83)</f>
        <v>0</v>
      </c>
      <c r="T83" s="65">
        <f>SUM(A:B!T83)</f>
        <v>0</v>
      </c>
      <c r="U83" s="65">
        <f>SUM(A:B!U83)</f>
        <v>0</v>
      </c>
      <c r="V83" s="11">
        <f t="shared" si="26"/>
        <v>0</v>
      </c>
      <c r="W83" s="73">
        <f t="shared" si="23"/>
        <v>0</v>
      </c>
      <c r="X83" s="89"/>
      <c r="Y83" s="65">
        <f>SUM(A:B!Y83)</f>
        <v>0</v>
      </c>
      <c r="Z83" s="65">
        <f>SUM(A:B!Z83)</f>
        <v>0</v>
      </c>
      <c r="AA83" s="65">
        <f>SUM(A:B!AA83)</f>
        <v>0</v>
      </c>
      <c r="AB83" s="65">
        <f>SUM(A:B!AB83)</f>
        <v>0</v>
      </c>
      <c r="AC83" s="65">
        <f>SUM(A:B!AC83)</f>
        <v>0</v>
      </c>
      <c r="AD83" s="65">
        <f>SUM(A:B!AD83)</f>
        <v>0</v>
      </c>
      <c r="AE83" s="65">
        <f>SUM(A:B!AE83)</f>
        <v>0</v>
      </c>
      <c r="AF83" s="65">
        <f>SUM(A:B!AF83)</f>
        <v>0</v>
      </c>
      <c r="AG83" s="65">
        <f>SUM(A:B!AG83)</f>
        <v>0</v>
      </c>
      <c r="AH83" s="65">
        <f>SUM(A:B!AH83)</f>
        <v>0</v>
      </c>
      <c r="AI83" s="65">
        <f>SUM(A:B!AI83)</f>
        <v>0</v>
      </c>
      <c r="AJ83" s="65">
        <f>SUM(A:B!AJ83)</f>
        <v>0</v>
      </c>
      <c r="AK83" s="124">
        <f t="shared" si="27"/>
        <v>0</v>
      </c>
      <c r="AL83" s="73">
        <f t="shared" si="25"/>
        <v>0</v>
      </c>
      <c r="AM83" s="14">
        <f t="shared" si="7"/>
        <v>0</v>
      </c>
    </row>
    <row r="84" spans="1:68" hidden="1" outlineLevel="1">
      <c r="A84" s="12"/>
      <c r="I84" s="246" t="s">
        <v>188</v>
      </c>
      <c r="J84" s="65">
        <f>SUM(A:B!J84)</f>
        <v>0</v>
      </c>
      <c r="K84" s="65">
        <f>SUM(A:B!K84)</f>
        <v>0</v>
      </c>
      <c r="L84" s="65">
        <f>SUM(A:B!L84)</f>
        <v>0</v>
      </c>
      <c r="M84" s="65">
        <f>SUM(A:B!M84)</f>
        <v>0</v>
      </c>
      <c r="N84" s="65">
        <f>SUM(A:B!N84)</f>
        <v>0</v>
      </c>
      <c r="O84" s="65">
        <f>SUM(A:B!O84)</f>
        <v>0</v>
      </c>
      <c r="P84" s="65">
        <f>SUM(A:B!P84)</f>
        <v>0</v>
      </c>
      <c r="Q84" s="65">
        <f>SUM(A:B!Q84)</f>
        <v>0</v>
      </c>
      <c r="R84" s="65">
        <f>SUM(A:B!R84)</f>
        <v>0</v>
      </c>
      <c r="S84" s="65">
        <f>SUM(A:B!S84)</f>
        <v>0</v>
      </c>
      <c r="T84" s="65">
        <f>SUM(A:B!T84)</f>
        <v>0</v>
      </c>
      <c r="U84" s="65">
        <f>SUM(A:B!U84)</f>
        <v>0</v>
      </c>
      <c r="V84" s="11">
        <f t="shared" si="26"/>
        <v>0</v>
      </c>
      <c r="W84" s="73">
        <f t="shared" si="23"/>
        <v>0</v>
      </c>
      <c r="X84" s="89"/>
      <c r="Y84" s="65">
        <f>SUM(A:B!Y84)</f>
        <v>0</v>
      </c>
      <c r="Z84" s="65">
        <f>SUM(A:B!Z84)</f>
        <v>0</v>
      </c>
      <c r="AA84" s="65">
        <f>SUM(A:B!AA84)</f>
        <v>0</v>
      </c>
      <c r="AB84" s="65">
        <f>SUM(A:B!AB84)</f>
        <v>0</v>
      </c>
      <c r="AC84" s="65">
        <f>SUM(A:B!AC84)</f>
        <v>0</v>
      </c>
      <c r="AD84" s="65">
        <f>SUM(A:B!AD84)</f>
        <v>0</v>
      </c>
      <c r="AE84" s="65">
        <f>SUM(A:B!AE84)</f>
        <v>0</v>
      </c>
      <c r="AF84" s="65">
        <f>SUM(A:B!AF84)</f>
        <v>0</v>
      </c>
      <c r="AG84" s="65">
        <f>SUM(A:B!AG84)</f>
        <v>0</v>
      </c>
      <c r="AH84" s="65">
        <f>SUM(A:B!AH84)</f>
        <v>0</v>
      </c>
      <c r="AI84" s="65">
        <f>SUM(A:B!AI84)</f>
        <v>0</v>
      </c>
      <c r="AJ84" s="65">
        <f>SUM(A:B!AJ84)</f>
        <v>0</v>
      </c>
      <c r="AK84" s="124">
        <f t="shared" si="27"/>
        <v>0</v>
      </c>
      <c r="AL84" s="73">
        <f t="shared" si="25"/>
        <v>0</v>
      </c>
      <c r="AM84" s="14">
        <f t="shared" si="7"/>
        <v>0</v>
      </c>
    </row>
    <row r="85" spans="1:68" hidden="1" outlineLevel="1">
      <c r="A85" s="12"/>
      <c r="I85" s="253" t="s">
        <v>189</v>
      </c>
      <c r="J85" s="65">
        <f>SUM(A:B!J85)</f>
        <v>0</v>
      </c>
      <c r="K85" s="65">
        <f>SUM(A:B!K85)</f>
        <v>0</v>
      </c>
      <c r="L85" s="65">
        <f>SUM(A:B!L85)</f>
        <v>7125</v>
      </c>
      <c r="M85" s="65">
        <f>SUM(A:B!M85)</f>
        <v>7125</v>
      </c>
      <c r="N85" s="65">
        <f>SUM(A:B!N85)</f>
        <v>7125</v>
      </c>
      <c r="O85" s="65">
        <f>SUM(A:B!O85)</f>
        <v>7125</v>
      </c>
      <c r="P85" s="65">
        <f>SUM(A:B!P85)</f>
        <v>0</v>
      </c>
      <c r="Q85" s="65">
        <f>SUM(A:B!Q85)</f>
        <v>7125</v>
      </c>
      <c r="R85" s="65">
        <f>SUM(A:B!R85)</f>
        <v>7125</v>
      </c>
      <c r="S85" s="65">
        <f>SUM(A:B!S85)</f>
        <v>5700</v>
      </c>
      <c r="T85" s="65">
        <f>SUM(A:B!T85)</f>
        <v>0</v>
      </c>
      <c r="U85" s="65">
        <f>SUM(A:B!U85)</f>
        <v>0</v>
      </c>
      <c r="V85" s="11">
        <f t="shared" si="26"/>
        <v>48450</v>
      </c>
      <c r="W85" s="73">
        <f t="shared" si="23"/>
        <v>5.4063771676734923E-5</v>
      </c>
      <c r="X85" s="89"/>
      <c r="Y85" s="65">
        <f>SUM(A:B!Y85)</f>
        <v>0</v>
      </c>
      <c r="Z85" s="65">
        <f>SUM(A:B!Z85)</f>
        <v>0</v>
      </c>
      <c r="AA85" s="65">
        <f>SUM(A:B!AA85)</f>
        <v>0</v>
      </c>
      <c r="AB85" s="65">
        <f>SUM(A:B!AB85)</f>
        <v>0</v>
      </c>
      <c r="AC85" s="65">
        <f>SUM(A:B!AC85)</f>
        <v>0</v>
      </c>
      <c r="AD85" s="65">
        <f>SUM(A:B!AD85)</f>
        <v>0</v>
      </c>
      <c r="AE85" s="65">
        <f>SUM(A:B!AE85)</f>
        <v>0</v>
      </c>
      <c r="AF85" s="65">
        <f>SUM(A:B!AF85)</f>
        <v>0</v>
      </c>
      <c r="AG85" s="65">
        <f>SUM(A:B!AG85)</f>
        <v>0</v>
      </c>
      <c r="AH85" s="65">
        <f>SUM(A:B!AH85)</f>
        <v>0</v>
      </c>
      <c r="AI85" s="65">
        <f>SUM(A:B!AI85)</f>
        <v>0</v>
      </c>
      <c r="AJ85" s="65">
        <f>SUM(A:B!AJ85)</f>
        <v>0</v>
      </c>
      <c r="AK85" s="124">
        <f t="shared" si="27"/>
        <v>0</v>
      </c>
      <c r="AL85" s="73">
        <f t="shared" si="25"/>
        <v>0</v>
      </c>
      <c r="AM85" s="14">
        <f t="shared" si="7"/>
        <v>-1</v>
      </c>
    </row>
    <row r="86" spans="1:68" hidden="1" outlineLevel="1">
      <c r="A86" s="12"/>
      <c r="I86" s="246" t="s">
        <v>190</v>
      </c>
      <c r="J86" s="65">
        <f>SUM(A:B!J86)</f>
        <v>0</v>
      </c>
      <c r="K86" s="65">
        <f>SUM(A:B!K86)</f>
        <v>0</v>
      </c>
      <c r="L86" s="65">
        <f>SUM(A:B!L86)</f>
        <v>8400</v>
      </c>
      <c r="M86" s="65">
        <f>SUM(A:B!M86)</f>
        <v>0</v>
      </c>
      <c r="N86" s="65">
        <f>SUM(A:B!N86)</f>
        <v>0</v>
      </c>
      <c r="O86" s="65">
        <f>SUM(A:B!O86)</f>
        <v>0</v>
      </c>
      <c r="P86" s="65">
        <f>SUM(A:B!P86)</f>
        <v>1640</v>
      </c>
      <c r="Q86" s="65">
        <f>SUM(A:B!Q86)</f>
        <v>0</v>
      </c>
      <c r="R86" s="65">
        <f>SUM(A:B!R86)</f>
        <v>0</v>
      </c>
      <c r="S86" s="65">
        <f>SUM(A:B!S86)</f>
        <v>0</v>
      </c>
      <c r="T86" s="65">
        <f>SUM(A:B!T86)</f>
        <v>0</v>
      </c>
      <c r="U86" s="65">
        <f>SUM(A:B!U86)</f>
        <v>0</v>
      </c>
      <c r="V86" s="11">
        <f t="shared" si="26"/>
        <v>10040</v>
      </c>
      <c r="W86" s="73">
        <f t="shared" si="23"/>
        <v>1.1203307897511219E-5</v>
      </c>
      <c r="X86" s="89"/>
      <c r="Y86" s="65">
        <f>SUM(A:B!Y86)</f>
        <v>0</v>
      </c>
      <c r="Z86" s="65">
        <f>SUM(A:B!Z86)</f>
        <v>0</v>
      </c>
      <c r="AA86" s="65">
        <f>SUM(A:B!AA86)</f>
        <v>0</v>
      </c>
      <c r="AB86" s="65">
        <f>SUM(A:B!AB86)</f>
        <v>0</v>
      </c>
      <c r="AC86" s="65">
        <f>SUM(A:B!AC86)</f>
        <v>0</v>
      </c>
      <c r="AD86" s="65">
        <f>SUM(A:B!AD86)</f>
        <v>0</v>
      </c>
      <c r="AE86" s="65">
        <f>SUM(A:B!AE86)</f>
        <v>0</v>
      </c>
      <c r="AF86" s="65">
        <f>SUM(A:B!AF86)</f>
        <v>0</v>
      </c>
      <c r="AG86" s="65">
        <f>SUM(A:B!AG86)</f>
        <v>0</v>
      </c>
      <c r="AH86" s="65">
        <f>SUM(A:B!AH86)</f>
        <v>0</v>
      </c>
      <c r="AI86" s="65">
        <f>SUM(A:B!AI86)</f>
        <v>0</v>
      </c>
      <c r="AJ86" s="65">
        <f>SUM(A:B!AJ86)</f>
        <v>0</v>
      </c>
      <c r="AK86" s="124">
        <f t="shared" si="27"/>
        <v>0</v>
      </c>
      <c r="AL86" s="73">
        <f t="shared" si="25"/>
        <v>0</v>
      </c>
      <c r="AM86" s="14">
        <f t="shared" si="7"/>
        <v>-1</v>
      </c>
    </row>
    <row r="87" spans="1:68" hidden="1" outlineLevel="1">
      <c r="A87" s="12"/>
      <c r="I87" s="251" t="s">
        <v>191</v>
      </c>
      <c r="J87" s="65">
        <f>SUM(A:B!J87)</f>
        <v>0</v>
      </c>
      <c r="K87" s="65">
        <f>SUM(A:B!K87)</f>
        <v>0</v>
      </c>
      <c r="L87" s="65">
        <f>SUM(A:B!L87)</f>
        <v>0</v>
      </c>
      <c r="M87" s="65">
        <f>SUM(A:B!M87)</f>
        <v>0</v>
      </c>
      <c r="N87" s="65">
        <f>SUM(A:B!N87)</f>
        <v>0</v>
      </c>
      <c r="O87" s="65">
        <f>SUM(A:B!O87)</f>
        <v>0</v>
      </c>
      <c r="P87" s="65">
        <f>SUM(A:B!P87)</f>
        <v>0</v>
      </c>
      <c r="Q87" s="65">
        <f>SUM(A:B!Q87)</f>
        <v>0</v>
      </c>
      <c r="R87" s="65">
        <f>SUM(A:B!R87)</f>
        <v>0</v>
      </c>
      <c r="S87" s="65">
        <f>SUM(A:B!S87)</f>
        <v>0</v>
      </c>
      <c r="T87" s="65">
        <f>SUM(A:B!T87)</f>
        <v>0</v>
      </c>
      <c r="U87" s="65">
        <f>SUM(A:B!U87)</f>
        <v>0</v>
      </c>
      <c r="V87" s="11">
        <f t="shared" si="26"/>
        <v>0</v>
      </c>
      <c r="W87" s="73">
        <f t="shared" si="23"/>
        <v>0</v>
      </c>
      <c r="X87" s="89"/>
      <c r="Y87" s="65">
        <f>SUM(A:B!Y87)</f>
        <v>0</v>
      </c>
      <c r="Z87" s="65">
        <f>SUM(A:B!Z87)</f>
        <v>0</v>
      </c>
      <c r="AA87" s="65">
        <f>SUM(A:B!AA87)</f>
        <v>0</v>
      </c>
      <c r="AB87" s="65">
        <f>SUM(A:B!AB87)</f>
        <v>0</v>
      </c>
      <c r="AC87" s="65">
        <f>SUM(A:B!AC87)</f>
        <v>0</v>
      </c>
      <c r="AD87" s="65">
        <f>SUM(A:B!AD87)</f>
        <v>0</v>
      </c>
      <c r="AE87" s="65">
        <f>SUM(A:B!AE87)</f>
        <v>0</v>
      </c>
      <c r="AF87" s="65">
        <f>SUM(A:B!AF87)</f>
        <v>0</v>
      </c>
      <c r="AG87" s="65">
        <f>SUM(A:B!AG87)</f>
        <v>0</v>
      </c>
      <c r="AH87" s="65">
        <f>SUM(A:B!AH87)</f>
        <v>0</v>
      </c>
      <c r="AI87" s="65">
        <f>SUM(A:B!AI87)</f>
        <v>0</v>
      </c>
      <c r="AJ87" s="65">
        <f>SUM(A:B!AJ87)</f>
        <v>0</v>
      </c>
      <c r="AK87" s="124">
        <f t="shared" si="27"/>
        <v>0</v>
      </c>
      <c r="AL87" s="73">
        <f t="shared" si="25"/>
        <v>0</v>
      </c>
      <c r="AM87" s="14">
        <f t="shared" si="7"/>
        <v>0</v>
      </c>
    </row>
    <row r="88" spans="1:68" hidden="1" outlineLevel="1">
      <c r="A88" s="12"/>
      <c r="I88" s="246" t="s">
        <v>192</v>
      </c>
      <c r="J88" s="65">
        <f>SUM(A:B!J88)</f>
        <v>0</v>
      </c>
      <c r="K88" s="65">
        <f>SUM(A:B!K88)</f>
        <v>0</v>
      </c>
      <c r="L88" s="65">
        <f>SUM(A:B!L88)</f>
        <v>0</v>
      </c>
      <c r="M88" s="65">
        <f>SUM(A:B!M88)</f>
        <v>0</v>
      </c>
      <c r="N88" s="65">
        <f>SUM(A:B!N88)</f>
        <v>0</v>
      </c>
      <c r="O88" s="65">
        <f>SUM(A:B!O88)</f>
        <v>0</v>
      </c>
      <c r="P88" s="65">
        <f>SUM(A:B!P88)</f>
        <v>17500</v>
      </c>
      <c r="Q88" s="65">
        <f>SUM(A:B!Q88)</f>
        <v>0</v>
      </c>
      <c r="R88" s="65">
        <f>SUM(A:B!R88)</f>
        <v>0</v>
      </c>
      <c r="S88" s="65">
        <f>SUM(A:B!S88)</f>
        <v>134680</v>
      </c>
      <c r="T88" s="65">
        <f>SUM(A:B!T88)</f>
        <v>0</v>
      </c>
      <c r="U88" s="65">
        <f>SUM(A:B!U88)</f>
        <v>0</v>
      </c>
      <c r="V88" s="11">
        <f t="shared" si="26"/>
        <v>152180</v>
      </c>
      <c r="W88" s="73">
        <f t="shared" si="23"/>
        <v>1.6981268882900971E-4</v>
      </c>
      <c r="X88" s="89"/>
      <c r="Y88" s="65">
        <f>SUM(A:B!Y88)</f>
        <v>0</v>
      </c>
      <c r="Z88" s="65">
        <f>SUM(A:B!Z88)</f>
        <v>0</v>
      </c>
      <c r="AA88" s="65">
        <f>SUM(A:B!AA88)</f>
        <v>0</v>
      </c>
      <c r="AB88" s="65">
        <f>SUM(A:B!AB88)</f>
        <v>0</v>
      </c>
      <c r="AC88" s="65">
        <f>SUM(A:B!AC88)</f>
        <v>0</v>
      </c>
      <c r="AD88" s="65">
        <f>SUM(A:B!AD88)</f>
        <v>0</v>
      </c>
      <c r="AE88" s="65">
        <f>SUM(A:B!AE88)</f>
        <v>0</v>
      </c>
      <c r="AF88" s="65">
        <f>SUM(A:B!AF88)</f>
        <v>0</v>
      </c>
      <c r="AG88" s="65">
        <f>SUM(A:B!AG88)</f>
        <v>129698.02999999997</v>
      </c>
      <c r="AH88" s="65">
        <f>SUM(A:B!AH88)</f>
        <v>0</v>
      </c>
      <c r="AI88" s="65">
        <f>SUM(A:B!AI88)</f>
        <v>0</v>
      </c>
      <c r="AJ88" s="65">
        <f>SUM(A:B!AJ88)</f>
        <v>0</v>
      </c>
      <c r="AK88" s="124">
        <f t="shared" si="27"/>
        <v>129698.02999999997</v>
      </c>
      <c r="AL88" s="73">
        <f t="shared" si="25"/>
        <v>1.3465630693679109E-4</v>
      </c>
      <c r="AM88" s="14">
        <f t="shared" si="7"/>
        <v>-0.1477327506899726</v>
      </c>
    </row>
    <row r="89" spans="1:68" hidden="1" outlineLevel="1">
      <c r="A89" s="12" t="s">
        <v>146</v>
      </c>
      <c r="B89" s="8" t="s">
        <v>88</v>
      </c>
      <c r="I89" s="246" t="s">
        <v>193</v>
      </c>
      <c r="J89" s="65">
        <f>SUM(A:B!J89)</f>
        <v>0</v>
      </c>
      <c r="K89" s="65">
        <f>SUM(A:B!K89)</f>
        <v>25645</v>
      </c>
      <c r="L89" s="65">
        <f>SUM(A:B!L89)</f>
        <v>0</v>
      </c>
      <c r="M89" s="65">
        <f>SUM(A:B!M89)</f>
        <v>0</v>
      </c>
      <c r="N89" s="65">
        <f>SUM(A:B!N89)</f>
        <v>9260</v>
      </c>
      <c r="O89" s="65">
        <f>SUM(A:B!O89)</f>
        <v>13030</v>
      </c>
      <c r="P89" s="65">
        <f>SUM(A:B!P89)</f>
        <v>0</v>
      </c>
      <c r="Q89" s="65">
        <f>SUM(A:B!Q89)</f>
        <v>10170</v>
      </c>
      <c r="R89" s="65">
        <f>SUM(A:B!R89)</f>
        <v>0</v>
      </c>
      <c r="S89" s="65">
        <f>SUM(A:B!S89)</f>
        <v>743.6</v>
      </c>
      <c r="T89" s="65">
        <f>SUM(A:B!T89)</f>
        <v>132600</v>
      </c>
      <c r="U89" s="65">
        <f>SUM(A:B!U89)</f>
        <v>0</v>
      </c>
      <c r="V89" s="11">
        <f t="shared" si="26"/>
        <v>191448.6</v>
      </c>
      <c r="W89" s="73">
        <f t="shared" si="23"/>
        <v>2.1363123628958831E-4</v>
      </c>
      <c r="X89" s="89"/>
      <c r="Y89" s="65">
        <f>SUM(A:B!Y89)</f>
        <v>0</v>
      </c>
      <c r="Z89" s="65">
        <f>SUM(A:B!Z89)</f>
        <v>34639.621500000001</v>
      </c>
      <c r="AA89" s="65">
        <f>SUM(A:B!AA89)</f>
        <v>0</v>
      </c>
      <c r="AB89" s="65">
        <f>SUM(A:B!AB89)</f>
        <v>0</v>
      </c>
      <c r="AC89" s="65">
        <f>SUM(A:B!AC89)</f>
        <v>16566.7755</v>
      </c>
      <c r="AD89" s="65">
        <f>SUM(A:B!AD89)</f>
        <v>18574.869499999997</v>
      </c>
      <c r="AE89" s="65">
        <f>SUM(A:B!AE89)</f>
        <v>0</v>
      </c>
      <c r="AF89" s="65">
        <f>SUM(A:B!AF89)</f>
        <v>17068.798999999999</v>
      </c>
      <c r="AG89" s="65">
        <f>SUM(A:B!AG89)</f>
        <v>0</v>
      </c>
      <c r="AH89" s="65">
        <f>SUM(A:B!AH89)</f>
        <v>8032.3759999999993</v>
      </c>
      <c r="AI89" s="65">
        <f>SUM(A:B!AI89)</f>
        <v>115465.40499999998</v>
      </c>
      <c r="AJ89" s="65">
        <f>SUM(A:B!AJ89)</f>
        <v>0</v>
      </c>
      <c r="AK89" s="124">
        <f t="shared" si="27"/>
        <v>210347.84649999999</v>
      </c>
      <c r="AL89" s="73">
        <f t="shared" si="25"/>
        <v>2.1838931695259382E-4</v>
      </c>
      <c r="AM89" s="14">
        <f t="shared" si="7"/>
        <v>9.8717078631026745E-2</v>
      </c>
    </row>
    <row r="90" spans="1:68" hidden="1" outlineLevel="1">
      <c r="A90" s="12" t="s">
        <v>146</v>
      </c>
      <c r="B90" s="8" t="s">
        <v>88</v>
      </c>
      <c r="I90" s="251" t="s">
        <v>194</v>
      </c>
      <c r="J90" s="65">
        <f>SUM(A:B!J90)</f>
        <v>565196</v>
      </c>
      <c r="K90" s="65">
        <f>SUM(A:B!K90)</f>
        <v>565196</v>
      </c>
      <c r="L90" s="65">
        <f>SUM(A:B!L90)</f>
        <v>565196</v>
      </c>
      <c r="M90" s="65">
        <f>SUM(A:B!M90)</f>
        <v>565197</v>
      </c>
      <c r="N90" s="65">
        <f>SUM(A:B!N90)</f>
        <v>565197</v>
      </c>
      <c r="O90" s="65">
        <f>SUM(A:B!O90)</f>
        <v>565197</v>
      </c>
      <c r="P90" s="65">
        <f>SUM(A:B!P90)</f>
        <v>565197</v>
      </c>
      <c r="Q90" s="65">
        <f>SUM(A:B!Q90)</f>
        <v>565197</v>
      </c>
      <c r="R90" s="65">
        <f>SUM(A:B!R90)</f>
        <v>565196</v>
      </c>
      <c r="S90" s="65">
        <f>SUM(A:B!S90)</f>
        <v>565196</v>
      </c>
      <c r="T90" s="65">
        <f>SUM(A:B!T90)</f>
        <v>565196.46</v>
      </c>
      <c r="U90" s="65">
        <f>SUM(A:B!U90)</f>
        <v>565196.46</v>
      </c>
      <c r="V90" s="11">
        <f t="shared" si="26"/>
        <v>6782357.9199999999</v>
      </c>
      <c r="W90" s="73">
        <f t="shared" si="23"/>
        <v>7.5682115586537622E-3</v>
      </c>
      <c r="X90" s="89"/>
      <c r="Y90" s="65">
        <f>SUM(A:B!Y90)</f>
        <v>586391.32725000009</v>
      </c>
      <c r="Z90" s="65">
        <f>SUM(A:B!Z90)</f>
        <v>586391.32725000009</v>
      </c>
      <c r="AA90" s="65">
        <f>SUM(A:B!AA90)</f>
        <v>586391.32725000009</v>
      </c>
      <c r="AB90" s="65">
        <f>SUM(A:B!AB90)</f>
        <v>586391.32725000009</v>
      </c>
      <c r="AC90" s="65">
        <f>SUM(A:B!AC90)</f>
        <v>586391.32725000009</v>
      </c>
      <c r="AD90" s="65">
        <f>SUM(A:B!AD90)</f>
        <v>586391.32725000009</v>
      </c>
      <c r="AE90" s="65">
        <f>SUM(A:B!AE90)</f>
        <v>586391.32725000009</v>
      </c>
      <c r="AF90" s="65">
        <f>SUM(A:B!AF90)</f>
        <v>586391.32725000009</v>
      </c>
      <c r="AG90" s="65">
        <f>SUM(A:B!AG90)</f>
        <v>586391.32725000009</v>
      </c>
      <c r="AH90" s="65">
        <f>SUM(A:B!AH90)</f>
        <v>586391.32725000009</v>
      </c>
      <c r="AI90" s="65">
        <f>SUM(A:B!AI90)</f>
        <v>586391.32725000009</v>
      </c>
      <c r="AJ90" s="65">
        <f>SUM(A:B!AJ90)</f>
        <v>586391.32725000009</v>
      </c>
      <c r="AK90" s="124">
        <f t="shared" si="27"/>
        <v>7036695.9270000011</v>
      </c>
      <c r="AL90" s="73">
        <f t="shared" si="25"/>
        <v>7.3057045397449758E-3</v>
      </c>
      <c r="AM90" s="14">
        <f t="shared" si="7"/>
        <v>3.7499938811840439E-2</v>
      </c>
    </row>
    <row r="91" spans="1:68" collapsed="1">
      <c r="A91" s="12" t="s">
        <v>195</v>
      </c>
      <c r="B91" s="8" t="s">
        <v>88</v>
      </c>
      <c r="I91" s="167" t="s">
        <v>196</v>
      </c>
      <c r="J91" s="15">
        <f t="shared" ref="J91:V91" si="28">SUM(J92:J107)</f>
        <v>2882928</v>
      </c>
      <c r="K91" s="15">
        <f t="shared" si="28"/>
        <v>2953750</v>
      </c>
      <c r="L91" s="15">
        <f t="shared" si="28"/>
        <v>3674660</v>
      </c>
      <c r="M91" s="15">
        <f t="shared" si="28"/>
        <v>3318997</v>
      </c>
      <c r="N91" s="15">
        <f t="shared" si="28"/>
        <v>3375658</v>
      </c>
      <c r="O91" s="15">
        <f t="shared" si="28"/>
        <v>3301196</v>
      </c>
      <c r="P91" s="15">
        <f t="shared" si="28"/>
        <v>3343093</v>
      </c>
      <c r="Q91" s="15">
        <f t="shared" si="28"/>
        <v>3368435</v>
      </c>
      <c r="R91" s="15">
        <f t="shared" si="28"/>
        <v>3288914</v>
      </c>
      <c r="S91" s="15">
        <f t="shared" si="28"/>
        <v>3331453.6666666665</v>
      </c>
      <c r="T91" s="15">
        <f t="shared" si="28"/>
        <v>3347917.5555555555</v>
      </c>
      <c r="U91" s="15">
        <f t="shared" si="28"/>
        <v>3341079.7407407407</v>
      </c>
      <c r="V91" s="15">
        <f t="shared" si="28"/>
        <v>39528081.962962963</v>
      </c>
      <c r="W91" s="72">
        <f t="shared" si="23"/>
        <v>4.4108094903300178E-2</v>
      </c>
      <c r="X91" s="89"/>
      <c r="Y91" s="15">
        <f t="shared" ref="Y91:AK91" si="29">SUM(Y92:Y107)</f>
        <v>3677193.9067140003</v>
      </c>
      <c r="Z91" s="15">
        <f t="shared" si="29"/>
        <v>3359561.177232</v>
      </c>
      <c r="AA91" s="15">
        <f t="shared" si="29"/>
        <v>3677193.9067140003</v>
      </c>
      <c r="AB91" s="15">
        <f t="shared" si="29"/>
        <v>3468545.7748199995</v>
      </c>
      <c r="AC91" s="15">
        <f t="shared" si="29"/>
        <v>3677193.9067140003</v>
      </c>
      <c r="AD91" s="15">
        <f t="shared" si="29"/>
        <v>3468545.7748199995</v>
      </c>
      <c r="AE91" s="15">
        <f t="shared" si="29"/>
        <v>3574423.3513140003</v>
      </c>
      <c r="AF91" s="15">
        <f t="shared" si="29"/>
        <v>3574423.3513140003</v>
      </c>
      <c r="AG91" s="15">
        <f t="shared" si="29"/>
        <v>3571316.3302199994</v>
      </c>
      <c r="AH91" s="15">
        <f t="shared" si="29"/>
        <v>3574423.3513140003</v>
      </c>
      <c r="AI91" s="15">
        <f t="shared" si="29"/>
        <v>3571316.3302199994</v>
      </c>
      <c r="AJ91" s="15">
        <f t="shared" si="29"/>
        <v>3677193.9067140003</v>
      </c>
      <c r="AK91" s="15">
        <f t="shared" si="29"/>
        <v>42871331.068109997</v>
      </c>
      <c r="AL91" s="15">
        <f t="shared" si="25"/>
        <v>4.4510276024209532E-2</v>
      </c>
      <c r="AM91" s="15">
        <f t="shared" si="7"/>
        <v>8.4579087552985488E-2</v>
      </c>
      <c r="AN91" s="15"/>
      <c r="AO91" s="15"/>
      <c r="AP91" s="15"/>
      <c r="AQ91" s="15"/>
      <c r="AR91" s="15"/>
      <c r="AS91" s="15"/>
      <c r="AT91" s="15"/>
      <c r="AU91" s="72"/>
      <c r="AV91" s="89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72"/>
      <c r="BK91" s="10"/>
      <c r="BL91" s="10"/>
      <c r="BM91" s="10"/>
      <c r="BN91" s="10"/>
      <c r="BO91" s="72"/>
      <c r="BP91" s="10"/>
    </row>
    <row r="92" spans="1:68" hidden="1" outlineLevel="1">
      <c r="A92" s="12" t="s">
        <v>195</v>
      </c>
      <c r="B92" s="8" t="s">
        <v>88</v>
      </c>
      <c r="I92" s="246" t="s">
        <v>197</v>
      </c>
      <c r="J92" s="65">
        <f>SUM(A:B!J92)</f>
        <v>1463898</v>
      </c>
      <c r="K92" s="65">
        <f>SUM(A:B!K92)</f>
        <v>1498655</v>
      </c>
      <c r="L92" s="65">
        <f>SUM(A:B!L92)</f>
        <v>1863059</v>
      </c>
      <c r="M92" s="65">
        <f>SUM(A:B!M92)</f>
        <v>1705997</v>
      </c>
      <c r="N92" s="65">
        <f>SUM(A:B!N92)</f>
        <v>1712949</v>
      </c>
      <c r="O92" s="65">
        <f>SUM(A:B!O92)</f>
        <v>1674811</v>
      </c>
      <c r="P92" s="65">
        <f>SUM(A:B!P92)</f>
        <v>1697284</v>
      </c>
      <c r="Q92" s="65">
        <f>SUM(A:B!Q92)</f>
        <v>1709780</v>
      </c>
      <c r="R92" s="65">
        <f>SUM(A:B!R92)</f>
        <v>1669174</v>
      </c>
      <c r="S92" s="65">
        <f>SUM(A:B!S92)</f>
        <v>1691256.6666666667</v>
      </c>
      <c r="T92" s="65">
        <f>SUM(A:B!T92)</f>
        <v>1699228.222222222</v>
      </c>
      <c r="U92" s="65">
        <f>SUM(A:B!U92)</f>
        <v>1695712.2962962962</v>
      </c>
      <c r="V92" s="11">
        <f>SUM(J92:U92)</f>
        <v>20081804.185185183</v>
      </c>
      <c r="W92" s="73">
        <f t="shared" si="23"/>
        <v>2.2408629026310661E-2</v>
      </c>
      <c r="X92" s="89"/>
      <c r="Y92" s="65">
        <f>SUM(A:B!Y92)</f>
        <v>1838596.9533569999</v>
      </c>
      <c r="Z92" s="65">
        <f>SUM(A:B!Z92)</f>
        <v>1679780.588616</v>
      </c>
      <c r="AA92" s="65">
        <f>SUM(A:B!AA92)</f>
        <v>1838596.9533569999</v>
      </c>
      <c r="AB92" s="65">
        <f>SUM(A:B!AB92)</f>
        <v>1734272.88741</v>
      </c>
      <c r="AC92" s="65">
        <f>SUM(A:B!AC92)</f>
        <v>1838596.9533569999</v>
      </c>
      <c r="AD92" s="65">
        <f>SUM(A:B!AD92)</f>
        <v>1734272.88741</v>
      </c>
      <c r="AE92" s="65">
        <f>SUM(A:B!AE92)</f>
        <v>1787211.6756569999</v>
      </c>
      <c r="AF92" s="65">
        <f>SUM(A:B!AF92)</f>
        <v>1787211.6756569999</v>
      </c>
      <c r="AG92" s="65">
        <f>SUM(A:B!AG92)</f>
        <v>1785658.1651099999</v>
      </c>
      <c r="AH92" s="65">
        <f>SUM(A:B!AH92)</f>
        <v>1787211.6756569999</v>
      </c>
      <c r="AI92" s="65">
        <f>SUM(A:B!AI92)</f>
        <v>1785658.1651099999</v>
      </c>
      <c r="AJ92" s="65">
        <f>SUM(A:B!AJ92)</f>
        <v>1838596.9533569999</v>
      </c>
      <c r="AK92" s="65">
        <f t="shared" ref="AK92:AK155" si="30">SUM(Y92:AJ92)</f>
        <v>21435665.534054998</v>
      </c>
      <c r="AL92" s="73">
        <f t="shared" si="25"/>
        <v>2.2255138012104766E-2</v>
      </c>
      <c r="AM92" s="14">
        <f t="shared" si="7"/>
        <v>6.7417316511261927E-2</v>
      </c>
    </row>
    <row r="93" spans="1:68" hidden="1" outlineLevel="1">
      <c r="A93" s="12" t="s">
        <v>195</v>
      </c>
      <c r="B93" s="8" t="s">
        <v>88</v>
      </c>
      <c r="I93" s="246" t="s">
        <v>198</v>
      </c>
      <c r="J93" s="65">
        <f>SUM(A:B!J93)</f>
        <v>45887</v>
      </c>
      <c r="K93" s="65">
        <f>SUM(A:B!K93)</f>
        <v>45117</v>
      </c>
      <c r="L93" s="65">
        <f>SUM(A:B!L93)</f>
        <v>53778</v>
      </c>
      <c r="M93" s="65">
        <f>SUM(A:B!M93)</f>
        <v>50409</v>
      </c>
      <c r="N93" s="65">
        <f>SUM(A:B!N93)</f>
        <v>51511</v>
      </c>
      <c r="O93" s="65">
        <f>SUM(A:B!O93)</f>
        <v>49905</v>
      </c>
      <c r="P93" s="65">
        <f>SUM(A:B!P93)</f>
        <v>52895</v>
      </c>
      <c r="Q93" s="65">
        <f>SUM(A:B!Q93)</f>
        <v>53050</v>
      </c>
      <c r="R93" s="65">
        <f>SUM(A:B!R93)</f>
        <v>50624</v>
      </c>
      <c r="S93" s="65">
        <f>SUM(A:B!S93)</f>
        <v>51794</v>
      </c>
      <c r="T93" s="65">
        <f>SUM(A:B!T93)</f>
        <v>51822.666666666657</v>
      </c>
      <c r="U93" s="65">
        <f>SUM(A:B!U93)</f>
        <v>51413.555555555555</v>
      </c>
      <c r="V93" s="11">
        <f t="shared" ref="V93:V107" si="31">SUM(J93:U93)</f>
        <v>608206.22222222213</v>
      </c>
      <c r="W93" s="73">
        <f t="shared" si="23"/>
        <v>6.7867744748383323E-4</v>
      </c>
      <c r="X93" s="89"/>
      <c r="Y93" s="65">
        <f>SUM(A:B!Y93)</f>
        <v>54552.863311643836</v>
      </c>
      <c r="Z93" s="65">
        <f>SUM(A:B!Z93)</f>
        <v>49273.553958904107</v>
      </c>
      <c r="AA93" s="65">
        <f>SUM(A:B!AA93)</f>
        <v>54552.863311643836</v>
      </c>
      <c r="AB93" s="65">
        <f>SUM(A:B!AB93)</f>
        <v>52793.093527397257</v>
      </c>
      <c r="AC93" s="65">
        <f>SUM(A:B!AC93)</f>
        <v>54552.863311643836</v>
      </c>
      <c r="AD93" s="65">
        <f>SUM(A:B!AD93)</f>
        <v>52793.093527397257</v>
      </c>
      <c r="AE93" s="65">
        <f>SUM(A:B!AE93)</f>
        <v>54552.863311643836</v>
      </c>
      <c r="AF93" s="65">
        <f>SUM(A:B!AF93)</f>
        <v>54552.863311643836</v>
      </c>
      <c r="AG93" s="65">
        <f>SUM(A:B!AG93)</f>
        <v>52793.093527397257</v>
      </c>
      <c r="AH93" s="65">
        <f>SUM(A:B!AH93)</f>
        <v>54552.863311643836</v>
      </c>
      <c r="AI93" s="65">
        <f>SUM(A:B!AI93)</f>
        <v>52793.093527397257</v>
      </c>
      <c r="AJ93" s="65">
        <f>SUM(A:B!AJ93)</f>
        <v>54552.863311643836</v>
      </c>
      <c r="AK93" s="65">
        <f t="shared" si="30"/>
        <v>642315.97124999994</v>
      </c>
      <c r="AL93" s="73">
        <f t="shared" si="25"/>
        <v>6.6687132082918373E-4</v>
      </c>
      <c r="AM93" s="14">
        <f t="shared" si="7"/>
        <v>5.6082538753303046E-2</v>
      </c>
      <c r="AN93" s="9">
        <f>+AK93-V93</f>
        <v>34109.749027777812</v>
      </c>
    </row>
    <row r="94" spans="1:68" hidden="1" outlineLevel="1">
      <c r="A94" s="12" t="s">
        <v>195</v>
      </c>
      <c r="B94" s="8" t="s">
        <v>88</v>
      </c>
      <c r="I94" s="246" t="s">
        <v>199</v>
      </c>
      <c r="J94" s="65">
        <f>SUM(A:B!J94)</f>
        <v>114728</v>
      </c>
      <c r="K94" s="65">
        <f>SUM(A:B!K94)</f>
        <v>101673</v>
      </c>
      <c r="L94" s="65">
        <f>SUM(A:B!L94)</f>
        <v>124487</v>
      </c>
      <c r="M94" s="65">
        <f>SUM(A:B!M94)</f>
        <v>210934</v>
      </c>
      <c r="N94" s="65">
        <f>SUM(A:B!N94)</f>
        <v>154002</v>
      </c>
      <c r="O94" s="65">
        <f>SUM(A:B!O94)</f>
        <v>185659</v>
      </c>
      <c r="P94" s="65">
        <f>SUM(A:B!P94)</f>
        <v>151601</v>
      </c>
      <c r="Q94" s="65">
        <f>SUM(A:B!Q94)</f>
        <v>129491</v>
      </c>
      <c r="R94" s="65">
        <f>SUM(A:B!R94)</f>
        <v>127650</v>
      </c>
      <c r="S94" s="65">
        <f>SUM(A:B!S94)</f>
        <v>150960</v>
      </c>
      <c r="T94" s="65">
        <f>SUM(A:B!T94)</f>
        <v>136033.66666666666</v>
      </c>
      <c r="U94" s="65">
        <f>SUM(A:B!U94)</f>
        <v>138214.55555555556</v>
      </c>
      <c r="V94" s="11">
        <f t="shared" si="31"/>
        <v>1725433.2222222222</v>
      </c>
      <c r="W94" s="73">
        <f t="shared" si="23"/>
        <v>1.9253545463297265E-3</v>
      </c>
      <c r="X94" s="89"/>
      <c r="Y94" s="65">
        <f>SUM(A:B!Y94)</f>
        <v>146109.24</v>
      </c>
      <c r="Z94" s="65">
        <f>SUM(A:B!Z94)</f>
        <v>146109.24</v>
      </c>
      <c r="AA94" s="65">
        <f>SUM(A:B!AA94)</f>
        <v>146109.24</v>
      </c>
      <c r="AB94" s="65">
        <f>SUM(A:B!AB94)</f>
        <v>146109.24</v>
      </c>
      <c r="AC94" s="65">
        <f>SUM(A:B!AC94)</f>
        <v>146109.24</v>
      </c>
      <c r="AD94" s="65">
        <f>SUM(A:B!AD94)</f>
        <v>146109.24</v>
      </c>
      <c r="AE94" s="65">
        <f>SUM(A:B!AE94)</f>
        <v>146109.24</v>
      </c>
      <c r="AF94" s="65">
        <f>SUM(A:B!AF94)</f>
        <v>146109.24</v>
      </c>
      <c r="AG94" s="65">
        <f>SUM(A:B!AG94)</f>
        <v>146109.24</v>
      </c>
      <c r="AH94" s="65">
        <f>SUM(A:B!AH94)</f>
        <v>146109.24</v>
      </c>
      <c r="AI94" s="65">
        <f>SUM(A:B!AI94)</f>
        <v>146109.24</v>
      </c>
      <c r="AJ94" s="65">
        <f>SUM(A:B!AJ94)</f>
        <v>146109.24</v>
      </c>
      <c r="AK94" s="65">
        <f t="shared" si="30"/>
        <v>1753310.88</v>
      </c>
      <c r="AL94" s="73">
        <f t="shared" si="25"/>
        <v>1.8203388903663019E-3</v>
      </c>
      <c r="AM94" s="14">
        <f t="shared" si="7"/>
        <v>1.6156903332296801E-2</v>
      </c>
      <c r="AN94" s="9">
        <f>+AK94-V94</f>
        <v>27877.65777777764</v>
      </c>
    </row>
    <row r="95" spans="1:68" hidden="1" outlineLevel="1">
      <c r="A95" s="12" t="s">
        <v>195</v>
      </c>
      <c r="B95" s="8" t="s">
        <v>88</v>
      </c>
      <c r="I95" s="246" t="s">
        <v>200</v>
      </c>
      <c r="J95" s="65">
        <f>SUM(A:B!J95)</f>
        <v>40603</v>
      </c>
      <c r="K95" s="65">
        <f>SUM(A:B!K95)</f>
        <v>50455</v>
      </c>
      <c r="L95" s="65">
        <f>SUM(A:B!L95)</f>
        <v>60338</v>
      </c>
      <c r="M95" s="65">
        <f>SUM(A:B!M95)</f>
        <v>0</v>
      </c>
      <c r="N95" s="65">
        <f>SUM(A:B!N95)</f>
        <v>62612</v>
      </c>
      <c r="O95" s="65">
        <f>SUM(A:B!O95)</f>
        <v>0</v>
      </c>
      <c r="P95" s="65">
        <f>SUM(A:B!P95)</f>
        <v>0</v>
      </c>
      <c r="Q95" s="65">
        <f>SUM(A:B!Q95)</f>
        <v>0</v>
      </c>
      <c r="R95" s="65">
        <f>SUM(A:B!R95)</f>
        <v>60335</v>
      </c>
      <c r="S95" s="65">
        <f>SUM(A:B!S95)</f>
        <v>3227.6666666666665</v>
      </c>
      <c r="T95" s="65">
        <f>SUM(A:B!T95)</f>
        <v>21187.555555555555</v>
      </c>
      <c r="U95" s="65">
        <f>SUM(A:B!U95)</f>
        <v>28250.07407407408</v>
      </c>
      <c r="V95" s="11">
        <f t="shared" si="31"/>
        <v>327008.29629629635</v>
      </c>
      <c r="W95" s="73">
        <f t="shared" si="23"/>
        <v>3.6489787135936117E-4</v>
      </c>
      <c r="X95" s="89"/>
      <c r="Y95" s="65">
        <f>SUM(A:B!Y95)</f>
        <v>51385.277699999991</v>
      </c>
      <c r="Z95" s="65">
        <f>SUM(A:B!Z95)</f>
        <v>51385.277699999991</v>
      </c>
      <c r="AA95" s="65">
        <f>SUM(A:B!AA95)</f>
        <v>51385.277699999991</v>
      </c>
      <c r="AB95" s="65">
        <f>SUM(A:B!AB95)</f>
        <v>0</v>
      </c>
      <c r="AC95" s="65">
        <f>SUM(A:B!AC95)</f>
        <v>51385.277699999991</v>
      </c>
      <c r="AD95" s="65">
        <f>SUM(A:B!AD95)</f>
        <v>0</v>
      </c>
      <c r="AE95" s="65">
        <f>SUM(A:B!AE95)</f>
        <v>0</v>
      </c>
      <c r="AF95" s="65">
        <f>SUM(A:B!AF95)</f>
        <v>0</v>
      </c>
      <c r="AG95" s="65">
        <f>SUM(A:B!AG95)</f>
        <v>51385.277699999991</v>
      </c>
      <c r="AH95" s="65">
        <f>SUM(A:B!AH95)</f>
        <v>0</v>
      </c>
      <c r="AI95" s="65">
        <f>SUM(A:B!AI95)</f>
        <v>51385.277699999991</v>
      </c>
      <c r="AJ95" s="65">
        <f>SUM(A:B!AJ95)</f>
        <v>51385.277699999991</v>
      </c>
      <c r="AK95" s="65">
        <f t="shared" si="30"/>
        <v>359696.9438999999</v>
      </c>
      <c r="AL95" s="73">
        <f t="shared" si="25"/>
        <v>3.7344793966434281E-4</v>
      </c>
      <c r="AM95" s="14">
        <f t="shared" ref="AM95:AM160" si="32">IFERROR(AK95/V95-1,0)</f>
        <v>9.9962747043227829E-2</v>
      </c>
      <c r="AN95" s="9">
        <f>+AK95-V95</f>
        <v>32688.647603703546</v>
      </c>
    </row>
    <row r="96" spans="1:68" hidden="1" outlineLevel="1">
      <c r="A96" s="12" t="s">
        <v>195</v>
      </c>
      <c r="B96" s="8" t="s">
        <v>88</v>
      </c>
      <c r="I96" s="246" t="s">
        <v>201</v>
      </c>
      <c r="J96" s="65">
        <f>SUM(A:B!J96)</f>
        <v>59080</v>
      </c>
      <c r="K96" s="65">
        <f>SUM(A:B!K96)</f>
        <v>60666</v>
      </c>
      <c r="L96" s="65">
        <f>SUM(A:B!L96)</f>
        <v>72868</v>
      </c>
      <c r="M96" s="65">
        <f>SUM(A:B!M96)</f>
        <v>65732</v>
      </c>
      <c r="N96" s="65">
        <f>SUM(A:B!N96)</f>
        <v>67100</v>
      </c>
      <c r="O96" s="65">
        <f>SUM(A:B!O96)</f>
        <v>67500</v>
      </c>
      <c r="P96" s="65">
        <f>SUM(A:B!P96)</f>
        <v>68858</v>
      </c>
      <c r="Q96" s="65">
        <f>SUM(A:B!Q96)</f>
        <v>71162</v>
      </c>
      <c r="R96" s="65">
        <f>SUM(A:B!R96)</f>
        <v>66479</v>
      </c>
      <c r="S96" s="65">
        <f>SUM(A:B!S96)</f>
        <v>68873.333333333343</v>
      </c>
      <c r="T96" s="65">
        <f>SUM(A:B!T96)</f>
        <v>68838.111111111109</v>
      </c>
      <c r="U96" s="65">
        <f>SUM(A:B!U96)</f>
        <v>68063.481481481489</v>
      </c>
      <c r="V96" s="11">
        <f t="shared" si="31"/>
        <v>805219.92592592596</v>
      </c>
      <c r="W96" s="73">
        <f t="shared" si="23"/>
        <v>8.9851860113140697E-4</v>
      </c>
      <c r="X96" s="89"/>
      <c r="Y96" s="65">
        <f>SUM(A:B!Y96)</f>
        <v>71682.462391499997</v>
      </c>
      <c r="Z96" s="65">
        <f>SUM(A:B!Z96)</f>
        <v>64745.449901999978</v>
      </c>
      <c r="AA96" s="65">
        <f>SUM(A:B!AA96)</f>
        <v>71682.462391499997</v>
      </c>
      <c r="AB96" s="65">
        <f>SUM(A:B!AB96)</f>
        <v>69370.124894999986</v>
      </c>
      <c r="AC96" s="65">
        <f>SUM(A:B!AC96)</f>
        <v>71682.462391499997</v>
      </c>
      <c r="AD96" s="65">
        <f>SUM(A:B!AD96)</f>
        <v>69370.124894999986</v>
      </c>
      <c r="AE96" s="65">
        <f>SUM(A:B!AE96)</f>
        <v>71682.462391499997</v>
      </c>
      <c r="AF96" s="65">
        <f>SUM(A:B!AF96)</f>
        <v>71682.462391499997</v>
      </c>
      <c r="AG96" s="65">
        <f>SUM(A:B!AG96)</f>
        <v>69370.124894999986</v>
      </c>
      <c r="AH96" s="65">
        <f>SUM(A:B!AH96)</f>
        <v>71682.462391499997</v>
      </c>
      <c r="AI96" s="65">
        <f>SUM(A:B!AI96)</f>
        <v>69370.124894999986</v>
      </c>
      <c r="AJ96" s="65">
        <f>SUM(A:B!AJ96)</f>
        <v>71682.462391499997</v>
      </c>
      <c r="AK96" s="65">
        <f t="shared" si="30"/>
        <v>844003.18622250005</v>
      </c>
      <c r="AL96" s="73">
        <f t="shared" si="25"/>
        <v>8.7626891556954751E-4</v>
      </c>
      <c r="AM96" s="14">
        <f t="shared" si="32"/>
        <v>4.8164804481181989E-2</v>
      </c>
    </row>
    <row r="97" spans="1:68" hidden="1" outlineLevel="1">
      <c r="A97" s="12" t="s">
        <v>195</v>
      </c>
      <c r="B97" s="8" t="s">
        <v>88</v>
      </c>
      <c r="I97" s="246" t="s">
        <v>202</v>
      </c>
      <c r="J97" s="65">
        <f>SUM(A:B!J97)</f>
        <v>0</v>
      </c>
      <c r="K97" s="65">
        <f>SUM(A:B!K97)</f>
        <v>0</v>
      </c>
      <c r="L97" s="65">
        <f>SUM(A:B!L97)</f>
        <v>0</v>
      </c>
      <c r="M97" s="65">
        <f>SUM(A:B!M97)</f>
        <v>0</v>
      </c>
      <c r="N97" s="65">
        <f>SUM(A:B!N97)</f>
        <v>0</v>
      </c>
      <c r="O97" s="65">
        <f>SUM(A:B!O97)</f>
        <v>0</v>
      </c>
      <c r="P97" s="65">
        <f>SUM(A:B!P97)</f>
        <v>0</v>
      </c>
      <c r="Q97" s="65">
        <f>SUM(A:B!Q97)</f>
        <v>13738</v>
      </c>
      <c r="R97" s="65">
        <f>SUM(A:B!R97)</f>
        <v>0</v>
      </c>
      <c r="S97" s="65">
        <f>SUM(A:B!S97)</f>
        <v>0</v>
      </c>
      <c r="T97" s="65">
        <f>SUM(A:B!T97)</f>
        <v>13738</v>
      </c>
      <c r="U97" s="65">
        <f>SUM(A:B!U97)</f>
        <v>13738</v>
      </c>
      <c r="V97" s="11">
        <f t="shared" si="31"/>
        <v>41214</v>
      </c>
      <c r="W97" s="73">
        <f t="shared" si="23"/>
        <v>4.5989355745819463E-5</v>
      </c>
      <c r="X97" s="89"/>
      <c r="Y97" s="65">
        <f>SUM(A:B!Y97)</f>
        <v>0</v>
      </c>
      <c r="Z97" s="65">
        <f>SUM(A:B!Z97)</f>
        <v>0</v>
      </c>
      <c r="AA97" s="65">
        <f>SUM(A:B!AA97)</f>
        <v>0</v>
      </c>
      <c r="AB97" s="65">
        <f>SUM(A:B!AB97)</f>
        <v>0</v>
      </c>
      <c r="AC97" s="65">
        <f>SUM(A:B!AC97)</f>
        <v>0</v>
      </c>
      <c r="AD97" s="65">
        <f>SUM(A:B!AD97)</f>
        <v>0</v>
      </c>
      <c r="AE97" s="65">
        <f>SUM(A:B!AE97)</f>
        <v>0</v>
      </c>
      <c r="AF97" s="65">
        <f>SUM(A:B!AF97)</f>
        <v>0</v>
      </c>
      <c r="AG97" s="65">
        <f>SUM(A:B!AG97)</f>
        <v>0</v>
      </c>
      <c r="AH97" s="65">
        <f>SUM(A:B!AH97)</f>
        <v>0</v>
      </c>
      <c r="AI97" s="65">
        <f>SUM(A:B!AI97)</f>
        <v>0</v>
      </c>
      <c r="AJ97" s="65">
        <f>SUM(A:B!AJ97)</f>
        <v>0</v>
      </c>
      <c r="AK97" s="65">
        <f t="shared" si="30"/>
        <v>0</v>
      </c>
      <c r="AL97" s="73">
        <f t="shared" si="25"/>
        <v>0</v>
      </c>
      <c r="AM97" s="14">
        <f t="shared" si="32"/>
        <v>-1</v>
      </c>
      <c r="AN97" s="9">
        <f>+AK97-V97</f>
        <v>-41214</v>
      </c>
    </row>
    <row r="98" spans="1:68" hidden="1" outlineLevel="1">
      <c r="A98" s="12" t="s">
        <v>195</v>
      </c>
      <c r="B98" s="8" t="s">
        <v>88</v>
      </c>
      <c r="I98" s="246" t="s">
        <v>203</v>
      </c>
      <c r="J98" s="65">
        <f>SUM(A:B!J98)</f>
        <v>76734</v>
      </c>
      <c r="K98" s="65">
        <f>SUM(A:B!K98)</f>
        <v>83523</v>
      </c>
      <c r="L98" s="65">
        <f>SUM(A:B!L98)</f>
        <v>96835</v>
      </c>
      <c r="M98" s="65">
        <f>SUM(A:B!M98)</f>
        <v>81785</v>
      </c>
      <c r="N98" s="65">
        <f>SUM(A:B!N98)</f>
        <v>93568</v>
      </c>
      <c r="O98" s="65">
        <f>SUM(A:B!O98)</f>
        <v>87175</v>
      </c>
      <c r="P98" s="65">
        <f>SUM(A:B!P98)</f>
        <v>92086</v>
      </c>
      <c r="Q98" s="65">
        <f>SUM(A:B!Q98)</f>
        <v>96275</v>
      </c>
      <c r="R98" s="65">
        <f>SUM(A:B!R98)</f>
        <v>92659</v>
      </c>
      <c r="S98" s="65">
        <f>SUM(A:B!S98)</f>
        <v>90411.666666666657</v>
      </c>
      <c r="T98" s="65">
        <f>SUM(A:B!T98)</f>
        <v>93115.222222222219</v>
      </c>
      <c r="U98" s="65">
        <f>SUM(A:B!U98)</f>
        <v>92061.962962962949</v>
      </c>
      <c r="V98" s="11">
        <f t="shared" si="31"/>
        <v>1076228.8518518519</v>
      </c>
      <c r="W98" s="73">
        <f t="shared" si="23"/>
        <v>1.2009286051276181E-3</v>
      </c>
      <c r="X98" s="89"/>
      <c r="Y98" s="65">
        <f>SUM(A:B!Y98)</f>
        <v>94196.296199999997</v>
      </c>
      <c r="Z98" s="65">
        <f>SUM(A:B!Z98)</f>
        <v>85080.525599999994</v>
      </c>
      <c r="AA98" s="65">
        <f>SUM(A:B!AA98)</f>
        <v>94196.296199999997</v>
      </c>
      <c r="AB98" s="65">
        <f>SUM(A:B!AB98)</f>
        <v>91157.705999999991</v>
      </c>
      <c r="AC98" s="65">
        <f>SUM(A:B!AC98)</f>
        <v>94196.296199999997</v>
      </c>
      <c r="AD98" s="65">
        <f>SUM(A:B!AD98)</f>
        <v>91157.705999999991</v>
      </c>
      <c r="AE98" s="65">
        <f>SUM(A:B!AE98)</f>
        <v>94196.296199999997</v>
      </c>
      <c r="AF98" s="65">
        <f>SUM(A:B!AF98)</f>
        <v>94196.296199999997</v>
      </c>
      <c r="AG98" s="65">
        <f>SUM(A:B!AG98)</f>
        <v>91157.705999999991</v>
      </c>
      <c r="AH98" s="65">
        <f>SUM(A:B!AH98)</f>
        <v>94196.296199999997</v>
      </c>
      <c r="AI98" s="65">
        <f>SUM(A:B!AI98)</f>
        <v>91157.705999999991</v>
      </c>
      <c r="AJ98" s="65">
        <f>SUM(A:B!AJ98)</f>
        <v>94196.296199999997</v>
      </c>
      <c r="AK98" s="65">
        <f t="shared" si="30"/>
        <v>1109085.423</v>
      </c>
      <c r="AL98" s="73">
        <f t="shared" si="25"/>
        <v>1.1514850853062981E-3</v>
      </c>
      <c r="AM98" s="14">
        <f t="shared" si="32"/>
        <v>3.0529353577180451E-2</v>
      </c>
      <c r="AN98" s="9">
        <f>+AK98-V98</f>
        <v>32856.571148148039</v>
      </c>
    </row>
    <row r="99" spans="1:68" hidden="1" outlineLevel="1">
      <c r="A99" s="12" t="s">
        <v>195</v>
      </c>
      <c r="B99" s="8" t="s">
        <v>88</v>
      </c>
      <c r="I99" s="246" t="s">
        <v>204</v>
      </c>
      <c r="J99" s="65">
        <f>SUM(A:B!J99)</f>
        <v>32983</v>
      </c>
      <c r="K99" s="65">
        <f>SUM(A:B!K99)</f>
        <v>42398</v>
      </c>
      <c r="L99" s="65">
        <f>SUM(A:B!L99)</f>
        <v>46319</v>
      </c>
      <c r="M99" s="65">
        <f>SUM(A:B!M99)</f>
        <v>38333</v>
      </c>
      <c r="N99" s="65">
        <f>SUM(A:B!N99)</f>
        <v>43745</v>
      </c>
      <c r="O99" s="65">
        <f>SUM(A:B!O99)</f>
        <v>43847</v>
      </c>
      <c r="P99" s="65">
        <f>SUM(A:B!P99)</f>
        <v>43882</v>
      </c>
      <c r="Q99" s="65">
        <f>SUM(A:B!Q99)</f>
        <v>50900</v>
      </c>
      <c r="R99" s="65">
        <f>SUM(A:B!R99)</f>
        <v>44430</v>
      </c>
      <c r="S99" s="65">
        <f>SUM(A:B!S99)</f>
        <v>52160</v>
      </c>
      <c r="T99" s="65">
        <f>SUM(A:B!T99)</f>
        <v>49163.333333333336</v>
      </c>
      <c r="U99" s="65">
        <f>SUM(A:B!U99)</f>
        <v>48584.444444444445</v>
      </c>
      <c r="V99" s="11">
        <f t="shared" si="31"/>
        <v>536744.77777777775</v>
      </c>
      <c r="W99" s="73">
        <f t="shared" si="23"/>
        <v>5.9893595695474926E-4</v>
      </c>
      <c r="X99" s="89"/>
      <c r="Y99" s="65">
        <f>SUM(A:B!Y99)</f>
        <v>50274.507299999997</v>
      </c>
      <c r="Z99" s="65">
        <f>SUM(A:B!Z99)</f>
        <v>45409.232399999994</v>
      </c>
      <c r="AA99" s="65">
        <f>SUM(A:B!AA99)</f>
        <v>50274.507299999997</v>
      </c>
      <c r="AB99" s="65">
        <f>SUM(A:B!AB99)</f>
        <v>48652.748999999996</v>
      </c>
      <c r="AC99" s="65">
        <f>SUM(A:B!AC99)</f>
        <v>50274.507299999997</v>
      </c>
      <c r="AD99" s="65">
        <f>SUM(A:B!AD99)</f>
        <v>48652.748999999996</v>
      </c>
      <c r="AE99" s="65">
        <f>SUM(A:B!AE99)</f>
        <v>50274.507299999997</v>
      </c>
      <c r="AF99" s="65">
        <f>SUM(A:B!AF99)</f>
        <v>50274.507299999997</v>
      </c>
      <c r="AG99" s="65">
        <f>SUM(A:B!AG99)</f>
        <v>48652.748999999996</v>
      </c>
      <c r="AH99" s="65">
        <f>SUM(A:B!AH99)</f>
        <v>50274.507299999997</v>
      </c>
      <c r="AI99" s="65">
        <f>SUM(A:B!AI99)</f>
        <v>48652.748999999996</v>
      </c>
      <c r="AJ99" s="65">
        <f>SUM(A:B!AJ99)</f>
        <v>50274.507299999997</v>
      </c>
      <c r="AK99" s="65">
        <f t="shared" si="30"/>
        <v>591941.77949999995</v>
      </c>
      <c r="AL99" s="73">
        <f t="shared" si="25"/>
        <v>6.1457135431480586E-4</v>
      </c>
      <c r="AM99" s="14">
        <f t="shared" si="32"/>
        <v>0.10283658827710984</v>
      </c>
    </row>
    <row r="100" spans="1:68" hidden="1" outlineLevel="1">
      <c r="A100" s="12" t="s">
        <v>195</v>
      </c>
      <c r="B100" s="8" t="s">
        <v>88</v>
      </c>
      <c r="I100" s="246" t="s">
        <v>205</v>
      </c>
      <c r="J100" s="65">
        <f>SUM(A:B!J100)</f>
        <v>0</v>
      </c>
      <c r="K100" s="65">
        <f>SUM(A:B!K100)</f>
        <v>0</v>
      </c>
      <c r="L100" s="65">
        <f>SUM(A:B!L100)</f>
        <v>0</v>
      </c>
      <c r="M100" s="65">
        <f>SUM(A:B!M100)</f>
        <v>0</v>
      </c>
      <c r="N100" s="65">
        <f>SUM(A:B!N100)</f>
        <v>0</v>
      </c>
      <c r="O100" s="65">
        <f>SUM(A:B!O100)</f>
        <v>0</v>
      </c>
      <c r="P100" s="65">
        <f>SUM(A:B!P100)</f>
        <v>0</v>
      </c>
      <c r="Q100" s="65">
        <f>SUM(A:B!Q100)</f>
        <v>0</v>
      </c>
      <c r="R100" s="65">
        <f>SUM(A:B!R100)</f>
        <v>0</v>
      </c>
      <c r="S100" s="65">
        <f>SUM(A:B!S100)</f>
        <v>0</v>
      </c>
      <c r="T100" s="65">
        <f>SUM(A:B!T100)</f>
        <v>0</v>
      </c>
      <c r="U100" s="65">
        <f>SUM(A:B!U100)</f>
        <v>0</v>
      </c>
      <c r="V100" s="11">
        <f t="shared" si="31"/>
        <v>0</v>
      </c>
      <c r="W100" s="73">
        <f t="shared" si="23"/>
        <v>0</v>
      </c>
      <c r="X100" s="89"/>
      <c r="Y100" s="65">
        <f>SUM(A:B!Y100)</f>
        <v>0</v>
      </c>
      <c r="Z100" s="65">
        <f>SUM(A:B!Z100)</f>
        <v>0</v>
      </c>
      <c r="AA100" s="65">
        <f>SUM(A:B!AA100)</f>
        <v>0</v>
      </c>
      <c r="AB100" s="65">
        <f>SUM(A:B!AB100)</f>
        <v>0</v>
      </c>
      <c r="AC100" s="65">
        <f>SUM(A:B!AC100)</f>
        <v>0</v>
      </c>
      <c r="AD100" s="65">
        <f>SUM(A:B!AD100)</f>
        <v>0</v>
      </c>
      <c r="AE100" s="65">
        <f>SUM(A:B!AE100)</f>
        <v>0</v>
      </c>
      <c r="AF100" s="65">
        <f>SUM(A:B!AF100)</f>
        <v>0</v>
      </c>
      <c r="AG100" s="65">
        <f>SUM(A:B!AG100)</f>
        <v>0</v>
      </c>
      <c r="AH100" s="65">
        <f>SUM(A:B!AH100)</f>
        <v>0</v>
      </c>
      <c r="AI100" s="65">
        <f>SUM(A:B!AI100)</f>
        <v>0</v>
      </c>
      <c r="AJ100" s="65">
        <f>SUM(A:B!AJ100)</f>
        <v>0</v>
      </c>
      <c r="AK100" s="65">
        <f t="shared" si="30"/>
        <v>0</v>
      </c>
      <c r="AL100" s="73">
        <f t="shared" si="25"/>
        <v>0</v>
      </c>
      <c r="AM100" s="14">
        <f t="shared" si="32"/>
        <v>0</v>
      </c>
      <c r="AN100" s="9">
        <f>+AK100-V100</f>
        <v>0</v>
      </c>
      <c r="AO100" s="1" t="s">
        <v>206</v>
      </c>
    </row>
    <row r="101" spans="1:68" hidden="1" outlineLevel="1">
      <c r="A101" s="12" t="s">
        <v>195</v>
      </c>
      <c r="B101" s="8" t="s">
        <v>88</v>
      </c>
      <c r="I101" s="246" t="s">
        <v>207</v>
      </c>
      <c r="J101" s="65">
        <f>SUM(A:B!J101)</f>
        <v>30523</v>
      </c>
      <c r="K101" s="65">
        <f>SUM(A:B!K101)</f>
        <v>26153</v>
      </c>
      <c r="L101" s="65">
        <f>SUM(A:B!L101)</f>
        <v>31041</v>
      </c>
      <c r="M101" s="65">
        <f>SUM(A:B!M101)</f>
        <v>29383</v>
      </c>
      <c r="N101" s="65">
        <f>SUM(A:B!N101)</f>
        <v>26704</v>
      </c>
      <c r="O101" s="65">
        <f>SUM(A:B!O101)</f>
        <v>26851</v>
      </c>
      <c r="P101" s="65">
        <f>SUM(A:B!P101)</f>
        <v>30853</v>
      </c>
      <c r="Q101" s="65">
        <f>SUM(A:B!Q101)</f>
        <v>28212</v>
      </c>
      <c r="R101" s="65">
        <f>SUM(A:B!R101)</f>
        <v>28354</v>
      </c>
      <c r="S101" s="65">
        <f>SUM(A:B!S101)</f>
        <v>29513.666666666668</v>
      </c>
      <c r="T101" s="65">
        <f>SUM(A:B!T101)</f>
        <v>28693.222222222223</v>
      </c>
      <c r="U101" s="65">
        <f>SUM(A:B!U101)</f>
        <v>28853.629629629631</v>
      </c>
      <c r="V101" s="11">
        <f t="shared" si="31"/>
        <v>345134.51851851854</v>
      </c>
      <c r="W101" s="73">
        <f t="shared" si="23"/>
        <v>3.8512433038070232E-4</v>
      </c>
      <c r="X101" s="89"/>
      <c r="Y101" s="65">
        <f>SUM(A:B!Y101)</f>
        <v>31123.512153000003</v>
      </c>
      <c r="Z101" s="65">
        <f>SUM(A:B!Z101)</f>
        <v>28111.559364000001</v>
      </c>
      <c r="AA101" s="65">
        <f>SUM(A:B!AA101)</f>
        <v>31123.512153000003</v>
      </c>
      <c r="AB101" s="65">
        <f>SUM(A:B!AB101)</f>
        <v>30119.527889999998</v>
      </c>
      <c r="AC101" s="65">
        <f>SUM(A:B!AC101)</f>
        <v>31123.512153000003</v>
      </c>
      <c r="AD101" s="65">
        <f>SUM(A:B!AD101)</f>
        <v>30119.527889999998</v>
      </c>
      <c r="AE101" s="65">
        <f>SUM(A:B!AE101)</f>
        <v>31123.512153000003</v>
      </c>
      <c r="AF101" s="65">
        <f>SUM(A:B!AF101)</f>
        <v>31123.512153000003</v>
      </c>
      <c r="AG101" s="65">
        <f>SUM(A:B!AG101)</f>
        <v>30119.527889999998</v>
      </c>
      <c r="AH101" s="65">
        <f>SUM(A:B!AH101)</f>
        <v>31123.512153000003</v>
      </c>
      <c r="AI101" s="65">
        <f>SUM(A:B!AI101)</f>
        <v>30119.527889999998</v>
      </c>
      <c r="AJ101" s="65">
        <f>SUM(A:B!AJ101)</f>
        <v>31123.512153000003</v>
      </c>
      <c r="AK101" s="65">
        <f t="shared" si="30"/>
        <v>366454.25599500001</v>
      </c>
      <c r="AL101" s="73">
        <f t="shared" si="25"/>
        <v>3.8046357969782695E-4</v>
      </c>
      <c r="AM101" s="14">
        <f t="shared" si="32"/>
        <v>6.1772254968862406E-2</v>
      </c>
      <c r="AN101" s="9">
        <f>+AK101-V101</f>
        <v>21319.737476481474</v>
      </c>
    </row>
    <row r="102" spans="1:68" hidden="1" outlineLevel="1">
      <c r="A102" s="12" t="s">
        <v>195</v>
      </c>
      <c r="B102" s="8" t="s">
        <v>88</v>
      </c>
      <c r="I102" s="246" t="s">
        <v>208</v>
      </c>
      <c r="J102" s="65">
        <f>SUM(A:B!J102)</f>
        <v>11283</v>
      </c>
      <c r="K102" s="65">
        <f>SUM(A:B!K102)</f>
        <v>10890</v>
      </c>
      <c r="L102" s="65">
        <f>SUM(A:B!L102)</f>
        <v>12867</v>
      </c>
      <c r="M102" s="65">
        <f>SUM(A:B!M102)</f>
        <v>12307</v>
      </c>
      <c r="N102" s="65">
        <f>SUM(A:B!N102)</f>
        <v>12562</v>
      </c>
      <c r="O102" s="65">
        <f>SUM(A:B!O102)</f>
        <v>12107</v>
      </c>
      <c r="P102" s="65">
        <f>SUM(A:B!P102)</f>
        <v>12869</v>
      </c>
      <c r="Q102" s="65">
        <f>SUM(A:B!Q102)</f>
        <v>12780</v>
      </c>
      <c r="R102" s="65">
        <f>SUM(A:B!R102)</f>
        <v>12359</v>
      </c>
      <c r="S102" s="65">
        <f>SUM(A:B!S102)</f>
        <v>12765.666666666666</v>
      </c>
      <c r="T102" s="65">
        <f>SUM(A:B!T102)</f>
        <v>12634.888888888891</v>
      </c>
      <c r="U102" s="65">
        <f>SUM(A:B!U102)</f>
        <v>12586.51851851852</v>
      </c>
      <c r="V102" s="11">
        <f t="shared" si="31"/>
        <v>148011.07407407407</v>
      </c>
      <c r="W102" s="73">
        <f t="shared" si="23"/>
        <v>1.6516072062681196E-4</v>
      </c>
      <c r="X102" s="89"/>
      <c r="Y102" s="65">
        <f>SUM(A:B!Y102)</f>
        <v>11819.787050856163</v>
      </c>
      <c r="Z102" s="65">
        <f>SUM(A:B!Z102)</f>
        <v>10675.936691095892</v>
      </c>
      <c r="AA102" s="65">
        <f>SUM(A:B!AA102)</f>
        <v>11819.787050856163</v>
      </c>
      <c r="AB102" s="65">
        <f>SUM(A:B!AB102)</f>
        <v>11438.503597602739</v>
      </c>
      <c r="AC102" s="65">
        <f>SUM(A:B!AC102)</f>
        <v>11819.787050856163</v>
      </c>
      <c r="AD102" s="65">
        <f>SUM(A:B!AD102)</f>
        <v>11438.503597602739</v>
      </c>
      <c r="AE102" s="65">
        <f>SUM(A:B!AE102)</f>
        <v>11819.787050856163</v>
      </c>
      <c r="AF102" s="65">
        <f>SUM(A:B!AF102)</f>
        <v>11819.787050856163</v>
      </c>
      <c r="AG102" s="65">
        <f>SUM(A:B!AG102)</f>
        <v>11438.503597602739</v>
      </c>
      <c r="AH102" s="65">
        <f>SUM(A:B!AH102)</f>
        <v>11819.787050856163</v>
      </c>
      <c r="AI102" s="65">
        <f>SUM(A:B!AI102)</f>
        <v>11438.503597602739</v>
      </c>
      <c r="AJ102" s="65">
        <f>SUM(A:B!AJ102)</f>
        <v>11819.787050856163</v>
      </c>
      <c r="AK102" s="65">
        <f t="shared" si="30"/>
        <v>139168.46043750001</v>
      </c>
      <c r="AL102" s="73">
        <f t="shared" si="25"/>
        <v>1.4448878617965649E-4</v>
      </c>
      <c r="AM102" s="14">
        <f t="shared" si="32"/>
        <v>-5.9742919182848908E-2</v>
      </c>
    </row>
    <row r="103" spans="1:68" hidden="1" outlineLevel="1">
      <c r="A103" s="12" t="s">
        <v>195</v>
      </c>
      <c r="B103" s="8" t="s">
        <v>88</v>
      </c>
      <c r="I103" s="246" t="s">
        <v>209</v>
      </c>
      <c r="J103" s="65">
        <f>SUM(A:B!J103)</f>
        <v>0</v>
      </c>
      <c r="K103" s="65">
        <f>SUM(A:B!K103)</f>
        <v>0</v>
      </c>
      <c r="L103" s="65">
        <f>SUM(A:B!L103)</f>
        <v>48937</v>
      </c>
      <c r="M103" s="65">
        <f>SUM(A:B!M103)</f>
        <v>0</v>
      </c>
      <c r="N103" s="65">
        <f>SUM(A:B!N103)</f>
        <v>0</v>
      </c>
      <c r="O103" s="65">
        <f>SUM(A:B!O103)</f>
        <v>0</v>
      </c>
      <c r="P103" s="65">
        <f>SUM(A:B!P103)</f>
        <v>8036</v>
      </c>
      <c r="Q103" s="65">
        <f>SUM(A:B!Q103)</f>
        <v>0</v>
      </c>
      <c r="R103" s="65">
        <f>SUM(A:B!R103)</f>
        <v>0</v>
      </c>
      <c r="S103" s="65">
        <f>SUM(A:B!S103)</f>
        <v>0</v>
      </c>
      <c r="T103" s="65">
        <f>SUM(A:B!T103)</f>
        <v>0</v>
      </c>
      <c r="U103" s="65">
        <f>SUM(A:B!U103)</f>
        <v>0</v>
      </c>
      <c r="V103" s="11">
        <f t="shared" si="31"/>
        <v>56973</v>
      </c>
      <c r="W103" s="73">
        <f t="shared" si="23"/>
        <v>6.3574308849094301E-5</v>
      </c>
      <c r="X103" s="89"/>
      <c r="Y103" s="65">
        <f>SUM(A:B!Y103)</f>
        <v>0</v>
      </c>
      <c r="Z103" s="65">
        <f>SUM(A:B!Z103)</f>
        <v>0</v>
      </c>
      <c r="AA103" s="65">
        <f>SUM(A:B!AA103)</f>
        <v>0</v>
      </c>
      <c r="AB103" s="65">
        <f>SUM(A:B!AB103)</f>
        <v>0</v>
      </c>
      <c r="AC103" s="65">
        <f>SUM(A:B!AC103)</f>
        <v>0</v>
      </c>
      <c r="AD103" s="65">
        <f>SUM(A:B!AD103)</f>
        <v>0</v>
      </c>
      <c r="AE103" s="65">
        <f>SUM(A:B!AE103)</f>
        <v>0</v>
      </c>
      <c r="AF103" s="65">
        <f>SUM(A:B!AF103)</f>
        <v>0</v>
      </c>
      <c r="AG103" s="65">
        <f>SUM(A:B!AG103)</f>
        <v>0</v>
      </c>
      <c r="AH103" s="65">
        <f>SUM(A:B!AH103)</f>
        <v>0</v>
      </c>
      <c r="AI103" s="65">
        <f>SUM(A:B!AI103)</f>
        <v>0</v>
      </c>
      <c r="AJ103" s="65">
        <f>SUM(A:B!AJ103)</f>
        <v>0</v>
      </c>
      <c r="AK103" s="65">
        <f t="shared" si="30"/>
        <v>0</v>
      </c>
      <c r="AL103" s="73">
        <f t="shared" si="25"/>
        <v>0</v>
      </c>
      <c r="AM103" s="14">
        <f t="shared" si="32"/>
        <v>-1</v>
      </c>
    </row>
    <row r="104" spans="1:68" hidden="1" outlineLevel="1">
      <c r="A104" s="12"/>
      <c r="I104" s="246" t="s">
        <v>210</v>
      </c>
      <c r="J104" s="65">
        <f>SUM(A:B!J104)</f>
        <v>0</v>
      </c>
      <c r="K104" s="65">
        <f>SUM(A:B!K104)</f>
        <v>0</v>
      </c>
      <c r="L104" s="65">
        <f>SUM(A:B!L104)</f>
        <v>27500</v>
      </c>
      <c r="M104" s="65">
        <f>SUM(A:B!M104)</f>
        <v>0</v>
      </c>
      <c r="N104" s="65">
        <f>SUM(A:B!N104)</f>
        <v>0</v>
      </c>
      <c r="O104" s="65">
        <f>SUM(A:B!O104)</f>
        <v>0</v>
      </c>
      <c r="P104" s="65">
        <f>SUM(A:B!P104)</f>
        <v>0</v>
      </c>
      <c r="Q104" s="65">
        <f>SUM(A:B!Q104)</f>
        <v>0</v>
      </c>
      <c r="R104" s="65">
        <f>SUM(A:B!R104)</f>
        <v>0</v>
      </c>
      <c r="S104" s="65">
        <f>SUM(A:B!S104)</f>
        <v>0</v>
      </c>
      <c r="T104" s="65">
        <f>SUM(A:B!T104)</f>
        <v>0</v>
      </c>
      <c r="U104" s="65">
        <f>SUM(A:B!U104)</f>
        <v>0</v>
      </c>
      <c r="V104" s="11">
        <f t="shared" si="31"/>
        <v>27500</v>
      </c>
      <c r="W104" s="73">
        <f t="shared" si="23"/>
        <v>3.0686351312904241E-5</v>
      </c>
      <c r="X104" s="89"/>
      <c r="Y104" s="65">
        <f>SUM(A:B!Y104)</f>
        <v>0</v>
      </c>
      <c r="Z104" s="65">
        <f>SUM(A:B!Z104)</f>
        <v>0</v>
      </c>
      <c r="AA104" s="65">
        <f>SUM(A:B!AA104)</f>
        <v>0</v>
      </c>
      <c r="AB104" s="65">
        <f>SUM(A:B!AB104)</f>
        <v>0</v>
      </c>
      <c r="AC104" s="65">
        <f>SUM(A:B!AC104)</f>
        <v>0</v>
      </c>
      <c r="AD104" s="65">
        <f>SUM(A:B!AD104)</f>
        <v>0</v>
      </c>
      <c r="AE104" s="65">
        <f>SUM(A:B!AE104)</f>
        <v>0</v>
      </c>
      <c r="AF104" s="65">
        <f>SUM(A:B!AF104)</f>
        <v>0</v>
      </c>
      <c r="AG104" s="65">
        <f>SUM(A:B!AG104)</f>
        <v>0</v>
      </c>
      <c r="AH104" s="65">
        <f>SUM(A:B!AH104)</f>
        <v>0</v>
      </c>
      <c r="AI104" s="65">
        <f>SUM(A:B!AI104)</f>
        <v>0</v>
      </c>
      <c r="AJ104" s="65">
        <f>SUM(A:B!AJ104)</f>
        <v>0</v>
      </c>
      <c r="AK104" s="65">
        <f t="shared" si="30"/>
        <v>0</v>
      </c>
      <c r="AL104" s="73">
        <f t="shared" si="25"/>
        <v>0</v>
      </c>
      <c r="AM104" s="14">
        <f t="shared" si="32"/>
        <v>-1</v>
      </c>
    </row>
    <row r="105" spans="1:68" hidden="1" outlineLevel="1">
      <c r="A105" s="12" t="s">
        <v>195</v>
      </c>
      <c r="B105" s="8" t="s">
        <v>88</v>
      </c>
      <c r="I105" s="246" t="s">
        <v>211</v>
      </c>
      <c r="J105" s="65">
        <f>SUM(A:B!J105)</f>
        <v>105</v>
      </c>
      <c r="K105" s="65">
        <f>SUM(A:B!K105)</f>
        <v>0</v>
      </c>
      <c r="L105" s="65">
        <f>SUM(A:B!L105)</f>
        <v>0</v>
      </c>
      <c r="M105" s="65">
        <f>SUM(A:B!M105)</f>
        <v>0</v>
      </c>
      <c r="N105" s="65">
        <f>SUM(A:B!N105)</f>
        <v>840</v>
      </c>
      <c r="O105" s="65">
        <f>SUM(A:B!O105)</f>
        <v>0</v>
      </c>
      <c r="P105" s="65">
        <f>SUM(A:B!P105)</f>
        <v>0</v>
      </c>
      <c r="Q105" s="65">
        <f>SUM(A:B!Q105)</f>
        <v>0</v>
      </c>
      <c r="R105" s="65">
        <f>SUM(A:B!R105)</f>
        <v>0</v>
      </c>
      <c r="S105" s="65">
        <f>SUM(A:B!S105)</f>
        <v>0</v>
      </c>
      <c r="T105" s="65">
        <f>SUM(A:B!T105)</f>
        <v>0</v>
      </c>
      <c r="U105" s="65">
        <f>SUM(A:B!U105)</f>
        <v>0</v>
      </c>
      <c r="V105" s="11">
        <f t="shared" si="31"/>
        <v>945</v>
      </c>
      <c r="W105" s="73">
        <f t="shared" si="23"/>
        <v>1.0544946178434365E-6</v>
      </c>
      <c r="X105" s="89"/>
      <c r="Y105" s="65">
        <f>SUM(A:B!Y105)</f>
        <v>0</v>
      </c>
      <c r="Z105" s="65">
        <f>SUM(A:B!Z105)</f>
        <v>0</v>
      </c>
      <c r="AA105" s="65">
        <f>SUM(A:B!AA105)</f>
        <v>0</v>
      </c>
      <c r="AB105" s="65">
        <f>SUM(A:B!AB105)</f>
        <v>0</v>
      </c>
      <c r="AC105" s="65">
        <f>SUM(A:B!AC105)</f>
        <v>0</v>
      </c>
      <c r="AD105" s="65">
        <f>SUM(A:B!AD105)</f>
        <v>0</v>
      </c>
      <c r="AE105" s="65">
        <f>SUM(A:B!AE105)</f>
        <v>0</v>
      </c>
      <c r="AF105" s="65">
        <f>SUM(A:B!AF105)</f>
        <v>0</v>
      </c>
      <c r="AG105" s="65">
        <f>SUM(A:B!AG105)</f>
        <v>0</v>
      </c>
      <c r="AH105" s="65">
        <f>SUM(A:B!AH105)</f>
        <v>0</v>
      </c>
      <c r="AI105" s="65">
        <f>SUM(A:B!AI105)</f>
        <v>0</v>
      </c>
      <c r="AJ105" s="65">
        <f>SUM(A:B!AJ105)</f>
        <v>0</v>
      </c>
      <c r="AK105" s="65">
        <f t="shared" si="30"/>
        <v>0</v>
      </c>
      <c r="AL105" s="73">
        <f t="shared" si="25"/>
        <v>0</v>
      </c>
      <c r="AM105" s="14">
        <f t="shared" si="32"/>
        <v>-1</v>
      </c>
      <c r="AN105" s="9">
        <f>+AK105-V105</f>
        <v>-945</v>
      </c>
      <c r="AO105" s="1" t="s">
        <v>212</v>
      </c>
    </row>
    <row r="106" spans="1:68" hidden="1" outlineLevel="1">
      <c r="A106" s="12" t="s">
        <v>195</v>
      </c>
      <c r="B106" s="8" t="s">
        <v>88</v>
      </c>
      <c r="I106" s="246" t="s">
        <v>213</v>
      </c>
      <c r="J106" s="65">
        <f>SUM(A:B!J106)</f>
        <v>985894</v>
      </c>
      <c r="K106" s="65">
        <f>SUM(A:B!K106)</f>
        <v>1014060</v>
      </c>
      <c r="L106" s="65">
        <f>SUM(A:B!L106)</f>
        <v>1218466</v>
      </c>
      <c r="M106" s="65">
        <f>SUM(A:B!M106)</f>
        <v>1096607</v>
      </c>
      <c r="N106" s="65">
        <f>SUM(A:B!N106)</f>
        <v>1122135</v>
      </c>
      <c r="O106" s="65">
        <f>SUM(A:B!O106)</f>
        <v>1129611</v>
      </c>
      <c r="P106" s="65">
        <f>SUM(A:B!P106)</f>
        <v>1153649</v>
      </c>
      <c r="Q106" s="65">
        <f>SUM(A:B!Q106)</f>
        <v>1188557</v>
      </c>
      <c r="R106" s="65">
        <f>SUM(A:B!R106)</f>
        <v>1109235</v>
      </c>
      <c r="S106" s="65">
        <f>SUM(A:B!S106)</f>
        <v>1154486</v>
      </c>
      <c r="T106" s="65">
        <f>SUM(A:B!T106)</f>
        <v>1150759.3333333333</v>
      </c>
      <c r="U106" s="65">
        <f>SUM(A:B!U106)</f>
        <v>1138160.111111111</v>
      </c>
      <c r="V106" s="11">
        <f t="shared" si="31"/>
        <v>13461619.444444444</v>
      </c>
      <c r="W106" s="73">
        <f t="shared" si="23"/>
        <v>1.5021381218648908E-2</v>
      </c>
      <c r="X106" s="89"/>
      <c r="Y106" s="65">
        <f>SUM(A:B!Y106)</f>
        <v>1327453.0072499998</v>
      </c>
      <c r="Z106" s="65">
        <f>SUM(A:B!Z106)</f>
        <v>1198989.8129999998</v>
      </c>
      <c r="AA106" s="65">
        <f>SUM(A:B!AA106)</f>
        <v>1327453.0072499998</v>
      </c>
      <c r="AB106" s="65">
        <f>SUM(A:B!AB106)</f>
        <v>1284631.9424999999</v>
      </c>
      <c r="AC106" s="65">
        <f>SUM(A:B!AC106)</f>
        <v>1327453.0072499998</v>
      </c>
      <c r="AD106" s="65">
        <f>SUM(A:B!AD106)</f>
        <v>1284631.9424999999</v>
      </c>
      <c r="AE106" s="65">
        <f>SUM(A:B!AE106)</f>
        <v>1327453.0072499998</v>
      </c>
      <c r="AF106" s="65">
        <f>SUM(A:B!AF106)</f>
        <v>1327453.0072499998</v>
      </c>
      <c r="AG106" s="65">
        <f>SUM(A:B!AG106)</f>
        <v>1284631.9424999999</v>
      </c>
      <c r="AH106" s="65">
        <f>SUM(A:B!AH106)</f>
        <v>1327453.0072499998</v>
      </c>
      <c r="AI106" s="65">
        <f>SUM(A:B!AI106)</f>
        <v>1284631.9424999999</v>
      </c>
      <c r="AJ106" s="65">
        <f>SUM(A:B!AJ106)</f>
        <v>1327453.0072499998</v>
      </c>
      <c r="AK106" s="65">
        <f t="shared" si="30"/>
        <v>15629688.633749995</v>
      </c>
      <c r="AL106" s="73">
        <f t="shared" si="25"/>
        <v>1.62272021401768E-2</v>
      </c>
      <c r="AM106" s="14">
        <f t="shared" si="32"/>
        <v>0.16105559945837755</v>
      </c>
    </row>
    <row r="107" spans="1:68" hidden="1" outlineLevel="1">
      <c r="A107" s="12" t="s">
        <v>195</v>
      </c>
      <c r="B107" s="8" t="s">
        <v>88</v>
      </c>
      <c r="I107" s="246" t="s">
        <v>214</v>
      </c>
      <c r="J107" s="65">
        <f>SUM(A:B!J107)</f>
        <v>21210</v>
      </c>
      <c r="K107" s="65">
        <f>SUM(A:B!K107)</f>
        <v>20160</v>
      </c>
      <c r="L107" s="65">
        <f>SUM(A:B!L107)</f>
        <v>18165</v>
      </c>
      <c r="M107" s="65">
        <f>SUM(A:B!M107)</f>
        <v>27510</v>
      </c>
      <c r="N107" s="65">
        <f>SUM(A:B!N107)</f>
        <v>27930</v>
      </c>
      <c r="O107" s="65">
        <f>SUM(A:B!O107)</f>
        <v>23730</v>
      </c>
      <c r="P107" s="65">
        <f>SUM(A:B!P107)</f>
        <v>31080</v>
      </c>
      <c r="Q107" s="65">
        <f>SUM(A:B!Q107)</f>
        <v>14490</v>
      </c>
      <c r="R107" s="65">
        <f>SUM(A:B!R107)</f>
        <v>27615</v>
      </c>
      <c r="S107" s="65">
        <f>SUM(A:B!S107)</f>
        <v>26005</v>
      </c>
      <c r="T107" s="65">
        <f>SUM(A:B!T107)</f>
        <v>22703.333333333332</v>
      </c>
      <c r="U107" s="65">
        <f>SUM(A:B!U107)</f>
        <v>25441.111111111113</v>
      </c>
      <c r="V107" s="11">
        <f t="shared" si="31"/>
        <v>286039.44444444444</v>
      </c>
      <c r="W107" s="73">
        <f t="shared" si="23"/>
        <v>3.191820684207337E-4</v>
      </c>
      <c r="X107" s="89"/>
      <c r="Y107" s="65">
        <f>SUM(A:B!Y107)</f>
        <v>0</v>
      </c>
      <c r="Z107" s="65">
        <f>SUM(A:B!Z107)</f>
        <v>0</v>
      </c>
      <c r="AA107" s="65">
        <f>SUM(A:B!AA107)</f>
        <v>0</v>
      </c>
      <c r="AB107" s="65">
        <f>SUM(A:B!AB107)</f>
        <v>0</v>
      </c>
      <c r="AC107" s="65">
        <f>SUM(A:B!AC107)</f>
        <v>0</v>
      </c>
      <c r="AD107" s="65">
        <f>SUM(A:B!AD107)</f>
        <v>0</v>
      </c>
      <c r="AE107" s="65">
        <f>SUM(A:B!AE107)</f>
        <v>0</v>
      </c>
      <c r="AF107" s="65">
        <f>SUM(A:B!AF107)</f>
        <v>0</v>
      </c>
      <c r="AG107" s="65">
        <f>SUM(A:B!AG107)</f>
        <v>0</v>
      </c>
      <c r="AH107" s="65">
        <f>SUM(A:B!AH107)</f>
        <v>0</v>
      </c>
      <c r="AI107" s="65">
        <f>SUM(A:B!AI107)</f>
        <v>0</v>
      </c>
      <c r="AJ107" s="65">
        <f>SUM(A:B!AJ107)</f>
        <v>0</v>
      </c>
      <c r="AK107" s="65">
        <f t="shared" si="30"/>
        <v>0</v>
      </c>
      <c r="AL107" s="73">
        <f t="shared" si="25"/>
        <v>0</v>
      </c>
      <c r="AM107" s="14">
        <f t="shared" si="32"/>
        <v>-1</v>
      </c>
    </row>
    <row r="108" spans="1:68" collapsed="1">
      <c r="A108" s="12" t="s">
        <v>215</v>
      </c>
      <c r="B108" s="8" t="s">
        <v>88</v>
      </c>
      <c r="I108" s="167" t="s">
        <v>216</v>
      </c>
      <c r="J108" s="15">
        <f>SUM(J109:J112)</f>
        <v>657814</v>
      </c>
      <c r="K108" s="15">
        <f t="shared" ref="K108:U108" si="33">SUM(K109:K112)</f>
        <v>632962</v>
      </c>
      <c r="L108" s="15">
        <f t="shared" si="33"/>
        <v>776787</v>
      </c>
      <c r="M108" s="15">
        <f t="shared" si="33"/>
        <v>716694</v>
      </c>
      <c r="N108" s="15">
        <f t="shared" si="33"/>
        <v>732811</v>
      </c>
      <c r="O108" s="15">
        <f t="shared" si="33"/>
        <v>711270</v>
      </c>
      <c r="P108" s="15">
        <f t="shared" si="33"/>
        <v>768584</v>
      </c>
      <c r="Q108" s="15">
        <f t="shared" si="33"/>
        <v>773469</v>
      </c>
      <c r="R108" s="15">
        <f t="shared" si="33"/>
        <v>726094</v>
      </c>
      <c r="S108" s="15">
        <f t="shared" si="33"/>
        <v>742216.66666666674</v>
      </c>
      <c r="T108" s="15">
        <f t="shared" si="33"/>
        <v>747260.5555555555</v>
      </c>
      <c r="U108" s="15">
        <f t="shared" si="33"/>
        <v>738523.74074074067</v>
      </c>
      <c r="V108" s="15">
        <f>SUM(V109:V112)</f>
        <v>8724485.9629629627</v>
      </c>
      <c r="W108" s="72">
        <f t="shared" si="23"/>
        <v>9.7353687739630216E-3</v>
      </c>
      <c r="X108" s="89"/>
      <c r="Y108" s="15">
        <f t="shared" ref="Y108:AJ108" si="34">SUM(Y109:Y112)</f>
        <v>879434.37597879407</v>
      </c>
      <c r="Z108" s="15">
        <f t="shared" si="34"/>
        <v>808659.390850481</v>
      </c>
      <c r="AA108" s="15">
        <f t="shared" si="34"/>
        <v>879434.37597879407</v>
      </c>
      <c r="AB108" s="15">
        <f t="shared" si="34"/>
        <v>833863.9155339573</v>
      </c>
      <c r="AC108" s="15">
        <f t="shared" si="34"/>
        <v>879434.37597879407</v>
      </c>
      <c r="AD108" s="15">
        <f t="shared" si="34"/>
        <v>833863.9155339573</v>
      </c>
      <c r="AE108" s="15">
        <f t="shared" si="34"/>
        <v>857455.57724339503</v>
      </c>
      <c r="AF108" s="15">
        <f t="shared" si="34"/>
        <v>857455.57724339503</v>
      </c>
      <c r="AG108" s="15">
        <f t="shared" si="34"/>
        <v>855842.71426935645</v>
      </c>
      <c r="AH108" s="15">
        <f t="shared" si="34"/>
        <v>857455.57724339503</v>
      </c>
      <c r="AI108" s="15">
        <f t="shared" si="34"/>
        <v>855842.71426935645</v>
      </c>
      <c r="AJ108" s="15">
        <f t="shared" si="34"/>
        <v>879434.37597879407</v>
      </c>
      <c r="AK108" s="15">
        <f>SUM(AK109:AK112)</f>
        <v>10278176.886102472</v>
      </c>
      <c r="AL108" s="72">
        <f t="shared" si="25"/>
        <v>1.0671105347750049E-2</v>
      </c>
      <c r="AM108" s="15">
        <f t="shared" si="32"/>
        <v>0.1780839501301521</v>
      </c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72"/>
      <c r="BA108" s="89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72"/>
      <c r="BP108" s="10"/>
    </row>
    <row r="109" spans="1:68" ht="15" hidden="1" customHeight="1" outlineLevel="1">
      <c r="A109" s="12" t="s">
        <v>215</v>
      </c>
      <c r="B109" s="8" t="s">
        <v>88</v>
      </c>
      <c r="I109" s="246" t="s">
        <v>217</v>
      </c>
      <c r="J109" s="65">
        <f>SUM(A:B!J109)</f>
        <v>353487</v>
      </c>
      <c r="K109" s="65">
        <f>SUM(A:B!K109)</f>
        <v>340650</v>
      </c>
      <c r="L109" s="65">
        <f>SUM(A:B!L109)</f>
        <v>419080</v>
      </c>
      <c r="M109" s="65">
        <f>SUM(A:B!M109)</f>
        <v>383333</v>
      </c>
      <c r="N109" s="65">
        <f>SUM(A:B!N109)</f>
        <v>395155</v>
      </c>
      <c r="O109" s="65">
        <f>SUM(A:B!O109)</f>
        <v>383926</v>
      </c>
      <c r="P109" s="65">
        <f>SUM(A:B!P109)</f>
        <v>410216</v>
      </c>
      <c r="Q109" s="65">
        <f>SUM(A:B!Q109)</f>
        <v>415399</v>
      </c>
      <c r="R109" s="65">
        <f>SUM(A:B!R109)</f>
        <v>392380</v>
      </c>
      <c r="S109" s="65">
        <f>SUM(A:B!S109)</f>
        <v>397986</v>
      </c>
      <c r="T109" s="65">
        <f>SUM(A:B!T109)</f>
        <v>401922.33333333331</v>
      </c>
      <c r="U109" s="65">
        <f>SUM(A:B!U109)</f>
        <v>397429.4444444445</v>
      </c>
      <c r="V109" s="11">
        <f>SUM(J109:U109)</f>
        <v>4690963.777777778</v>
      </c>
      <c r="W109" s="73">
        <f t="shared" si="23"/>
        <v>5.2344931811271764E-3</v>
      </c>
      <c r="X109" s="89"/>
      <c r="Y109" s="65">
        <f>SUM(A:B!Y109)</f>
        <v>471526.8889425376</v>
      </c>
      <c r="Z109" s="65">
        <f>SUM(A:B!Z109)</f>
        <v>436139.39637838106</v>
      </c>
      <c r="AA109" s="65">
        <f>SUM(A:B!AA109)</f>
        <v>471526.8889425376</v>
      </c>
      <c r="AB109" s="65">
        <f>SUM(A:B!AB109)</f>
        <v>448741.65872011922</v>
      </c>
      <c r="AC109" s="65">
        <f>SUM(A:B!AC109)</f>
        <v>471526.8889425376</v>
      </c>
      <c r="AD109" s="65">
        <f>SUM(A:B!AD109)</f>
        <v>448741.65872011922</v>
      </c>
      <c r="AE109" s="65">
        <f>SUM(A:B!AE109)</f>
        <v>460537.48957483808</v>
      </c>
      <c r="AF109" s="65">
        <f>SUM(A:B!AF109)</f>
        <v>460537.48957483808</v>
      </c>
      <c r="AG109" s="65">
        <f>SUM(A:B!AG109)</f>
        <v>459731.05808781879</v>
      </c>
      <c r="AH109" s="65">
        <f>SUM(A:B!AH109)</f>
        <v>460537.48957483808</v>
      </c>
      <c r="AI109" s="65">
        <f>SUM(A:B!AI109)</f>
        <v>459731.05808781879</v>
      </c>
      <c r="AJ109" s="65">
        <f>SUM(A:B!AJ109)</f>
        <v>471526.8889425376</v>
      </c>
      <c r="AK109" s="65">
        <f t="shared" si="30"/>
        <v>5520804.8544889223</v>
      </c>
      <c r="AL109" s="73">
        <f t="shared" si="25"/>
        <v>5.7318618719512295E-3</v>
      </c>
      <c r="AM109" s="14">
        <f t="shared" si="32"/>
        <v>0.17690204316697145</v>
      </c>
    </row>
    <row r="110" spans="1:68" ht="15" hidden="1" customHeight="1" outlineLevel="1">
      <c r="A110" s="12" t="s">
        <v>215</v>
      </c>
      <c r="B110" s="8" t="s">
        <v>88</v>
      </c>
      <c r="I110" s="246" t="s">
        <v>218</v>
      </c>
      <c r="J110" s="65">
        <f>SUM(A:B!J110)</f>
        <v>66724</v>
      </c>
      <c r="K110" s="65">
        <f>SUM(A:B!K110)</f>
        <v>63891</v>
      </c>
      <c r="L110" s="65">
        <f>SUM(A:B!L110)</f>
        <v>78202</v>
      </c>
      <c r="M110" s="65">
        <f>SUM(A:B!M110)</f>
        <v>72034</v>
      </c>
      <c r="N110" s="65">
        <f>SUM(A:B!N110)</f>
        <v>72926</v>
      </c>
      <c r="O110" s="65">
        <f>SUM(A:B!O110)</f>
        <v>69970</v>
      </c>
      <c r="P110" s="65">
        <f>SUM(A:B!P110)</f>
        <v>77850</v>
      </c>
      <c r="Q110" s="65">
        <f>SUM(A:B!Q110)</f>
        <v>78528</v>
      </c>
      <c r="R110" s="65">
        <f>SUM(A:B!R110)</f>
        <v>73173</v>
      </c>
      <c r="S110" s="65">
        <f>SUM(A:B!S110)</f>
        <v>74532.666666666657</v>
      </c>
      <c r="T110" s="65">
        <f>SUM(A:B!T110)</f>
        <v>75411.222222222219</v>
      </c>
      <c r="U110" s="65">
        <f>SUM(A:B!U110)</f>
        <v>74372.296296296292</v>
      </c>
      <c r="V110" s="11">
        <f>SUM(J110:U110)</f>
        <v>877614.18518518517</v>
      </c>
      <c r="W110" s="73">
        <f t="shared" si="23"/>
        <v>9.7930098922839235E-4</v>
      </c>
      <c r="X110" s="89"/>
      <c r="Y110" s="65">
        <f>SUM(A:B!Y110)</f>
        <v>81991.996013274998</v>
      </c>
      <c r="Z110" s="65">
        <f>SUM(A:B!Z110)</f>
        <v>75012.905355700001</v>
      </c>
      <c r="AA110" s="65">
        <f>SUM(A:B!AA110)</f>
        <v>81991.996013274998</v>
      </c>
      <c r="AB110" s="65">
        <f>SUM(A:B!AB110)</f>
        <v>77096.368575749977</v>
      </c>
      <c r="AC110" s="65">
        <f>SUM(A:B!AC110)</f>
        <v>81991.996013274998</v>
      </c>
      <c r="AD110" s="65">
        <f>SUM(A:B!AD110)</f>
        <v>77096.368575749977</v>
      </c>
      <c r="AE110" s="65">
        <f>SUM(A:B!AE110)</f>
        <v>79422.732128275005</v>
      </c>
      <c r="AF110" s="65">
        <f>SUM(A:B!AF110)</f>
        <v>79422.732128275005</v>
      </c>
      <c r="AG110" s="65">
        <f>SUM(A:B!AG110)</f>
        <v>79665.632460749999</v>
      </c>
      <c r="AH110" s="65">
        <f>SUM(A:B!AH110)</f>
        <v>79422.732128275005</v>
      </c>
      <c r="AI110" s="65">
        <f>SUM(A:B!AI110)</f>
        <v>79665.632460749999</v>
      </c>
      <c r="AJ110" s="65">
        <f>SUM(A:B!AJ110)</f>
        <v>81991.996013274998</v>
      </c>
      <c r="AK110" s="65">
        <f t="shared" si="30"/>
        <v>954773.08786662493</v>
      </c>
      <c r="AL110" s="73">
        <f t="shared" si="25"/>
        <v>9.9127348329620794E-4</v>
      </c>
      <c r="AM110" s="14">
        <f t="shared" si="32"/>
        <v>8.7918932925130866E-2</v>
      </c>
    </row>
    <row r="111" spans="1:68" ht="15" hidden="1" customHeight="1" outlineLevel="1">
      <c r="A111" s="12" t="s">
        <v>215</v>
      </c>
      <c r="B111" s="8" t="s">
        <v>88</v>
      </c>
      <c r="I111" s="246" t="s">
        <v>219</v>
      </c>
      <c r="J111" s="65">
        <f>SUM(A:B!J111)</f>
        <v>110061</v>
      </c>
      <c r="K111" s="65">
        <f>SUM(A:B!K111)</f>
        <v>104488</v>
      </c>
      <c r="L111" s="65">
        <f>SUM(A:B!L111)</f>
        <v>128576</v>
      </c>
      <c r="M111" s="65">
        <f>SUM(A:B!M111)</f>
        <v>119116</v>
      </c>
      <c r="N111" s="65">
        <f>SUM(A:B!N111)</f>
        <v>120691</v>
      </c>
      <c r="O111" s="65">
        <f>SUM(A:B!O111)</f>
        <v>116823</v>
      </c>
      <c r="P111" s="65">
        <f>SUM(A:B!P111)</f>
        <v>129306</v>
      </c>
      <c r="Q111" s="65">
        <f>SUM(A:B!Q111)</f>
        <v>129073</v>
      </c>
      <c r="R111" s="65">
        <f>SUM(A:B!R111)</f>
        <v>120067</v>
      </c>
      <c r="S111" s="65">
        <f>SUM(A:B!S111)</f>
        <v>123645.33333333333</v>
      </c>
      <c r="T111" s="65">
        <f>SUM(A:B!T111)</f>
        <v>124261.77777777778</v>
      </c>
      <c r="U111" s="65">
        <f>SUM(A:B!U111)</f>
        <v>122658.03703703702</v>
      </c>
      <c r="V111" s="11">
        <f>SUM(J111:U111)</f>
        <v>1448766.1481481481</v>
      </c>
      <c r="W111" s="73">
        <f t="shared" si="23"/>
        <v>1.6166307997206233E-3</v>
      </c>
      <c r="X111" s="89"/>
      <c r="Y111" s="65">
        <f>SUM(A:B!Y111)</f>
        <v>155997.97161485697</v>
      </c>
      <c r="Z111" s="65">
        <f>SUM(A:B!Z111)</f>
        <v>142719.55372975481</v>
      </c>
      <c r="AA111" s="65">
        <f>SUM(A:B!AA111)</f>
        <v>155997.97161485697</v>
      </c>
      <c r="AB111" s="65">
        <f>SUM(A:B!AB111)</f>
        <v>146683.55085222193</v>
      </c>
      <c r="AC111" s="65">
        <f>SUM(A:B!AC111)</f>
        <v>155997.97161485697</v>
      </c>
      <c r="AD111" s="65">
        <f>SUM(A:B!AD111)</f>
        <v>146683.55085222193</v>
      </c>
      <c r="AE111" s="65">
        <f>SUM(A:B!AE111)</f>
        <v>151109.69014725601</v>
      </c>
      <c r="AF111" s="65">
        <f>SUM(A:B!AF111)</f>
        <v>151109.69014725601</v>
      </c>
      <c r="AG111" s="65">
        <f>SUM(A:B!AG111)</f>
        <v>151571.83231982295</v>
      </c>
      <c r="AH111" s="65">
        <f>SUM(A:B!AH111)</f>
        <v>151109.69014725601</v>
      </c>
      <c r="AI111" s="65">
        <f>SUM(A:B!AI111)</f>
        <v>151571.83231982295</v>
      </c>
      <c r="AJ111" s="65">
        <f>SUM(A:B!AJ111)</f>
        <v>155997.97161485697</v>
      </c>
      <c r="AK111" s="65">
        <f t="shared" si="30"/>
        <v>1816551.2769750403</v>
      </c>
      <c r="AL111" s="73">
        <f t="shared" si="25"/>
        <v>1.885996929319365E-3</v>
      </c>
      <c r="AM111" s="14">
        <f t="shared" si="32"/>
        <v>0.25386093490450823</v>
      </c>
    </row>
    <row r="112" spans="1:68" ht="15" hidden="1" customHeight="1" outlineLevel="1">
      <c r="A112" s="12" t="s">
        <v>215</v>
      </c>
      <c r="B112" s="8" t="s">
        <v>88</v>
      </c>
      <c r="I112" s="246" t="s">
        <v>220</v>
      </c>
      <c r="J112" s="65">
        <f>SUM(A:B!J112)</f>
        <v>127542</v>
      </c>
      <c r="K112" s="65">
        <f>SUM(A:B!K112)</f>
        <v>123933</v>
      </c>
      <c r="L112" s="65">
        <f>SUM(A:B!L112)</f>
        <v>150929</v>
      </c>
      <c r="M112" s="65">
        <f>SUM(A:B!M112)</f>
        <v>142211</v>
      </c>
      <c r="N112" s="65">
        <f>SUM(A:B!N112)</f>
        <v>144039</v>
      </c>
      <c r="O112" s="65">
        <f>SUM(A:B!O112)</f>
        <v>140551</v>
      </c>
      <c r="P112" s="65">
        <f>SUM(A:B!P112)</f>
        <v>151212</v>
      </c>
      <c r="Q112" s="65">
        <f>SUM(A:B!Q112)</f>
        <v>150469</v>
      </c>
      <c r="R112" s="65">
        <f>SUM(A:B!R112)</f>
        <v>140474</v>
      </c>
      <c r="S112" s="65">
        <f>SUM(A:B!S112)</f>
        <v>146052.66666666669</v>
      </c>
      <c r="T112" s="65">
        <f>SUM(A:B!T112)</f>
        <v>145665.22222222222</v>
      </c>
      <c r="U112" s="65">
        <f>SUM(A:B!U112)</f>
        <v>144063.96296296298</v>
      </c>
      <c r="V112" s="11">
        <f>SUM(J112:U112)</f>
        <v>1707141.8518518519</v>
      </c>
      <c r="W112" s="73">
        <f t="shared" si="23"/>
        <v>1.9049438038868309E-3</v>
      </c>
      <c r="X112" s="89"/>
      <c r="Y112" s="65">
        <f>SUM(A:B!Y112)</f>
        <v>169917.51940812453</v>
      </c>
      <c r="Z112" s="65">
        <f>SUM(A:B!Z112)</f>
        <v>154787.53538664515</v>
      </c>
      <c r="AA112" s="65">
        <f>SUM(A:B!AA112)</f>
        <v>169917.51940812453</v>
      </c>
      <c r="AB112" s="65">
        <f>SUM(A:B!AB112)</f>
        <v>161342.33738586621</v>
      </c>
      <c r="AC112" s="65">
        <f>SUM(A:B!AC112)</f>
        <v>169917.51940812453</v>
      </c>
      <c r="AD112" s="65">
        <f>SUM(A:B!AD112)</f>
        <v>161342.33738586621</v>
      </c>
      <c r="AE112" s="65">
        <f>SUM(A:B!AE112)</f>
        <v>166385.66539302596</v>
      </c>
      <c r="AF112" s="65">
        <f>SUM(A:B!AF112)</f>
        <v>166385.66539302596</v>
      </c>
      <c r="AG112" s="65">
        <f>SUM(A:B!AG112)</f>
        <v>164874.19140096477</v>
      </c>
      <c r="AH112" s="65">
        <f>SUM(A:B!AH112)</f>
        <v>166385.66539302596</v>
      </c>
      <c r="AI112" s="65">
        <f>SUM(A:B!AI112)</f>
        <v>164874.19140096477</v>
      </c>
      <c r="AJ112" s="65">
        <f>SUM(A:B!AJ112)</f>
        <v>169917.51940812453</v>
      </c>
      <c r="AK112" s="65">
        <f t="shared" si="30"/>
        <v>1986047.6667718831</v>
      </c>
      <c r="AL112" s="73">
        <f t="shared" si="25"/>
        <v>2.0619730631832459E-3</v>
      </c>
      <c r="AM112" s="14">
        <f t="shared" si="32"/>
        <v>0.16337588737425857</v>
      </c>
    </row>
    <row r="113" spans="1:67" collapsed="1">
      <c r="A113" s="12" t="s">
        <v>221</v>
      </c>
      <c r="B113" s="8" t="s">
        <v>88</v>
      </c>
      <c r="C113" s="8" t="s">
        <v>222</v>
      </c>
      <c r="I113" s="167" t="s">
        <v>223</v>
      </c>
      <c r="J113" s="15">
        <f t="shared" ref="J113:V113" si="35">SUM(J114:J148)</f>
        <v>1944628</v>
      </c>
      <c r="K113" s="15">
        <f t="shared" si="35"/>
        <v>622887</v>
      </c>
      <c r="L113" s="15">
        <f t="shared" si="35"/>
        <v>1207061</v>
      </c>
      <c r="M113" s="15">
        <f t="shared" si="35"/>
        <v>1591434</v>
      </c>
      <c r="N113" s="15">
        <f t="shared" si="35"/>
        <v>1678883</v>
      </c>
      <c r="O113" s="15">
        <f t="shared" si="35"/>
        <v>1606822</v>
      </c>
      <c r="P113" s="15">
        <f t="shared" si="35"/>
        <v>1318891</v>
      </c>
      <c r="Q113" s="15">
        <f t="shared" si="35"/>
        <v>1825422</v>
      </c>
      <c r="R113" s="15">
        <f t="shared" si="35"/>
        <v>902697</v>
      </c>
      <c r="S113" s="15">
        <f t="shared" si="35"/>
        <v>1269517.0866163792</v>
      </c>
      <c r="T113" s="15">
        <f t="shared" si="35"/>
        <v>1043255.2543058625</v>
      </c>
      <c r="U113" s="15">
        <f t="shared" si="35"/>
        <v>1138704.8626629356</v>
      </c>
      <c r="V113" s="15">
        <f t="shared" si="35"/>
        <v>16150202.203585178</v>
      </c>
      <c r="W113" s="72">
        <f t="shared" si="23"/>
        <v>1.8021482857951087E-2</v>
      </c>
      <c r="X113" s="89"/>
      <c r="Y113" s="15">
        <f t="shared" ref="Y113:AK113" si="36">SUM(Y114:Y148)</f>
        <v>1739399.8894428334</v>
      </c>
      <c r="Z113" s="15">
        <f t="shared" si="36"/>
        <v>1904848.2301388714</v>
      </c>
      <c r="AA113" s="15">
        <f t="shared" si="36"/>
        <v>1560136.3774948493</v>
      </c>
      <c r="AB113" s="15">
        <f t="shared" si="36"/>
        <v>1078267.0210755875</v>
      </c>
      <c r="AC113" s="15">
        <f t="shared" si="36"/>
        <v>1262590.0750978638</v>
      </c>
      <c r="AD113" s="15">
        <f t="shared" si="36"/>
        <v>1165974.6807592486</v>
      </c>
      <c r="AE113" s="15">
        <f t="shared" si="36"/>
        <v>1669778.8946219448</v>
      </c>
      <c r="AF113" s="15">
        <f t="shared" si="36"/>
        <v>1717124.7418898742</v>
      </c>
      <c r="AG113" s="15">
        <f t="shared" si="36"/>
        <v>1346954.1738077919</v>
      </c>
      <c r="AH113" s="15">
        <f t="shared" si="36"/>
        <v>1108038.1225545001</v>
      </c>
      <c r="AI113" s="15">
        <f t="shared" si="36"/>
        <v>1247088.2702988905</v>
      </c>
      <c r="AJ113" s="15">
        <f t="shared" si="36"/>
        <v>1117307.7190265255</v>
      </c>
      <c r="AK113" s="15">
        <f t="shared" si="36"/>
        <v>16917508.196208779</v>
      </c>
      <c r="AL113" s="15">
        <f t="shared" si="25"/>
        <v>1.7564254262569516E-2</v>
      </c>
      <c r="AM113" s="15">
        <f t="shared" si="32"/>
        <v>4.7510612124303186E-2</v>
      </c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72"/>
      <c r="AY113" s="89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72"/>
      <c r="BN113" s="10"/>
      <c r="BO113" s="10"/>
    </row>
    <row r="114" spans="1:67" hidden="1" outlineLevel="1">
      <c r="A114" s="12" t="s">
        <v>221</v>
      </c>
      <c r="B114" s="8" t="s">
        <v>88</v>
      </c>
      <c r="E114" s="7" t="s">
        <v>224</v>
      </c>
      <c r="I114" s="246" t="s">
        <v>225</v>
      </c>
      <c r="J114" s="65">
        <f>SUM(A:B!J114)</f>
        <v>1504503</v>
      </c>
      <c r="K114" s="65">
        <f>SUM(A:B!K114)</f>
        <v>367188</v>
      </c>
      <c r="L114" s="65">
        <f>SUM(A:B!L114)</f>
        <v>887908</v>
      </c>
      <c r="M114" s="65">
        <f>SUM(A:B!M114)</f>
        <v>1170737</v>
      </c>
      <c r="N114" s="65">
        <f>SUM(A:B!N114)</f>
        <v>1189884</v>
      </c>
      <c r="O114" s="65">
        <f>SUM(A:B!O114)</f>
        <v>1127202</v>
      </c>
      <c r="P114" s="65">
        <f>SUM(A:B!P114)</f>
        <v>972987</v>
      </c>
      <c r="Q114" s="65">
        <f>SUM(A:B!Q114)</f>
        <v>1346770</v>
      </c>
      <c r="R114" s="65">
        <f>SUM(A:B!R114)</f>
        <v>583554</v>
      </c>
      <c r="S114" s="65">
        <f>SUM(A:B!S114)</f>
        <v>767012.25221637916</v>
      </c>
      <c r="T114" s="65">
        <f>SUM(A:B!T114)</f>
        <v>858960.19830586249</v>
      </c>
      <c r="U114" s="65">
        <f>SUM(A:B!U114)</f>
        <v>903366.77706293564</v>
      </c>
      <c r="V114" s="11">
        <f>SUM(J114:U114)</f>
        <v>11680072.227585178</v>
      </c>
      <c r="W114" s="73">
        <f t="shared" si="23"/>
        <v>1.3033410899482718E-2</v>
      </c>
      <c r="X114" s="89"/>
      <c r="Y114" s="65">
        <f>SUM(A:B!Y114)</f>
        <v>1160999.2644671332</v>
      </c>
      <c r="Z114" s="65">
        <f>SUM(A:B!Z114)</f>
        <v>1243723.4348151523</v>
      </c>
      <c r="AA114" s="65">
        <f>SUM(A:B!AA114)</f>
        <v>1073382.8027169001</v>
      </c>
      <c r="AB114" s="65">
        <f>SUM(A:B!AB114)</f>
        <v>854691.77514669287</v>
      </c>
      <c r="AC114" s="65">
        <f>SUM(A:B!AC114)</f>
        <v>939319.97630956373</v>
      </c>
      <c r="AD114" s="65">
        <f>SUM(A:B!AD114)</f>
        <v>928337.61479389947</v>
      </c>
      <c r="AE114" s="65">
        <f>SUM(A:B!AE114)</f>
        <v>1173501.1441915941</v>
      </c>
      <c r="AF114" s="65">
        <f>SUM(A:B!AF114)</f>
        <v>1193770.7349172796</v>
      </c>
      <c r="AG114" s="65">
        <f>SUM(A:B!AG114)</f>
        <v>1016881.0982591407</v>
      </c>
      <c r="AH114" s="65">
        <f>SUM(A:B!AH114)</f>
        <v>889846.40688424034</v>
      </c>
      <c r="AI114" s="65">
        <f>SUM(A:B!AI114)</f>
        <v>961216.03639454476</v>
      </c>
      <c r="AJ114" s="65">
        <f>SUM(A:B!AJ114)</f>
        <v>883733.42055393092</v>
      </c>
      <c r="AK114" s="124">
        <f t="shared" si="30"/>
        <v>12319403.709450072</v>
      </c>
      <c r="AL114" s="73">
        <f t="shared" si="25"/>
        <v>1.2790367033161196E-2</v>
      </c>
      <c r="AM114" s="14">
        <f t="shared" si="32"/>
        <v>5.4736945920160096E-2</v>
      </c>
      <c r="AN114" s="9">
        <f>+AK114-V114</f>
        <v>639331.48186489381</v>
      </c>
      <c r="AO114" s="255" t="s">
        <v>226</v>
      </c>
    </row>
    <row r="115" spans="1:67" hidden="1" outlineLevel="1">
      <c r="A115" s="12"/>
      <c r="I115" s="246" t="s">
        <v>227</v>
      </c>
      <c r="J115" s="65">
        <f>SUM(A:B!J115)</f>
        <v>0</v>
      </c>
      <c r="K115" s="65">
        <f>SUM(A:B!K115)</f>
        <v>47480</v>
      </c>
      <c r="L115" s="65">
        <f>SUM(A:B!L115)</f>
        <v>7374</v>
      </c>
      <c r="M115" s="65">
        <f>SUM(A:B!M115)</f>
        <v>95504</v>
      </c>
      <c r="N115" s="65">
        <f>SUM(A:B!N115)</f>
        <v>39848</v>
      </c>
      <c r="O115" s="65">
        <f>SUM(A:B!O115)</f>
        <v>8000</v>
      </c>
      <c r="P115" s="65">
        <f>SUM(A:B!P115)</f>
        <v>23490</v>
      </c>
      <c r="Q115" s="65">
        <f>SUM(A:B!Q115)</f>
        <v>26000</v>
      </c>
      <c r="R115" s="65">
        <f>SUM(A:B!R115)</f>
        <v>35390</v>
      </c>
      <c r="S115" s="65">
        <f>SUM(A:B!S115)</f>
        <v>32662.720000000001</v>
      </c>
      <c r="T115" s="65">
        <f>SUM(A:B!T115)</f>
        <v>25235.600000000002</v>
      </c>
      <c r="U115" s="65">
        <f>SUM(A:B!U115)</f>
        <v>25235.600000000002</v>
      </c>
      <c r="V115" s="11">
        <f t="shared" ref="V115:V148" si="37">SUM(J115:U115)</f>
        <v>366219.91999999993</v>
      </c>
      <c r="W115" s="73">
        <f t="shared" si="23"/>
        <v>4.086528408328612E-4</v>
      </c>
      <c r="X115" s="89"/>
      <c r="Y115" s="65">
        <f>SUM(A:B!Y115)</f>
        <v>31638.391899999995</v>
      </c>
      <c r="Z115" s="65">
        <f>SUM(A:B!Z115)</f>
        <v>31638.391899999995</v>
      </c>
      <c r="AA115" s="65">
        <f>SUM(A:B!AA115)</f>
        <v>31638.391899999995</v>
      </c>
      <c r="AB115" s="65">
        <f>SUM(A:B!AB115)</f>
        <v>31638.391899999995</v>
      </c>
      <c r="AC115" s="65">
        <f>SUM(A:B!AC115)</f>
        <v>31638.391899999995</v>
      </c>
      <c r="AD115" s="65">
        <f>SUM(A:B!AD115)</f>
        <v>31638.391899999995</v>
      </c>
      <c r="AE115" s="65">
        <f>SUM(A:B!AE115)</f>
        <v>31638.391899999995</v>
      </c>
      <c r="AF115" s="65">
        <f>SUM(A:B!AF115)</f>
        <v>31638.391899999995</v>
      </c>
      <c r="AG115" s="65">
        <f>SUM(A:B!AG115)</f>
        <v>31638.391899999995</v>
      </c>
      <c r="AH115" s="65">
        <f>SUM(A:B!AH115)</f>
        <v>31638.391899999995</v>
      </c>
      <c r="AI115" s="65">
        <f>SUM(A:B!AI115)</f>
        <v>31638.391899999995</v>
      </c>
      <c r="AJ115" s="65">
        <f>SUM(A:B!AJ115)</f>
        <v>31638.391899999995</v>
      </c>
      <c r="AK115" s="124">
        <f t="shared" si="30"/>
        <v>379660.70279999991</v>
      </c>
      <c r="AL115" s="73">
        <f t="shared" si="25"/>
        <v>3.941749009454856E-4</v>
      </c>
      <c r="AM115" s="14">
        <f t="shared" si="32"/>
        <v>3.6701397346162956E-2</v>
      </c>
    </row>
    <row r="116" spans="1:67" hidden="1" outlineLevel="1">
      <c r="A116" s="12"/>
      <c r="I116" s="246" t="s">
        <v>228</v>
      </c>
      <c r="J116" s="65">
        <f>SUM(A:B!J116)</f>
        <v>0</v>
      </c>
      <c r="K116" s="65">
        <f>SUM(A:B!K116)</f>
        <v>0</v>
      </c>
      <c r="L116" s="65">
        <f>SUM(A:B!L116)</f>
        <v>0</v>
      </c>
      <c r="M116" s="65">
        <f>SUM(A:B!M116)</f>
        <v>0</v>
      </c>
      <c r="N116" s="65">
        <f>SUM(A:B!N116)</f>
        <v>0</v>
      </c>
      <c r="O116" s="65">
        <f>SUM(A:B!O116)</f>
        <v>0</v>
      </c>
      <c r="P116" s="65">
        <f>SUM(A:B!P116)</f>
        <v>0</v>
      </c>
      <c r="Q116" s="65">
        <f>SUM(A:B!Q116)</f>
        <v>0</v>
      </c>
      <c r="R116" s="65">
        <f>SUM(A:B!R116)</f>
        <v>0</v>
      </c>
      <c r="S116" s="65">
        <f>SUM(A:B!S116)</f>
        <v>0</v>
      </c>
      <c r="T116" s="65">
        <f>SUM(A:B!T116)</f>
        <v>0</v>
      </c>
      <c r="U116" s="65">
        <f>SUM(A:B!U116)</f>
        <v>0</v>
      </c>
      <c r="V116" s="11">
        <f t="shared" si="37"/>
        <v>0</v>
      </c>
      <c r="W116" s="73">
        <f t="shared" si="23"/>
        <v>0</v>
      </c>
      <c r="X116" s="89"/>
      <c r="Y116" s="65">
        <f>SUM(A:B!Y116)</f>
        <v>0</v>
      </c>
      <c r="Z116" s="65">
        <f>SUM(A:B!Z116)</f>
        <v>0</v>
      </c>
      <c r="AA116" s="65">
        <f>SUM(A:B!AA116)</f>
        <v>0</v>
      </c>
      <c r="AB116" s="65">
        <f>SUM(A:B!AB116)</f>
        <v>0</v>
      </c>
      <c r="AC116" s="65">
        <f>SUM(A:B!AC116)</f>
        <v>0</v>
      </c>
      <c r="AD116" s="65">
        <f>SUM(A:B!AD116)</f>
        <v>0</v>
      </c>
      <c r="AE116" s="65">
        <f>SUM(A:B!AE116)</f>
        <v>0</v>
      </c>
      <c r="AF116" s="65">
        <f>SUM(A:B!AF116)</f>
        <v>0</v>
      </c>
      <c r="AG116" s="65">
        <f>SUM(A:B!AG116)</f>
        <v>0</v>
      </c>
      <c r="AH116" s="65">
        <f>SUM(A:B!AH116)</f>
        <v>0</v>
      </c>
      <c r="AI116" s="65">
        <f>SUM(A:B!AI116)</f>
        <v>0</v>
      </c>
      <c r="AJ116" s="65">
        <f>SUM(A:B!AJ116)</f>
        <v>0</v>
      </c>
      <c r="AK116" s="124">
        <f t="shared" si="30"/>
        <v>0</v>
      </c>
      <c r="AL116" s="73">
        <f t="shared" si="25"/>
        <v>0</v>
      </c>
      <c r="AM116" s="14">
        <f t="shared" si="32"/>
        <v>0</v>
      </c>
    </row>
    <row r="117" spans="1:67" hidden="1" outlineLevel="1">
      <c r="A117" s="12"/>
      <c r="I117" s="246" t="s">
        <v>229</v>
      </c>
      <c r="J117" s="65">
        <f>SUM(A:B!J117)</f>
        <v>0</v>
      </c>
      <c r="K117" s="65">
        <f>SUM(A:B!K117)</f>
        <v>0</v>
      </c>
      <c r="L117" s="65">
        <f>SUM(A:B!L117)</f>
        <v>0</v>
      </c>
      <c r="M117" s="65">
        <f>SUM(A:B!M117)</f>
        <v>0</v>
      </c>
      <c r="N117" s="65">
        <f>SUM(A:B!N117)</f>
        <v>0</v>
      </c>
      <c r="O117" s="65">
        <f>SUM(A:B!O117)</f>
        <v>0</v>
      </c>
      <c r="P117" s="65">
        <f>SUM(A:B!P117)</f>
        <v>0</v>
      </c>
      <c r="Q117" s="65">
        <f>SUM(A:B!Q117)</f>
        <v>0</v>
      </c>
      <c r="R117" s="65">
        <f>SUM(A:B!R117)</f>
        <v>0</v>
      </c>
      <c r="S117" s="65">
        <f>SUM(A:B!S117)</f>
        <v>0</v>
      </c>
      <c r="T117" s="65">
        <f>SUM(A:B!T117)</f>
        <v>0</v>
      </c>
      <c r="U117" s="65">
        <f>SUM(A:B!U117)</f>
        <v>0</v>
      </c>
      <c r="V117" s="11">
        <f t="shared" si="37"/>
        <v>0</v>
      </c>
      <c r="W117" s="73">
        <f t="shared" si="23"/>
        <v>0</v>
      </c>
      <c r="X117" s="89"/>
      <c r="Y117" s="65">
        <f>SUM(A:B!Y117)</f>
        <v>0</v>
      </c>
      <c r="Z117" s="65">
        <f>SUM(A:B!Z117)</f>
        <v>0</v>
      </c>
      <c r="AA117" s="65">
        <f>SUM(A:B!AA117)</f>
        <v>0</v>
      </c>
      <c r="AB117" s="65">
        <f>SUM(A:B!AB117)</f>
        <v>0</v>
      </c>
      <c r="AC117" s="65">
        <f>SUM(A:B!AC117)</f>
        <v>0</v>
      </c>
      <c r="AD117" s="65">
        <f>SUM(A:B!AD117)</f>
        <v>0</v>
      </c>
      <c r="AE117" s="65">
        <f>SUM(A:B!AE117)</f>
        <v>0</v>
      </c>
      <c r="AF117" s="65">
        <f>SUM(A:B!AF117)</f>
        <v>0</v>
      </c>
      <c r="AG117" s="65">
        <f>SUM(A:B!AG117)</f>
        <v>0</v>
      </c>
      <c r="AH117" s="65">
        <f>SUM(A:B!AH117)</f>
        <v>0</v>
      </c>
      <c r="AI117" s="65">
        <f>SUM(A:B!AI117)</f>
        <v>0</v>
      </c>
      <c r="AJ117" s="65">
        <f>SUM(A:B!AJ117)</f>
        <v>0</v>
      </c>
      <c r="AK117" s="124">
        <f t="shared" si="30"/>
        <v>0</v>
      </c>
      <c r="AL117" s="73">
        <f t="shared" si="25"/>
        <v>0</v>
      </c>
      <c r="AM117" s="14">
        <f t="shared" si="32"/>
        <v>0</v>
      </c>
      <c r="AN117" s="9">
        <f>+AK117-V117</f>
        <v>0</v>
      </c>
      <c r="AO117" s="1" t="s">
        <v>230</v>
      </c>
    </row>
    <row r="118" spans="1:67" hidden="1" outlineLevel="1">
      <c r="A118" s="12"/>
      <c r="I118" s="246" t="s">
        <v>231</v>
      </c>
      <c r="J118" s="65">
        <f>SUM(A:B!J118)</f>
        <v>0</v>
      </c>
      <c r="K118" s="65">
        <f>SUM(A:B!K118)</f>
        <v>0</v>
      </c>
      <c r="L118" s="65">
        <f>SUM(A:B!L118)</f>
        <v>0</v>
      </c>
      <c r="M118" s="65">
        <f>SUM(A:B!M118)</f>
        <v>0</v>
      </c>
      <c r="N118" s="65">
        <f>SUM(A:B!N118)</f>
        <v>0</v>
      </c>
      <c r="O118" s="65">
        <f>SUM(A:B!O118)</f>
        <v>0</v>
      </c>
      <c r="P118" s="65">
        <f>SUM(A:B!P118)</f>
        <v>0</v>
      </c>
      <c r="Q118" s="65">
        <f>SUM(A:B!Q118)</f>
        <v>0</v>
      </c>
      <c r="R118" s="65">
        <f>SUM(A:B!R118)</f>
        <v>105560</v>
      </c>
      <c r="S118" s="65">
        <f>SUM(A:B!S118)</f>
        <v>0</v>
      </c>
      <c r="T118" s="65">
        <f>SUM(A:B!T118)</f>
        <v>0</v>
      </c>
      <c r="U118" s="65">
        <f>SUM(A:B!U118)</f>
        <v>0</v>
      </c>
      <c r="V118" s="11">
        <f t="shared" si="37"/>
        <v>105560</v>
      </c>
      <c r="W118" s="73">
        <f t="shared" si="23"/>
        <v>1.177909543487335E-4</v>
      </c>
      <c r="X118" s="89"/>
      <c r="Y118" s="65">
        <f>SUM(A:B!Y118)</f>
        <v>0</v>
      </c>
      <c r="Z118" s="65">
        <f>SUM(A:B!Z118)</f>
        <v>253599.5</v>
      </c>
      <c r="AA118" s="65">
        <f>SUM(A:B!AA118)</f>
        <v>0</v>
      </c>
      <c r="AB118" s="65">
        <f>SUM(A:B!AB118)</f>
        <v>0</v>
      </c>
      <c r="AC118" s="65">
        <f>SUM(A:B!AC118)</f>
        <v>0</v>
      </c>
      <c r="AD118" s="65">
        <f>SUM(A:B!AD118)</f>
        <v>0</v>
      </c>
      <c r="AE118" s="65">
        <f>SUM(A:B!AE118)</f>
        <v>0</v>
      </c>
      <c r="AF118" s="65">
        <f>SUM(A:B!AF118)</f>
        <v>0</v>
      </c>
      <c r="AG118" s="65">
        <f>SUM(A:B!AG118)</f>
        <v>0</v>
      </c>
      <c r="AH118" s="65">
        <f>SUM(A:B!AH118)</f>
        <v>0</v>
      </c>
      <c r="AI118" s="65">
        <f>SUM(A:B!AI118)</f>
        <v>0</v>
      </c>
      <c r="AJ118" s="65">
        <f>SUM(A:B!AJ118)</f>
        <v>0</v>
      </c>
      <c r="AK118" s="124">
        <f t="shared" si="30"/>
        <v>253599.5</v>
      </c>
      <c r="AL118" s="73">
        <f t="shared" si="25"/>
        <v>2.6329445490434018E-4</v>
      </c>
      <c r="AM118" s="14">
        <f t="shared" si="32"/>
        <v>1.402420424403183</v>
      </c>
      <c r="AN118" s="9">
        <f>+AK118-V118</f>
        <v>148039.5</v>
      </c>
    </row>
    <row r="119" spans="1:67" hidden="1" outlineLevel="1">
      <c r="A119" s="12"/>
      <c r="I119" s="246" t="s">
        <v>232</v>
      </c>
      <c r="J119" s="65">
        <f>SUM(A:B!J119)</f>
        <v>0</v>
      </c>
      <c r="K119" s="65">
        <f>SUM(A:B!K119)</f>
        <v>18055</v>
      </c>
      <c r="L119" s="65">
        <f>SUM(A:B!L119)</f>
        <v>0</v>
      </c>
      <c r="M119" s="65">
        <f>SUM(A:B!M119)</f>
        <v>15400</v>
      </c>
      <c r="N119" s="65">
        <f>SUM(A:B!N119)</f>
        <v>0</v>
      </c>
      <c r="O119" s="65">
        <f>SUM(A:B!O119)</f>
        <v>0</v>
      </c>
      <c r="P119" s="65">
        <f>SUM(A:B!P119)</f>
        <v>67884</v>
      </c>
      <c r="Q119" s="65">
        <f>SUM(A:B!Q119)</f>
        <v>48300</v>
      </c>
      <c r="R119" s="65">
        <f>SUM(A:B!R119)</f>
        <v>0</v>
      </c>
      <c r="S119" s="65">
        <f>SUM(A:B!S119)</f>
        <v>0</v>
      </c>
      <c r="T119" s="65">
        <f>SUM(A:B!T119)</f>
        <v>0</v>
      </c>
      <c r="U119" s="65">
        <f>SUM(A:B!U119)</f>
        <v>0</v>
      </c>
      <c r="V119" s="11">
        <f t="shared" si="37"/>
        <v>149639</v>
      </c>
      <c r="W119" s="73">
        <f t="shared" si="23"/>
        <v>1.6697726996769735E-4</v>
      </c>
      <c r="X119" s="89"/>
      <c r="Y119" s="65">
        <f>SUM(A:B!Y119)</f>
        <v>0</v>
      </c>
      <c r="Z119" s="65">
        <f>SUM(A:B!Z119)</f>
        <v>0</v>
      </c>
      <c r="AA119" s="65">
        <f>SUM(A:B!AA119)</f>
        <v>0</v>
      </c>
      <c r="AB119" s="65">
        <f>SUM(A:B!AB119)</f>
        <v>0</v>
      </c>
      <c r="AC119" s="65">
        <f>SUM(A:B!AC119)</f>
        <v>0</v>
      </c>
      <c r="AD119" s="65">
        <f>SUM(A:B!AD119)</f>
        <v>0</v>
      </c>
      <c r="AE119" s="65">
        <f>SUM(A:B!AE119)</f>
        <v>155188.40259999997</v>
      </c>
      <c r="AF119" s="65">
        <f>SUM(A:B!AF119)</f>
        <v>0</v>
      </c>
      <c r="AG119" s="65">
        <f>SUM(A:B!AG119)</f>
        <v>0</v>
      </c>
      <c r="AH119" s="65">
        <f>SUM(A:B!AH119)</f>
        <v>0</v>
      </c>
      <c r="AI119" s="65">
        <f>SUM(A:B!AI119)</f>
        <v>0</v>
      </c>
      <c r="AJ119" s="65">
        <f>SUM(A:B!AJ119)</f>
        <v>0</v>
      </c>
      <c r="AK119" s="124">
        <f t="shared" si="30"/>
        <v>155188.40259999997</v>
      </c>
      <c r="AL119" s="73">
        <f t="shared" si="25"/>
        <v>1.6112116100403307E-4</v>
      </c>
      <c r="AM119" s="14">
        <f t="shared" si="32"/>
        <v>3.7085269214576222E-2</v>
      </c>
    </row>
    <row r="120" spans="1:67" hidden="1" outlineLevel="1">
      <c r="A120" s="12"/>
      <c r="I120" s="246" t="s">
        <v>233</v>
      </c>
      <c r="J120" s="65">
        <f>SUM(A:B!J120)</f>
        <v>0</v>
      </c>
      <c r="K120" s="65">
        <f>SUM(A:B!K120)</f>
        <v>0</v>
      </c>
      <c r="L120" s="65">
        <f>SUM(A:B!L120)</f>
        <v>0</v>
      </c>
      <c r="M120" s="65">
        <f>SUM(A:B!M120)</f>
        <v>0</v>
      </c>
      <c r="N120" s="65">
        <f>SUM(A:B!N120)</f>
        <v>0</v>
      </c>
      <c r="O120" s="65">
        <f>SUM(A:B!O120)</f>
        <v>0</v>
      </c>
      <c r="P120" s="65">
        <f>SUM(A:B!P120)</f>
        <v>0</v>
      </c>
      <c r="Q120" s="65">
        <f>SUM(A:B!Q120)</f>
        <v>0</v>
      </c>
      <c r="R120" s="65">
        <f>SUM(A:B!R120)</f>
        <v>0</v>
      </c>
      <c r="S120" s="65">
        <f>SUM(A:B!S120)</f>
        <v>0</v>
      </c>
      <c r="T120" s="65">
        <f>SUM(A:B!T120)</f>
        <v>0</v>
      </c>
      <c r="U120" s="65">
        <f>SUM(A:B!U120)</f>
        <v>0</v>
      </c>
      <c r="V120" s="11">
        <f t="shared" si="37"/>
        <v>0</v>
      </c>
      <c r="W120" s="73">
        <f>V120/V$6</f>
        <v>0</v>
      </c>
      <c r="X120" s="89"/>
      <c r="Y120" s="65">
        <f>SUM(A:B!Y120)</f>
        <v>0</v>
      </c>
      <c r="Z120" s="65">
        <f>SUM(A:B!Z120)</f>
        <v>0</v>
      </c>
      <c r="AA120" s="65">
        <f>SUM(A:B!AA120)</f>
        <v>0</v>
      </c>
      <c r="AB120" s="65">
        <f>SUM(A:B!AB120)</f>
        <v>0</v>
      </c>
      <c r="AC120" s="65">
        <f>SUM(A:B!AC120)</f>
        <v>0</v>
      </c>
      <c r="AD120" s="65">
        <f>SUM(A:B!AD120)</f>
        <v>0</v>
      </c>
      <c r="AE120" s="65">
        <f>SUM(A:B!AE120)</f>
        <v>0</v>
      </c>
      <c r="AF120" s="65">
        <f>SUM(A:B!AF120)</f>
        <v>0</v>
      </c>
      <c r="AG120" s="65">
        <f>SUM(A:B!AG120)</f>
        <v>0</v>
      </c>
      <c r="AH120" s="65">
        <f>SUM(A:B!AH120)</f>
        <v>0</v>
      </c>
      <c r="AI120" s="65">
        <f>SUM(A:B!AI120)</f>
        <v>0</v>
      </c>
      <c r="AJ120" s="65">
        <f>SUM(A:B!AJ120)</f>
        <v>0</v>
      </c>
      <c r="AK120" s="124">
        <f t="shared" si="30"/>
        <v>0</v>
      </c>
      <c r="AL120" s="73">
        <f>AK120/AK$6</f>
        <v>0</v>
      </c>
      <c r="AM120" s="14">
        <f>IFERROR(AK120/V120-1,0)</f>
        <v>0</v>
      </c>
    </row>
    <row r="121" spans="1:67" hidden="1" outlineLevel="1">
      <c r="A121" s="12"/>
      <c r="I121" s="246" t="s">
        <v>234</v>
      </c>
      <c r="J121" s="65">
        <f>SUM(A:B!J121)</f>
        <v>263816</v>
      </c>
      <c r="K121" s="65">
        <f>SUM(A:B!K121)</f>
        <v>0</v>
      </c>
      <c r="L121" s="65">
        <f>SUM(A:B!L121)</f>
        <v>0</v>
      </c>
      <c r="M121" s="65">
        <f>SUM(A:B!M121)</f>
        <v>12480</v>
      </c>
      <c r="N121" s="65">
        <f>SUM(A:B!N121)</f>
        <v>0</v>
      </c>
      <c r="O121" s="65">
        <f>SUM(A:B!O121)</f>
        <v>0</v>
      </c>
      <c r="P121" s="65">
        <f>SUM(A:B!P121)</f>
        <v>0</v>
      </c>
      <c r="Q121" s="65">
        <f>SUM(A:B!Q121)</f>
        <v>0</v>
      </c>
      <c r="R121" s="65">
        <f>SUM(A:B!R121)</f>
        <v>0</v>
      </c>
      <c r="S121" s="65">
        <f>SUM(A:B!S121)</f>
        <v>0</v>
      </c>
      <c r="T121" s="65">
        <f>SUM(A:B!T121)</f>
        <v>0</v>
      </c>
      <c r="U121" s="65">
        <f>SUM(A:B!U121)</f>
        <v>0</v>
      </c>
      <c r="V121" s="11">
        <f t="shared" si="37"/>
        <v>276296</v>
      </c>
      <c r="W121" s="73">
        <f t="shared" ref="W121:W137" si="38">V121/V$6</f>
        <v>3.0830967717637053E-4</v>
      </c>
      <c r="X121" s="89"/>
      <c r="Y121" s="65">
        <f>SUM(A:B!Y121)</f>
        <v>273075.94160000002</v>
      </c>
      <c r="Z121" s="65">
        <f>SUM(A:B!Z121)</f>
        <v>0</v>
      </c>
      <c r="AA121" s="65">
        <f>SUM(A:B!AA121)</f>
        <v>0</v>
      </c>
      <c r="AB121" s="65">
        <f>SUM(A:B!AB121)</f>
        <v>0</v>
      </c>
      <c r="AC121" s="65">
        <f>SUM(A:B!AC121)</f>
        <v>0</v>
      </c>
      <c r="AD121" s="65">
        <f>SUM(A:B!AD121)</f>
        <v>0</v>
      </c>
      <c r="AE121" s="65">
        <f>SUM(A:B!AE121)</f>
        <v>0</v>
      </c>
      <c r="AF121" s="65">
        <f>SUM(A:B!AF121)</f>
        <v>0</v>
      </c>
      <c r="AG121" s="65">
        <f>SUM(A:B!AG121)</f>
        <v>0</v>
      </c>
      <c r="AH121" s="65">
        <f>SUM(A:B!AH121)</f>
        <v>0</v>
      </c>
      <c r="AI121" s="65">
        <f>SUM(A:B!AI121)</f>
        <v>0</v>
      </c>
      <c r="AJ121" s="65">
        <f>SUM(A:B!AJ121)</f>
        <v>0</v>
      </c>
      <c r="AK121" s="124">
        <f t="shared" si="30"/>
        <v>273075.94160000002</v>
      </c>
      <c r="AL121" s="73">
        <f t="shared" ref="AL121:AL139" si="39">AK121/AK$6</f>
        <v>2.8351546904099352E-4</v>
      </c>
      <c r="AM121" s="14">
        <f t="shared" ref="AM121:AM139" si="40">IFERROR(AK121/V121-1,0)</f>
        <v>-1.1654379361264677E-2</v>
      </c>
    </row>
    <row r="122" spans="1:67" hidden="1" outlineLevel="1">
      <c r="A122" s="12"/>
      <c r="I122" s="246" t="s">
        <v>235</v>
      </c>
      <c r="J122" s="65">
        <f>SUM(A:B!J122)</f>
        <v>0</v>
      </c>
      <c r="K122" s="65">
        <f>SUM(A:B!K122)</f>
        <v>0</v>
      </c>
      <c r="L122" s="65">
        <f>SUM(A:B!L122)</f>
        <v>0</v>
      </c>
      <c r="M122" s="65">
        <f>SUM(A:B!M122)</f>
        <v>0</v>
      </c>
      <c r="N122" s="65">
        <f>SUM(A:B!N122)</f>
        <v>0</v>
      </c>
      <c r="O122" s="65">
        <f>SUM(A:B!O122)</f>
        <v>0</v>
      </c>
      <c r="P122" s="65">
        <f>SUM(A:B!P122)</f>
        <v>0</v>
      </c>
      <c r="Q122" s="65">
        <f>SUM(A:B!Q122)</f>
        <v>0</v>
      </c>
      <c r="R122" s="65">
        <f>SUM(A:B!R122)</f>
        <v>0</v>
      </c>
      <c r="S122" s="65">
        <f>SUM(A:B!S122)</f>
        <v>0</v>
      </c>
      <c r="T122" s="65">
        <f>SUM(A:B!T122)</f>
        <v>0</v>
      </c>
      <c r="U122" s="65">
        <f>SUM(A:B!U122)</f>
        <v>0</v>
      </c>
      <c r="V122" s="11">
        <f t="shared" si="37"/>
        <v>0</v>
      </c>
      <c r="W122" s="73">
        <f t="shared" si="38"/>
        <v>0</v>
      </c>
      <c r="X122" s="89"/>
      <c r="Y122" s="65">
        <f>SUM(A:B!Y122)</f>
        <v>0</v>
      </c>
      <c r="Z122" s="65">
        <f>SUM(A:B!Z122)</f>
        <v>0</v>
      </c>
      <c r="AA122" s="65">
        <f>SUM(A:B!AA122)</f>
        <v>0</v>
      </c>
      <c r="AB122" s="65">
        <f>SUM(A:B!AB122)</f>
        <v>0</v>
      </c>
      <c r="AC122" s="65">
        <f>SUM(A:B!AC122)</f>
        <v>0</v>
      </c>
      <c r="AD122" s="65">
        <f>SUM(A:B!AD122)</f>
        <v>0</v>
      </c>
      <c r="AE122" s="65">
        <f>SUM(A:B!AE122)</f>
        <v>0</v>
      </c>
      <c r="AF122" s="65">
        <f>SUM(A:B!AF122)</f>
        <v>0</v>
      </c>
      <c r="AG122" s="65">
        <f>SUM(A:B!AG122)</f>
        <v>0</v>
      </c>
      <c r="AH122" s="65">
        <f>SUM(A:B!AH122)</f>
        <v>0</v>
      </c>
      <c r="AI122" s="65">
        <f>SUM(A:B!AI122)</f>
        <v>0</v>
      </c>
      <c r="AJ122" s="65">
        <f>SUM(A:B!AJ122)</f>
        <v>0</v>
      </c>
      <c r="AK122" s="124">
        <f t="shared" si="30"/>
        <v>0</v>
      </c>
      <c r="AL122" s="73">
        <f t="shared" si="39"/>
        <v>0</v>
      </c>
      <c r="AM122" s="14">
        <f t="shared" si="40"/>
        <v>0</v>
      </c>
    </row>
    <row r="123" spans="1:67" hidden="1" outlineLevel="1">
      <c r="A123" s="12"/>
      <c r="I123" s="246" t="s">
        <v>236</v>
      </c>
      <c r="J123" s="65">
        <f>SUM(A:B!J123)</f>
        <v>42700</v>
      </c>
      <c r="K123" s="65">
        <f>SUM(A:B!K123)</f>
        <v>0</v>
      </c>
      <c r="L123" s="65">
        <f>SUM(A:B!L123)</f>
        <v>0</v>
      </c>
      <c r="M123" s="65">
        <f>SUM(A:B!M123)</f>
        <v>0</v>
      </c>
      <c r="N123" s="65">
        <f>SUM(A:B!N123)</f>
        <v>0</v>
      </c>
      <c r="O123" s="65">
        <f>SUM(A:B!O123)</f>
        <v>0</v>
      </c>
      <c r="P123" s="65">
        <f>SUM(A:B!P123)</f>
        <v>0</v>
      </c>
      <c r="Q123" s="65">
        <f>SUM(A:B!Q123)</f>
        <v>0</v>
      </c>
      <c r="R123" s="65">
        <f>SUM(A:B!R123)</f>
        <v>0</v>
      </c>
      <c r="S123" s="65">
        <f>SUM(A:B!S123)</f>
        <v>0</v>
      </c>
      <c r="T123" s="65">
        <f>SUM(A:B!T123)</f>
        <v>0</v>
      </c>
      <c r="U123" s="65">
        <f>SUM(A:B!U123)</f>
        <v>0</v>
      </c>
      <c r="V123" s="11">
        <f t="shared" si="37"/>
        <v>42700</v>
      </c>
      <c r="W123" s="73">
        <f t="shared" si="38"/>
        <v>4.764753458403676E-5</v>
      </c>
      <c r="X123" s="89"/>
      <c r="Y123" s="65">
        <f>SUM(A:B!Y123)</f>
        <v>0</v>
      </c>
      <c r="Z123" s="65">
        <f>SUM(A:B!Z123)</f>
        <v>44198.77</v>
      </c>
      <c r="AA123" s="65">
        <f>SUM(A:B!AA123)</f>
        <v>0</v>
      </c>
      <c r="AB123" s="65">
        <f>SUM(A:B!AB123)</f>
        <v>0</v>
      </c>
      <c r="AC123" s="65">
        <f>SUM(A:B!AC123)</f>
        <v>0</v>
      </c>
      <c r="AD123" s="65">
        <f>SUM(A:B!AD123)</f>
        <v>0</v>
      </c>
      <c r="AE123" s="65">
        <f>SUM(A:B!AE123)</f>
        <v>0</v>
      </c>
      <c r="AF123" s="65">
        <f>SUM(A:B!AF123)</f>
        <v>0</v>
      </c>
      <c r="AG123" s="65">
        <f>SUM(A:B!AG123)</f>
        <v>0</v>
      </c>
      <c r="AH123" s="65">
        <f>SUM(A:B!AH123)</f>
        <v>0</v>
      </c>
      <c r="AI123" s="65">
        <f>SUM(A:B!AI123)</f>
        <v>0</v>
      </c>
      <c r="AJ123" s="65">
        <f>SUM(A:B!AJ123)</f>
        <v>0</v>
      </c>
      <c r="AK123" s="124">
        <f t="shared" si="30"/>
        <v>44198.77</v>
      </c>
      <c r="AL123" s="73">
        <f t="shared" si="39"/>
        <v>4.5888462140470713E-5</v>
      </c>
      <c r="AM123" s="14">
        <f t="shared" si="40"/>
        <v>3.5099999999999909E-2</v>
      </c>
    </row>
    <row r="124" spans="1:67" hidden="1" outlineLevel="1">
      <c r="A124" s="12"/>
      <c r="I124" s="246" t="s">
        <v>237</v>
      </c>
      <c r="J124" s="65">
        <f>SUM(A:B!J124)</f>
        <v>0</v>
      </c>
      <c r="K124" s="65">
        <f>SUM(A:B!K124)</f>
        <v>0</v>
      </c>
      <c r="L124" s="65">
        <f>SUM(A:B!L124)</f>
        <v>0</v>
      </c>
      <c r="M124" s="65">
        <f>SUM(A:B!M124)</f>
        <v>0</v>
      </c>
      <c r="N124" s="65">
        <f>SUM(A:B!N124)</f>
        <v>0</v>
      </c>
      <c r="O124" s="65">
        <f>SUM(A:B!O124)</f>
        <v>0</v>
      </c>
      <c r="P124" s="65">
        <f>SUM(A:B!P124)</f>
        <v>0</v>
      </c>
      <c r="Q124" s="65">
        <f>SUM(A:B!Q124)</f>
        <v>0</v>
      </c>
      <c r="R124" s="65">
        <f>SUM(A:B!R124)</f>
        <v>0</v>
      </c>
      <c r="S124" s="65">
        <f>SUM(A:B!S124)</f>
        <v>0</v>
      </c>
      <c r="T124" s="65">
        <f>SUM(A:B!T124)</f>
        <v>0</v>
      </c>
      <c r="U124" s="65">
        <f>SUM(A:B!U124)</f>
        <v>0</v>
      </c>
      <c r="V124" s="11">
        <f t="shared" si="37"/>
        <v>0</v>
      </c>
      <c r="W124" s="73">
        <f t="shared" si="38"/>
        <v>0</v>
      </c>
      <c r="X124" s="89"/>
      <c r="Y124" s="65">
        <f>SUM(A:B!Y124)</f>
        <v>0</v>
      </c>
      <c r="Z124" s="65">
        <f>SUM(A:B!Z124)</f>
        <v>0</v>
      </c>
      <c r="AA124" s="65">
        <f>SUM(A:B!AA124)</f>
        <v>0</v>
      </c>
      <c r="AB124" s="65">
        <f>SUM(A:B!AB124)</f>
        <v>0</v>
      </c>
      <c r="AC124" s="65">
        <f>SUM(A:B!AC124)</f>
        <v>0</v>
      </c>
      <c r="AD124" s="65">
        <f>SUM(A:B!AD124)</f>
        <v>0</v>
      </c>
      <c r="AE124" s="65">
        <f>SUM(A:B!AE124)</f>
        <v>0</v>
      </c>
      <c r="AF124" s="65">
        <f>SUM(A:B!AF124)</f>
        <v>0</v>
      </c>
      <c r="AG124" s="65">
        <f>SUM(A:B!AG124)</f>
        <v>0</v>
      </c>
      <c r="AH124" s="65">
        <f>SUM(A:B!AH124)</f>
        <v>0</v>
      </c>
      <c r="AI124" s="65">
        <f>SUM(A:B!AI124)</f>
        <v>0</v>
      </c>
      <c r="AJ124" s="65">
        <f>SUM(A:B!AJ124)</f>
        <v>0</v>
      </c>
      <c r="AK124" s="124">
        <f t="shared" si="30"/>
        <v>0</v>
      </c>
      <c r="AL124" s="73">
        <f t="shared" si="39"/>
        <v>0</v>
      </c>
      <c r="AM124" s="14">
        <f t="shared" si="40"/>
        <v>0</v>
      </c>
      <c r="AN124" s="9">
        <f>+AK124-V124</f>
        <v>0</v>
      </c>
    </row>
    <row r="125" spans="1:67" hidden="1" outlineLevel="1">
      <c r="A125" s="12"/>
      <c r="I125" s="246" t="s">
        <v>238</v>
      </c>
      <c r="J125" s="65">
        <f>SUM(A:B!J125)</f>
        <v>123520</v>
      </c>
      <c r="K125" s="65">
        <f>SUM(A:B!K125)</f>
        <v>118022</v>
      </c>
      <c r="L125" s="65">
        <f>SUM(A:B!L125)</f>
        <v>248662</v>
      </c>
      <c r="M125" s="65">
        <f>SUM(A:B!M125)</f>
        <v>166324</v>
      </c>
      <c r="N125" s="65">
        <f>SUM(A:B!N125)</f>
        <v>427872</v>
      </c>
      <c r="O125" s="65">
        <f>SUM(A:B!O125)</f>
        <v>466847</v>
      </c>
      <c r="P125" s="65">
        <f>SUM(A:B!P125)</f>
        <v>179945</v>
      </c>
      <c r="Q125" s="65">
        <f>SUM(A:B!Q125)</f>
        <v>343679</v>
      </c>
      <c r="R125" s="65">
        <f>SUM(A:B!R125)</f>
        <v>167668</v>
      </c>
      <c r="S125" s="65">
        <f>SUM(A:B!S125)</f>
        <v>412312.83439999999</v>
      </c>
      <c r="T125" s="65">
        <f>SUM(A:B!T125)</f>
        <v>132533.856</v>
      </c>
      <c r="U125" s="65">
        <f>SUM(A:B!U125)</f>
        <v>136246.64559999999</v>
      </c>
      <c r="V125" s="11">
        <f t="shared" si="37"/>
        <v>2923632.3360000001</v>
      </c>
      <c r="W125" s="73">
        <f t="shared" si="38"/>
        <v>3.2623857808095594E-3</v>
      </c>
      <c r="X125" s="89"/>
      <c r="Y125" s="65">
        <f>SUM(A:B!Y125)</f>
        <v>244953.62747569999</v>
      </c>
      <c r="Z125" s="65">
        <f>SUM(A:B!Z125)</f>
        <v>171482.24292371917</v>
      </c>
      <c r="AA125" s="65">
        <f>SUM(A:B!AA125)</f>
        <v>229411.62787794898</v>
      </c>
      <c r="AB125" s="65">
        <f>SUM(A:B!AB125)</f>
        <v>187589.4340288947</v>
      </c>
      <c r="AC125" s="65">
        <f>SUM(A:B!AC125)</f>
        <v>211043.77838829998</v>
      </c>
      <c r="AD125" s="65">
        <f>SUM(A:B!AD125)</f>
        <v>183350.68606534897</v>
      </c>
      <c r="AE125" s="65">
        <f>SUM(A:B!AE125)</f>
        <v>250605.28694235097</v>
      </c>
      <c r="AF125" s="65">
        <f>SUM(A:B!AF125)</f>
        <v>176286.12857259469</v>
      </c>
      <c r="AG125" s="65">
        <f>SUM(A:B!AG125)</f>
        <v>275331.25164865097</v>
      </c>
      <c r="AH125" s="65">
        <f>SUM(A:B!AH125)</f>
        <v>183820.6597702596</v>
      </c>
      <c r="AI125" s="65">
        <f>SUM(A:B!AI125)</f>
        <v>172735.02550434569</v>
      </c>
      <c r="AJ125" s="65">
        <f>SUM(A:B!AJ125)</f>
        <v>176286.12857259469</v>
      </c>
      <c r="AK125" s="124">
        <f t="shared" si="30"/>
        <v>2462895.8777707084</v>
      </c>
      <c r="AL125" s="73">
        <f t="shared" si="39"/>
        <v>2.5570508917556428E-3</v>
      </c>
      <c r="AM125" s="14">
        <f t="shared" si="40"/>
        <v>-0.15759042358234876</v>
      </c>
    </row>
    <row r="126" spans="1:67" hidden="1" outlineLevel="1">
      <c r="A126" s="12"/>
      <c r="I126" s="250" t="s">
        <v>239</v>
      </c>
      <c r="J126" s="65">
        <f>SUM(A:B!J126)</f>
        <v>6489</v>
      </c>
      <c r="K126" s="65">
        <f>SUM(A:B!K126)</f>
        <v>5166</v>
      </c>
      <c r="L126" s="65">
        <f>SUM(A:B!L126)</f>
        <v>6633</v>
      </c>
      <c r="M126" s="65">
        <f>SUM(A:B!M126)</f>
        <v>0</v>
      </c>
      <c r="N126" s="65">
        <f>SUM(A:B!N126)</f>
        <v>3014</v>
      </c>
      <c r="O126" s="65">
        <f>SUM(A:B!O126)</f>
        <v>1723</v>
      </c>
      <c r="P126" s="65">
        <f>SUM(A:B!P126)</f>
        <v>1890</v>
      </c>
      <c r="Q126" s="65">
        <f>SUM(A:B!Q126)</f>
        <v>861</v>
      </c>
      <c r="R126" s="65">
        <f>SUM(A:B!R126)</f>
        <v>2584</v>
      </c>
      <c r="S126" s="65">
        <f>SUM(A:B!S126)</f>
        <v>0</v>
      </c>
      <c r="T126" s="65">
        <f>SUM(A:B!T126)</f>
        <v>2111.1999999999998</v>
      </c>
      <c r="U126" s="65">
        <f>SUM(A:B!U126)</f>
        <v>6755.8400000000011</v>
      </c>
      <c r="V126" s="11">
        <f t="shared" si="37"/>
        <v>37227.040000000001</v>
      </c>
      <c r="W126" s="73">
        <f t="shared" si="38"/>
        <v>4.1540437373801407E-5</v>
      </c>
      <c r="X126" s="89"/>
      <c r="Y126" s="65">
        <f>SUM(A:B!Y126)</f>
        <v>2732.6639999999998</v>
      </c>
      <c r="Z126" s="65">
        <f>SUM(A:B!Z126)</f>
        <v>8239.3959999999988</v>
      </c>
      <c r="AA126" s="65">
        <f>SUM(A:B!AA126)</f>
        <v>2277.2199999999998</v>
      </c>
      <c r="AB126" s="65">
        <f>SUM(A:B!AB126)</f>
        <v>2277.2199999999998</v>
      </c>
      <c r="AC126" s="65">
        <f>SUM(A:B!AC126)</f>
        <v>2732.6639999999998</v>
      </c>
      <c r="AD126" s="65">
        <f>SUM(A:B!AD126)</f>
        <v>910.88799999999992</v>
      </c>
      <c r="AE126" s="65">
        <f>SUM(A:B!AE126)</f>
        <v>1366.3319999999999</v>
      </c>
      <c r="AF126" s="65">
        <f>SUM(A:B!AF126)</f>
        <v>8197.9919999999984</v>
      </c>
      <c r="AG126" s="65">
        <f>SUM(A:B!AG126)</f>
        <v>1366.3319999999999</v>
      </c>
      <c r="AH126" s="65">
        <f>SUM(A:B!AH126)</f>
        <v>2732.6639999999998</v>
      </c>
      <c r="AI126" s="65">
        <f>SUM(A:B!AI126)</f>
        <v>3643.5519999999997</v>
      </c>
      <c r="AJ126" s="65">
        <f>SUM(A:B!AJ126)</f>
        <v>3188.1079999999997</v>
      </c>
      <c r="AK126" s="124">
        <f t="shared" si="30"/>
        <v>39665.031999999985</v>
      </c>
      <c r="AL126" s="73">
        <f t="shared" si="39"/>
        <v>4.1181402089527802E-5</v>
      </c>
      <c r="AM126" s="14">
        <f t="shared" si="40"/>
        <v>6.5489816004710155E-2</v>
      </c>
    </row>
    <row r="127" spans="1:67" hidden="1" outlineLevel="1">
      <c r="A127" s="12"/>
      <c r="I127" s="246" t="s">
        <v>240</v>
      </c>
      <c r="J127" s="65">
        <f>SUM(A:B!J127)</f>
        <v>0</v>
      </c>
      <c r="K127" s="65">
        <f>SUM(A:B!K127)</f>
        <v>0</v>
      </c>
      <c r="L127" s="65">
        <f>SUM(A:B!L127)</f>
        <v>0</v>
      </c>
      <c r="M127" s="65">
        <f>SUM(A:B!M127)</f>
        <v>0</v>
      </c>
      <c r="N127" s="65">
        <f>SUM(A:B!N127)</f>
        <v>0</v>
      </c>
      <c r="O127" s="65">
        <f>SUM(A:B!O127)</f>
        <v>0</v>
      </c>
      <c r="P127" s="65">
        <f>SUM(A:B!P127)</f>
        <v>24493</v>
      </c>
      <c r="Q127" s="65">
        <f>SUM(A:B!Q127)</f>
        <v>0</v>
      </c>
      <c r="R127" s="65">
        <f>SUM(A:B!R127)</f>
        <v>0</v>
      </c>
      <c r="S127" s="65">
        <f>SUM(A:B!S127)</f>
        <v>0</v>
      </c>
      <c r="T127" s="65">
        <f>SUM(A:B!T127)</f>
        <v>0</v>
      </c>
      <c r="U127" s="65">
        <f>SUM(A:B!U127)</f>
        <v>0</v>
      </c>
      <c r="V127" s="11">
        <f t="shared" si="37"/>
        <v>24493</v>
      </c>
      <c r="W127" s="73">
        <f t="shared" si="38"/>
        <v>2.7330938280253217E-5</v>
      </c>
      <c r="X127" s="89"/>
      <c r="Y127" s="65">
        <f>SUM(A:B!Y127)</f>
        <v>0</v>
      </c>
      <c r="Z127" s="65">
        <f>SUM(A:B!Z127)</f>
        <v>0</v>
      </c>
      <c r="AA127" s="65">
        <f>SUM(A:B!AA127)</f>
        <v>0</v>
      </c>
      <c r="AB127" s="65">
        <f>SUM(A:B!AB127)</f>
        <v>0</v>
      </c>
      <c r="AC127" s="65">
        <f>SUM(A:B!AC127)</f>
        <v>0</v>
      </c>
      <c r="AD127" s="65">
        <f>SUM(A:B!AD127)</f>
        <v>0</v>
      </c>
      <c r="AE127" s="65">
        <f>SUM(A:B!AE127)</f>
        <v>29409.136988000006</v>
      </c>
      <c r="AF127" s="65">
        <f>SUM(A:B!AF127)</f>
        <v>0</v>
      </c>
      <c r="AG127" s="65">
        <f>SUM(A:B!AG127)</f>
        <v>0</v>
      </c>
      <c r="AH127" s="65">
        <f>SUM(A:B!AH127)</f>
        <v>0</v>
      </c>
      <c r="AI127" s="65">
        <f>SUM(A:B!AI127)</f>
        <v>0</v>
      </c>
      <c r="AJ127" s="65">
        <f>SUM(A:B!AJ127)</f>
        <v>0</v>
      </c>
      <c r="AK127" s="124">
        <f t="shared" si="30"/>
        <v>29409.136988000006</v>
      </c>
      <c r="AL127" s="73">
        <f t="shared" si="39"/>
        <v>3.0533430438398067E-5</v>
      </c>
      <c r="AM127" s="14">
        <f t="shared" si="40"/>
        <v>0.20071600000000034</v>
      </c>
    </row>
    <row r="128" spans="1:67" hidden="1" outlineLevel="1">
      <c r="A128" s="12"/>
      <c r="I128" s="246" t="s">
        <v>241</v>
      </c>
      <c r="J128" s="65">
        <f>SUM(A:B!J128)</f>
        <v>0</v>
      </c>
      <c r="K128" s="65">
        <f>SUM(A:B!K128)</f>
        <v>0</v>
      </c>
      <c r="L128" s="65">
        <f>SUM(A:B!L128)</f>
        <v>0</v>
      </c>
      <c r="M128" s="65">
        <f>SUM(A:B!M128)</f>
        <v>52800</v>
      </c>
      <c r="N128" s="65">
        <f>SUM(A:B!N128)</f>
        <v>0</v>
      </c>
      <c r="O128" s="65">
        <f>SUM(A:B!O128)</f>
        <v>0</v>
      </c>
      <c r="P128" s="65">
        <f>SUM(A:B!P128)</f>
        <v>0</v>
      </c>
      <c r="Q128" s="65">
        <f>SUM(A:B!Q128)</f>
        <v>0</v>
      </c>
      <c r="R128" s="65">
        <f>SUM(A:B!R128)</f>
        <v>0</v>
      </c>
      <c r="S128" s="65">
        <f>SUM(A:B!S128)</f>
        <v>0</v>
      </c>
      <c r="T128" s="65">
        <f>SUM(A:B!T128)</f>
        <v>3640</v>
      </c>
      <c r="U128" s="65">
        <f>SUM(A:B!U128)</f>
        <v>0</v>
      </c>
      <c r="V128" s="11">
        <f t="shared" si="37"/>
        <v>56440</v>
      </c>
      <c r="W128" s="73">
        <f t="shared" si="38"/>
        <v>6.2979551567284191E-5</v>
      </c>
      <c r="X128" s="89"/>
      <c r="Y128" s="65">
        <f>SUM(A:B!Y128)</f>
        <v>0</v>
      </c>
      <c r="Z128" s="65">
        <f>SUM(A:B!Z128)</f>
        <v>59311.229999999996</v>
      </c>
      <c r="AA128" s="65">
        <f>SUM(A:B!AA128)</f>
        <v>0</v>
      </c>
      <c r="AB128" s="65">
        <f>SUM(A:B!AB128)</f>
        <v>0</v>
      </c>
      <c r="AC128" s="65">
        <f>SUM(A:B!AC128)</f>
        <v>0</v>
      </c>
      <c r="AD128" s="65">
        <f>SUM(A:B!AD128)</f>
        <v>0</v>
      </c>
      <c r="AE128" s="65">
        <f>SUM(A:B!AE128)</f>
        <v>0</v>
      </c>
      <c r="AF128" s="65">
        <f>SUM(A:B!AF128)</f>
        <v>59311.229999999996</v>
      </c>
      <c r="AG128" s="65">
        <f>SUM(A:B!AG128)</f>
        <v>0</v>
      </c>
      <c r="AH128" s="65">
        <f>SUM(A:B!AH128)</f>
        <v>0</v>
      </c>
      <c r="AI128" s="65">
        <f>SUM(A:B!AI128)</f>
        <v>0</v>
      </c>
      <c r="AJ128" s="65">
        <f>SUM(A:B!AJ128)</f>
        <v>0</v>
      </c>
      <c r="AK128" s="124">
        <f t="shared" si="30"/>
        <v>118622.45999999999</v>
      </c>
      <c r="AL128" s="73">
        <f t="shared" si="39"/>
        <v>1.2315732462056075E-4</v>
      </c>
      <c r="AM128" s="14">
        <f t="shared" si="40"/>
        <v>1.1017445074415306</v>
      </c>
    </row>
    <row r="129" spans="1:40" hidden="1" outlineLevel="1">
      <c r="A129" s="12"/>
      <c r="I129" s="246" t="s">
        <v>242</v>
      </c>
      <c r="J129" s="65">
        <f>SUM(A:B!J129)</f>
        <v>0</v>
      </c>
      <c r="K129" s="65">
        <f>SUM(A:B!K129)</f>
        <v>26400</v>
      </c>
      <c r="L129" s="65">
        <f>SUM(A:B!L129)</f>
        <v>0</v>
      </c>
      <c r="M129" s="65">
        <f>SUM(A:B!M129)</f>
        <v>47000</v>
      </c>
      <c r="N129" s="65">
        <f>SUM(A:B!N129)</f>
        <v>0</v>
      </c>
      <c r="O129" s="65">
        <f>SUM(A:B!O129)</f>
        <v>0</v>
      </c>
      <c r="P129" s="65">
        <f>SUM(A:B!P129)</f>
        <v>0</v>
      </c>
      <c r="Q129" s="65">
        <f>SUM(A:B!Q129)</f>
        <v>0</v>
      </c>
      <c r="R129" s="65">
        <f>SUM(A:B!R129)</f>
        <v>0</v>
      </c>
      <c r="S129" s="65">
        <f>SUM(A:B!S129)</f>
        <v>7400</v>
      </c>
      <c r="T129" s="65">
        <f>SUM(A:B!T129)</f>
        <v>0</v>
      </c>
      <c r="U129" s="65">
        <f>SUM(A:B!U129)</f>
        <v>0</v>
      </c>
      <c r="V129" s="11">
        <f t="shared" si="37"/>
        <v>80800</v>
      </c>
      <c r="W129" s="73">
        <f t="shared" si="38"/>
        <v>9.0162079493914999E-5</v>
      </c>
      <c r="X129" s="89"/>
      <c r="Y129" s="65">
        <f>SUM(A:B!Y129)</f>
        <v>0</v>
      </c>
      <c r="Z129" s="65">
        <f>SUM(A:B!Z129)</f>
        <v>0</v>
      </c>
      <c r="AA129" s="65">
        <f>SUM(A:B!AA129)</f>
        <v>0</v>
      </c>
      <c r="AB129" s="65">
        <f>SUM(A:B!AB129)</f>
        <v>0</v>
      </c>
      <c r="AC129" s="65">
        <f>SUM(A:B!AC129)</f>
        <v>0</v>
      </c>
      <c r="AD129" s="65">
        <f>SUM(A:B!AD129)</f>
        <v>0</v>
      </c>
      <c r="AE129" s="65">
        <f>SUM(A:B!AE129)</f>
        <v>0</v>
      </c>
      <c r="AF129" s="65">
        <f>SUM(A:B!AF129)</f>
        <v>0</v>
      </c>
      <c r="AG129" s="65">
        <f>SUM(A:B!AG129)</f>
        <v>0</v>
      </c>
      <c r="AH129" s="65">
        <f>SUM(A:B!AH129)</f>
        <v>0</v>
      </c>
      <c r="AI129" s="65">
        <f>SUM(A:B!AI129)</f>
        <v>0</v>
      </c>
      <c r="AJ129" s="65">
        <f>SUM(A:B!AJ129)</f>
        <v>0</v>
      </c>
      <c r="AK129" s="124">
        <f t="shared" si="30"/>
        <v>0</v>
      </c>
      <c r="AL129" s="73">
        <f t="shared" si="39"/>
        <v>0</v>
      </c>
      <c r="AM129" s="14">
        <f t="shared" si="40"/>
        <v>-1</v>
      </c>
    </row>
    <row r="130" spans="1:40" hidden="1" outlineLevel="1">
      <c r="A130" s="12"/>
      <c r="I130" s="246" t="s">
        <v>243</v>
      </c>
      <c r="J130" s="65">
        <f>SUM(A:B!J130)</f>
        <v>0</v>
      </c>
      <c r="K130" s="65">
        <f>SUM(A:B!K130)</f>
        <v>0</v>
      </c>
      <c r="L130" s="65">
        <f>SUM(A:B!L130)</f>
        <v>0</v>
      </c>
      <c r="M130" s="65">
        <f>SUM(A:B!M130)</f>
        <v>0</v>
      </c>
      <c r="N130" s="65">
        <f>SUM(A:B!N130)</f>
        <v>0</v>
      </c>
      <c r="O130" s="65">
        <f>SUM(A:B!O130)</f>
        <v>0</v>
      </c>
      <c r="P130" s="65">
        <f>SUM(A:B!P130)</f>
        <v>0</v>
      </c>
      <c r="Q130" s="65">
        <f>SUM(A:B!Q130)</f>
        <v>0</v>
      </c>
      <c r="R130" s="65">
        <f>SUM(A:B!R130)</f>
        <v>0</v>
      </c>
      <c r="S130" s="65">
        <f>SUM(A:B!S130)</f>
        <v>0</v>
      </c>
      <c r="T130" s="65">
        <f>SUM(A:B!T130)</f>
        <v>0</v>
      </c>
      <c r="U130" s="65">
        <f>SUM(A:B!U130)</f>
        <v>0</v>
      </c>
      <c r="V130" s="11">
        <f t="shared" si="37"/>
        <v>0</v>
      </c>
      <c r="W130" s="73">
        <f t="shared" si="38"/>
        <v>0</v>
      </c>
      <c r="X130" s="89"/>
      <c r="Y130" s="65">
        <f>SUM(A:B!Y130)</f>
        <v>0</v>
      </c>
      <c r="Z130" s="65">
        <f>SUM(A:B!Z130)</f>
        <v>0</v>
      </c>
      <c r="AA130" s="65">
        <f>SUM(A:B!AA130)</f>
        <v>0</v>
      </c>
      <c r="AB130" s="65">
        <f>SUM(A:B!AB130)</f>
        <v>0</v>
      </c>
      <c r="AC130" s="65">
        <f>SUM(A:B!AC130)</f>
        <v>0</v>
      </c>
      <c r="AD130" s="65">
        <f>SUM(A:B!AD130)</f>
        <v>0</v>
      </c>
      <c r="AE130" s="65">
        <f>SUM(A:B!AE130)</f>
        <v>0</v>
      </c>
      <c r="AF130" s="65">
        <f>SUM(A:B!AF130)</f>
        <v>0</v>
      </c>
      <c r="AG130" s="65">
        <f>SUM(A:B!AG130)</f>
        <v>0</v>
      </c>
      <c r="AH130" s="65">
        <f>SUM(A:B!AH130)</f>
        <v>0</v>
      </c>
      <c r="AI130" s="65">
        <f>SUM(A:B!AI130)</f>
        <v>0</v>
      </c>
      <c r="AJ130" s="65">
        <f>SUM(A:B!AJ130)</f>
        <v>0</v>
      </c>
      <c r="AK130" s="124">
        <f t="shared" si="30"/>
        <v>0</v>
      </c>
      <c r="AL130" s="73">
        <f t="shared" si="39"/>
        <v>0</v>
      </c>
      <c r="AM130" s="14">
        <f t="shared" si="40"/>
        <v>0</v>
      </c>
    </row>
    <row r="131" spans="1:40" hidden="1" outlineLevel="1">
      <c r="A131" s="12"/>
      <c r="I131" s="246" t="s">
        <v>244</v>
      </c>
      <c r="J131" s="65">
        <f>SUM(A:B!J131)</f>
        <v>0</v>
      </c>
      <c r="K131" s="65">
        <f>SUM(A:B!K131)</f>
        <v>0</v>
      </c>
      <c r="L131" s="65">
        <f>SUM(A:B!L131)</f>
        <v>0</v>
      </c>
      <c r="M131" s="65">
        <f>SUM(A:B!M131)</f>
        <v>0</v>
      </c>
      <c r="N131" s="65">
        <f>SUM(A:B!N131)</f>
        <v>0</v>
      </c>
      <c r="O131" s="65">
        <f>SUM(A:B!O131)</f>
        <v>0</v>
      </c>
      <c r="P131" s="65">
        <f>SUM(A:B!P131)</f>
        <v>0</v>
      </c>
      <c r="Q131" s="65">
        <f>SUM(A:B!Q131)</f>
        <v>0</v>
      </c>
      <c r="R131" s="65">
        <f>SUM(A:B!R131)</f>
        <v>0</v>
      </c>
      <c r="S131" s="65">
        <f>SUM(A:B!S131)</f>
        <v>0</v>
      </c>
      <c r="T131" s="65">
        <f>SUM(A:B!T131)</f>
        <v>0</v>
      </c>
      <c r="U131" s="65">
        <f>SUM(A:B!U131)</f>
        <v>0</v>
      </c>
      <c r="V131" s="11">
        <f t="shared" si="37"/>
        <v>0</v>
      </c>
      <c r="W131" s="73">
        <f t="shared" si="38"/>
        <v>0</v>
      </c>
      <c r="X131" s="89"/>
      <c r="Y131" s="65">
        <f>SUM(A:B!Y131)</f>
        <v>0</v>
      </c>
      <c r="Z131" s="65">
        <f>SUM(A:B!Z131)</f>
        <v>0</v>
      </c>
      <c r="AA131" s="65">
        <f>SUM(A:B!AA131)</f>
        <v>0</v>
      </c>
      <c r="AB131" s="65">
        <f>SUM(A:B!AB131)</f>
        <v>0</v>
      </c>
      <c r="AC131" s="65">
        <f>SUM(A:B!AC131)</f>
        <v>0</v>
      </c>
      <c r="AD131" s="65">
        <f>SUM(A:B!AD131)</f>
        <v>0</v>
      </c>
      <c r="AE131" s="65">
        <f>SUM(A:B!AE131)</f>
        <v>0</v>
      </c>
      <c r="AF131" s="65">
        <f>SUM(A:B!AF131)</f>
        <v>0</v>
      </c>
      <c r="AG131" s="65">
        <f>SUM(A:B!AG131)</f>
        <v>0</v>
      </c>
      <c r="AH131" s="65">
        <f>SUM(A:B!AH131)</f>
        <v>0</v>
      </c>
      <c r="AI131" s="65">
        <f>SUM(A:B!AI131)</f>
        <v>0</v>
      </c>
      <c r="AJ131" s="65">
        <f>SUM(A:B!AJ131)</f>
        <v>0</v>
      </c>
      <c r="AK131" s="124">
        <f t="shared" si="30"/>
        <v>0</v>
      </c>
      <c r="AL131" s="73">
        <f t="shared" si="39"/>
        <v>0</v>
      </c>
      <c r="AM131" s="14">
        <f t="shared" si="40"/>
        <v>0</v>
      </c>
    </row>
    <row r="132" spans="1:40" hidden="1" outlineLevel="1">
      <c r="A132" s="12"/>
      <c r="I132" s="246" t="s">
        <v>245</v>
      </c>
      <c r="J132" s="65">
        <f>SUM(A:B!J132)</f>
        <v>0</v>
      </c>
      <c r="K132" s="65">
        <f>SUM(A:B!K132)</f>
        <v>0</v>
      </c>
      <c r="L132" s="65">
        <f>SUM(A:B!L132)</f>
        <v>0</v>
      </c>
      <c r="M132" s="65">
        <f>SUM(A:B!M132)</f>
        <v>0</v>
      </c>
      <c r="N132" s="65">
        <f>SUM(A:B!N132)</f>
        <v>0</v>
      </c>
      <c r="O132" s="65">
        <f>SUM(A:B!O132)</f>
        <v>0</v>
      </c>
      <c r="P132" s="65">
        <f>SUM(A:B!P132)</f>
        <v>0</v>
      </c>
      <c r="Q132" s="65">
        <f>SUM(A:B!Q132)</f>
        <v>0</v>
      </c>
      <c r="R132" s="65">
        <f>SUM(A:B!R132)</f>
        <v>0</v>
      </c>
      <c r="S132" s="65">
        <f>SUM(A:B!S132)</f>
        <v>0</v>
      </c>
      <c r="T132" s="65">
        <f>SUM(A:B!T132)</f>
        <v>0</v>
      </c>
      <c r="U132" s="65">
        <f>SUM(A:B!U132)</f>
        <v>0</v>
      </c>
      <c r="V132" s="11">
        <f t="shared" si="37"/>
        <v>0</v>
      </c>
      <c r="W132" s="73">
        <f t="shared" si="38"/>
        <v>0</v>
      </c>
      <c r="X132" s="89"/>
      <c r="Y132" s="65">
        <f>SUM(A:B!Y132)</f>
        <v>0</v>
      </c>
      <c r="Z132" s="65">
        <f>SUM(A:B!Z132)</f>
        <v>0</v>
      </c>
      <c r="AA132" s="65">
        <f>SUM(A:B!AA132)</f>
        <v>0</v>
      </c>
      <c r="AB132" s="65">
        <f>SUM(A:B!AB132)</f>
        <v>0</v>
      </c>
      <c r="AC132" s="65">
        <f>SUM(A:B!AC132)</f>
        <v>0</v>
      </c>
      <c r="AD132" s="65">
        <f>SUM(A:B!AD132)</f>
        <v>0</v>
      </c>
      <c r="AE132" s="65">
        <f>SUM(A:B!AE132)</f>
        <v>0</v>
      </c>
      <c r="AF132" s="65">
        <f>SUM(A:B!AF132)</f>
        <v>0</v>
      </c>
      <c r="AG132" s="65">
        <f>SUM(A:B!AG132)</f>
        <v>0</v>
      </c>
      <c r="AH132" s="65">
        <f>SUM(A:B!AH132)</f>
        <v>0</v>
      </c>
      <c r="AI132" s="65">
        <f>SUM(A:B!AI132)</f>
        <v>0</v>
      </c>
      <c r="AJ132" s="65">
        <f>SUM(A:B!AJ132)</f>
        <v>0</v>
      </c>
      <c r="AK132" s="124">
        <f t="shared" si="30"/>
        <v>0</v>
      </c>
      <c r="AL132" s="73">
        <f t="shared" si="39"/>
        <v>0</v>
      </c>
      <c r="AM132" s="14">
        <f t="shared" si="40"/>
        <v>0</v>
      </c>
    </row>
    <row r="133" spans="1:40" hidden="1" outlineLevel="1">
      <c r="A133" s="12"/>
      <c r="I133" s="246" t="s">
        <v>246</v>
      </c>
      <c r="J133" s="65">
        <f>SUM(A:B!J133)</f>
        <v>0</v>
      </c>
      <c r="K133" s="65">
        <f>SUM(A:B!K133)</f>
        <v>0</v>
      </c>
      <c r="L133" s="65">
        <f>SUM(A:B!L133)</f>
        <v>0</v>
      </c>
      <c r="M133" s="65">
        <f>SUM(A:B!M133)</f>
        <v>0</v>
      </c>
      <c r="N133" s="65">
        <f>SUM(A:B!N133)</f>
        <v>0</v>
      </c>
      <c r="O133" s="65">
        <f>SUM(A:B!O133)</f>
        <v>0</v>
      </c>
      <c r="P133" s="65">
        <f>SUM(A:B!P133)</f>
        <v>0</v>
      </c>
      <c r="Q133" s="65">
        <f>SUM(A:B!Q133)</f>
        <v>0</v>
      </c>
      <c r="R133" s="65">
        <f>SUM(A:B!R133)</f>
        <v>0</v>
      </c>
      <c r="S133" s="65">
        <f>SUM(A:B!S133)</f>
        <v>0</v>
      </c>
      <c r="T133" s="65">
        <f>SUM(A:B!T133)</f>
        <v>0</v>
      </c>
      <c r="U133" s="65">
        <f>SUM(A:B!U133)</f>
        <v>0</v>
      </c>
      <c r="V133" s="11">
        <f t="shared" si="37"/>
        <v>0</v>
      </c>
      <c r="W133" s="73">
        <f t="shared" si="38"/>
        <v>0</v>
      </c>
      <c r="X133" s="89"/>
      <c r="Y133" s="65">
        <f>SUM(A:B!Y133)</f>
        <v>0</v>
      </c>
      <c r="Z133" s="65">
        <f>SUM(A:B!Z133)</f>
        <v>0</v>
      </c>
      <c r="AA133" s="65">
        <f>SUM(A:B!AA133)</f>
        <v>0</v>
      </c>
      <c r="AB133" s="65">
        <f>SUM(A:B!AB133)</f>
        <v>0</v>
      </c>
      <c r="AC133" s="65">
        <f>SUM(A:B!AC133)</f>
        <v>0</v>
      </c>
      <c r="AD133" s="65">
        <f>SUM(A:B!AD133)</f>
        <v>0</v>
      </c>
      <c r="AE133" s="65">
        <f>SUM(A:B!AE133)</f>
        <v>0</v>
      </c>
      <c r="AF133" s="65">
        <f>SUM(A:B!AF133)</f>
        <v>0</v>
      </c>
      <c r="AG133" s="65">
        <f>SUM(A:B!AG133)</f>
        <v>0</v>
      </c>
      <c r="AH133" s="65">
        <f>SUM(A:B!AH133)</f>
        <v>0</v>
      </c>
      <c r="AI133" s="65">
        <f>SUM(A:B!AI133)</f>
        <v>0</v>
      </c>
      <c r="AJ133" s="65">
        <f>SUM(A:B!AJ133)</f>
        <v>0</v>
      </c>
      <c r="AK133" s="124">
        <f t="shared" si="30"/>
        <v>0</v>
      </c>
      <c r="AL133" s="73">
        <f t="shared" si="39"/>
        <v>0</v>
      </c>
      <c r="AM133" s="14">
        <f t="shared" si="40"/>
        <v>0</v>
      </c>
    </row>
    <row r="134" spans="1:40" hidden="1" outlineLevel="1">
      <c r="A134" s="12"/>
      <c r="I134" s="246" t="s">
        <v>247</v>
      </c>
      <c r="J134" s="65">
        <f>SUM(A:B!J134)</f>
        <v>0</v>
      </c>
      <c r="K134" s="65">
        <f>SUM(A:B!K134)</f>
        <v>0</v>
      </c>
      <c r="L134" s="65">
        <f>SUM(A:B!L134)</f>
        <v>0</v>
      </c>
      <c r="M134" s="65">
        <f>SUM(A:B!M134)</f>
        <v>0</v>
      </c>
      <c r="N134" s="65">
        <f>SUM(A:B!N134)</f>
        <v>0</v>
      </c>
      <c r="O134" s="65">
        <f>SUM(A:B!O134)</f>
        <v>0</v>
      </c>
      <c r="P134" s="65">
        <f>SUM(A:B!P134)</f>
        <v>0</v>
      </c>
      <c r="Q134" s="65">
        <f>SUM(A:B!Q134)</f>
        <v>0</v>
      </c>
      <c r="R134" s="65">
        <f>SUM(A:B!R134)</f>
        <v>0</v>
      </c>
      <c r="S134" s="65">
        <f>SUM(A:B!S134)</f>
        <v>0</v>
      </c>
      <c r="T134" s="65">
        <f>SUM(A:B!T134)</f>
        <v>0</v>
      </c>
      <c r="U134" s="65">
        <f>SUM(A:B!U134)</f>
        <v>0</v>
      </c>
      <c r="V134" s="11">
        <f t="shared" si="37"/>
        <v>0</v>
      </c>
      <c r="W134" s="73">
        <f t="shared" si="38"/>
        <v>0</v>
      </c>
      <c r="X134" s="89"/>
      <c r="Y134" s="65">
        <f>SUM(A:B!Y134)</f>
        <v>0</v>
      </c>
      <c r="Z134" s="65">
        <f>SUM(A:B!Z134)</f>
        <v>0</v>
      </c>
      <c r="AA134" s="65">
        <f>SUM(A:B!AA134)</f>
        <v>0</v>
      </c>
      <c r="AB134" s="65">
        <f>SUM(A:B!AB134)</f>
        <v>0</v>
      </c>
      <c r="AC134" s="65">
        <f>SUM(A:B!AC134)</f>
        <v>0</v>
      </c>
      <c r="AD134" s="65">
        <f>SUM(A:B!AD134)</f>
        <v>0</v>
      </c>
      <c r="AE134" s="65">
        <f>SUM(A:B!AE134)</f>
        <v>0</v>
      </c>
      <c r="AF134" s="65">
        <f>SUM(A:B!AF134)</f>
        <v>0</v>
      </c>
      <c r="AG134" s="65">
        <f>SUM(A:B!AG134)</f>
        <v>0</v>
      </c>
      <c r="AH134" s="65">
        <f>SUM(A:B!AH134)</f>
        <v>0</v>
      </c>
      <c r="AI134" s="65">
        <f>SUM(A:B!AI134)</f>
        <v>0</v>
      </c>
      <c r="AJ134" s="65">
        <f>SUM(A:B!AJ134)</f>
        <v>0</v>
      </c>
      <c r="AK134" s="124">
        <f t="shared" si="30"/>
        <v>0</v>
      </c>
      <c r="AL134" s="73">
        <f t="shared" si="39"/>
        <v>0</v>
      </c>
      <c r="AM134" s="14">
        <f t="shared" si="40"/>
        <v>0</v>
      </c>
      <c r="AN134" s="1" t="s">
        <v>248</v>
      </c>
    </row>
    <row r="135" spans="1:40" hidden="1" outlineLevel="1">
      <c r="A135" s="12"/>
      <c r="I135" s="246" t="s">
        <v>249</v>
      </c>
      <c r="J135" s="65">
        <f>SUM(A:B!J135)</f>
        <v>3600</v>
      </c>
      <c r="K135" s="65">
        <f>SUM(A:B!K135)</f>
        <v>39812</v>
      </c>
      <c r="L135" s="65">
        <f>SUM(A:B!L135)</f>
        <v>0</v>
      </c>
      <c r="M135" s="65">
        <f>SUM(A:B!M135)</f>
        <v>0</v>
      </c>
      <c r="N135" s="65">
        <f>SUM(A:B!N135)</f>
        <v>0</v>
      </c>
      <c r="O135" s="65">
        <f>SUM(A:B!O135)</f>
        <v>0</v>
      </c>
      <c r="P135" s="65">
        <f>SUM(A:B!P135)</f>
        <v>39252</v>
      </c>
      <c r="Q135" s="65">
        <f>SUM(A:B!Q135)</f>
        <v>0</v>
      </c>
      <c r="R135" s="65">
        <f>SUM(A:B!R135)</f>
        <v>0</v>
      </c>
      <c r="S135" s="65">
        <f>SUM(A:B!S135)</f>
        <v>0</v>
      </c>
      <c r="T135" s="65">
        <f>SUM(A:B!T135)</f>
        <v>10774.400000000001</v>
      </c>
      <c r="U135" s="65">
        <f>SUM(A:B!U135)</f>
        <v>0</v>
      </c>
      <c r="V135" s="11">
        <f t="shared" si="37"/>
        <v>93438.399999999994</v>
      </c>
      <c r="W135" s="73">
        <f t="shared" si="38"/>
        <v>1.042648570369335E-4</v>
      </c>
      <c r="X135" s="89"/>
      <c r="Y135" s="65">
        <f>SUM(A:B!Y135)</f>
        <v>26000</v>
      </c>
      <c r="Z135" s="65">
        <f>SUM(A:B!Z135)</f>
        <v>26000</v>
      </c>
      <c r="AA135" s="65">
        <f>SUM(A:B!AA135)</f>
        <v>0</v>
      </c>
      <c r="AB135" s="65">
        <f>SUM(A:B!AB135)</f>
        <v>0</v>
      </c>
      <c r="AC135" s="65">
        <f>SUM(A:B!AC135)</f>
        <v>11200</v>
      </c>
      <c r="AD135" s="65">
        <f>SUM(A:B!AD135)</f>
        <v>0</v>
      </c>
      <c r="AE135" s="65">
        <f>SUM(A:B!AE135)</f>
        <v>26000</v>
      </c>
      <c r="AF135" s="65">
        <f>SUM(A:B!AF135)</f>
        <v>26000</v>
      </c>
      <c r="AG135" s="65">
        <f>SUM(A:B!AG135)</f>
        <v>0</v>
      </c>
      <c r="AH135" s="65">
        <f>SUM(A:B!AH135)</f>
        <v>0</v>
      </c>
      <c r="AI135" s="65">
        <f>SUM(A:B!AI135)</f>
        <v>11200</v>
      </c>
      <c r="AJ135" s="65">
        <f>SUM(A:B!AJ135)</f>
        <v>0</v>
      </c>
      <c r="AK135" s="124">
        <f t="shared" si="30"/>
        <v>126400</v>
      </c>
      <c r="AL135" s="73">
        <f t="shared" si="39"/>
        <v>1.3123219525239049E-4</v>
      </c>
      <c r="AM135" s="14">
        <f t="shared" si="40"/>
        <v>0.35276288977550996</v>
      </c>
    </row>
    <row r="136" spans="1:40" hidden="1" outlineLevel="1">
      <c r="A136" s="12"/>
      <c r="I136" s="246" t="s">
        <v>250</v>
      </c>
      <c r="J136" s="65">
        <f>SUM(A:B!J136)</f>
        <v>0</v>
      </c>
      <c r="K136" s="65">
        <f>SUM(A:B!K136)</f>
        <v>0</v>
      </c>
      <c r="L136" s="65">
        <f>SUM(A:B!L136)</f>
        <v>0</v>
      </c>
      <c r="M136" s="65">
        <f>SUM(A:B!M136)</f>
        <v>0</v>
      </c>
      <c r="N136" s="65">
        <f>SUM(A:B!N136)</f>
        <v>0</v>
      </c>
      <c r="O136" s="65">
        <f>SUM(A:B!O136)</f>
        <v>0</v>
      </c>
      <c r="P136" s="65">
        <f>SUM(A:B!P136)</f>
        <v>0</v>
      </c>
      <c r="Q136" s="65">
        <f>SUM(A:B!Q136)</f>
        <v>0</v>
      </c>
      <c r="R136" s="65">
        <f>SUM(A:B!R136)</f>
        <v>0</v>
      </c>
      <c r="S136" s="65">
        <f>SUM(A:B!S136)</f>
        <v>0</v>
      </c>
      <c r="T136" s="65">
        <f>SUM(A:B!T136)</f>
        <v>0</v>
      </c>
      <c r="U136" s="65">
        <f>SUM(A:B!U136)</f>
        <v>0</v>
      </c>
      <c r="V136" s="11">
        <f t="shared" si="37"/>
        <v>0</v>
      </c>
      <c r="W136" s="73">
        <f t="shared" si="38"/>
        <v>0</v>
      </c>
      <c r="X136" s="89"/>
      <c r="Y136" s="65">
        <f>SUM(A:B!Y136)</f>
        <v>0</v>
      </c>
      <c r="Z136" s="65">
        <f>SUM(A:B!Z136)</f>
        <v>0</v>
      </c>
      <c r="AA136" s="65">
        <f>SUM(A:B!AA136)</f>
        <v>0</v>
      </c>
      <c r="AB136" s="65">
        <f>SUM(A:B!AB136)</f>
        <v>0</v>
      </c>
      <c r="AC136" s="65">
        <f>SUM(A:B!AC136)</f>
        <v>0</v>
      </c>
      <c r="AD136" s="65">
        <f>SUM(A:B!AD136)</f>
        <v>0</v>
      </c>
      <c r="AE136" s="65">
        <f>SUM(A:B!AE136)</f>
        <v>0</v>
      </c>
      <c r="AF136" s="65">
        <f>SUM(A:B!AF136)</f>
        <v>0</v>
      </c>
      <c r="AG136" s="65">
        <f>SUM(A:B!AG136)</f>
        <v>0</v>
      </c>
      <c r="AH136" s="65">
        <f>SUM(A:B!AH136)</f>
        <v>0</v>
      </c>
      <c r="AI136" s="65">
        <f>SUM(A:B!AI136)</f>
        <v>0</v>
      </c>
      <c r="AJ136" s="65">
        <f>SUM(A:B!AJ136)</f>
        <v>0</v>
      </c>
      <c r="AK136" s="124">
        <f t="shared" si="30"/>
        <v>0</v>
      </c>
      <c r="AL136" s="73">
        <f t="shared" si="39"/>
        <v>0</v>
      </c>
      <c r="AM136" s="14">
        <f t="shared" si="40"/>
        <v>0</v>
      </c>
    </row>
    <row r="137" spans="1:40" hidden="1" outlineLevel="1">
      <c r="A137" s="12"/>
      <c r="I137" s="246" t="s">
        <v>251</v>
      </c>
      <c r="J137" s="65">
        <f>SUM(A:B!J137)</f>
        <v>0</v>
      </c>
      <c r="K137" s="65">
        <f>SUM(A:B!K137)</f>
        <v>764</v>
      </c>
      <c r="L137" s="65">
        <f>SUM(A:B!L137)</f>
        <v>11784</v>
      </c>
      <c r="M137" s="65">
        <f>SUM(A:B!M137)</f>
        <v>4724</v>
      </c>
      <c r="N137" s="65">
        <f>SUM(A:B!N137)</f>
        <v>1230</v>
      </c>
      <c r="O137" s="65">
        <f>SUM(A:B!O137)</f>
        <v>0</v>
      </c>
      <c r="P137" s="65">
        <f>SUM(A:B!P137)</f>
        <v>0</v>
      </c>
      <c r="Q137" s="65">
        <f>SUM(A:B!Q137)</f>
        <v>2562</v>
      </c>
      <c r="R137" s="65">
        <f>SUM(A:B!R137)</f>
        <v>41</v>
      </c>
      <c r="S137" s="65">
        <f>SUM(A:B!S137)</f>
        <v>10199.280000000001</v>
      </c>
      <c r="T137" s="65">
        <f>SUM(A:B!T137)</f>
        <v>0</v>
      </c>
      <c r="U137" s="65">
        <f>SUM(A:B!U137)</f>
        <v>0</v>
      </c>
      <c r="V137" s="11">
        <f t="shared" si="37"/>
        <v>31304.28</v>
      </c>
      <c r="W137" s="73">
        <f t="shared" si="38"/>
        <v>3.4931423042818978E-5</v>
      </c>
      <c r="X137" s="89"/>
      <c r="Y137" s="65">
        <f>SUM(A:B!Y137)</f>
        <v>0</v>
      </c>
      <c r="Z137" s="65">
        <f>SUM(A:B!Z137)</f>
        <v>0</v>
      </c>
      <c r="AA137" s="65">
        <f>SUM(A:B!AA137)</f>
        <v>155265</v>
      </c>
      <c r="AB137" s="65">
        <f>SUM(A:B!AB137)</f>
        <v>0</v>
      </c>
      <c r="AC137" s="65">
        <f>SUM(A:B!AC137)</f>
        <v>0</v>
      </c>
      <c r="AD137" s="65">
        <f>SUM(A:B!AD137)</f>
        <v>0</v>
      </c>
      <c r="AE137" s="65">
        <f>SUM(A:B!AE137)</f>
        <v>0</v>
      </c>
      <c r="AF137" s="65">
        <f>SUM(A:B!AF137)</f>
        <v>155265</v>
      </c>
      <c r="AG137" s="65">
        <f>SUM(A:B!AG137)</f>
        <v>0</v>
      </c>
      <c r="AH137" s="65">
        <f>SUM(A:B!AH137)</f>
        <v>0</v>
      </c>
      <c r="AI137" s="65">
        <f>SUM(A:B!AI137)</f>
        <v>0</v>
      </c>
      <c r="AJ137" s="65">
        <f>SUM(A:B!AJ137)</f>
        <v>0</v>
      </c>
      <c r="AK137" s="124">
        <f t="shared" si="30"/>
        <v>310530</v>
      </c>
      <c r="AL137" s="73">
        <f t="shared" si="39"/>
        <v>3.2240137335225329E-4</v>
      </c>
      <c r="AM137" s="14">
        <f t="shared" si="40"/>
        <v>8.9197298260812907</v>
      </c>
    </row>
    <row r="138" spans="1:40" hidden="1" outlineLevel="1">
      <c r="A138" s="12"/>
      <c r="I138" s="246" t="s">
        <v>252</v>
      </c>
      <c r="J138" s="65">
        <f>SUM(A:B!J138)</f>
        <v>0</v>
      </c>
      <c r="K138" s="65">
        <f>SUM(A:B!K138)</f>
        <v>0</v>
      </c>
      <c r="L138" s="65">
        <f>SUM(A:B!L138)</f>
        <v>0</v>
      </c>
      <c r="M138" s="65">
        <f>SUM(A:B!M138)</f>
        <v>0</v>
      </c>
      <c r="N138" s="65">
        <f>SUM(A:B!N138)</f>
        <v>0</v>
      </c>
      <c r="O138" s="65">
        <f>SUM(A:B!O138)</f>
        <v>0</v>
      </c>
      <c r="P138" s="65">
        <f>SUM(A:B!P138)</f>
        <v>0</v>
      </c>
      <c r="Q138" s="65">
        <f>SUM(A:B!Q138)</f>
        <v>0</v>
      </c>
      <c r="R138" s="65">
        <f>SUM(A:B!R138)</f>
        <v>0</v>
      </c>
      <c r="S138" s="65">
        <f>SUM(A:B!S138)</f>
        <v>0</v>
      </c>
      <c r="T138" s="65">
        <f>SUM(A:B!T138)</f>
        <v>0</v>
      </c>
      <c r="U138" s="65">
        <f>SUM(A:B!U138)</f>
        <v>0</v>
      </c>
      <c r="V138" s="11">
        <f t="shared" si="37"/>
        <v>0</v>
      </c>
      <c r="W138" s="73">
        <f>V138/V$6</f>
        <v>0</v>
      </c>
      <c r="X138" s="89"/>
      <c r="Y138" s="65">
        <f>SUM(A:B!Y138)</f>
        <v>0</v>
      </c>
      <c r="Z138" s="65">
        <f>SUM(A:B!Z138)</f>
        <v>0</v>
      </c>
      <c r="AA138" s="65">
        <f>SUM(A:B!AA138)</f>
        <v>0</v>
      </c>
      <c r="AB138" s="65">
        <f>SUM(A:B!AB138)</f>
        <v>0</v>
      </c>
      <c r="AC138" s="65">
        <f>SUM(A:B!AC138)</f>
        <v>0</v>
      </c>
      <c r="AD138" s="65">
        <f>SUM(A:B!AD138)</f>
        <v>0</v>
      </c>
      <c r="AE138" s="65">
        <f>SUM(A:B!AE138)</f>
        <v>0</v>
      </c>
      <c r="AF138" s="65">
        <f>SUM(A:B!AF138)</f>
        <v>0</v>
      </c>
      <c r="AG138" s="65">
        <f>SUM(A:B!AG138)</f>
        <v>0</v>
      </c>
      <c r="AH138" s="65">
        <f>SUM(A:B!AH138)</f>
        <v>0</v>
      </c>
      <c r="AI138" s="65">
        <f>SUM(A:B!AI138)</f>
        <v>0</v>
      </c>
      <c r="AJ138" s="65">
        <f>SUM(A:B!AJ138)</f>
        <v>0</v>
      </c>
      <c r="AK138" s="124">
        <f t="shared" si="30"/>
        <v>0</v>
      </c>
      <c r="AL138" s="73">
        <f t="shared" si="39"/>
        <v>0</v>
      </c>
      <c r="AM138" s="14">
        <f t="shared" si="40"/>
        <v>0</v>
      </c>
    </row>
    <row r="139" spans="1:40" ht="13.15" hidden="1" customHeight="1" outlineLevel="1">
      <c r="A139" s="12"/>
      <c r="I139" s="246" t="s">
        <v>253</v>
      </c>
      <c r="J139" s="65">
        <f>SUM(A:B!J139)</f>
        <v>0</v>
      </c>
      <c r="K139" s="65">
        <f>SUM(A:B!K139)</f>
        <v>0</v>
      </c>
      <c r="L139" s="65">
        <f>SUM(A:B!L139)</f>
        <v>0</v>
      </c>
      <c r="M139" s="65">
        <f>SUM(A:B!M139)</f>
        <v>0</v>
      </c>
      <c r="N139" s="65">
        <f>SUM(A:B!N139)</f>
        <v>0</v>
      </c>
      <c r="O139" s="65">
        <f>SUM(A:B!O139)</f>
        <v>0</v>
      </c>
      <c r="P139" s="65">
        <f>SUM(A:B!P139)</f>
        <v>0</v>
      </c>
      <c r="Q139" s="65">
        <f>SUM(A:B!Q139)</f>
        <v>0</v>
      </c>
      <c r="R139" s="65">
        <f>SUM(A:B!R139)</f>
        <v>0</v>
      </c>
      <c r="S139" s="65">
        <f>SUM(A:B!S139)</f>
        <v>0</v>
      </c>
      <c r="T139" s="65">
        <f>SUM(A:B!T139)</f>
        <v>0</v>
      </c>
      <c r="U139" s="65">
        <f>SUM(A:B!U139)</f>
        <v>0</v>
      </c>
      <c r="V139" s="11">
        <f t="shared" si="37"/>
        <v>0</v>
      </c>
      <c r="W139" s="73">
        <f>V139/V$6</f>
        <v>0</v>
      </c>
      <c r="X139" s="89"/>
      <c r="Y139" s="65">
        <f>SUM(A:B!Y139)</f>
        <v>0</v>
      </c>
      <c r="Z139" s="65">
        <f>SUM(A:B!Z139)</f>
        <v>0</v>
      </c>
      <c r="AA139" s="65">
        <f>SUM(A:B!AA139)</f>
        <v>0</v>
      </c>
      <c r="AB139" s="65">
        <f>SUM(A:B!AB139)</f>
        <v>0</v>
      </c>
      <c r="AC139" s="65">
        <f>SUM(A:B!AC139)</f>
        <v>0</v>
      </c>
      <c r="AD139" s="65">
        <f>SUM(A:B!AD139)</f>
        <v>0</v>
      </c>
      <c r="AE139" s="65">
        <f>SUM(A:B!AE139)</f>
        <v>0</v>
      </c>
      <c r="AF139" s="65">
        <f>SUM(A:B!AF139)</f>
        <v>0</v>
      </c>
      <c r="AG139" s="65">
        <f>SUM(A:B!AG139)</f>
        <v>0</v>
      </c>
      <c r="AH139" s="65">
        <f>SUM(A:B!AH139)</f>
        <v>0</v>
      </c>
      <c r="AI139" s="65">
        <f>SUM(A:B!AI139)</f>
        <v>0</v>
      </c>
      <c r="AJ139" s="65">
        <f>SUM(A:B!AJ139)</f>
        <v>0</v>
      </c>
      <c r="AK139" s="124">
        <f t="shared" si="30"/>
        <v>0</v>
      </c>
      <c r="AL139" s="73">
        <f t="shared" si="39"/>
        <v>0</v>
      </c>
      <c r="AM139" s="14">
        <f t="shared" si="40"/>
        <v>0</v>
      </c>
    </row>
    <row r="140" spans="1:40" hidden="1" outlineLevel="1">
      <c r="A140" s="12"/>
      <c r="I140" s="246" t="s">
        <v>254</v>
      </c>
      <c r="J140" s="65">
        <f>SUM(A:B!J140)</f>
        <v>0</v>
      </c>
      <c r="K140" s="65">
        <f>SUM(A:B!K140)</f>
        <v>0</v>
      </c>
      <c r="L140" s="65">
        <f>SUM(A:B!L140)</f>
        <v>42900</v>
      </c>
      <c r="M140" s="65">
        <f>SUM(A:B!M140)</f>
        <v>0</v>
      </c>
      <c r="N140" s="65">
        <f>SUM(A:B!N140)</f>
        <v>0</v>
      </c>
      <c r="O140" s="65">
        <f>SUM(A:B!O140)</f>
        <v>1850</v>
      </c>
      <c r="P140" s="65">
        <f>SUM(A:B!P140)</f>
        <v>5550</v>
      </c>
      <c r="Q140" s="65">
        <f>SUM(A:B!Q140)</f>
        <v>0</v>
      </c>
      <c r="R140" s="65">
        <f>SUM(A:B!R140)</f>
        <v>0</v>
      </c>
      <c r="S140" s="65">
        <f>SUM(A:B!S140)</f>
        <v>0</v>
      </c>
      <c r="T140" s="65">
        <f>SUM(A:B!T140)</f>
        <v>0</v>
      </c>
      <c r="U140" s="65">
        <f>SUM(A:B!U140)</f>
        <v>0</v>
      </c>
      <c r="V140" s="11">
        <f t="shared" si="37"/>
        <v>50300</v>
      </c>
      <c r="W140" s="73">
        <f>V140/V$6</f>
        <v>5.6128126219603022E-5</v>
      </c>
      <c r="X140" s="89"/>
      <c r="Y140" s="65">
        <f>SUM(A:B!Y140)</f>
        <v>0</v>
      </c>
      <c r="Z140" s="65">
        <f>SUM(A:B!Z140)</f>
        <v>0</v>
      </c>
      <c r="AA140" s="65">
        <f>SUM(A:B!AA140)</f>
        <v>46424.234999999993</v>
      </c>
      <c r="AB140" s="65">
        <f>SUM(A:B!AB140)</f>
        <v>0</v>
      </c>
      <c r="AC140" s="65">
        <f>SUM(A:B!AC140)</f>
        <v>0</v>
      </c>
      <c r="AD140" s="65">
        <f>SUM(A:B!AD140)</f>
        <v>0</v>
      </c>
      <c r="AE140" s="65">
        <f>SUM(A:B!AE140)</f>
        <v>0</v>
      </c>
      <c r="AF140" s="65">
        <f>SUM(A:B!AF140)</f>
        <v>0</v>
      </c>
      <c r="AG140" s="65">
        <f>SUM(A:B!AG140)</f>
        <v>0</v>
      </c>
      <c r="AH140" s="65">
        <f>SUM(A:B!AH140)</f>
        <v>0</v>
      </c>
      <c r="AI140" s="65">
        <f>SUM(A:B!AI140)</f>
        <v>0</v>
      </c>
      <c r="AJ140" s="65">
        <f>SUM(A:B!AJ140)</f>
        <v>0</v>
      </c>
      <c r="AK140" s="124">
        <f t="shared" si="30"/>
        <v>46424.234999999993</v>
      </c>
      <c r="AL140" s="73">
        <f>AK140/AK$6</f>
        <v>4.8199005316161862E-5</v>
      </c>
      <c r="AM140" s="14">
        <f>IFERROR(AK140/V140-1,0)</f>
        <v>-7.7052982107356005E-2</v>
      </c>
    </row>
    <row r="141" spans="1:40" hidden="1" outlineLevel="1">
      <c r="A141" s="12"/>
      <c r="I141" s="246" t="s">
        <v>255</v>
      </c>
      <c r="J141" s="65">
        <f>SUM(A:B!J141)</f>
        <v>0</v>
      </c>
      <c r="K141" s="65">
        <f>SUM(A:B!K141)</f>
        <v>0</v>
      </c>
      <c r="L141" s="65">
        <f>SUM(A:B!L141)</f>
        <v>0</v>
      </c>
      <c r="M141" s="65">
        <f>SUM(A:B!M141)</f>
        <v>0</v>
      </c>
      <c r="N141" s="65">
        <f>SUM(A:B!N141)</f>
        <v>0</v>
      </c>
      <c r="O141" s="65">
        <f>SUM(A:B!O141)</f>
        <v>0</v>
      </c>
      <c r="P141" s="65">
        <f>SUM(A:B!P141)</f>
        <v>0</v>
      </c>
      <c r="Q141" s="65">
        <f>SUM(A:B!Q141)</f>
        <v>0</v>
      </c>
      <c r="R141" s="65">
        <f>SUM(A:B!R141)</f>
        <v>0</v>
      </c>
      <c r="S141" s="65">
        <f>SUM(A:B!S141)</f>
        <v>0</v>
      </c>
      <c r="T141" s="65">
        <f>SUM(A:B!T141)</f>
        <v>0</v>
      </c>
      <c r="U141" s="65">
        <f>SUM(A:B!U141)</f>
        <v>0</v>
      </c>
      <c r="V141" s="11">
        <f t="shared" si="37"/>
        <v>0</v>
      </c>
      <c r="W141" s="73">
        <f t="shared" si="23"/>
        <v>0</v>
      </c>
      <c r="X141" s="89"/>
      <c r="Y141" s="65">
        <f>SUM(A:B!Y141)</f>
        <v>0</v>
      </c>
      <c r="Z141" s="65">
        <f>SUM(A:B!Z141)</f>
        <v>0</v>
      </c>
      <c r="AA141" s="65">
        <f>SUM(A:B!AA141)</f>
        <v>0</v>
      </c>
      <c r="AB141" s="65">
        <f>SUM(A:B!AB141)</f>
        <v>0</v>
      </c>
      <c r="AC141" s="65">
        <f>SUM(A:B!AC141)</f>
        <v>0</v>
      </c>
      <c r="AD141" s="65">
        <f>SUM(A:B!AD141)</f>
        <v>0</v>
      </c>
      <c r="AE141" s="65">
        <f>SUM(A:B!AE141)</f>
        <v>0</v>
      </c>
      <c r="AF141" s="65">
        <f>SUM(A:B!AF141)</f>
        <v>0</v>
      </c>
      <c r="AG141" s="65">
        <f>SUM(A:B!AG141)</f>
        <v>0</v>
      </c>
      <c r="AH141" s="65">
        <f>SUM(A:B!AH141)</f>
        <v>0</v>
      </c>
      <c r="AI141" s="65">
        <f>SUM(A:B!AI141)</f>
        <v>0</v>
      </c>
      <c r="AJ141" s="65">
        <f>SUM(A:B!AJ141)</f>
        <v>0</v>
      </c>
      <c r="AK141" s="124">
        <f t="shared" si="30"/>
        <v>0</v>
      </c>
      <c r="AL141" s="73">
        <f t="shared" si="25"/>
        <v>0</v>
      </c>
      <c r="AM141" s="14">
        <f t="shared" si="32"/>
        <v>0</v>
      </c>
    </row>
    <row r="142" spans="1:40" hidden="1" outlineLevel="1">
      <c r="A142" s="12"/>
      <c r="I142" s="246" t="s">
        <v>256</v>
      </c>
      <c r="J142" s="65">
        <f>SUM(A:B!J142)</f>
        <v>0</v>
      </c>
      <c r="K142" s="65">
        <f>SUM(A:B!K142)</f>
        <v>0</v>
      </c>
      <c r="L142" s="65">
        <f>SUM(A:B!L142)</f>
        <v>0</v>
      </c>
      <c r="M142" s="65">
        <f>SUM(A:B!M142)</f>
        <v>9800</v>
      </c>
      <c r="N142" s="65">
        <f>SUM(A:B!N142)</f>
        <v>0</v>
      </c>
      <c r="O142" s="65">
        <f>SUM(A:B!O142)</f>
        <v>1200</v>
      </c>
      <c r="P142" s="65">
        <f>SUM(A:B!P142)</f>
        <v>0</v>
      </c>
      <c r="Q142" s="65">
        <f>SUM(A:B!Q142)</f>
        <v>14500</v>
      </c>
      <c r="R142" s="65">
        <f>SUM(A:B!R142)</f>
        <v>7900</v>
      </c>
      <c r="S142" s="65">
        <f>SUM(A:B!S142)</f>
        <v>9500</v>
      </c>
      <c r="T142" s="65">
        <f>SUM(A:B!T142)</f>
        <v>10000</v>
      </c>
      <c r="U142" s="65">
        <f>SUM(A:B!U142)</f>
        <v>6000</v>
      </c>
      <c r="V142" s="11">
        <f t="shared" si="37"/>
        <v>58900</v>
      </c>
      <c r="W142" s="73">
        <f t="shared" si="23"/>
        <v>6.5724585175638533E-5</v>
      </c>
      <c r="X142" s="89"/>
      <c r="Y142" s="65">
        <f>SUM(A:B!Y142)</f>
        <v>0</v>
      </c>
      <c r="Z142" s="65">
        <f>SUM(A:B!Z142)</f>
        <v>0</v>
      </c>
      <c r="AA142" s="65">
        <f>SUM(A:B!AA142)</f>
        <v>21737.099999999995</v>
      </c>
      <c r="AB142" s="65">
        <f>SUM(A:B!AB142)</f>
        <v>2070.1999999999998</v>
      </c>
      <c r="AC142" s="65">
        <f>SUM(A:B!AC142)</f>
        <v>0</v>
      </c>
      <c r="AD142" s="65">
        <f>SUM(A:B!AD142)</f>
        <v>21737.099999999995</v>
      </c>
      <c r="AE142" s="65">
        <f>SUM(A:B!AE142)</f>
        <v>2070.1999999999998</v>
      </c>
      <c r="AF142" s="65">
        <f>SUM(A:B!AF142)</f>
        <v>0</v>
      </c>
      <c r="AG142" s="65">
        <f>SUM(A:B!AG142)</f>
        <v>21737.099999999995</v>
      </c>
      <c r="AH142" s="65">
        <f>SUM(A:B!AH142)</f>
        <v>0</v>
      </c>
      <c r="AI142" s="65">
        <f>SUM(A:B!AI142)</f>
        <v>0</v>
      </c>
      <c r="AJ142" s="65">
        <f>SUM(A:B!AJ142)</f>
        <v>0</v>
      </c>
      <c r="AK142" s="124">
        <f t="shared" si="30"/>
        <v>69351.699999999983</v>
      </c>
      <c r="AL142" s="73">
        <f t="shared" si="25"/>
        <v>7.2002973382003221E-5</v>
      </c>
      <c r="AM142" s="14">
        <f t="shared" si="32"/>
        <v>0.17744821731748694</v>
      </c>
    </row>
    <row r="143" spans="1:40" hidden="1" outlineLevel="1">
      <c r="A143" s="12"/>
      <c r="I143" s="246" t="s">
        <v>257</v>
      </c>
      <c r="J143" s="65">
        <f>SUM(A:B!J143)</f>
        <v>0</v>
      </c>
      <c r="K143" s="65">
        <f>SUM(A:B!K143)</f>
        <v>0</v>
      </c>
      <c r="L143" s="65">
        <f>SUM(A:B!L143)</f>
        <v>0</v>
      </c>
      <c r="M143" s="65">
        <f>SUM(A:B!M143)</f>
        <v>0</v>
      </c>
      <c r="N143" s="65">
        <f>SUM(A:B!N143)</f>
        <v>0</v>
      </c>
      <c r="O143" s="65">
        <f>SUM(A:B!O143)</f>
        <v>0</v>
      </c>
      <c r="P143" s="65">
        <f>SUM(A:B!P143)</f>
        <v>0</v>
      </c>
      <c r="Q143" s="65">
        <f>SUM(A:B!Q143)</f>
        <v>0</v>
      </c>
      <c r="R143" s="65">
        <f>SUM(A:B!R143)</f>
        <v>0</v>
      </c>
      <c r="S143" s="65">
        <f>SUM(A:B!S143)</f>
        <v>0</v>
      </c>
      <c r="T143" s="65">
        <f>SUM(A:B!T143)</f>
        <v>0</v>
      </c>
      <c r="U143" s="65">
        <f>SUM(A:B!U143)</f>
        <v>0</v>
      </c>
      <c r="V143" s="11">
        <f t="shared" si="37"/>
        <v>0</v>
      </c>
      <c r="W143" s="73">
        <f t="shared" si="23"/>
        <v>0</v>
      </c>
      <c r="X143" s="89"/>
      <c r="Y143" s="65">
        <f>SUM(A:B!Y143)</f>
        <v>0</v>
      </c>
      <c r="Z143" s="65">
        <f>SUM(A:B!Z143)</f>
        <v>0</v>
      </c>
      <c r="AA143" s="65">
        <f>SUM(A:B!AA143)</f>
        <v>0</v>
      </c>
      <c r="AB143" s="65">
        <f>SUM(A:B!AB143)</f>
        <v>0</v>
      </c>
      <c r="AC143" s="65">
        <f>SUM(A:B!AC143)</f>
        <v>0</v>
      </c>
      <c r="AD143" s="65">
        <f>SUM(A:B!AD143)</f>
        <v>0</v>
      </c>
      <c r="AE143" s="65">
        <f>SUM(A:B!AE143)</f>
        <v>0</v>
      </c>
      <c r="AF143" s="65">
        <f>SUM(A:B!AF143)</f>
        <v>0</v>
      </c>
      <c r="AG143" s="65">
        <f>SUM(A:B!AG143)</f>
        <v>0</v>
      </c>
      <c r="AH143" s="65">
        <f>SUM(A:B!AH143)</f>
        <v>0</v>
      </c>
      <c r="AI143" s="65">
        <f>SUM(A:B!AI143)</f>
        <v>0</v>
      </c>
      <c r="AJ143" s="65">
        <f>SUM(A:B!AJ143)</f>
        <v>0</v>
      </c>
      <c r="AK143" s="124">
        <f t="shared" si="30"/>
        <v>0</v>
      </c>
      <c r="AL143" s="73">
        <f t="shared" si="25"/>
        <v>0</v>
      </c>
      <c r="AM143" s="14">
        <f t="shared" si="32"/>
        <v>0</v>
      </c>
    </row>
    <row r="144" spans="1:40" hidden="1" outlineLevel="1">
      <c r="A144" s="12"/>
      <c r="I144" s="246" t="s">
        <v>258</v>
      </c>
      <c r="J144" s="65">
        <f>SUM(A:B!J144)</f>
        <v>0</v>
      </c>
      <c r="K144" s="65">
        <f>SUM(A:B!K144)</f>
        <v>0</v>
      </c>
      <c r="L144" s="65">
        <f>SUM(A:B!L144)</f>
        <v>0</v>
      </c>
      <c r="M144" s="65">
        <f>SUM(A:B!M144)</f>
        <v>1960</v>
      </c>
      <c r="N144" s="65">
        <f>SUM(A:B!N144)</f>
        <v>0</v>
      </c>
      <c r="O144" s="65">
        <f>SUM(A:B!O144)</f>
        <v>0</v>
      </c>
      <c r="P144" s="65">
        <f>SUM(A:B!P144)</f>
        <v>3400</v>
      </c>
      <c r="Q144" s="65">
        <f>SUM(A:B!Q144)</f>
        <v>35100</v>
      </c>
      <c r="R144" s="65">
        <f>SUM(A:B!R144)</f>
        <v>0</v>
      </c>
      <c r="S144" s="65">
        <f>SUM(A:B!S144)</f>
        <v>24440</v>
      </c>
      <c r="T144" s="65">
        <f>SUM(A:B!T144)</f>
        <v>0</v>
      </c>
      <c r="U144" s="65">
        <f>SUM(A:B!U144)</f>
        <v>26156.000000000004</v>
      </c>
      <c r="V144" s="11">
        <f t="shared" si="37"/>
        <v>91056</v>
      </c>
      <c r="W144" s="73">
        <f t="shared" si="23"/>
        <v>1.0160641473264757E-4</v>
      </c>
      <c r="X144" s="89"/>
      <c r="Y144" s="65">
        <f>SUM(A:B!Y144)</f>
        <v>0</v>
      </c>
      <c r="Z144" s="65">
        <f>SUM(A:B!Z144)</f>
        <v>55869.522499999999</v>
      </c>
      <c r="AA144" s="65">
        <f>SUM(A:B!AA144)</f>
        <v>0</v>
      </c>
      <c r="AB144" s="65">
        <f>SUM(A:B!AB144)</f>
        <v>0</v>
      </c>
      <c r="AC144" s="65">
        <f>SUM(A:B!AC144)</f>
        <v>55869.522499999999</v>
      </c>
      <c r="AD144" s="65">
        <f>SUM(A:B!AD144)</f>
        <v>0</v>
      </c>
      <c r="AE144" s="65">
        <f>SUM(A:B!AE144)</f>
        <v>0</v>
      </c>
      <c r="AF144" s="65">
        <f>SUM(A:B!AF144)</f>
        <v>55869.522499999999</v>
      </c>
      <c r="AG144" s="65">
        <f>SUM(A:B!AG144)</f>
        <v>0</v>
      </c>
      <c r="AH144" s="65">
        <f>SUM(A:B!AH144)</f>
        <v>0</v>
      </c>
      <c r="AI144" s="65">
        <f>SUM(A:B!AI144)</f>
        <v>55869.522499999999</v>
      </c>
      <c r="AJ144" s="65">
        <f>SUM(A:B!AJ144)</f>
        <v>0</v>
      </c>
      <c r="AK144" s="124">
        <f t="shared" si="30"/>
        <v>223478.09</v>
      </c>
      <c r="AL144" s="73">
        <f t="shared" si="25"/>
        <v>2.3202152168917161E-4</v>
      </c>
      <c r="AM144" s="14">
        <f t="shared" si="32"/>
        <v>1.4542928527499561</v>
      </c>
    </row>
    <row r="145" spans="1:68" hidden="1" outlineLevel="1">
      <c r="A145" s="12"/>
      <c r="I145" s="246" t="s">
        <v>259</v>
      </c>
      <c r="J145" s="65">
        <f>SUM(A:B!J145)</f>
        <v>0</v>
      </c>
      <c r="K145" s="65">
        <f>SUM(A:B!K145)</f>
        <v>0</v>
      </c>
      <c r="L145" s="65">
        <f>SUM(A:B!L145)</f>
        <v>1800</v>
      </c>
      <c r="M145" s="65">
        <f>SUM(A:B!M145)</f>
        <v>14705</v>
      </c>
      <c r="N145" s="65">
        <f>SUM(A:B!N145)</f>
        <v>17035</v>
      </c>
      <c r="O145" s="65">
        <f>SUM(A:B!O145)</f>
        <v>0</v>
      </c>
      <c r="P145" s="65">
        <f>SUM(A:B!P145)</f>
        <v>0</v>
      </c>
      <c r="Q145" s="65">
        <f>SUM(A:B!Q145)</f>
        <v>7650</v>
      </c>
      <c r="R145" s="65">
        <f>SUM(A:B!R145)</f>
        <v>0</v>
      </c>
      <c r="S145" s="65">
        <f>SUM(A:B!S145)</f>
        <v>5990</v>
      </c>
      <c r="T145" s="65">
        <f>SUM(A:B!T145)</f>
        <v>0</v>
      </c>
      <c r="U145" s="65">
        <f>SUM(A:B!U145)</f>
        <v>9464</v>
      </c>
      <c r="V145" s="11">
        <f t="shared" si="37"/>
        <v>56644</v>
      </c>
      <c r="W145" s="73">
        <f t="shared" si="23"/>
        <v>6.3207188500659912E-5</v>
      </c>
      <c r="X145" s="89"/>
      <c r="Y145" s="65">
        <f>SUM(A:B!Y145)</f>
        <v>0</v>
      </c>
      <c r="Z145" s="65">
        <f>SUM(A:B!Z145)</f>
        <v>10785.742</v>
      </c>
      <c r="AA145" s="65">
        <f>SUM(A:B!AA145)</f>
        <v>0</v>
      </c>
      <c r="AB145" s="65">
        <f>SUM(A:B!AB145)</f>
        <v>0</v>
      </c>
      <c r="AC145" s="65">
        <f>SUM(A:B!AC145)</f>
        <v>10785.742</v>
      </c>
      <c r="AD145" s="65">
        <f>SUM(A:B!AD145)</f>
        <v>0</v>
      </c>
      <c r="AE145" s="65">
        <f>SUM(A:B!AE145)</f>
        <v>0</v>
      </c>
      <c r="AF145" s="65">
        <f>SUM(A:B!AF145)</f>
        <v>10785.742</v>
      </c>
      <c r="AG145" s="65">
        <f>SUM(A:B!AG145)</f>
        <v>0</v>
      </c>
      <c r="AH145" s="65">
        <f>SUM(A:B!AH145)</f>
        <v>0</v>
      </c>
      <c r="AI145" s="65">
        <f>SUM(A:B!AI145)</f>
        <v>10785.742</v>
      </c>
      <c r="AJ145" s="65">
        <f>SUM(A:B!AJ145)</f>
        <v>0</v>
      </c>
      <c r="AK145" s="124">
        <f t="shared" si="30"/>
        <v>43142.968000000001</v>
      </c>
      <c r="AL145" s="73">
        <f t="shared" si="25"/>
        <v>4.4792297471073057E-5</v>
      </c>
      <c r="AM145" s="14">
        <f t="shared" si="32"/>
        <v>-0.23834884542052115</v>
      </c>
    </row>
    <row r="146" spans="1:68" hidden="1" outlineLevel="1">
      <c r="A146" s="12"/>
      <c r="I146" s="251" t="s">
        <v>260</v>
      </c>
      <c r="J146" s="65">
        <f>SUM(A:B!J146)</f>
        <v>0</v>
      </c>
      <c r="K146" s="65">
        <f>SUM(A:B!K146)</f>
        <v>0</v>
      </c>
      <c r="L146" s="65">
        <f>SUM(A:B!L146)</f>
        <v>0</v>
      </c>
      <c r="M146" s="65">
        <f>SUM(A:B!M146)</f>
        <v>0</v>
      </c>
      <c r="N146" s="65">
        <f>SUM(A:B!N146)</f>
        <v>0</v>
      </c>
      <c r="O146" s="65">
        <f>SUM(A:B!O146)</f>
        <v>0</v>
      </c>
      <c r="P146" s="65">
        <f>SUM(A:B!P146)</f>
        <v>0</v>
      </c>
      <c r="Q146" s="65">
        <f>SUM(A:B!Q146)</f>
        <v>0</v>
      </c>
      <c r="R146" s="65">
        <f>SUM(A:B!R146)</f>
        <v>0</v>
      </c>
      <c r="S146" s="65">
        <f>SUM(A:B!S146)</f>
        <v>0</v>
      </c>
      <c r="T146" s="65">
        <f>SUM(A:B!T146)</f>
        <v>0</v>
      </c>
      <c r="U146" s="65">
        <f>SUM(A:B!U146)</f>
        <v>0</v>
      </c>
      <c r="V146" s="11">
        <f t="shared" si="37"/>
        <v>0</v>
      </c>
      <c r="W146" s="73">
        <f t="shared" si="23"/>
        <v>0</v>
      </c>
      <c r="X146" s="89"/>
      <c r="Y146" s="65">
        <f>SUM(A:B!Y146)</f>
        <v>0</v>
      </c>
      <c r="Z146" s="65">
        <f>SUM(A:B!Z146)</f>
        <v>0</v>
      </c>
      <c r="AA146" s="65">
        <f>SUM(A:B!AA146)</f>
        <v>0</v>
      </c>
      <c r="AB146" s="65">
        <f>SUM(A:B!AB146)</f>
        <v>0</v>
      </c>
      <c r="AC146" s="65">
        <f>SUM(A:B!AC146)</f>
        <v>0</v>
      </c>
      <c r="AD146" s="65">
        <f>SUM(A:B!AD146)</f>
        <v>0</v>
      </c>
      <c r="AE146" s="65">
        <f>SUM(A:B!AE146)</f>
        <v>0</v>
      </c>
      <c r="AF146" s="65">
        <f>SUM(A:B!AF146)</f>
        <v>0</v>
      </c>
      <c r="AG146" s="65">
        <f>SUM(A:B!AG146)</f>
        <v>0</v>
      </c>
      <c r="AH146" s="65">
        <f>SUM(A:B!AH146)</f>
        <v>0</v>
      </c>
      <c r="AI146" s="65">
        <f>SUM(A:B!AI146)</f>
        <v>0</v>
      </c>
      <c r="AJ146" s="65">
        <f>SUM(A:B!AJ146)</f>
        <v>0</v>
      </c>
      <c r="AK146" s="124">
        <f t="shared" si="30"/>
        <v>0</v>
      </c>
      <c r="AL146" s="73">
        <f t="shared" si="25"/>
        <v>0</v>
      </c>
      <c r="AM146" s="14">
        <f t="shared" si="32"/>
        <v>0</v>
      </c>
    </row>
    <row r="147" spans="1:68" hidden="1" outlineLevel="1">
      <c r="A147" s="12"/>
      <c r="I147" s="251" t="s">
        <v>261</v>
      </c>
      <c r="J147" s="65">
        <f>SUM(A:B!J147)</f>
        <v>0</v>
      </c>
      <c r="K147" s="65">
        <f>SUM(A:B!K147)</f>
        <v>0</v>
      </c>
      <c r="L147" s="65">
        <f>SUM(A:B!L147)</f>
        <v>0</v>
      </c>
      <c r="M147" s="65">
        <f>SUM(A:B!M147)</f>
        <v>0</v>
      </c>
      <c r="N147" s="65">
        <f>SUM(A:B!N147)</f>
        <v>0</v>
      </c>
      <c r="O147" s="65">
        <f>SUM(A:B!O147)</f>
        <v>0</v>
      </c>
      <c r="P147" s="65">
        <f>SUM(A:B!P147)</f>
        <v>0</v>
      </c>
      <c r="Q147" s="65">
        <f>SUM(A:B!Q147)</f>
        <v>0</v>
      </c>
      <c r="R147" s="65">
        <f>SUM(A:B!R147)</f>
        <v>0</v>
      </c>
      <c r="S147" s="65">
        <f>SUM(A:B!S147)</f>
        <v>0</v>
      </c>
      <c r="T147" s="65">
        <f>SUM(A:B!T147)</f>
        <v>0</v>
      </c>
      <c r="U147" s="65">
        <f>SUM(A:B!U147)</f>
        <v>0</v>
      </c>
      <c r="V147" s="11">
        <f t="shared" si="37"/>
        <v>0</v>
      </c>
      <c r="W147" s="73">
        <f t="shared" si="23"/>
        <v>0</v>
      </c>
      <c r="X147" s="89"/>
      <c r="Y147" s="65">
        <f>SUM(A:B!Y147)</f>
        <v>0</v>
      </c>
      <c r="Z147" s="65">
        <f>SUM(A:B!Z147)</f>
        <v>0</v>
      </c>
      <c r="AA147" s="65">
        <f>SUM(A:B!AA147)</f>
        <v>0</v>
      </c>
      <c r="AB147" s="65">
        <f>SUM(A:B!AB147)</f>
        <v>0</v>
      </c>
      <c r="AC147" s="65">
        <f>SUM(A:B!AC147)</f>
        <v>0</v>
      </c>
      <c r="AD147" s="65">
        <f>SUM(A:B!AD147)</f>
        <v>0</v>
      </c>
      <c r="AE147" s="65">
        <f>SUM(A:B!AE147)</f>
        <v>0</v>
      </c>
      <c r="AF147" s="65">
        <f>SUM(A:B!AF147)</f>
        <v>0</v>
      </c>
      <c r="AG147" s="65">
        <f>SUM(A:B!AG147)</f>
        <v>0</v>
      </c>
      <c r="AH147" s="65">
        <f>SUM(A:B!AH147)</f>
        <v>0</v>
      </c>
      <c r="AI147" s="65">
        <f>SUM(A:B!AI147)</f>
        <v>0</v>
      </c>
      <c r="AJ147" s="65">
        <f>SUM(A:B!AJ147)</f>
        <v>0</v>
      </c>
      <c r="AK147" s="124">
        <f t="shared" si="30"/>
        <v>0</v>
      </c>
      <c r="AL147" s="73">
        <f t="shared" si="25"/>
        <v>0</v>
      </c>
      <c r="AM147" s="14">
        <f t="shared" si="32"/>
        <v>0</v>
      </c>
    </row>
    <row r="148" spans="1:68" hidden="1" outlineLevel="1">
      <c r="A148" s="12"/>
      <c r="I148" s="246" t="s">
        <v>262</v>
      </c>
      <c r="J148" s="65">
        <f>SUM(A:B!J148)</f>
        <v>0</v>
      </c>
      <c r="K148" s="65">
        <f>SUM(A:B!K148)</f>
        <v>0</v>
      </c>
      <c r="L148" s="65">
        <f>SUM(A:B!L148)</f>
        <v>0</v>
      </c>
      <c r="M148" s="65">
        <f>SUM(A:B!M148)</f>
        <v>0</v>
      </c>
      <c r="N148" s="65">
        <f>SUM(A:B!N148)</f>
        <v>0</v>
      </c>
      <c r="O148" s="65">
        <f>SUM(A:B!O148)</f>
        <v>0</v>
      </c>
      <c r="P148" s="65">
        <f>SUM(A:B!P148)</f>
        <v>0</v>
      </c>
      <c r="Q148" s="65">
        <f>SUM(A:B!Q148)</f>
        <v>0</v>
      </c>
      <c r="R148" s="65">
        <f>SUM(A:B!R148)</f>
        <v>0</v>
      </c>
      <c r="S148" s="65">
        <f>SUM(A:B!S148)</f>
        <v>0</v>
      </c>
      <c r="T148" s="65">
        <f>SUM(A:B!T148)</f>
        <v>0</v>
      </c>
      <c r="U148" s="65">
        <f>SUM(A:B!U148)</f>
        <v>25480</v>
      </c>
      <c r="V148" s="11">
        <f t="shared" si="37"/>
        <v>25480</v>
      </c>
      <c r="W148" s="73">
        <f t="shared" si="23"/>
        <v>2.8432299325556364E-5</v>
      </c>
      <c r="X148" s="89"/>
      <c r="Y148" s="65">
        <f>SUM(A:B!Y148)</f>
        <v>0</v>
      </c>
      <c r="Z148" s="65">
        <f>SUM(A:B!Z148)</f>
        <v>0</v>
      </c>
      <c r="AA148" s="65">
        <f>SUM(A:B!AA148)</f>
        <v>0</v>
      </c>
      <c r="AB148" s="65">
        <f>SUM(A:B!AB148)</f>
        <v>0</v>
      </c>
      <c r="AC148" s="65">
        <f>SUM(A:B!AC148)</f>
        <v>0</v>
      </c>
      <c r="AD148" s="65">
        <f>SUM(A:B!AD148)</f>
        <v>0</v>
      </c>
      <c r="AE148" s="65">
        <f>SUM(A:B!AE148)</f>
        <v>0</v>
      </c>
      <c r="AF148" s="65">
        <f>SUM(A:B!AF148)</f>
        <v>0</v>
      </c>
      <c r="AG148" s="65">
        <f>SUM(A:B!AG148)</f>
        <v>0</v>
      </c>
      <c r="AH148" s="65">
        <f>SUM(A:B!AH148)</f>
        <v>0</v>
      </c>
      <c r="AI148" s="65">
        <f>SUM(A:B!AI148)</f>
        <v>0</v>
      </c>
      <c r="AJ148" s="65">
        <f>SUM(A:B!AJ148)</f>
        <v>22461.67</v>
      </c>
      <c r="AK148" s="124">
        <f t="shared" si="30"/>
        <v>22461.67</v>
      </c>
      <c r="AL148" s="73">
        <f t="shared" si="25"/>
        <v>2.3320366005812985E-5</v>
      </c>
      <c r="AM148" s="14">
        <f t="shared" si="32"/>
        <v>-0.11845879120879133</v>
      </c>
    </row>
    <row r="149" spans="1:68" collapsed="1">
      <c r="A149" s="12" t="s">
        <v>263</v>
      </c>
      <c r="B149" s="8" t="s">
        <v>88</v>
      </c>
      <c r="I149" s="121" t="s">
        <v>264</v>
      </c>
      <c r="J149" s="15">
        <f>SUM(J150:J156)</f>
        <v>1602712</v>
      </c>
      <c r="K149" s="15">
        <f t="shared" ref="K149:V149" si="41">SUM(K150:K156)</f>
        <v>665273</v>
      </c>
      <c r="L149" s="15">
        <f t="shared" si="41"/>
        <v>1126651</v>
      </c>
      <c r="M149" s="15">
        <f t="shared" si="41"/>
        <v>1266773</v>
      </c>
      <c r="N149" s="15">
        <f t="shared" si="41"/>
        <v>1219217</v>
      </c>
      <c r="O149" s="15">
        <f t="shared" si="41"/>
        <v>1043144</v>
      </c>
      <c r="P149" s="15">
        <f t="shared" si="41"/>
        <v>1170303</v>
      </c>
      <c r="Q149" s="15">
        <f t="shared" si="41"/>
        <v>1398680</v>
      </c>
      <c r="R149" s="15">
        <f t="shared" si="41"/>
        <v>799077</v>
      </c>
      <c r="S149" s="15">
        <f t="shared" si="41"/>
        <v>792406.77213637915</v>
      </c>
      <c r="T149" s="15">
        <f t="shared" si="41"/>
        <v>1220245.2025814177</v>
      </c>
      <c r="U149" s="15">
        <f t="shared" si="41"/>
        <v>1213011.5280347874</v>
      </c>
      <c r="V149" s="15">
        <f t="shared" si="41"/>
        <v>13517493.502752585</v>
      </c>
      <c r="W149" s="72">
        <f t="shared" si="23"/>
        <v>1.5083729254376956E-2</v>
      </c>
      <c r="X149" s="89"/>
      <c r="Y149" s="15">
        <f>SUM(Y150:Y156)</f>
        <v>1095326.8648914332</v>
      </c>
      <c r="Z149" s="15">
        <f t="shared" ref="Z149:AJ149" si="42">SUM(Z150:Z156)</f>
        <v>1149631.1204914334</v>
      </c>
      <c r="AA149" s="15">
        <f t="shared" si="42"/>
        <v>1136800.7909389513</v>
      </c>
      <c r="AB149" s="15">
        <f t="shared" si="42"/>
        <v>1152425.318717798</v>
      </c>
      <c r="AC149" s="15">
        <f t="shared" si="42"/>
        <v>1132144.6469212635</v>
      </c>
      <c r="AD149" s="15">
        <f t="shared" si="42"/>
        <v>1198331.2371285502</v>
      </c>
      <c r="AE149" s="15">
        <f t="shared" si="42"/>
        <v>1219685.9415612433</v>
      </c>
      <c r="AF149" s="15">
        <f t="shared" si="42"/>
        <v>1234536.5864446848</v>
      </c>
      <c r="AG149" s="15">
        <f t="shared" si="42"/>
        <v>1242849.0459104897</v>
      </c>
      <c r="AH149" s="15">
        <f t="shared" si="42"/>
        <v>1248769.9109073142</v>
      </c>
      <c r="AI149" s="15">
        <f t="shared" si="42"/>
        <v>1240989.484527977</v>
      </c>
      <c r="AJ149" s="15">
        <f t="shared" si="42"/>
        <v>1219507.1447894841</v>
      </c>
      <c r="AK149" s="15">
        <f>SUM(AK150:AK156)</f>
        <v>14270998.093230626</v>
      </c>
      <c r="AL149" s="15">
        <f t="shared" si="25"/>
        <v>1.4816569685263715E-2</v>
      </c>
      <c r="AM149" s="15">
        <f t="shared" si="32"/>
        <v>5.5742922334277578E-2</v>
      </c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72"/>
      <c r="AZ149" s="89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72"/>
      <c r="BO149" s="10"/>
      <c r="BP149" s="10"/>
    </row>
    <row r="150" spans="1:68" hidden="1" outlineLevel="1">
      <c r="A150" s="12" t="s">
        <v>263</v>
      </c>
      <c r="B150" s="8" t="s">
        <v>88</v>
      </c>
      <c r="I150" s="213" t="s">
        <v>265</v>
      </c>
      <c r="J150" s="65">
        <f>SUM(A:B!J150)</f>
        <v>1064377</v>
      </c>
      <c r="K150" s="65">
        <f>SUM(A:B!K150)</f>
        <v>111489</v>
      </c>
      <c r="L150" s="65">
        <f>SUM(A:B!L150)</f>
        <v>568756</v>
      </c>
      <c r="M150" s="65">
        <f>SUM(A:B!M150)</f>
        <v>750042</v>
      </c>
      <c r="N150" s="65">
        <f>SUM(A:B!N150)</f>
        <v>700886</v>
      </c>
      <c r="O150" s="65">
        <f>SUM(A:B!O150)</f>
        <v>535082</v>
      </c>
      <c r="P150" s="65">
        <f>SUM(A:B!P150)</f>
        <v>627083</v>
      </c>
      <c r="Q150" s="65">
        <f>SUM(A:B!Q150)</f>
        <v>868116</v>
      </c>
      <c r="R150" s="65">
        <f>SUM(A:B!R150)</f>
        <v>264415</v>
      </c>
      <c r="S150" s="65">
        <f>SUM(A:B!S150)</f>
        <v>264507.41781637911</v>
      </c>
      <c r="T150" s="65">
        <f>SUM(A:B!T150)</f>
        <v>684665.14230586227</v>
      </c>
      <c r="U150" s="65">
        <f>SUM(A:B!U150)</f>
        <v>674028.69146293553</v>
      </c>
      <c r="V150" s="11">
        <f t="shared" ref="V150:V155" si="43">SUM(J150:U150)</f>
        <v>7113447.2515851771</v>
      </c>
      <c r="W150" s="73">
        <f t="shared" si="23"/>
        <v>7.9376633239256669E-3</v>
      </c>
      <c r="X150" s="89"/>
      <c r="Y150" s="65">
        <f>SUM(A:B!Y150)</f>
        <v>582598.63949143328</v>
      </c>
      <c r="Z150" s="65">
        <f>SUM(A:B!Z150)</f>
        <v>582598.63949143328</v>
      </c>
      <c r="AA150" s="65">
        <f>SUM(A:B!AA150)</f>
        <v>586629.22793895134</v>
      </c>
      <c r="AB150" s="65">
        <f>SUM(A:B!AB150)</f>
        <v>631116.52921779803</v>
      </c>
      <c r="AC150" s="65">
        <f>SUM(A:B!AC150)</f>
        <v>616049.8775212639</v>
      </c>
      <c r="AD150" s="65">
        <f>SUM(A:B!AD150)</f>
        <v>690700.54882855038</v>
      </c>
      <c r="AE150" s="65">
        <f>SUM(A:B!AE150)</f>
        <v>677223.39376124332</v>
      </c>
      <c r="AF150" s="65">
        <f>SUM(A:B!AF150)</f>
        <v>670416.72794468491</v>
      </c>
      <c r="AG150" s="65">
        <f>SUM(A:B!AG150)</f>
        <v>686808.02271048969</v>
      </c>
      <c r="AH150" s="65">
        <f>SUM(A:B!AH150)</f>
        <v>671654.69121398078</v>
      </c>
      <c r="AI150" s="65">
        <f>SUM(A:B!AI150)</f>
        <v>675343.8024901991</v>
      </c>
      <c r="AJ150" s="65">
        <f>SUM(A:B!AJ150)</f>
        <v>650159.12208133622</v>
      </c>
      <c r="AK150" s="124">
        <f t="shared" si="30"/>
        <v>7721299.2226913655</v>
      </c>
      <c r="AL150" s="73">
        <f t="shared" si="25"/>
        <v>8.0164798037528802E-3</v>
      </c>
      <c r="AM150" s="14">
        <f t="shared" si="32"/>
        <v>8.5451111058809426E-2</v>
      </c>
    </row>
    <row r="151" spans="1:68" hidden="1" outlineLevel="1">
      <c r="A151" s="12" t="s">
        <v>263</v>
      </c>
      <c r="B151" s="8" t="s">
        <v>88</v>
      </c>
      <c r="I151" s="213"/>
      <c r="J151" s="65">
        <f>SUM(A:B!J151)</f>
        <v>278022</v>
      </c>
      <c r="K151" s="65">
        <f>SUM(A:B!K151)</f>
        <v>285536</v>
      </c>
      <c r="L151" s="65">
        <f>SUM(A:B!L151)</f>
        <v>287802</v>
      </c>
      <c r="M151" s="65">
        <f>SUM(A:B!M151)</f>
        <v>261157</v>
      </c>
      <c r="N151" s="65">
        <f>SUM(A:B!N151)</f>
        <v>267206</v>
      </c>
      <c r="O151" s="65">
        <f>SUM(A:B!O151)</f>
        <v>262834</v>
      </c>
      <c r="P151" s="65">
        <f>SUM(A:B!P151)</f>
        <v>279416</v>
      </c>
      <c r="Q151" s="65">
        <f>SUM(A:B!Q151)</f>
        <v>274137</v>
      </c>
      <c r="R151" s="65">
        <f>SUM(A:B!R151)</f>
        <v>277219</v>
      </c>
      <c r="S151" s="65">
        <f>SUM(A:B!S151)</f>
        <v>271891.34382666671</v>
      </c>
      <c r="T151" s="65">
        <f>SUM(A:B!T151)</f>
        <v>274440.05680444447</v>
      </c>
      <c r="U151" s="65">
        <f>SUM(A:B!U151)</f>
        <v>276061.01828592597</v>
      </c>
      <c r="V151" s="11">
        <f t="shared" si="43"/>
        <v>3295721.4189170371</v>
      </c>
      <c r="W151" s="73">
        <f t="shared" si="23"/>
        <v>3.6775878287400522E-3</v>
      </c>
      <c r="X151" s="89"/>
      <c r="Y151" s="65">
        <f>SUM(A:B!Y151)</f>
        <v>281085.90539999999</v>
      </c>
      <c r="Z151" s="65">
        <f>SUM(A:B!Z151)</f>
        <v>289218.321</v>
      </c>
      <c r="AA151" s="65">
        <f>SUM(A:B!AA151)</f>
        <v>291133.56299999997</v>
      </c>
      <c r="AB151" s="65">
        <f>SUM(A:B!AB151)</f>
        <v>276097.5895</v>
      </c>
      <c r="AC151" s="65">
        <f>SUM(A:B!AC151)</f>
        <v>271713.48939999996</v>
      </c>
      <c r="AD151" s="65">
        <f>SUM(A:B!AD151)</f>
        <v>265695.48829999997</v>
      </c>
      <c r="AE151" s="65">
        <f>SUM(A:B!AE151)</f>
        <v>285018.86779999995</v>
      </c>
      <c r="AF151" s="65">
        <f>SUM(A:B!AF151)</f>
        <v>277446.97849999997</v>
      </c>
      <c r="AG151" s="65">
        <f>SUM(A:B!AG151)</f>
        <v>278538.86319999996</v>
      </c>
      <c r="AH151" s="65">
        <f>SUM(A:B!AH151)</f>
        <v>288543.29969333333</v>
      </c>
      <c r="AI151" s="65">
        <f>SUM(A:B!AI151)</f>
        <v>282801.04203777778</v>
      </c>
      <c r="AJ151" s="65">
        <f>SUM(A:B!AJ151)</f>
        <v>284918.42270814808</v>
      </c>
      <c r="AK151" s="124">
        <f t="shared" si="30"/>
        <v>3372211.8305392587</v>
      </c>
      <c r="AL151" s="73">
        <f t="shared" si="25"/>
        <v>3.5011294412796608E-3</v>
      </c>
      <c r="AM151" s="14">
        <f t="shared" si="32"/>
        <v>2.3209004008401868E-2</v>
      </c>
    </row>
    <row r="152" spans="1:68" hidden="1" outlineLevel="1">
      <c r="A152" s="12" t="s">
        <v>263</v>
      </c>
      <c r="B152" s="8" t="s">
        <v>88</v>
      </c>
      <c r="I152" s="213" t="s">
        <v>266</v>
      </c>
      <c r="J152" s="65">
        <f>SUM(A:B!J152)</f>
        <v>0</v>
      </c>
      <c r="K152" s="65">
        <f>SUM(A:B!K152)</f>
        <v>0</v>
      </c>
      <c r="L152" s="65">
        <f>SUM(A:B!L152)</f>
        <v>0</v>
      </c>
      <c r="M152" s="65">
        <f>SUM(A:B!M152)</f>
        <v>0</v>
      </c>
      <c r="N152" s="65">
        <f>SUM(A:B!N152)</f>
        <v>0</v>
      </c>
      <c r="O152" s="65">
        <f>SUM(A:B!O152)</f>
        <v>0</v>
      </c>
      <c r="P152" s="65">
        <f>SUM(A:B!P152)</f>
        <v>0</v>
      </c>
      <c r="Q152" s="65">
        <f>SUM(A:B!Q152)</f>
        <v>0</v>
      </c>
      <c r="R152" s="65">
        <f>SUM(A:B!R152)</f>
        <v>0</v>
      </c>
      <c r="S152" s="65">
        <f>SUM(A:B!S152)</f>
        <v>0</v>
      </c>
      <c r="T152" s="65">
        <f>SUM(A:B!T152)</f>
        <v>0</v>
      </c>
      <c r="U152" s="65">
        <f>SUM(A:B!U152)</f>
        <v>0</v>
      </c>
      <c r="V152" s="11">
        <f t="shared" si="43"/>
        <v>0</v>
      </c>
      <c r="W152" s="73">
        <f t="shared" si="23"/>
        <v>0</v>
      </c>
      <c r="X152" s="89"/>
      <c r="Y152" s="65">
        <v>76289.2</v>
      </c>
      <c r="Z152" s="65">
        <v>91684.32</v>
      </c>
      <c r="AA152" s="65">
        <v>77509.12000000001</v>
      </c>
      <c r="AB152" s="65">
        <v>83534.880000000005</v>
      </c>
      <c r="AC152" s="65">
        <v>87141.6</v>
      </c>
      <c r="AD152" s="65">
        <v>79249.040000000008</v>
      </c>
      <c r="AE152" s="65">
        <v>83954</v>
      </c>
      <c r="AF152" s="65">
        <v>93298.400000000009</v>
      </c>
      <c r="AG152" s="65">
        <v>90085.84</v>
      </c>
      <c r="AH152" s="65">
        <v>99563.36</v>
      </c>
      <c r="AI152" s="65">
        <v>94256.24</v>
      </c>
      <c r="AJ152" s="65">
        <v>94635.839999999997</v>
      </c>
      <c r="AK152" s="124">
        <f t="shared" si="30"/>
        <v>1051201.8400000001</v>
      </c>
      <c r="AL152" s="73">
        <f t="shared" si="25"/>
        <v>1.0913886480739886E-3</v>
      </c>
      <c r="AM152" s="14">
        <f t="shared" si="32"/>
        <v>0</v>
      </c>
      <c r="AN152" s="9">
        <f>+AK152-V152</f>
        <v>1051201.8400000001</v>
      </c>
      <c r="AO152" s="1">
        <v>1.04</v>
      </c>
    </row>
    <row r="153" spans="1:68" hidden="1" outlineLevel="1">
      <c r="A153" s="12" t="s">
        <v>263</v>
      </c>
      <c r="B153" s="8" t="s">
        <v>88</v>
      </c>
      <c r="I153" s="213" t="s">
        <v>267</v>
      </c>
      <c r="J153" s="65">
        <f>SUM(A:B!J153)</f>
        <v>0</v>
      </c>
      <c r="K153" s="65">
        <f>SUM(A:B!K153)</f>
        <v>0</v>
      </c>
      <c r="L153" s="65">
        <f>SUM(A:B!L153)</f>
        <v>0</v>
      </c>
      <c r="M153" s="65">
        <f>SUM(A:B!M153)</f>
        <v>0</v>
      </c>
      <c r="N153" s="65">
        <f>SUM(A:B!N153)</f>
        <v>0</v>
      </c>
      <c r="O153" s="65">
        <f>SUM(A:B!O153)</f>
        <v>0</v>
      </c>
      <c r="P153" s="65">
        <f>SUM(A:B!P153)</f>
        <v>0</v>
      </c>
      <c r="Q153" s="65">
        <f>SUM(A:B!Q153)</f>
        <v>0</v>
      </c>
      <c r="R153" s="65">
        <f>SUM(A:B!R153)</f>
        <v>0</v>
      </c>
      <c r="S153" s="65">
        <f>SUM(A:B!S153)</f>
        <v>0</v>
      </c>
      <c r="T153" s="65">
        <f>SUM(A:B!T153)</f>
        <v>0</v>
      </c>
      <c r="U153" s="65">
        <f>SUM(A:B!U153)</f>
        <v>0</v>
      </c>
      <c r="V153" s="11">
        <f>SUM(J153:U153)</f>
        <v>0</v>
      </c>
      <c r="W153" s="73">
        <f t="shared" si="23"/>
        <v>0</v>
      </c>
      <c r="X153" s="89"/>
      <c r="Y153" s="65">
        <v>128161.28</v>
      </c>
      <c r="Z153" s="65">
        <v>128161.28</v>
      </c>
      <c r="AA153" s="65">
        <v>133198</v>
      </c>
      <c r="AB153" s="65">
        <v>129878.32</v>
      </c>
      <c r="AC153" s="65">
        <v>132558.39999999999</v>
      </c>
      <c r="AD153" s="65">
        <v>136637.28</v>
      </c>
      <c r="AE153" s="65">
        <v>142174.24</v>
      </c>
      <c r="AF153" s="65">
        <v>150281.04</v>
      </c>
      <c r="AG153" s="65">
        <v>144685.84</v>
      </c>
      <c r="AH153" s="65">
        <v>145408.64000000001</v>
      </c>
      <c r="AI153" s="65">
        <v>146136.64000000001</v>
      </c>
      <c r="AJ153" s="65">
        <v>146866.72</v>
      </c>
      <c r="AK153" s="124">
        <f t="shared" si="30"/>
        <v>1664147.6800000004</v>
      </c>
      <c r="AL153" s="73">
        <f t="shared" si="25"/>
        <v>1.7277670353684548E-3</v>
      </c>
      <c r="AM153" s="14">
        <f t="shared" si="32"/>
        <v>0</v>
      </c>
    </row>
    <row r="154" spans="1:68" hidden="1" outlineLevel="1">
      <c r="A154" s="12" t="s">
        <v>263</v>
      </c>
      <c r="B154" s="8" t="s">
        <v>88</v>
      </c>
      <c r="C154" s="19" t="s">
        <v>268</v>
      </c>
      <c r="D154" s="12"/>
      <c r="E154" s="20"/>
      <c r="F154" s="12"/>
      <c r="G154" s="12"/>
      <c r="H154" s="12"/>
      <c r="I154" s="213" t="s">
        <v>269</v>
      </c>
      <c r="J154" s="65">
        <f>SUM(A:B!J154)</f>
        <v>87085</v>
      </c>
      <c r="K154" s="65">
        <f>SUM(A:B!K154)</f>
        <v>94266</v>
      </c>
      <c r="L154" s="65">
        <f>SUM(A:B!L154)</f>
        <v>86686</v>
      </c>
      <c r="M154" s="65">
        <f>SUM(A:B!M154)</f>
        <v>83826</v>
      </c>
      <c r="N154" s="65">
        <f>SUM(A:B!N154)</f>
        <v>88425</v>
      </c>
      <c r="O154" s="65">
        <f>SUM(A:B!O154)</f>
        <v>83514</v>
      </c>
      <c r="P154" s="65">
        <f>SUM(A:B!P154)</f>
        <v>97934</v>
      </c>
      <c r="Q154" s="65">
        <f>SUM(A:B!Q154)</f>
        <v>91466</v>
      </c>
      <c r="R154" s="65">
        <f>SUM(A:B!R154)</f>
        <v>94613</v>
      </c>
      <c r="S154" s="65">
        <f>SUM(A:B!S154)</f>
        <v>92325</v>
      </c>
      <c r="T154" s="65">
        <f>SUM(A:B!T154)</f>
        <v>92801.333333333343</v>
      </c>
      <c r="U154" s="65">
        <f>SUM(A:B!U154)</f>
        <v>93246.444444444438</v>
      </c>
      <c r="V154" s="11">
        <f t="shared" si="43"/>
        <v>1086187.7777777778</v>
      </c>
      <c r="W154" s="73">
        <f t="shared" si="23"/>
        <v>1.2120414451153327E-3</v>
      </c>
      <c r="X154" s="89"/>
      <c r="Y154" s="65">
        <v>8772.4</v>
      </c>
      <c r="Z154" s="65">
        <v>40987.440000000002</v>
      </c>
      <c r="AA154" s="65">
        <v>27328.080000000002</v>
      </c>
      <c r="AB154" s="65">
        <v>13514.800000000001</v>
      </c>
      <c r="AC154" s="65">
        <v>6262.88</v>
      </c>
      <c r="AD154" s="65">
        <v>9325.68</v>
      </c>
      <c r="AE154" s="65">
        <v>11207.04</v>
      </c>
      <c r="AF154" s="65">
        <v>24675.040000000001</v>
      </c>
      <c r="AG154" s="65">
        <v>16668.080000000002</v>
      </c>
      <c r="AH154" s="65">
        <v>17537.52</v>
      </c>
      <c r="AI154" s="65">
        <v>16389.36</v>
      </c>
      <c r="AJ154" s="65">
        <v>16864.64</v>
      </c>
      <c r="AK154" s="124">
        <f t="shared" si="30"/>
        <v>209532.96000000008</v>
      </c>
      <c r="AL154" s="73">
        <f t="shared" si="25"/>
        <v>2.1754327783648207E-4</v>
      </c>
      <c r="AM154" s="14">
        <f t="shared" si="32"/>
        <v>-0.80709324456892551</v>
      </c>
    </row>
    <row r="155" spans="1:68" hidden="1" outlineLevel="1">
      <c r="A155" s="12" t="s">
        <v>263</v>
      </c>
      <c r="B155" s="8" t="s">
        <v>88</v>
      </c>
      <c r="I155" s="213"/>
      <c r="J155" s="65">
        <f>SUM(A:B!J155)</f>
        <v>158144</v>
      </c>
      <c r="K155" s="65">
        <f>SUM(A:B!K155)</f>
        <v>160355</v>
      </c>
      <c r="L155" s="65">
        <f>SUM(A:B!L155)</f>
        <v>160812</v>
      </c>
      <c r="M155" s="65">
        <f>SUM(A:B!M155)</f>
        <v>160262</v>
      </c>
      <c r="N155" s="65">
        <f>SUM(A:B!N155)</f>
        <v>153788</v>
      </c>
      <c r="O155" s="65">
        <f>SUM(A:B!O155)</f>
        <v>151432</v>
      </c>
      <c r="P155" s="65">
        <f>SUM(A:B!P155)</f>
        <v>149155</v>
      </c>
      <c r="Q155" s="65">
        <f>SUM(A:B!Q155)</f>
        <v>147389</v>
      </c>
      <c r="R155" s="65">
        <f>SUM(A:B!R155)</f>
        <v>146180</v>
      </c>
      <c r="S155" s="65">
        <f>SUM(A:B!S155)</f>
        <v>147401.67716000002</v>
      </c>
      <c r="T155" s="65">
        <f>SUM(A:B!T155)</f>
        <v>156506.89236000003</v>
      </c>
      <c r="U155" s="65">
        <f>SUM(A:B!U155)</f>
        <v>156506.89236000003</v>
      </c>
      <c r="V155" s="11">
        <f t="shared" si="43"/>
        <v>1847932.4618799998</v>
      </c>
      <c r="W155" s="73">
        <f t="shared" si="23"/>
        <v>2.0620474446461706E-3</v>
      </c>
      <c r="X155" s="89"/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  <c r="AG155" s="65">
        <v>0</v>
      </c>
      <c r="AH155" s="65">
        <v>0</v>
      </c>
      <c r="AI155" s="65">
        <v>0</v>
      </c>
      <c r="AJ155" s="65">
        <v>0</v>
      </c>
      <c r="AK155" s="124">
        <f t="shared" si="30"/>
        <v>0</v>
      </c>
      <c r="AL155" s="73">
        <f t="shared" si="25"/>
        <v>0</v>
      </c>
      <c r="AM155" s="14">
        <f t="shared" si="32"/>
        <v>-1</v>
      </c>
    </row>
    <row r="156" spans="1:68" hidden="1" outlineLevel="1">
      <c r="A156" s="12"/>
      <c r="I156" s="213" t="s">
        <v>270</v>
      </c>
      <c r="J156" s="65">
        <f>SUM(A:B!J156)</f>
        <v>15084</v>
      </c>
      <c r="K156" s="65">
        <f>SUM(A:B!K156)</f>
        <v>13627</v>
      </c>
      <c r="L156" s="65">
        <f>SUM(A:B!L156)</f>
        <v>22595</v>
      </c>
      <c r="M156" s="65">
        <f>SUM(A:B!M156)</f>
        <v>11486</v>
      </c>
      <c r="N156" s="65">
        <f>SUM(A:B!N156)</f>
        <v>8912</v>
      </c>
      <c r="O156" s="65">
        <f>SUM(A:B!O156)</f>
        <v>10282</v>
      </c>
      <c r="P156" s="65">
        <f>SUM(A:B!P156)</f>
        <v>16715</v>
      </c>
      <c r="Q156" s="65">
        <f>SUM(A:B!Q156)</f>
        <v>17572</v>
      </c>
      <c r="R156" s="65">
        <f>SUM(A:B!R156)</f>
        <v>16650</v>
      </c>
      <c r="S156" s="65">
        <f>SUM(A:B!S156)</f>
        <v>16281.333333333332</v>
      </c>
      <c r="T156" s="65">
        <f>SUM(A:B!T156)</f>
        <v>11831.777777777777</v>
      </c>
      <c r="U156" s="65">
        <f>SUM(A:B!U156)</f>
        <v>13168.481481481482</v>
      </c>
      <c r="V156" s="11">
        <f>SUM(J156:U156)</f>
        <v>174204.59259259261</v>
      </c>
      <c r="W156" s="73">
        <f>V156/V$6</f>
        <v>1.943892119497328E-4</v>
      </c>
      <c r="X156" s="89"/>
      <c r="Y156" s="65">
        <v>18419.440000000002</v>
      </c>
      <c r="Z156" s="65">
        <v>16981.12</v>
      </c>
      <c r="AA156" s="65">
        <v>21002.799999999999</v>
      </c>
      <c r="AB156" s="65">
        <v>18283.2</v>
      </c>
      <c r="AC156" s="65">
        <v>18418.400000000001</v>
      </c>
      <c r="AD156" s="65">
        <v>16723.2</v>
      </c>
      <c r="AE156" s="65">
        <v>20108.400000000001</v>
      </c>
      <c r="AF156" s="65">
        <v>18418.400000000001</v>
      </c>
      <c r="AG156" s="65">
        <v>26062.400000000001</v>
      </c>
      <c r="AH156" s="65">
        <v>26062.400000000001</v>
      </c>
      <c r="AI156" s="65">
        <v>26062.400000000001</v>
      </c>
      <c r="AJ156" s="65">
        <v>26062.400000000001</v>
      </c>
      <c r="AK156" s="124">
        <f t="shared" ref="AK156" si="44">SUM(Y156:AJ156)</f>
        <v>252604.55999999997</v>
      </c>
      <c r="AL156" s="73">
        <f>AK156/AK$6</f>
        <v>2.6226147895224827E-4</v>
      </c>
      <c r="AM156" s="14">
        <f>IFERROR(AK156/V156-1,0)</f>
        <v>0.45004535322877026</v>
      </c>
    </row>
    <row r="157" spans="1:68">
      <c r="I157" s="28" t="s">
        <v>271</v>
      </c>
      <c r="J157" s="27">
        <f t="shared" ref="J157:V157" si="45">J50+J91+J108+J113+J149</f>
        <v>8550005</v>
      </c>
      <c r="K157" s="27">
        <f t="shared" si="45"/>
        <v>6415621</v>
      </c>
      <c r="L157" s="27">
        <f t="shared" si="45"/>
        <v>8371614</v>
      </c>
      <c r="M157" s="27">
        <f t="shared" si="45"/>
        <v>8369691</v>
      </c>
      <c r="N157" s="27">
        <f t="shared" si="45"/>
        <v>8570005</v>
      </c>
      <c r="O157" s="27">
        <f t="shared" si="45"/>
        <v>8208476</v>
      </c>
      <c r="P157" s="27">
        <f t="shared" si="45"/>
        <v>8265129</v>
      </c>
      <c r="Q157" s="27">
        <f t="shared" si="45"/>
        <v>9096210</v>
      </c>
      <c r="R157" s="27">
        <f t="shared" si="45"/>
        <v>7283230</v>
      </c>
      <c r="S157" s="27">
        <f t="shared" si="45"/>
        <v>7836465.3750194255</v>
      </c>
      <c r="T157" s="27">
        <f t="shared" si="45"/>
        <v>8219070.12897617</v>
      </c>
      <c r="U157" s="27">
        <f t="shared" si="45"/>
        <v>7959048.1324162418</v>
      </c>
      <c r="V157" s="27">
        <f t="shared" si="45"/>
        <v>97144564.636411831</v>
      </c>
      <c r="W157" s="76">
        <f t="shared" si="23"/>
        <v>0.10840044503898424</v>
      </c>
      <c r="X157" s="89"/>
      <c r="Y157" s="27">
        <f t="shared" ref="Y157:AK157" si="46">Y50+Y91+Y108+Y113+Y149</f>
        <v>9009585.4875033349</v>
      </c>
      <c r="Z157" s="27">
        <f t="shared" si="46"/>
        <v>8802731.8499070611</v>
      </c>
      <c r="AA157" s="27">
        <f t="shared" si="46"/>
        <v>9294778.706815809</v>
      </c>
      <c r="AB157" s="27">
        <f t="shared" si="46"/>
        <v>8132235.9346332466</v>
      </c>
      <c r="AC157" s="27">
        <f t="shared" si="46"/>
        <v>8528267.8716168217</v>
      </c>
      <c r="AD157" s="27">
        <f t="shared" si="46"/>
        <v>8352028.5536633171</v>
      </c>
      <c r="AE157" s="27">
        <f t="shared" si="46"/>
        <v>8989867.3947436232</v>
      </c>
      <c r="AF157" s="27">
        <f t="shared" si="46"/>
        <v>9153574.2456916254</v>
      </c>
      <c r="AG157" s="27">
        <f t="shared" si="46"/>
        <v>8769850.8994473256</v>
      </c>
      <c r="AH157" s="27">
        <f t="shared" si="46"/>
        <v>8731286.2284099646</v>
      </c>
      <c r="AI157" s="27">
        <f t="shared" si="46"/>
        <v>8708810.473567469</v>
      </c>
      <c r="AJ157" s="27">
        <f t="shared" si="46"/>
        <v>8572073.4580106679</v>
      </c>
      <c r="AK157" s="27">
        <f t="shared" si="46"/>
        <v>105045091.10401025</v>
      </c>
      <c r="AL157" s="76">
        <f t="shared" si="25"/>
        <v>0.10906090115559035</v>
      </c>
      <c r="AM157" s="10">
        <f t="shared" si="32"/>
        <v>8.132751942600347E-2</v>
      </c>
    </row>
    <row r="158" spans="1:68">
      <c r="I158" s="26" t="s">
        <v>272</v>
      </c>
      <c r="J158" s="17">
        <f t="shared" ref="J158:V158" si="47">+J157/J39</f>
        <v>2.3104568513652901</v>
      </c>
      <c r="K158" s="17">
        <f t="shared" si="47"/>
        <v>1.7660566217547204</v>
      </c>
      <c r="L158" s="17">
        <f t="shared" si="47"/>
        <v>2.0991016223152914</v>
      </c>
      <c r="M158" s="17">
        <f t="shared" si="47"/>
        <v>2.2356615879392692</v>
      </c>
      <c r="N158" s="17">
        <f t="shared" si="47"/>
        <v>2.0041685277905752</v>
      </c>
      <c r="O158" s="17">
        <f t="shared" si="47"/>
        <v>1.9269663870912006</v>
      </c>
      <c r="P158" s="17">
        <f t="shared" si="47"/>
        <v>1.9670204947723051</v>
      </c>
      <c r="Q158" s="17">
        <f t="shared" si="47"/>
        <v>2.3479143640205402</v>
      </c>
      <c r="R158" s="17">
        <f t="shared" si="47"/>
        <v>1.8501880232624011</v>
      </c>
      <c r="S158" s="17">
        <f t="shared" si="47"/>
        <v>1.838757268894168</v>
      </c>
      <c r="T158" s="17">
        <f t="shared" si="47"/>
        <v>2.0201393141898571</v>
      </c>
      <c r="U158" s="17">
        <f t="shared" si="47"/>
        <v>2.0669040598788904</v>
      </c>
      <c r="V158" s="17">
        <f t="shared" si="47"/>
        <v>2.0325384328474043</v>
      </c>
      <c r="W158" s="73">
        <f t="shared" si="23"/>
        <v>2.2680432148121914E-9</v>
      </c>
      <c r="X158" s="89"/>
      <c r="Y158" s="215">
        <f t="shared" ref="Y158:AK158" si="48">+Y157/Y39</f>
        <v>2.3576168101110917</v>
      </c>
      <c r="Z158" s="215">
        <f t="shared" si="48"/>
        <v>2.3481728748313606</v>
      </c>
      <c r="AA158" s="215">
        <f t="shared" si="48"/>
        <v>2.2590897916157724</v>
      </c>
      <c r="AB158" s="215">
        <f t="shared" si="48"/>
        <v>2.1012698812251731</v>
      </c>
      <c r="AC158" s="215">
        <f t="shared" si="48"/>
        <v>1.9318653471476142</v>
      </c>
      <c r="AD158" s="215">
        <f t="shared" si="48"/>
        <v>1.9214133920268788</v>
      </c>
      <c r="AE158" s="215">
        <f t="shared" si="48"/>
        <v>2.0993370982024655</v>
      </c>
      <c r="AF158" s="215">
        <f t="shared" si="48"/>
        <v>2.1093017171518413</v>
      </c>
      <c r="AG158" s="215">
        <f t="shared" si="48"/>
        <v>2.0659637636156454</v>
      </c>
      <c r="AH158" s="215">
        <f t="shared" si="48"/>
        <v>2.0260254235486386</v>
      </c>
      <c r="AI158" s="215">
        <f t="shared" si="48"/>
        <v>2.0935370279895498</v>
      </c>
      <c r="AJ158" s="215">
        <f t="shared" si="48"/>
        <v>2.1837785919208699</v>
      </c>
      <c r="AK158" s="218">
        <f t="shared" si="48"/>
        <v>2.11879867888111</v>
      </c>
      <c r="AL158" s="73">
        <f t="shared" si="25"/>
        <v>2.1997990658815889E-9</v>
      </c>
      <c r="AM158" s="16">
        <f t="shared" si="32"/>
        <v>4.2439662955284341E-2</v>
      </c>
    </row>
    <row r="159" spans="1:68">
      <c r="I159" s="26" t="s">
        <v>273</v>
      </c>
      <c r="J159" s="17">
        <f t="shared" ref="J159:V159" si="49">+(J157-J150)/J39</f>
        <v>2.0228316240016064</v>
      </c>
      <c r="K159" s="17">
        <f t="shared" si="49"/>
        <v>1.7353665472159017</v>
      </c>
      <c r="L159" s="17">
        <f t="shared" si="49"/>
        <v>1.9564915303662891</v>
      </c>
      <c r="M159" s="17">
        <f t="shared" si="49"/>
        <v>2.0353148739756177</v>
      </c>
      <c r="N159" s="17">
        <f t="shared" si="49"/>
        <v>1.8402603780556537</v>
      </c>
      <c r="O159" s="17">
        <f t="shared" si="49"/>
        <v>1.8013541506251949</v>
      </c>
      <c r="P159" s="17">
        <f t="shared" si="49"/>
        <v>1.817780826169032</v>
      </c>
      <c r="Q159" s="17">
        <f t="shared" si="49"/>
        <v>2.1238362011333538</v>
      </c>
      <c r="R159" s="17">
        <f t="shared" si="49"/>
        <v>1.7830176241165649</v>
      </c>
      <c r="S159" s="17">
        <f t="shared" si="49"/>
        <v>1.77669294347308</v>
      </c>
      <c r="T159" s="17">
        <f t="shared" si="49"/>
        <v>1.85185762911805</v>
      </c>
      <c r="U159" s="17">
        <f t="shared" si="49"/>
        <v>1.8918639526095982</v>
      </c>
      <c r="V159" s="17">
        <f t="shared" si="49"/>
        <v>1.883705042291858</v>
      </c>
      <c r="W159" s="73">
        <f>V159/V$6</f>
        <v>2.1019648980966214E-9</v>
      </c>
      <c r="X159" s="89"/>
      <c r="Y159" s="215">
        <f t="shared" ref="Y159:AJ159" si="50">Y157/Y40</f>
        <v>3.0513422925350215</v>
      </c>
      <c r="Z159" s="215">
        <f t="shared" si="50"/>
        <v>3.0325584852065894</v>
      </c>
      <c r="AA159" s="215">
        <f t="shared" si="50"/>
        <v>2.9072721402304444</v>
      </c>
      <c r="AB159" s="215">
        <f t="shared" si="50"/>
        <v>2.7030335568068455</v>
      </c>
      <c r="AC159" s="215">
        <f t="shared" si="50"/>
        <v>2.463093850117251</v>
      </c>
      <c r="AD159" s="215">
        <f t="shared" si="50"/>
        <v>2.4790853279918759</v>
      </c>
      <c r="AE159" s="215">
        <f t="shared" si="50"/>
        <v>2.7192408622763207</v>
      </c>
      <c r="AF159" s="215">
        <f t="shared" si="50"/>
        <v>2.6735178126054389</v>
      </c>
      <c r="AG159" s="215">
        <f t="shared" si="50"/>
        <v>2.6454480926650539</v>
      </c>
      <c r="AH159" s="215">
        <f t="shared" si="50"/>
        <v>2.5879418573676016</v>
      </c>
      <c r="AI159" s="215">
        <f t="shared" si="50"/>
        <v>2.6769529205572478</v>
      </c>
      <c r="AJ159" s="215">
        <f t="shared" si="50"/>
        <v>2.7909617691689497</v>
      </c>
      <c r="AK159" s="218">
        <f>+AK157/AK39</f>
        <v>2.11879867888111</v>
      </c>
      <c r="AL159" s="73">
        <f>AK159/AK$6</f>
        <v>2.1997990658815889E-9</v>
      </c>
      <c r="AM159" s="15">
        <f>IFERROR(AK159/V159-1,0)</f>
        <v>0.12480384737050931</v>
      </c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72"/>
      <c r="BA159" s="89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72"/>
      <c r="BP159" s="10"/>
    </row>
    <row r="160" spans="1:68" ht="15.75">
      <c r="I160" s="25" t="s">
        <v>274</v>
      </c>
      <c r="J160" s="24">
        <f t="shared" ref="J160:V160" si="51">J34-J157</f>
        <v>1119368</v>
      </c>
      <c r="K160" s="24">
        <f t="shared" si="51"/>
        <v>3986803</v>
      </c>
      <c r="L160" s="24">
        <f t="shared" si="51"/>
        <v>2260334</v>
      </c>
      <c r="M160" s="24">
        <f t="shared" si="51"/>
        <v>1805388</v>
      </c>
      <c r="N160" s="24">
        <f t="shared" si="51"/>
        <v>3901672</v>
      </c>
      <c r="O160" s="24">
        <f t="shared" si="51"/>
        <v>2690899</v>
      </c>
      <c r="P160" s="24">
        <f t="shared" si="51"/>
        <v>1975974</v>
      </c>
      <c r="Q160" s="24">
        <f t="shared" si="51"/>
        <v>201979</v>
      </c>
      <c r="R160" s="24">
        <f t="shared" si="51"/>
        <v>2124407</v>
      </c>
      <c r="S160" s="24">
        <f t="shared" si="51"/>
        <v>4428795.3449805733</v>
      </c>
      <c r="T160" s="24">
        <f t="shared" si="51"/>
        <v>3340696.9610238485</v>
      </c>
      <c r="U160" s="24">
        <f t="shared" si="51"/>
        <v>3258022.1975837564</v>
      </c>
      <c r="V160" s="24">
        <f t="shared" si="51"/>
        <v>31094338.503588036</v>
      </c>
      <c r="W160" s="77">
        <f t="shared" si="23"/>
        <v>3.4697156187762458E-2</v>
      </c>
      <c r="X160" s="89"/>
      <c r="Y160" s="24">
        <f t="shared" ref="Y160:AK160" si="52">Y34-Y157</f>
        <v>557652.88249665499</v>
      </c>
      <c r="Z160" s="24">
        <f t="shared" si="52"/>
        <v>507105.19009295292</v>
      </c>
      <c r="AA160" s="24">
        <f t="shared" si="52"/>
        <v>1349233.5631841794</v>
      </c>
      <c r="AB160" s="24">
        <f t="shared" si="52"/>
        <v>1328062.8153667683</v>
      </c>
      <c r="AC160" s="24">
        <f t="shared" si="52"/>
        <v>3028741.9183831699</v>
      </c>
      <c r="AD160" s="24">
        <f t="shared" si="52"/>
        <v>2445086.4363366924</v>
      </c>
      <c r="AE160" s="24">
        <f t="shared" si="52"/>
        <v>1666321.585256381</v>
      </c>
      <c r="AF160" s="24">
        <f t="shared" si="52"/>
        <v>1843457.3143083621</v>
      </c>
      <c r="AG160" s="24">
        <f t="shared" si="52"/>
        <v>1767753.6705526821</v>
      </c>
      <c r="AH160" s="24">
        <f t="shared" si="52"/>
        <v>2135705.2215900384</v>
      </c>
      <c r="AI160" s="24">
        <f t="shared" si="52"/>
        <v>1584177.9064325262</v>
      </c>
      <c r="AJ160" s="24">
        <f t="shared" si="52"/>
        <v>1041741.4819893297</v>
      </c>
      <c r="AK160" s="24">
        <f t="shared" si="52"/>
        <v>19255039.98598966</v>
      </c>
      <c r="AL160" s="77">
        <f t="shared" si="25"/>
        <v>1.9991148473370104E-2</v>
      </c>
      <c r="AM160" s="15">
        <f t="shared" si="32"/>
        <v>-0.38075415292183223</v>
      </c>
      <c r="AN160" s="15">
        <f>+AO43-AK157</f>
        <v>31577562.895989746</v>
      </c>
      <c r="AO160" s="15">
        <f>+AN160/V160-1</f>
        <v>1.5540590848908131E-2</v>
      </c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72"/>
      <c r="BA160" s="89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72"/>
      <c r="BP160" s="10"/>
    </row>
    <row r="161" spans="9:68">
      <c r="I161" s="257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72"/>
      <c r="X161" s="89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72"/>
      <c r="AM161" s="10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72"/>
      <c r="BA161" s="89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72"/>
      <c r="BP161" s="10"/>
    </row>
    <row r="162" spans="9:68">
      <c r="I162" s="257" t="s">
        <v>275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72"/>
      <c r="X162" s="89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72"/>
      <c r="AM162" s="10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72"/>
      <c r="BA162" s="89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72"/>
      <c r="BP162" s="10"/>
    </row>
    <row r="163" spans="9:68">
      <c r="I163" s="167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72"/>
      <c r="X163" s="89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72"/>
      <c r="AM163" s="10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72"/>
      <c r="BA163" s="89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72"/>
      <c r="BP163" s="10"/>
    </row>
    <row r="164" spans="9:68" collapsed="1">
      <c r="I164" s="167" t="s">
        <v>147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72"/>
      <c r="X164" s="89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72"/>
      <c r="AM164" s="10"/>
      <c r="AN164" s="9"/>
      <c r="AO164" s="256"/>
    </row>
    <row r="165" spans="9:68" hidden="1" outlineLevel="1">
      <c r="I165" s="246" t="s">
        <v>159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72"/>
      <c r="X165" s="89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72"/>
      <c r="AM165" s="10"/>
      <c r="AN165" s="9"/>
      <c r="AO165" s="256"/>
    </row>
    <row r="166" spans="9:68" hidden="1" outlineLevel="1">
      <c r="I166" s="246" t="s">
        <v>153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72"/>
      <c r="X166" s="89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72"/>
      <c r="AM166" s="10"/>
      <c r="AN166" s="9"/>
      <c r="AO166" s="256"/>
    </row>
    <row r="167" spans="9:68" hidden="1" outlineLevel="1">
      <c r="I167" s="246" t="s">
        <v>276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72"/>
      <c r="X167" s="89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72"/>
      <c r="AM167" s="10"/>
      <c r="AN167" s="9"/>
      <c r="AO167" s="256"/>
    </row>
    <row r="168" spans="9:68" hidden="1" outlineLevel="1">
      <c r="I168" s="246" t="s">
        <v>183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72"/>
      <c r="X168" s="89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72"/>
      <c r="AM168" s="10"/>
      <c r="AN168" s="9"/>
      <c r="AO168" s="256"/>
    </row>
    <row r="169" spans="9:68" hidden="1" outlineLevel="1">
      <c r="I169" s="246" t="s">
        <v>162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72"/>
      <c r="X169" s="89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72"/>
      <c r="AM169" s="10"/>
      <c r="AN169" s="9"/>
      <c r="AO169" s="256"/>
    </row>
    <row r="170" spans="9:68" hidden="1" outlineLevel="1">
      <c r="I170" s="246" t="s">
        <v>161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72"/>
      <c r="X170" s="89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72"/>
      <c r="AM170" s="10"/>
      <c r="AN170" s="9"/>
      <c r="AO170" s="256"/>
    </row>
    <row r="171" spans="9:68" hidden="1" outlineLevel="1">
      <c r="I171" s="246" t="s">
        <v>188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72"/>
      <c r="X171" s="89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72"/>
      <c r="AM171" s="10"/>
      <c r="AN171" s="9"/>
      <c r="AO171" s="256"/>
    </row>
    <row r="172" spans="9:68" hidden="1" outlineLevel="1">
      <c r="I172" s="246" t="s">
        <v>277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72"/>
      <c r="X172" s="89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72"/>
      <c r="AM172" s="10"/>
      <c r="AN172" s="9"/>
      <c r="AO172" s="256"/>
    </row>
    <row r="173" spans="9:68" hidden="1" outlineLevel="1">
      <c r="I173" s="246" t="s">
        <v>278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72"/>
      <c r="X173" s="89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72"/>
      <c r="AM173" s="10"/>
      <c r="AN173" s="9"/>
      <c r="AO173" s="256"/>
    </row>
    <row r="174" spans="9:68" hidden="1" outlineLevel="1">
      <c r="I174" s="246" t="s">
        <v>187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72"/>
      <c r="X174" s="89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72"/>
      <c r="AM174" s="10"/>
      <c r="AN174" s="9"/>
      <c r="AO174" s="256"/>
    </row>
    <row r="175" spans="9:68" hidden="1" outlineLevel="1">
      <c r="I175" s="246" t="s">
        <v>279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72"/>
      <c r="X175" s="89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72"/>
      <c r="AM175" s="10"/>
      <c r="AN175" s="9"/>
      <c r="AO175" s="256"/>
    </row>
    <row r="176" spans="9:68" hidden="1" outlineLevel="1">
      <c r="I176" s="246" t="s">
        <v>164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72"/>
      <c r="X176" s="89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72"/>
      <c r="AM176" s="10"/>
      <c r="AN176" s="9"/>
      <c r="AO176" s="256"/>
    </row>
    <row r="177" spans="9:41" hidden="1" outlineLevel="1">
      <c r="I177" s="246" t="s">
        <v>182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72"/>
      <c r="X177" s="89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72"/>
      <c r="AM177" s="10"/>
      <c r="AN177" s="9"/>
      <c r="AO177" s="256"/>
    </row>
    <row r="178" spans="9:41" hidden="1" outlineLevel="1">
      <c r="I178" s="246" t="s">
        <v>280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72"/>
      <c r="X178" s="89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72"/>
      <c r="AM178" s="10"/>
      <c r="AN178" s="9"/>
      <c r="AO178" s="256"/>
    </row>
    <row r="179" spans="9:41" hidden="1" outlineLevel="1">
      <c r="I179" s="246" t="s">
        <v>148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72"/>
      <c r="X179" s="89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72"/>
      <c r="AM179" s="10"/>
      <c r="AN179" s="9"/>
      <c r="AO179" s="256"/>
    </row>
    <row r="180" spans="9:41" hidden="1" outlineLevel="1">
      <c r="I180" s="246" t="s">
        <v>185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72"/>
      <c r="X180" s="89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72"/>
      <c r="AM180" s="10"/>
      <c r="AN180" s="9"/>
      <c r="AO180" s="256"/>
    </row>
    <row r="181" spans="9:41" hidden="1" outlineLevel="1">
      <c r="I181" s="246" t="s">
        <v>184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72"/>
      <c r="X181" s="89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72"/>
      <c r="AM181" s="10"/>
      <c r="AN181" s="9"/>
      <c r="AO181" s="256"/>
    </row>
    <row r="182" spans="9:41" hidden="1" outlineLevel="1">
      <c r="I182" s="246" t="s">
        <v>172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72"/>
      <c r="X182" s="89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72"/>
      <c r="AM182" s="10"/>
      <c r="AN182" s="9"/>
      <c r="AO182" s="256"/>
    </row>
    <row r="183" spans="9:41" hidden="1" outlineLevel="1">
      <c r="I183" s="246" t="s">
        <v>158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72"/>
      <c r="X183" s="89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72"/>
      <c r="AM183" s="10"/>
      <c r="AN183" s="9"/>
      <c r="AO183" s="256"/>
    </row>
    <row r="184" spans="9:41" hidden="1" outlineLevel="1">
      <c r="I184" s="246" t="s">
        <v>170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72"/>
      <c r="X184" s="89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72"/>
      <c r="AM184" s="10"/>
      <c r="AN184" s="9"/>
      <c r="AO184" s="256"/>
    </row>
    <row r="185" spans="9:41" hidden="1" outlineLevel="1">
      <c r="I185" s="246" t="s">
        <v>179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72"/>
      <c r="X185" s="89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72"/>
      <c r="AM185" s="10"/>
      <c r="AN185" s="9"/>
      <c r="AO185" s="256"/>
    </row>
    <row r="186" spans="9:41" hidden="1" outlineLevel="1">
      <c r="I186" s="246" t="s">
        <v>178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72"/>
      <c r="X186" s="89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72"/>
      <c r="AM186" s="10"/>
      <c r="AN186" s="9"/>
      <c r="AO186" s="256"/>
    </row>
    <row r="187" spans="9:41" hidden="1" outlineLevel="1">
      <c r="I187" s="246" t="s">
        <v>281</v>
      </c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72"/>
      <c r="X187" s="89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72"/>
      <c r="AM187" s="10"/>
      <c r="AN187" s="9"/>
      <c r="AO187" s="256"/>
    </row>
    <row r="188" spans="9:41" hidden="1" outlineLevel="1">
      <c r="I188" s="246" t="s">
        <v>282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72"/>
      <c r="X188" s="89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72"/>
      <c r="AM188" s="10"/>
      <c r="AN188" s="9"/>
      <c r="AO188" s="256"/>
    </row>
    <row r="189" spans="9:41" hidden="1" outlineLevel="1">
      <c r="I189" s="246" t="s">
        <v>283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72"/>
      <c r="X189" s="89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72"/>
      <c r="AM189" s="10"/>
      <c r="AN189" s="9"/>
      <c r="AO189" s="256"/>
    </row>
    <row r="190" spans="9:41" hidden="1" outlineLevel="1">
      <c r="I190" s="246" t="s">
        <v>284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72"/>
      <c r="X190" s="89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72"/>
      <c r="AM190" s="10"/>
      <c r="AN190" s="9"/>
      <c r="AO190" s="256"/>
    </row>
    <row r="191" spans="9:41" hidden="1" outlineLevel="1">
      <c r="I191" s="246" t="s">
        <v>285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72"/>
      <c r="X191" s="89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72"/>
      <c r="AM191" s="10"/>
      <c r="AN191" s="9"/>
      <c r="AO191" s="256"/>
    </row>
    <row r="192" spans="9:41" hidden="1" outlineLevel="1">
      <c r="I192" s="246" t="s">
        <v>190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72"/>
      <c r="X192" s="89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72"/>
      <c r="AM192" s="10"/>
      <c r="AN192" s="9"/>
      <c r="AO192" s="256"/>
    </row>
    <row r="193" spans="9:41" hidden="1" outlineLevel="1">
      <c r="I193" s="246" t="s">
        <v>173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72"/>
      <c r="X193" s="89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72"/>
      <c r="AM193" s="10"/>
      <c r="AN193" s="9"/>
      <c r="AO193" s="256"/>
    </row>
    <row r="194" spans="9:41" hidden="1" outlineLevel="1">
      <c r="I194" s="246" t="s">
        <v>176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72"/>
      <c r="X194" s="89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72"/>
      <c r="AM194" s="10"/>
      <c r="AN194" s="9"/>
      <c r="AO194" s="256"/>
    </row>
    <row r="195" spans="9:41" hidden="1" outlineLevel="1">
      <c r="I195" s="246" t="s">
        <v>174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72"/>
      <c r="X195" s="89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72"/>
      <c r="AM195" s="10"/>
      <c r="AN195" s="9"/>
      <c r="AO195" s="256"/>
    </row>
    <row r="196" spans="9:41" hidden="1" outlineLevel="1">
      <c r="I196" s="246" t="s">
        <v>165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72"/>
      <c r="X196" s="89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72"/>
      <c r="AM196" s="10"/>
      <c r="AN196" s="9"/>
      <c r="AO196" s="256"/>
    </row>
    <row r="197" spans="9:41" hidden="1" outlineLevel="1">
      <c r="I197" s="246" t="s">
        <v>168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72"/>
      <c r="X197" s="89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72"/>
      <c r="AM197" s="10"/>
      <c r="AN197" s="9"/>
      <c r="AO197" s="256"/>
    </row>
    <row r="198" spans="9:41" hidden="1" outlineLevel="1">
      <c r="I198" s="246" t="s">
        <v>156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72"/>
      <c r="X198" s="89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72"/>
      <c r="AM198" s="10"/>
      <c r="AN198" s="9"/>
      <c r="AO198" s="256"/>
    </row>
    <row r="199" spans="9:41" hidden="1" outlineLevel="1">
      <c r="I199" s="246" t="s">
        <v>286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72"/>
      <c r="X199" s="89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72"/>
      <c r="AM199" s="10"/>
      <c r="AN199" s="9"/>
      <c r="AO199" s="256"/>
    </row>
    <row r="200" spans="9:41" hidden="1" outlineLevel="1">
      <c r="I200" s="246" t="s">
        <v>287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72"/>
      <c r="X200" s="89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72"/>
      <c r="AM200" s="10"/>
      <c r="AN200" s="9"/>
      <c r="AO200" s="256"/>
    </row>
    <row r="201" spans="9:41" hidden="1" outlineLevel="1">
      <c r="I201" s="246" t="s">
        <v>149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72"/>
      <c r="X201" s="89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72"/>
      <c r="AM201" s="10"/>
      <c r="AN201" s="9"/>
      <c r="AO201" s="256"/>
    </row>
    <row r="202" spans="9:41" hidden="1" outlineLevel="1">
      <c r="I202" s="246" t="s">
        <v>152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72"/>
      <c r="X202" s="89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72"/>
      <c r="AM202" s="10"/>
      <c r="AN202" s="9"/>
      <c r="AO202" s="256"/>
    </row>
    <row r="203" spans="9:41" hidden="1" outlineLevel="1">
      <c r="I203" s="246" t="s">
        <v>180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72"/>
      <c r="X203" s="89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72"/>
      <c r="AM203" s="10"/>
      <c r="AN203" s="9"/>
      <c r="AO203" s="256"/>
    </row>
    <row r="204" spans="9:41" hidden="1" outlineLevel="1">
      <c r="I204" s="246" t="s">
        <v>288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72"/>
      <c r="X204" s="89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72"/>
      <c r="AM204" s="10"/>
      <c r="AN204" s="9"/>
      <c r="AO204" s="256"/>
    </row>
    <row r="205" spans="9:41" hidden="1" outlineLevel="1">
      <c r="I205" s="246" t="s">
        <v>186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72"/>
      <c r="X205" s="89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72"/>
      <c r="AM205" s="10"/>
      <c r="AN205" s="9"/>
      <c r="AO205" s="256"/>
    </row>
    <row r="206" spans="9:41" hidden="1" outlineLevel="1">
      <c r="I206" s="246" t="s">
        <v>228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72"/>
      <c r="X206" s="89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72"/>
      <c r="AM206" s="10"/>
      <c r="AN206" s="9"/>
      <c r="AO206" s="256"/>
    </row>
    <row r="207" spans="9:41" hidden="1" outlineLevel="1">
      <c r="I207" s="246" t="s">
        <v>167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72"/>
      <c r="X207" s="89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72"/>
      <c r="AM207" s="10"/>
      <c r="AN207" s="9"/>
      <c r="AO207" s="256"/>
    </row>
    <row r="208" spans="9:41" hidden="1" outlineLevel="1">
      <c r="I208" s="246" t="s">
        <v>233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72"/>
      <c r="X208" s="89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72"/>
      <c r="AM208" s="10"/>
      <c r="AN208" s="9"/>
      <c r="AO208" s="256"/>
    </row>
    <row r="209" spans="9:41" hidden="1" outlineLevel="1">
      <c r="I209" s="246" t="s">
        <v>194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72"/>
      <c r="X209" s="89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72"/>
      <c r="AM209" s="10"/>
      <c r="AN209" s="9"/>
      <c r="AO209" s="256"/>
    </row>
    <row r="210" spans="9:41" hidden="1" outlineLevel="1">
      <c r="I210" s="246" t="s">
        <v>192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72"/>
      <c r="X210" s="89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72"/>
      <c r="AM210" s="10"/>
      <c r="AN210" s="9"/>
      <c r="AO210" s="256"/>
    </row>
    <row r="211" spans="9:41" collapsed="1">
      <c r="I211" s="167" t="s">
        <v>196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72"/>
      <c r="X211" s="89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72"/>
      <c r="AM211" s="10"/>
      <c r="AN211" s="9"/>
      <c r="AO211" s="256"/>
    </row>
    <row r="212" spans="9:41" hidden="1" outlineLevel="1">
      <c r="I212" s="246" t="s">
        <v>197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72"/>
      <c r="X212" s="89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72"/>
      <c r="AM212" s="10"/>
      <c r="AN212" s="9"/>
      <c r="AO212" s="256"/>
    </row>
    <row r="213" spans="9:41" hidden="1" outlineLevel="1">
      <c r="I213" s="246" t="s">
        <v>198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72"/>
      <c r="X213" s="89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72"/>
      <c r="AM213" s="10"/>
      <c r="AN213" s="9"/>
      <c r="AO213" s="256"/>
    </row>
    <row r="214" spans="9:41" hidden="1" outlineLevel="1">
      <c r="I214" s="246" t="s">
        <v>199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72"/>
      <c r="X214" s="89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72"/>
      <c r="AM214" s="10"/>
      <c r="AN214" s="9"/>
      <c r="AO214" s="256"/>
    </row>
    <row r="215" spans="9:41" hidden="1" outlineLevel="1">
      <c r="I215" s="246" t="s">
        <v>200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72"/>
      <c r="X215" s="89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72"/>
      <c r="AM215" s="10"/>
      <c r="AN215" s="9"/>
      <c r="AO215" s="256"/>
    </row>
    <row r="216" spans="9:41" hidden="1" outlineLevel="1">
      <c r="I216" s="246" t="s">
        <v>201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72"/>
      <c r="X216" s="89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72"/>
      <c r="AM216" s="10"/>
      <c r="AN216" s="9"/>
      <c r="AO216" s="256"/>
    </row>
    <row r="217" spans="9:41" hidden="1" outlineLevel="1">
      <c r="I217" s="246" t="s">
        <v>209</v>
      </c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72"/>
      <c r="X217" s="89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72"/>
      <c r="AM217" s="10"/>
      <c r="AN217" s="9"/>
      <c r="AO217" s="256"/>
    </row>
    <row r="218" spans="9:41" hidden="1" outlineLevel="1">
      <c r="I218" s="246" t="s">
        <v>202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72"/>
      <c r="X218" s="89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72"/>
      <c r="AM218" s="10"/>
      <c r="AN218" s="9"/>
      <c r="AO218" s="256"/>
    </row>
    <row r="219" spans="9:41" hidden="1" outlineLevel="1">
      <c r="I219" s="246" t="s">
        <v>203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72"/>
      <c r="X219" s="89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72"/>
      <c r="AM219" s="10"/>
      <c r="AN219" s="9"/>
      <c r="AO219" s="256"/>
    </row>
    <row r="220" spans="9:41" hidden="1" outlineLevel="1">
      <c r="I220" s="246" t="s">
        <v>204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72"/>
      <c r="X220" s="89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72"/>
      <c r="AM220" s="10"/>
      <c r="AN220" s="9"/>
      <c r="AO220" s="256"/>
    </row>
    <row r="221" spans="9:41" hidden="1" outlineLevel="1">
      <c r="I221" s="246" t="s">
        <v>205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72"/>
      <c r="X221" s="89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72"/>
      <c r="AM221" s="10"/>
      <c r="AN221" s="9"/>
      <c r="AO221" s="256"/>
    </row>
    <row r="222" spans="9:41" hidden="1" outlineLevel="1">
      <c r="I222" s="246" t="s">
        <v>207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72"/>
      <c r="X222" s="89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72"/>
      <c r="AM222" s="10"/>
      <c r="AN222" s="9"/>
      <c r="AO222" s="256"/>
    </row>
    <row r="223" spans="9:41" hidden="1" outlineLevel="1">
      <c r="I223" s="246" t="s">
        <v>208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72"/>
      <c r="X223" s="89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72"/>
      <c r="AM223" s="10"/>
      <c r="AN223" s="9"/>
      <c r="AO223" s="256"/>
    </row>
    <row r="224" spans="9:41" hidden="1" outlineLevel="1">
      <c r="I224" s="246" t="s">
        <v>289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72"/>
      <c r="X224" s="89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72"/>
      <c r="AM224" s="10"/>
      <c r="AN224" s="9"/>
      <c r="AO224" s="256"/>
    </row>
    <row r="225" spans="9:41" hidden="1" outlineLevel="1">
      <c r="I225" s="246" t="s">
        <v>211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72"/>
      <c r="X225" s="89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72"/>
      <c r="AM225" s="10"/>
      <c r="AN225" s="9"/>
      <c r="AO225" s="256"/>
    </row>
    <row r="226" spans="9:41" hidden="1" outlineLevel="1">
      <c r="I226" s="246" t="s">
        <v>213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72"/>
      <c r="X226" s="89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72"/>
      <c r="AM226" s="10"/>
      <c r="AN226" s="9"/>
      <c r="AO226" s="256"/>
    </row>
    <row r="227" spans="9:41" hidden="1" outlineLevel="1">
      <c r="I227" s="246" t="s">
        <v>214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72"/>
      <c r="X227" s="89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72"/>
      <c r="AM227" s="10"/>
      <c r="AN227" s="9"/>
      <c r="AO227" s="256"/>
    </row>
    <row r="228" spans="9:41" collapsed="1">
      <c r="I228" s="167" t="s">
        <v>216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72"/>
      <c r="X228" s="89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72"/>
      <c r="AM228" s="10"/>
      <c r="AN228" s="9"/>
      <c r="AO228" s="256"/>
    </row>
    <row r="229" spans="9:41" hidden="1" outlineLevel="1">
      <c r="I229" s="246" t="s">
        <v>217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72"/>
      <c r="X229" s="89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72"/>
      <c r="AM229" s="10"/>
      <c r="AN229" s="9"/>
      <c r="AO229" s="256"/>
    </row>
    <row r="230" spans="9:41" hidden="1" outlineLevel="1">
      <c r="I230" s="246" t="s">
        <v>218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72"/>
      <c r="X230" s="89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72"/>
      <c r="AM230" s="10"/>
      <c r="AN230" s="9"/>
      <c r="AO230" s="256"/>
    </row>
    <row r="231" spans="9:41" hidden="1" outlineLevel="1">
      <c r="I231" s="246" t="s">
        <v>219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72"/>
      <c r="X231" s="89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72"/>
      <c r="AM231" s="10"/>
      <c r="AN231" s="9"/>
      <c r="AO231" s="256"/>
    </row>
    <row r="232" spans="9:41" hidden="1" outlineLevel="1">
      <c r="I232" s="246" t="s">
        <v>290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72"/>
      <c r="X232" s="89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72"/>
      <c r="AM232" s="10"/>
      <c r="AN232" s="9"/>
      <c r="AO232" s="256"/>
    </row>
    <row r="233" spans="9:41" collapsed="1">
      <c r="I233" s="167" t="s">
        <v>223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72"/>
      <c r="X233" s="89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72"/>
      <c r="AM233" s="10"/>
      <c r="AN233" s="9"/>
      <c r="AO233" s="256"/>
    </row>
    <row r="234" spans="9:41" hidden="1" outlineLevel="1">
      <c r="I234" s="246" t="s">
        <v>237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72"/>
      <c r="X234" s="89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72"/>
      <c r="AM234" s="10"/>
      <c r="AN234" s="9"/>
      <c r="AO234" s="256"/>
    </row>
    <row r="235" spans="9:41" hidden="1" outlineLevel="1">
      <c r="I235" s="246" t="s">
        <v>227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72"/>
      <c r="X235" s="89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72"/>
      <c r="AM235" s="10"/>
      <c r="AN235" s="9"/>
      <c r="AO235" s="256"/>
    </row>
    <row r="236" spans="9:41" hidden="1" outlineLevel="1">
      <c r="I236" s="246" t="s">
        <v>291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72"/>
      <c r="X236" s="89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72"/>
      <c r="AM236" s="10"/>
      <c r="AN236" s="9"/>
      <c r="AO236" s="256"/>
    </row>
    <row r="237" spans="9:41" hidden="1" outlineLevel="1">
      <c r="I237" s="246" t="s">
        <v>225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72"/>
      <c r="X237" s="89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72"/>
      <c r="AM237" s="10"/>
      <c r="AN237" s="9"/>
      <c r="AO237" s="256"/>
    </row>
    <row r="238" spans="9:41" hidden="1" outlineLevel="1">
      <c r="I238" s="246" t="s">
        <v>234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72"/>
      <c r="X238" s="89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72"/>
      <c r="AM238" s="10"/>
      <c r="AN238" s="9"/>
      <c r="AO238" s="256"/>
    </row>
    <row r="239" spans="9:41" hidden="1" outlineLevel="1">
      <c r="I239" s="246" t="s">
        <v>232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72"/>
      <c r="X239" s="89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72"/>
      <c r="AM239" s="10"/>
      <c r="AN239" s="9"/>
      <c r="AO239" s="256"/>
    </row>
    <row r="240" spans="9:41" hidden="1" outlineLevel="1">
      <c r="I240" s="246" t="s">
        <v>233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72"/>
      <c r="X240" s="89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72"/>
      <c r="AM240" s="10"/>
      <c r="AN240" s="9"/>
      <c r="AO240" s="256"/>
    </row>
    <row r="241" spans="9:41" hidden="1" outlineLevel="1">
      <c r="I241" s="246" t="s">
        <v>231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72"/>
      <c r="X241" s="89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72"/>
      <c r="AM241" s="10"/>
      <c r="AN241" s="9"/>
      <c r="AO241" s="256"/>
    </row>
    <row r="242" spans="9:41" collapsed="1">
      <c r="I242" s="167" t="s">
        <v>264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72"/>
      <c r="X242" s="89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72"/>
      <c r="AM242" s="10"/>
      <c r="AN242" s="9"/>
      <c r="AO242" s="256"/>
    </row>
    <row r="243" spans="9:41" hidden="1" outlineLevel="1">
      <c r="I243" s="246" t="s">
        <v>270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72"/>
      <c r="X243" s="89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72"/>
      <c r="AM243" s="10"/>
      <c r="AN243" s="9"/>
      <c r="AO243" s="256"/>
    </row>
    <row r="244" spans="9:41" hidden="1" outlineLevel="1">
      <c r="I244" s="246" t="s">
        <v>292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72"/>
      <c r="X244" s="89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72"/>
      <c r="AM244" s="10"/>
      <c r="AN244" s="9"/>
      <c r="AO244" s="256"/>
    </row>
    <row r="245" spans="9:41" hidden="1" outlineLevel="1">
      <c r="I245" s="246" t="s">
        <v>293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72"/>
      <c r="X245" s="89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72"/>
      <c r="AM245" s="10"/>
      <c r="AN245" s="9"/>
      <c r="AO245" s="256"/>
    </row>
    <row r="246" spans="9:41" hidden="1" outlineLevel="1">
      <c r="I246" s="246" t="s">
        <v>269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72"/>
      <c r="X246" s="89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72"/>
      <c r="AM246" s="10"/>
      <c r="AN246" s="9"/>
      <c r="AO246" s="256"/>
    </row>
    <row r="247" spans="9:41" hidden="1" outlineLevel="1">
      <c r="I247" s="246" t="s">
        <v>266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72"/>
      <c r="X247" s="89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72"/>
      <c r="AM247" s="10"/>
      <c r="AN247" s="9"/>
      <c r="AO247" s="256"/>
    </row>
    <row r="248" spans="9:41" hidden="1" outlineLevel="1">
      <c r="I248" s="246" t="s">
        <v>294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72"/>
      <c r="X248" s="89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72"/>
      <c r="AM248" s="10"/>
      <c r="AN248" s="9"/>
      <c r="AO248" s="256"/>
    </row>
    <row r="249" spans="9:41">
      <c r="I249" s="167" t="s">
        <v>295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72"/>
      <c r="X249" s="89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72"/>
      <c r="AM249" s="10"/>
      <c r="AN249" s="9"/>
      <c r="AO249" s="256"/>
    </row>
    <row r="250" spans="9:41">
      <c r="I250" s="260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72"/>
      <c r="X250" s="89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72"/>
      <c r="AM250" s="10"/>
      <c r="AN250" s="9"/>
      <c r="AO250" s="256"/>
    </row>
    <row r="251" spans="9:41">
      <c r="I251" s="257" t="s">
        <v>296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72"/>
      <c r="X251" s="89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72"/>
      <c r="AM251" s="10"/>
      <c r="AN251" s="9"/>
      <c r="AO251" s="256"/>
    </row>
    <row r="252" spans="9:41">
      <c r="I252" s="261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72"/>
      <c r="X252" s="89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72"/>
      <c r="AM252" s="10"/>
      <c r="AN252" s="9"/>
      <c r="AO252" s="256"/>
    </row>
    <row r="253" spans="9:41" collapsed="1">
      <c r="I253" s="167" t="s">
        <v>146</v>
      </c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72"/>
      <c r="X253" s="89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72"/>
      <c r="AM253" s="10"/>
      <c r="AN253" s="9"/>
      <c r="AO253" s="256"/>
    </row>
    <row r="254" spans="9:41" hidden="1" outlineLevel="1">
      <c r="I254" s="246" t="s">
        <v>159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72"/>
      <c r="X254" s="89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72"/>
      <c r="AM254" s="10"/>
      <c r="AN254" s="9"/>
      <c r="AO254" s="256"/>
    </row>
    <row r="255" spans="9:41" hidden="1" outlineLevel="1">
      <c r="I255" s="246" t="s">
        <v>153</v>
      </c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72"/>
      <c r="X255" s="89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72"/>
      <c r="AM255" s="10"/>
      <c r="AN255" s="9"/>
      <c r="AO255" s="256"/>
    </row>
    <row r="256" spans="9:41" hidden="1" outlineLevel="1">
      <c r="I256" s="246" t="s">
        <v>276</v>
      </c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72"/>
      <c r="X256" s="89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72"/>
      <c r="AM256" s="10"/>
      <c r="AN256" s="9"/>
      <c r="AO256" s="256"/>
    </row>
    <row r="257" spans="9:41" hidden="1" outlineLevel="1">
      <c r="I257" s="246" t="s">
        <v>183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72"/>
      <c r="X257" s="89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72"/>
      <c r="AM257" s="10"/>
      <c r="AN257" s="9"/>
      <c r="AO257" s="256"/>
    </row>
    <row r="258" spans="9:41" hidden="1" outlineLevel="1">
      <c r="I258" s="246" t="s">
        <v>162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72"/>
      <c r="X258" s="89"/>
      <c r="Y258" s="15">
        <f>+VLOOKUP($I$258,[2]Resumen!$V$7:$AH$8,Y1,0)</f>
        <v>0</v>
      </c>
      <c r="Z258" s="15">
        <f>+VLOOKUP($I$258,[2]Resumen!$V$7:$AH$8,Z1,0)</f>
        <v>0</v>
      </c>
      <c r="AA258" s="15">
        <f>+VLOOKUP($I$258,[2]Resumen!$V$7:$AH$8,AA1,0)</f>
        <v>0</v>
      </c>
      <c r="AB258" s="15">
        <f>+VLOOKUP($I$258,[2]Resumen!$V$7:$AH$8,AB1,0)</f>
        <v>0</v>
      </c>
      <c r="AC258" s="15">
        <f>+VLOOKUP($I$258,[2]Resumen!$V$7:$AH$8,AC1,0)</f>
        <v>0</v>
      </c>
      <c r="AD258" s="15">
        <f>+VLOOKUP($I$258,[2]Resumen!$V$7:$AH$8,AD1,0)</f>
        <v>0</v>
      </c>
      <c r="AE258" s="15">
        <f>+VLOOKUP($I$258,[2]Resumen!$V$7:$AH$8,AE1,0)</f>
        <v>0</v>
      </c>
      <c r="AF258" s="15">
        <f>+VLOOKUP($I$258,[2]Resumen!$V$7:$AH$8,AF1,0)</f>
        <v>0</v>
      </c>
      <c r="AG258" s="15">
        <f>+VLOOKUP($I$258,[2]Resumen!$V$7:$AH$8,AG1,0)</f>
        <v>0</v>
      </c>
      <c r="AH258" s="15">
        <f>+VLOOKUP($I$258,[2]Resumen!$V$7:$AH$8,AH1,0)</f>
        <v>0</v>
      </c>
      <c r="AI258" s="15">
        <f>+VLOOKUP($I$258,[2]Resumen!$V$7:$AH$8,AI1,0)</f>
        <v>0</v>
      </c>
      <c r="AJ258" s="15">
        <f>+VLOOKUP($I$258,[2]Resumen!$V$7:$AH$8,AJ1,0)</f>
        <v>0</v>
      </c>
      <c r="AK258" s="15"/>
      <c r="AL258" s="72"/>
      <c r="AM258" s="10"/>
      <c r="AN258" s="270" t="s">
        <v>297</v>
      </c>
      <c r="AO258" s="256"/>
    </row>
    <row r="259" spans="9:41" hidden="1" outlineLevel="1">
      <c r="I259" s="246" t="s">
        <v>161</v>
      </c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72"/>
      <c r="X259" s="89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72"/>
      <c r="AM259" s="10"/>
      <c r="AN259" s="9"/>
      <c r="AO259" s="256"/>
    </row>
    <row r="260" spans="9:41" hidden="1" outlineLevel="1">
      <c r="I260" s="246" t="s">
        <v>188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72"/>
      <c r="X260" s="89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72"/>
      <c r="AM260" s="10"/>
      <c r="AN260" s="9"/>
      <c r="AO260" s="256"/>
    </row>
    <row r="261" spans="9:41" hidden="1" outlineLevel="1">
      <c r="I261" s="246" t="s">
        <v>277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72"/>
      <c r="X261" s="89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72"/>
      <c r="AM261" s="10"/>
      <c r="AN261" s="9"/>
      <c r="AO261" s="256"/>
    </row>
    <row r="262" spans="9:41" hidden="1" outlineLevel="1">
      <c r="I262" s="246" t="s">
        <v>278</v>
      </c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72"/>
      <c r="X262" s="89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72"/>
      <c r="AM262" s="10"/>
      <c r="AN262" s="9"/>
      <c r="AO262" s="256"/>
    </row>
    <row r="263" spans="9:41" hidden="1" outlineLevel="1">
      <c r="I263" s="246" t="s">
        <v>187</v>
      </c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72"/>
      <c r="X263" s="89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72"/>
      <c r="AM263" s="10"/>
      <c r="AN263" s="9"/>
      <c r="AO263" s="256"/>
    </row>
    <row r="264" spans="9:41" hidden="1" outlineLevel="1">
      <c r="I264" s="246" t="s">
        <v>279</v>
      </c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72"/>
      <c r="X264" s="89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72"/>
      <c r="AM264" s="10"/>
      <c r="AN264" s="9"/>
      <c r="AO264" s="256"/>
    </row>
    <row r="265" spans="9:41" hidden="1" outlineLevel="1">
      <c r="I265" s="246" t="s">
        <v>164</v>
      </c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72"/>
      <c r="X265" s="89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72"/>
      <c r="AM265" s="10"/>
      <c r="AN265" s="9"/>
      <c r="AO265" s="256"/>
    </row>
    <row r="266" spans="9:41" hidden="1" outlineLevel="1">
      <c r="I266" s="246" t="s">
        <v>182</v>
      </c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72"/>
      <c r="X266" s="89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72"/>
      <c r="AM266" s="10"/>
      <c r="AN266" s="9"/>
      <c r="AO266" s="256"/>
    </row>
    <row r="267" spans="9:41" hidden="1" outlineLevel="1">
      <c r="I267" s="246" t="s">
        <v>280</v>
      </c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72"/>
      <c r="X267" s="89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72"/>
      <c r="AM267" s="10"/>
      <c r="AN267" s="9"/>
      <c r="AO267" s="256"/>
    </row>
    <row r="268" spans="9:41" hidden="1" outlineLevel="1">
      <c r="I268" s="246" t="s">
        <v>148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72"/>
      <c r="X268" s="89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72"/>
      <c r="AM268" s="10"/>
      <c r="AN268" s="9"/>
      <c r="AO268" s="256"/>
    </row>
    <row r="269" spans="9:41" hidden="1" outlineLevel="1">
      <c r="I269" s="246" t="s">
        <v>185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72"/>
      <c r="X269" s="89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72"/>
      <c r="AM269" s="10"/>
      <c r="AN269" s="9"/>
      <c r="AO269" s="256"/>
    </row>
    <row r="270" spans="9:41" hidden="1" outlineLevel="1">
      <c r="I270" s="246" t="s">
        <v>184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72"/>
      <c r="X270" s="89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72"/>
      <c r="AM270" s="10"/>
      <c r="AN270" s="9"/>
      <c r="AO270" s="256"/>
    </row>
    <row r="271" spans="9:41" hidden="1" outlineLevel="1">
      <c r="I271" s="246" t="s">
        <v>172</v>
      </c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72"/>
      <c r="X271" s="89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72"/>
      <c r="AM271" s="10"/>
      <c r="AN271" s="9"/>
      <c r="AO271" s="256"/>
    </row>
    <row r="272" spans="9:41" hidden="1" outlineLevel="1">
      <c r="I272" s="246" t="s">
        <v>158</v>
      </c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72"/>
      <c r="X272" s="89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72"/>
      <c r="AM272" s="10"/>
      <c r="AN272" s="9"/>
      <c r="AO272" s="256"/>
    </row>
    <row r="273" spans="9:41" hidden="1" outlineLevel="1">
      <c r="I273" s="246" t="s">
        <v>170</v>
      </c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72"/>
      <c r="X273" s="89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72"/>
      <c r="AM273" s="10"/>
      <c r="AN273" s="9"/>
      <c r="AO273" s="256"/>
    </row>
    <row r="274" spans="9:41" hidden="1" outlineLevel="1">
      <c r="I274" s="246" t="s">
        <v>179</v>
      </c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72"/>
      <c r="X274" s="89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72"/>
      <c r="AM274" s="10"/>
      <c r="AN274" s="9"/>
      <c r="AO274" s="256"/>
    </row>
    <row r="275" spans="9:41" hidden="1" outlineLevel="1">
      <c r="I275" s="246" t="s">
        <v>178</v>
      </c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72"/>
      <c r="X275" s="89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72"/>
      <c r="AM275" s="10"/>
      <c r="AN275" s="9"/>
      <c r="AO275" s="256"/>
    </row>
    <row r="276" spans="9:41" hidden="1" outlineLevel="1">
      <c r="I276" s="246" t="s">
        <v>281</v>
      </c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72"/>
      <c r="X276" s="89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72"/>
      <c r="AM276" s="10"/>
      <c r="AN276" s="9"/>
      <c r="AO276" s="256"/>
    </row>
    <row r="277" spans="9:41" hidden="1" outlineLevel="1">
      <c r="I277" s="246" t="s">
        <v>282</v>
      </c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72"/>
      <c r="X277" s="89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72"/>
      <c r="AM277" s="10"/>
      <c r="AN277" s="9"/>
      <c r="AO277" s="256"/>
    </row>
    <row r="278" spans="9:41" hidden="1" outlineLevel="1">
      <c r="I278" s="246" t="s">
        <v>283</v>
      </c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72"/>
      <c r="X278" s="89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72"/>
      <c r="AM278" s="10"/>
      <c r="AN278" s="9"/>
      <c r="AO278" s="256"/>
    </row>
    <row r="279" spans="9:41" hidden="1" outlineLevel="1">
      <c r="I279" s="246" t="s">
        <v>284</v>
      </c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72"/>
      <c r="X279" s="89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72"/>
      <c r="AM279" s="10"/>
      <c r="AN279" s="9"/>
      <c r="AO279" s="256"/>
    </row>
    <row r="280" spans="9:41" hidden="1" outlineLevel="1">
      <c r="I280" s="246" t="s">
        <v>285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72"/>
      <c r="X280" s="89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72"/>
      <c r="AM280" s="10"/>
      <c r="AN280" s="9"/>
      <c r="AO280" s="256"/>
    </row>
    <row r="281" spans="9:41" hidden="1" outlineLevel="1">
      <c r="I281" s="246" t="s">
        <v>190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72"/>
      <c r="X281" s="89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72"/>
      <c r="AM281" s="10"/>
      <c r="AN281" s="9"/>
      <c r="AO281" s="256"/>
    </row>
    <row r="282" spans="9:41" hidden="1" outlineLevel="1">
      <c r="I282" s="246" t="s">
        <v>173</v>
      </c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72"/>
      <c r="X282" s="89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72"/>
      <c r="AM282" s="10"/>
      <c r="AN282" s="9"/>
      <c r="AO282" s="256"/>
    </row>
    <row r="283" spans="9:41" hidden="1" outlineLevel="1">
      <c r="I283" s="246" t="s">
        <v>176</v>
      </c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72"/>
      <c r="X283" s="89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72"/>
      <c r="AM283" s="10"/>
      <c r="AN283" s="9"/>
      <c r="AO283" s="256"/>
    </row>
    <row r="284" spans="9:41" hidden="1" outlineLevel="1">
      <c r="I284" s="246" t="s">
        <v>174</v>
      </c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72"/>
      <c r="X284" s="89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72"/>
      <c r="AM284" s="10"/>
      <c r="AN284" s="9"/>
      <c r="AO284" s="256"/>
    </row>
    <row r="285" spans="9:41" hidden="1" outlineLevel="1">
      <c r="I285" s="246" t="s">
        <v>165</v>
      </c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72"/>
      <c r="X285" s="89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72"/>
      <c r="AM285" s="10"/>
      <c r="AN285" s="9"/>
      <c r="AO285" s="256"/>
    </row>
    <row r="286" spans="9:41" hidden="1" outlineLevel="1">
      <c r="I286" s="246" t="s">
        <v>168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72"/>
      <c r="X286" s="89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72"/>
      <c r="AM286" s="10"/>
      <c r="AN286" s="9"/>
      <c r="AO286" s="256"/>
    </row>
    <row r="287" spans="9:41" hidden="1" outlineLevel="1">
      <c r="I287" s="246" t="s">
        <v>156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72"/>
      <c r="X287" s="89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72"/>
      <c r="AM287" s="10"/>
      <c r="AN287" s="9"/>
      <c r="AO287" s="256"/>
    </row>
    <row r="288" spans="9:41" hidden="1" outlineLevel="1">
      <c r="I288" s="246" t="s">
        <v>286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72"/>
      <c r="X288" s="89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72"/>
      <c r="AM288" s="10"/>
      <c r="AN288" s="9"/>
      <c r="AO288" s="256"/>
    </row>
    <row r="289" spans="9:41" hidden="1" outlineLevel="1">
      <c r="I289" s="246" t="s">
        <v>287</v>
      </c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72"/>
      <c r="X289" s="89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72"/>
      <c r="AM289" s="10"/>
      <c r="AN289" s="9"/>
      <c r="AO289" s="256"/>
    </row>
    <row r="290" spans="9:41" hidden="1" outlineLevel="1">
      <c r="I290" s="246" t="s">
        <v>149</v>
      </c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72"/>
      <c r="X290" s="89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72"/>
      <c r="AM290" s="10"/>
      <c r="AN290" s="9"/>
      <c r="AO290" s="256"/>
    </row>
    <row r="291" spans="9:41" hidden="1" outlineLevel="1">
      <c r="I291" s="246" t="s">
        <v>152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72"/>
      <c r="X291" s="89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72"/>
      <c r="AM291" s="10"/>
      <c r="AN291" s="9"/>
      <c r="AO291" s="256"/>
    </row>
    <row r="292" spans="9:41" hidden="1" outlineLevel="1">
      <c r="I292" s="246" t="s">
        <v>180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72"/>
      <c r="X292" s="89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72"/>
      <c r="AM292" s="10"/>
      <c r="AN292" s="9"/>
      <c r="AO292" s="256"/>
    </row>
    <row r="293" spans="9:41" hidden="1" outlineLevel="1">
      <c r="I293" s="246" t="s">
        <v>288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72"/>
      <c r="X293" s="89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72"/>
      <c r="AM293" s="10"/>
      <c r="AN293" s="9"/>
      <c r="AO293" s="256"/>
    </row>
    <row r="294" spans="9:41" hidden="1" outlineLevel="1">
      <c r="I294" s="246" t="s">
        <v>186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72"/>
      <c r="X294" s="89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72"/>
      <c r="AM294" s="10"/>
      <c r="AN294" s="9"/>
      <c r="AO294" s="256"/>
    </row>
    <row r="295" spans="9:41" hidden="1" outlineLevel="1">
      <c r="I295" s="246" t="s">
        <v>228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72"/>
      <c r="X295" s="89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72"/>
      <c r="AM295" s="10"/>
      <c r="AN295" s="9"/>
      <c r="AO295" s="256"/>
    </row>
    <row r="296" spans="9:41" hidden="1" outlineLevel="1">
      <c r="I296" s="246" t="s">
        <v>167</v>
      </c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72"/>
      <c r="X296" s="89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72"/>
      <c r="AM296" s="10"/>
      <c r="AN296" s="9"/>
      <c r="AO296" s="256"/>
    </row>
    <row r="297" spans="9:41" hidden="1" outlineLevel="1">
      <c r="I297" s="258" t="s">
        <v>233</v>
      </c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72"/>
      <c r="X297" s="89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72"/>
      <c r="AM297" s="10"/>
      <c r="AN297" s="9"/>
      <c r="AO297" s="256"/>
    </row>
    <row r="298" spans="9:41" hidden="1" outlineLevel="1">
      <c r="I298" s="258" t="s">
        <v>194</v>
      </c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72"/>
      <c r="X298" s="89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72"/>
      <c r="AM298" s="10"/>
      <c r="AN298" s="9"/>
      <c r="AO298" s="256"/>
    </row>
    <row r="299" spans="9:41" hidden="1" outlineLevel="1">
      <c r="I299" s="262" t="s">
        <v>298</v>
      </c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72"/>
      <c r="X299" s="89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72"/>
      <c r="AM299" s="10"/>
      <c r="AN299" s="9"/>
      <c r="AO299" s="256"/>
    </row>
    <row r="300" spans="9:41" collapsed="1">
      <c r="I300" s="167" t="s">
        <v>196</v>
      </c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72"/>
      <c r="X300" s="89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72"/>
      <c r="AM300" s="10"/>
      <c r="AN300" s="9"/>
      <c r="AO300" s="256"/>
    </row>
    <row r="301" spans="9:41" hidden="1" outlineLevel="1">
      <c r="I301" s="246" t="s">
        <v>197</v>
      </c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72"/>
      <c r="X301" s="89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72"/>
      <c r="AM301" s="10"/>
      <c r="AN301" s="9"/>
      <c r="AO301" s="256"/>
    </row>
    <row r="302" spans="9:41" hidden="1" outlineLevel="1">
      <c r="I302" s="246" t="s">
        <v>198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72"/>
      <c r="X302" s="89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72"/>
      <c r="AM302" s="10"/>
      <c r="AN302" s="9"/>
      <c r="AO302" s="256"/>
    </row>
    <row r="303" spans="9:41" hidden="1" outlineLevel="1">
      <c r="I303" s="246" t="s">
        <v>199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72"/>
      <c r="X303" s="89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72"/>
      <c r="AM303" s="10"/>
      <c r="AN303" s="9"/>
      <c r="AO303" s="256"/>
    </row>
    <row r="304" spans="9:41" hidden="1" outlineLevel="1">
      <c r="I304" s="246" t="s">
        <v>200</v>
      </c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72"/>
      <c r="X304" s="89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72"/>
      <c r="AM304" s="10"/>
      <c r="AN304" s="9"/>
      <c r="AO304" s="256"/>
    </row>
    <row r="305" spans="9:41" hidden="1" outlineLevel="1">
      <c r="I305" s="246" t="s">
        <v>201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72"/>
      <c r="X305" s="89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72"/>
      <c r="AM305" s="10"/>
      <c r="AN305" s="9"/>
      <c r="AO305" s="256"/>
    </row>
    <row r="306" spans="9:41" hidden="1" outlineLevel="1">
      <c r="I306" s="246" t="s">
        <v>209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72"/>
      <c r="X306" s="89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72"/>
      <c r="AM306" s="10"/>
      <c r="AN306" s="9"/>
      <c r="AO306" s="256"/>
    </row>
    <row r="307" spans="9:41" hidden="1" outlineLevel="1">
      <c r="I307" s="246" t="s">
        <v>202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72"/>
      <c r="X307" s="89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72"/>
      <c r="AM307" s="10"/>
      <c r="AN307" s="9"/>
      <c r="AO307" s="256"/>
    </row>
    <row r="308" spans="9:41" hidden="1" outlineLevel="1">
      <c r="I308" s="246" t="s">
        <v>203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72"/>
      <c r="X308" s="89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72"/>
      <c r="AM308" s="10"/>
      <c r="AN308" s="9"/>
      <c r="AO308" s="256"/>
    </row>
    <row r="309" spans="9:41" hidden="1" outlineLevel="1">
      <c r="I309" s="246" t="s">
        <v>204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72"/>
      <c r="X309" s="89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72"/>
      <c r="AM309" s="10"/>
      <c r="AN309" s="9"/>
      <c r="AO309" s="256"/>
    </row>
    <row r="310" spans="9:41" hidden="1" outlineLevel="1">
      <c r="I310" s="246" t="s">
        <v>205</v>
      </c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72"/>
      <c r="X310" s="89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72"/>
      <c r="AM310" s="10"/>
      <c r="AN310" s="9"/>
      <c r="AO310" s="256"/>
    </row>
    <row r="311" spans="9:41" hidden="1" outlineLevel="1">
      <c r="I311" s="246" t="s">
        <v>207</v>
      </c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72"/>
      <c r="X311" s="89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72"/>
      <c r="AM311" s="10"/>
      <c r="AN311" s="9"/>
      <c r="AO311" s="256"/>
    </row>
    <row r="312" spans="9:41" hidden="1" outlineLevel="1">
      <c r="I312" s="246" t="s">
        <v>208</v>
      </c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72"/>
      <c r="X312" s="89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72"/>
      <c r="AM312" s="10"/>
      <c r="AN312" s="9"/>
      <c r="AO312" s="256"/>
    </row>
    <row r="313" spans="9:41" hidden="1" outlineLevel="1">
      <c r="I313" s="246" t="s">
        <v>289</v>
      </c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72"/>
      <c r="X313" s="89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72"/>
      <c r="AM313" s="10"/>
      <c r="AN313" s="9"/>
      <c r="AO313" s="256"/>
    </row>
    <row r="314" spans="9:41" hidden="1" outlineLevel="1">
      <c r="I314" s="246" t="s">
        <v>211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72"/>
      <c r="X314" s="89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72"/>
      <c r="AM314" s="10"/>
      <c r="AN314" s="9"/>
      <c r="AO314" s="256"/>
    </row>
    <row r="315" spans="9:41" hidden="1" outlineLevel="1">
      <c r="I315" s="246" t="s">
        <v>213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72"/>
      <c r="X315" s="89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72"/>
      <c r="AM315" s="10"/>
      <c r="AN315" s="9"/>
      <c r="AO315" s="256"/>
    </row>
    <row r="316" spans="9:41" hidden="1" outlineLevel="1">
      <c r="I316" s="246" t="s">
        <v>214</v>
      </c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72"/>
      <c r="X316" s="89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72"/>
      <c r="AM316" s="10"/>
      <c r="AN316" s="9"/>
      <c r="AO316" s="256"/>
    </row>
    <row r="317" spans="9:41" collapsed="1">
      <c r="I317" s="167" t="s">
        <v>216</v>
      </c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72"/>
      <c r="X317" s="89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72"/>
      <c r="AM317" s="10"/>
      <c r="AN317" s="9"/>
      <c r="AO317" s="256"/>
    </row>
    <row r="318" spans="9:41" hidden="1" outlineLevel="1">
      <c r="I318" s="246" t="s">
        <v>217</v>
      </c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72"/>
      <c r="X318" s="89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72"/>
      <c r="AM318" s="10"/>
      <c r="AN318" s="9"/>
      <c r="AO318" s="256"/>
    </row>
    <row r="319" spans="9:41" hidden="1" outlineLevel="1">
      <c r="I319" s="246" t="s">
        <v>218</v>
      </c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72"/>
      <c r="X319" s="89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72"/>
      <c r="AM319" s="10"/>
      <c r="AN319" s="9"/>
      <c r="AO319" s="256"/>
    </row>
    <row r="320" spans="9:41" hidden="1" outlineLevel="1">
      <c r="I320" s="246" t="s">
        <v>219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72"/>
      <c r="X320" s="89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72"/>
      <c r="AM320" s="10"/>
      <c r="AN320" s="9"/>
      <c r="AO320" s="256"/>
    </row>
    <row r="321" spans="9:41" hidden="1" outlineLevel="1">
      <c r="I321" s="246" t="s">
        <v>290</v>
      </c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72"/>
      <c r="X321" s="89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72"/>
      <c r="AM321" s="10"/>
      <c r="AN321" s="9"/>
      <c r="AO321" s="256"/>
    </row>
    <row r="322" spans="9:41" collapsed="1">
      <c r="I322" s="167" t="s">
        <v>223</v>
      </c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72"/>
      <c r="X322" s="89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72"/>
      <c r="AM322" s="10"/>
      <c r="AN322" s="9"/>
      <c r="AO322" s="256"/>
    </row>
    <row r="323" spans="9:41" hidden="1" outlineLevel="1">
      <c r="I323" s="246" t="s">
        <v>237</v>
      </c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72"/>
      <c r="X323" s="89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72"/>
      <c r="AM323" s="10"/>
      <c r="AN323" s="9"/>
      <c r="AO323" s="256"/>
    </row>
    <row r="324" spans="9:41" hidden="1" outlineLevel="1">
      <c r="I324" s="246" t="s">
        <v>227</v>
      </c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72"/>
      <c r="X324" s="89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72"/>
      <c r="AM324" s="10"/>
      <c r="AN324" s="9"/>
      <c r="AO324" s="256"/>
    </row>
    <row r="325" spans="9:41" hidden="1" outlineLevel="1">
      <c r="I325" s="246" t="s">
        <v>262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72"/>
      <c r="X325" s="89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72"/>
      <c r="AM325" s="10"/>
      <c r="AN325" s="9"/>
      <c r="AO325" s="256"/>
    </row>
    <row r="326" spans="9:41" hidden="1" outlineLevel="1">
      <c r="I326" s="246" t="s">
        <v>291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72"/>
      <c r="X326" s="89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72"/>
      <c r="AM326" s="10"/>
      <c r="AN326" s="9"/>
      <c r="AO326" s="256"/>
    </row>
    <row r="327" spans="9:41" hidden="1" outlineLevel="1">
      <c r="I327" s="246" t="s">
        <v>225</v>
      </c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72"/>
      <c r="X327" s="89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72"/>
      <c r="AM327" s="10"/>
      <c r="AN327" s="9"/>
      <c r="AO327" s="256"/>
    </row>
    <row r="328" spans="9:41" hidden="1" outlineLevel="1">
      <c r="I328" s="246" t="s">
        <v>234</v>
      </c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72"/>
      <c r="X328" s="89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72"/>
      <c r="AM328" s="10"/>
      <c r="AN328" s="9"/>
      <c r="AO328" s="256"/>
    </row>
    <row r="329" spans="9:41" hidden="1" outlineLevel="1">
      <c r="I329" s="246" t="s">
        <v>232</v>
      </c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72"/>
      <c r="X329" s="89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72"/>
      <c r="AM329" s="10"/>
      <c r="AN329" s="9"/>
      <c r="AO329" s="256"/>
    </row>
    <row r="330" spans="9:41" hidden="1" outlineLevel="1">
      <c r="I330" s="246" t="s">
        <v>233</v>
      </c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72"/>
      <c r="X330" s="89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72"/>
      <c r="AM330" s="10"/>
      <c r="AN330" s="9"/>
      <c r="AO330" s="256"/>
    </row>
    <row r="331" spans="9:41" hidden="1" outlineLevel="1">
      <c r="I331" s="246" t="s">
        <v>255</v>
      </c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72"/>
      <c r="X331" s="89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72"/>
      <c r="AM331" s="10"/>
      <c r="AN331" s="9"/>
      <c r="AO331" s="256"/>
    </row>
    <row r="332" spans="9:41" hidden="1" outlineLevel="1">
      <c r="I332" s="246" t="s">
        <v>231</v>
      </c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72"/>
      <c r="X332" s="89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72"/>
      <c r="AM332" s="10"/>
      <c r="AN332" s="9"/>
      <c r="AO332" s="256"/>
    </row>
    <row r="333" spans="9:41" collapsed="1">
      <c r="I333" s="167" t="s">
        <v>264</v>
      </c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72"/>
      <c r="X333" s="89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72"/>
      <c r="AM333" s="10"/>
      <c r="AN333" s="9"/>
      <c r="AO333" s="256"/>
    </row>
    <row r="334" spans="9:41" hidden="1" outlineLevel="1">
      <c r="I334" s="246" t="s">
        <v>270</v>
      </c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72"/>
      <c r="X334" s="89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72"/>
      <c r="AM334" s="10"/>
      <c r="AN334" s="9"/>
      <c r="AO334" s="256"/>
    </row>
    <row r="335" spans="9:41" hidden="1" outlineLevel="1">
      <c r="I335" s="246" t="s">
        <v>292</v>
      </c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72"/>
      <c r="X335" s="89"/>
      <c r="Y335" s="15">
        <f>+VLOOKUP($I$335,[2]Resumen!$V$14:$AH$14,Y1,0)</f>
        <v>0</v>
      </c>
      <c r="Z335" s="15">
        <f>+VLOOKUP($I$335,[2]Resumen!$V$14:$AH$14,Z1,0)</f>
        <v>0</v>
      </c>
      <c r="AA335" s="15">
        <f>+VLOOKUP($I$335,[2]Resumen!$V$14:$AH$14,AA1,0)</f>
        <v>0</v>
      </c>
      <c r="AB335" s="15">
        <f>+VLOOKUP($I$335,[2]Resumen!$V$14:$AH$14,AB1,0)</f>
        <v>0</v>
      </c>
      <c r="AC335" s="15">
        <f>+VLOOKUP($I$335,[2]Resumen!$V$14:$AH$14,AC1,0)</f>
        <v>0</v>
      </c>
      <c r="AD335" s="15">
        <f>+VLOOKUP($I$335,[2]Resumen!$V$14:$AH$14,AD1,0)</f>
        <v>0</v>
      </c>
      <c r="AE335" s="15">
        <f>+VLOOKUP($I$335,[2]Resumen!$V$14:$AH$14,AE1,0)</f>
        <v>0</v>
      </c>
      <c r="AF335" s="15">
        <f>+VLOOKUP($I$335,[2]Resumen!$V$14:$AH$14,AF1,0)</f>
        <v>0</v>
      </c>
      <c r="AG335" s="15">
        <f>+VLOOKUP($I$335,[2]Resumen!$V$14:$AH$14,AG1,0)</f>
        <v>0</v>
      </c>
      <c r="AH335" s="15">
        <f>+VLOOKUP($I$335,[2]Resumen!$V$14:$AH$14,AH1,0)</f>
        <v>0</v>
      </c>
      <c r="AI335" s="15">
        <f>+VLOOKUP($I$335,[2]Resumen!$V$14:$AH$14,AI1,0)</f>
        <v>0</v>
      </c>
      <c r="AJ335" s="15">
        <f>+VLOOKUP($I$335,[2]Resumen!$V$14:$AH$14,AJ1,0)</f>
        <v>0</v>
      </c>
      <c r="AK335" s="15"/>
      <c r="AL335" s="72"/>
      <c r="AM335" s="10"/>
      <c r="AN335" s="270" t="s">
        <v>299</v>
      </c>
      <c r="AO335" s="256"/>
    </row>
    <row r="336" spans="9:41" hidden="1" outlineLevel="1">
      <c r="I336" s="246" t="s">
        <v>293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72"/>
      <c r="X336" s="89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72"/>
      <c r="AM336" s="10"/>
      <c r="AN336" s="9"/>
      <c r="AO336" s="256"/>
    </row>
    <row r="337" spans="9:41" hidden="1" outlineLevel="1">
      <c r="I337" s="246" t="s">
        <v>269</v>
      </c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72"/>
      <c r="X337" s="89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72"/>
      <c r="AM337" s="10"/>
      <c r="AN337" s="9"/>
      <c r="AO337" s="256"/>
    </row>
    <row r="338" spans="9:41" hidden="1" outlineLevel="1">
      <c r="I338" s="246" t="s">
        <v>266</v>
      </c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72"/>
      <c r="X338" s="89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72"/>
      <c r="AM338" s="10"/>
      <c r="AN338" s="9"/>
      <c r="AO338" s="256"/>
    </row>
    <row r="339" spans="9:41" hidden="1" outlineLevel="1">
      <c r="I339" s="246" t="s">
        <v>294</v>
      </c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72"/>
      <c r="X339" s="89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72"/>
      <c r="AM339" s="10"/>
      <c r="AN339" s="9"/>
      <c r="AO339" s="256"/>
    </row>
    <row r="340" spans="9:41">
      <c r="I340" s="259" t="s">
        <v>300</v>
      </c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72"/>
      <c r="X340" s="89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72"/>
      <c r="AM340" s="10"/>
      <c r="AN340" s="9"/>
      <c r="AO340" s="256"/>
    </row>
    <row r="341" spans="9:41">
      <c r="I341" s="260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72"/>
      <c r="X341" s="89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72"/>
      <c r="AM341" s="10"/>
      <c r="AN341" s="9"/>
      <c r="AO341" s="256"/>
    </row>
    <row r="342" spans="9:41">
      <c r="I342" s="259" t="s">
        <v>301</v>
      </c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72"/>
      <c r="X342" s="89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72"/>
      <c r="AM342" s="10"/>
      <c r="AN342" s="9"/>
      <c r="AO342" s="256"/>
    </row>
    <row r="343" spans="9:41">
      <c r="I343" s="26" t="s">
        <v>302</v>
      </c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73"/>
      <c r="X343" s="89"/>
      <c r="Y343" s="215"/>
      <c r="Z343" s="215"/>
      <c r="AA343" s="215"/>
      <c r="AB343" s="215"/>
      <c r="AC343" s="215"/>
      <c r="AD343" s="215"/>
      <c r="AE343" s="215"/>
      <c r="AF343" s="215"/>
      <c r="AG343" s="215"/>
      <c r="AH343" s="215"/>
      <c r="AI343" s="215"/>
      <c r="AJ343" s="215"/>
      <c r="AK343" s="218"/>
      <c r="AL343" s="73"/>
      <c r="AM343" s="16"/>
      <c r="AN343" s="9"/>
      <c r="AO343" s="256"/>
    </row>
    <row r="344" spans="9:41" ht="15.75">
      <c r="I344" s="140" t="s">
        <v>303</v>
      </c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  <c r="W344" s="267"/>
      <c r="X344" s="89"/>
      <c r="Y344" s="266"/>
      <c r="Z344" s="266"/>
      <c r="AA344" s="266"/>
      <c r="AB344" s="266"/>
      <c r="AC344" s="266"/>
      <c r="AD344" s="266"/>
      <c r="AE344" s="266"/>
      <c r="AF344" s="266"/>
      <c r="AG344" s="266"/>
      <c r="AH344" s="266"/>
      <c r="AI344" s="266"/>
      <c r="AJ344" s="266"/>
      <c r="AK344" s="266"/>
      <c r="AL344" s="267"/>
      <c r="AM344" s="268"/>
      <c r="AN344" s="9"/>
      <c r="AO344" s="256"/>
    </row>
    <row r="345" spans="9:41">
      <c r="I345" s="26" t="s">
        <v>304</v>
      </c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73"/>
      <c r="X345" s="89"/>
      <c r="Y345" s="215"/>
      <c r="Z345" s="215"/>
      <c r="AA345" s="215"/>
      <c r="AB345" s="215"/>
      <c r="AC345" s="215"/>
      <c r="AD345" s="215"/>
      <c r="AE345" s="215"/>
      <c r="AF345" s="215"/>
      <c r="AG345" s="215"/>
      <c r="AH345" s="215"/>
      <c r="AI345" s="215"/>
      <c r="AJ345" s="215"/>
      <c r="AK345" s="218"/>
      <c r="AL345" s="73"/>
      <c r="AM345" s="16"/>
      <c r="AN345" s="9"/>
      <c r="AO345" s="256"/>
    </row>
    <row r="346" spans="9:41">
      <c r="I346" s="26" t="s">
        <v>305</v>
      </c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73"/>
      <c r="X346" s="89"/>
      <c r="Y346" s="215"/>
      <c r="Z346" s="215"/>
      <c r="AA346" s="215"/>
      <c r="AB346" s="215"/>
      <c r="AC346" s="215"/>
      <c r="AD346" s="215"/>
      <c r="AE346" s="215"/>
      <c r="AF346" s="215"/>
      <c r="AG346" s="215"/>
      <c r="AH346" s="215"/>
      <c r="AI346" s="215"/>
      <c r="AJ346" s="215"/>
      <c r="AK346" s="218"/>
      <c r="AL346" s="73"/>
      <c r="AM346" s="16"/>
      <c r="AN346" s="9"/>
      <c r="AO346" s="256"/>
    </row>
    <row r="347" spans="9:41" ht="15.75">
      <c r="I347" s="140" t="s">
        <v>306</v>
      </c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  <c r="W347" s="267"/>
      <c r="X347" s="89"/>
      <c r="Y347" s="266"/>
      <c r="Z347" s="266"/>
      <c r="AA347" s="266"/>
      <c r="AB347" s="266"/>
      <c r="AC347" s="266"/>
      <c r="AD347" s="266"/>
      <c r="AE347" s="266"/>
      <c r="AF347" s="266"/>
      <c r="AG347" s="266"/>
      <c r="AH347" s="266"/>
      <c r="AI347" s="266"/>
      <c r="AJ347" s="266"/>
      <c r="AK347" s="266"/>
      <c r="AL347" s="267"/>
      <c r="AM347" s="268"/>
      <c r="AN347" s="9"/>
      <c r="AO347" s="256"/>
    </row>
    <row r="348" spans="9:41">
      <c r="I348" s="26" t="s">
        <v>307</v>
      </c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73"/>
      <c r="X348" s="89"/>
      <c r="Y348" s="215"/>
      <c r="Z348" s="215"/>
      <c r="AA348" s="215"/>
      <c r="AB348" s="215"/>
      <c r="AC348" s="215"/>
      <c r="AD348" s="215"/>
      <c r="AE348" s="215"/>
      <c r="AF348" s="215"/>
      <c r="AG348" s="215"/>
      <c r="AH348" s="215"/>
      <c r="AI348" s="215"/>
      <c r="AJ348" s="215"/>
      <c r="AK348" s="218"/>
      <c r="AL348" s="73"/>
      <c r="AM348" s="16"/>
      <c r="AN348" s="9"/>
      <c r="AO348" s="256"/>
    </row>
    <row r="349" spans="9:41">
      <c r="I349" s="26" t="s">
        <v>308</v>
      </c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73"/>
      <c r="X349" s="89"/>
      <c r="Y349" s="215"/>
      <c r="Z349" s="215"/>
      <c r="AA349" s="215"/>
      <c r="AB349" s="215"/>
      <c r="AC349" s="215"/>
      <c r="AD349" s="215"/>
      <c r="AE349" s="215"/>
      <c r="AF349" s="215"/>
      <c r="AG349" s="215"/>
      <c r="AH349" s="215"/>
      <c r="AI349" s="215"/>
      <c r="AJ349" s="215"/>
      <c r="AK349" s="218"/>
      <c r="AL349" s="73"/>
      <c r="AM349" s="16"/>
      <c r="AN349" s="9"/>
      <c r="AO349" s="256"/>
    </row>
    <row r="350" spans="9:41">
      <c r="I350" s="26" t="s">
        <v>309</v>
      </c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>
        <f>+V160/V39</f>
        <v>0.65058130929973479</v>
      </c>
      <c r="W350" s="73">
        <f>V350/V$6</f>
        <v>7.2596242235566818E-10</v>
      </c>
      <c r="X350" s="89"/>
      <c r="Y350" s="215"/>
      <c r="Z350" s="215"/>
      <c r="AA350" s="215"/>
      <c r="AB350" s="215"/>
      <c r="AC350" s="215"/>
      <c r="AD350" s="215"/>
      <c r="AE350" s="215"/>
      <c r="AF350" s="215"/>
      <c r="AG350" s="215"/>
      <c r="AH350" s="215"/>
      <c r="AI350" s="215"/>
      <c r="AJ350" s="215"/>
      <c r="AK350" s="218">
        <f>+AK160/AK39</f>
        <v>0.38838134038764555</v>
      </c>
      <c r="AL350" s="73">
        <f>AK350/AK$6</f>
        <v>4.0322892321310622E-10</v>
      </c>
      <c r="AM350" s="16">
        <f>IFERROR(AK350/V350-1,0)</f>
        <v>-0.40302413420747207</v>
      </c>
    </row>
    <row r="351" spans="9:41">
      <c r="AN351" s="126"/>
    </row>
    <row r="352" spans="9:41" collapsed="1">
      <c r="I352" s="167" t="s">
        <v>310</v>
      </c>
      <c r="AN352" s="126"/>
    </row>
    <row r="353" spans="9:9" hidden="1" outlineLevel="1">
      <c r="I353" s="246" t="s">
        <v>311</v>
      </c>
    </row>
    <row r="354" spans="9:9" hidden="1" outlineLevel="1">
      <c r="I354" s="246" t="s">
        <v>312</v>
      </c>
    </row>
    <row r="355" spans="9:9" hidden="1" outlineLevel="1">
      <c r="I355" s="246" t="s">
        <v>313</v>
      </c>
    </row>
    <row r="356" spans="9:9" hidden="1" outlineLevel="1">
      <c r="I356" s="246" t="s">
        <v>314</v>
      </c>
    </row>
    <row r="357" spans="9:9" hidden="1" outlineLevel="1">
      <c r="I357" s="246" t="s">
        <v>315</v>
      </c>
    </row>
    <row r="358" spans="9:9" hidden="1" outlineLevel="1">
      <c r="I358" s="246" t="s">
        <v>316</v>
      </c>
    </row>
    <row r="359" spans="9:9" hidden="1" outlineLevel="1">
      <c r="I359" s="246" t="s">
        <v>317</v>
      </c>
    </row>
    <row r="360" spans="9:9" hidden="1" outlineLevel="1">
      <c r="I360" s="246" t="s">
        <v>318</v>
      </c>
    </row>
    <row r="361" spans="9:9" hidden="1" outlineLevel="1">
      <c r="I361" s="246" t="s">
        <v>319</v>
      </c>
    </row>
    <row r="362" spans="9:9" hidden="1" outlineLevel="1">
      <c r="I362" s="246" t="s">
        <v>112</v>
      </c>
    </row>
    <row r="363" spans="9:9" hidden="1" outlineLevel="1">
      <c r="I363" s="246" t="s">
        <v>320</v>
      </c>
    </row>
    <row r="364" spans="9:9" hidden="1" outlineLevel="1">
      <c r="I364" s="246" t="s">
        <v>321</v>
      </c>
    </row>
    <row r="365" spans="9:9" hidden="1" outlineLevel="1">
      <c r="I365" s="246" t="s">
        <v>322</v>
      </c>
    </row>
    <row r="366" spans="9:9" hidden="1" outlineLevel="1">
      <c r="I366" s="246" t="s">
        <v>323</v>
      </c>
    </row>
    <row r="368" spans="9:9" collapsed="1">
      <c r="I368" s="167" t="s">
        <v>324</v>
      </c>
    </row>
    <row r="369" spans="9:9" hidden="1" outlineLevel="1">
      <c r="I369" s="246" t="s">
        <v>325</v>
      </c>
    </row>
    <row r="370" spans="9:9" hidden="1" outlineLevel="1">
      <c r="I370" s="246" t="s">
        <v>326</v>
      </c>
    </row>
    <row r="371" spans="9:9" hidden="1" outlineLevel="1">
      <c r="I371" s="246" t="s">
        <v>327</v>
      </c>
    </row>
    <row r="372" spans="9:9" hidden="1" outlineLevel="1">
      <c r="I372" s="246" t="s">
        <v>167</v>
      </c>
    </row>
    <row r="373" spans="9:9" hidden="1" outlineLevel="1">
      <c r="I373" s="246" t="s">
        <v>328</v>
      </c>
    </row>
    <row r="374" spans="9:9" hidden="1" outlineLevel="1">
      <c r="I374" s="246" t="s">
        <v>329</v>
      </c>
    </row>
    <row r="376" spans="9:9" collapsed="1">
      <c r="I376" s="167" t="s">
        <v>330</v>
      </c>
    </row>
    <row r="377" spans="9:9" hidden="1" outlineLevel="1">
      <c r="I377" s="246" t="s">
        <v>331</v>
      </c>
    </row>
    <row r="378" spans="9:9" hidden="1" outlineLevel="1">
      <c r="I378" s="246" t="s">
        <v>332</v>
      </c>
    </row>
    <row r="379" spans="9:9" hidden="1" outlineLevel="1">
      <c r="I379" s="246" t="s">
        <v>333</v>
      </c>
    </row>
    <row r="380" spans="9:9" hidden="1" outlineLevel="1">
      <c r="I380" s="246" t="s">
        <v>334</v>
      </c>
    </row>
    <row r="381" spans="9:9" hidden="1" outlineLevel="1">
      <c r="I381" s="246" t="s">
        <v>335</v>
      </c>
    </row>
    <row r="382" spans="9:9" hidden="1" outlineLevel="1">
      <c r="I382" s="246" t="s">
        <v>336</v>
      </c>
    </row>
    <row r="383" spans="9:9" hidden="1" outlineLevel="1">
      <c r="I383" s="263" t="s">
        <v>337</v>
      </c>
    </row>
    <row r="385" spans="9:9" ht="15.75">
      <c r="I385" s="140" t="s">
        <v>303</v>
      </c>
    </row>
    <row r="387" spans="9:9" collapsed="1">
      <c r="I387" s="167" t="s">
        <v>338</v>
      </c>
    </row>
    <row r="388" spans="9:9" hidden="1" outlineLevel="1">
      <c r="I388" s="246" t="s">
        <v>339</v>
      </c>
    </row>
    <row r="389" spans="9:9" hidden="1" outlineLevel="1">
      <c r="I389" s="262" t="s">
        <v>340</v>
      </c>
    </row>
    <row r="391" spans="9:9">
      <c r="I391" s="167" t="s">
        <v>341</v>
      </c>
    </row>
    <row r="392" spans="9:9">
      <c r="I392" s="265" t="s">
        <v>342</v>
      </c>
    </row>
  </sheetData>
  <mergeCells count="4">
    <mergeCell ref="J2:U2"/>
    <mergeCell ref="V2:W2"/>
    <mergeCell ref="Y2:AJ2"/>
    <mergeCell ref="AK2:AL2"/>
  </mergeCells>
  <conditionalFormatting sqref="AM1:AM90 AM92:AM107 AM109:AM112 AM114:AM148 AM150:AM158 AM161:AM1048576">
    <cfRule type="cellIs" dxfId="67" priority="17" operator="lessThan">
      <formula>0</formula>
    </cfRule>
  </conditionalFormatting>
  <conditionalFormatting sqref="BP163">
    <cfRule type="cellIs" dxfId="66" priority="16" operator="lessThan">
      <formula>0</formula>
    </cfRule>
  </conditionalFormatting>
  <conditionalFormatting sqref="BP162">
    <cfRule type="cellIs" dxfId="65" priority="15" operator="lessThan">
      <formula>0</formula>
    </cfRule>
  </conditionalFormatting>
  <conditionalFormatting sqref="BP161">
    <cfRule type="cellIs" dxfId="64" priority="14" operator="lessThan">
      <formula>0</formula>
    </cfRule>
  </conditionalFormatting>
  <conditionalFormatting sqref="BP160">
    <cfRule type="cellIs" dxfId="63" priority="13" operator="lessThan">
      <formula>0</formula>
    </cfRule>
  </conditionalFormatting>
  <conditionalFormatting sqref="BP159">
    <cfRule type="cellIs" dxfId="62" priority="12" operator="lessThan">
      <formula>0</formula>
    </cfRule>
  </conditionalFormatting>
  <conditionalFormatting sqref="BP91">
    <cfRule type="cellIs" dxfId="61" priority="11" operator="lessThan">
      <formula>0</formula>
    </cfRule>
  </conditionalFormatting>
  <conditionalFormatting sqref="BP108">
    <cfRule type="cellIs" dxfId="60" priority="10" operator="lessThan">
      <formula>0</formula>
    </cfRule>
  </conditionalFormatting>
  <conditionalFormatting sqref="BO113">
    <cfRule type="cellIs" dxfId="59" priority="9" operator="lessThan">
      <formula>0</formula>
    </cfRule>
  </conditionalFormatting>
  <conditionalFormatting sqref="BP149">
    <cfRule type="cellIs" dxfId="58" priority="7" operator="lessThan">
      <formula>0</formula>
    </cfRule>
  </conditionalFormatting>
  <conditionalFormatting sqref="BO149">
    <cfRule type="cellIs" dxfId="57" priority="6" operator="lessThan">
      <formula>0</formula>
    </cfRule>
  </conditionalFormatting>
  <conditionalFormatting sqref="BN113">
    <cfRule type="cellIs" dxfId="56" priority="5" operator="lessThan">
      <formula>0</formula>
    </cfRule>
  </conditionalFormatting>
  <conditionalFormatting sqref="BN91">
    <cfRule type="cellIs" dxfId="55" priority="4" operator="lessThan">
      <formula>0</formula>
    </cfRule>
  </conditionalFormatting>
  <conditionalFormatting sqref="BM91">
    <cfRule type="cellIs" dxfId="54" priority="3" operator="lessThan">
      <formula>0</formula>
    </cfRule>
  </conditionalFormatting>
  <conditionalFormatting sqref="BL91">
    <cfRule type="cellIs" dxfId="53" priority="2" operator="lessThan">
      <formula>0</formula>
    </cfRule>
  </conditionalFormatting>
  <conditionalFormatting sqref="BK91">
    <cfRule type="cellIs" dxfId="52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tabColor rgb="FF002060"/>
  </sheetPr>
  <dimension ref="A1"/>
  <sheetViews>
    <sheetView workbookViewId="0">
      <selection activeCell="M15" sqref="M15"/>
    </sheetView>
  </sheetViews>
  <sheetFormatPr defaultColWidth="11.5703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7700-436F-468B-8EA9-5536F67E9CE5}">
  <sheetPr>
    <tabColor rgb="FF00B050"/>
    <outlinePr summaryBelow="0" summaryRight="0"/>
  </sheetPr>
  <dimension ref="A1:DN355"/>
  <sheetViews>
    <sheetView showGridLines="0" zoomScale="70" zoomScaleNormal="70" workbookViewId="0">
      <pane xSplit="9" ySplit="3" topLeftCell="W157" activePane="bottomRight" state="frozen"/>
      <selection pane="bottomRight" activeCell="Y160" sqref="Y160"/>
      <selection pane="bottomLeft" activeCell="O31" sqref="O31"/>
      <selection pane="topRight" activeCell="O31" sqref="O31"/>
    </sheetView>
  </sheetViews>
  <sheetFormatPr defaultColWidth="11.42578125" defaultRowHeight="14.45" outlineLevelRow="2" outlineLevelCol="1"/>
  <cols>
    <col min="1" max="1" width="2.5703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0.28515625" style="7" customWidth="1"/>
    <col min="6" max="8" width="10.28515625" style="6" hidden="1" customWidth="1"/>
    <col min="9" max="9" width="42" style="5" customWidth="1" collapsed="1"/>
    <col min="10" max="10" width="13.5703125" style="4" hidden="1" customWidth="1" outlineLevel="1"/>
    <col min="11" max="12" width="12.85546875" style="4" hidden="1" customWidth="1" outlineLevel="1"/>
    <col min="13" max="13" width="14.28515625" style="3" hidden="1" customWidth="1" outlineLevel="1"/>
    <col min="14" max="15" width="13.5703125" style="3" hidden="1" customWidth="1" outlineLevel="1"/>
    <col min="16" max="16" width="12.85546875" style="3" hidden="1" customWidth="1" outlineLevel="1"/>
    <col min="17" max="17" width="14.5703125" style="4" hidden="1" customWidth="1" outlineLevel="1"/>
    <col min="18" max="18" width="12.42578125" style="3" hidden="1" customWidth="1" outlineLevel="1"/>
    <col min="19" max="19" width="12.7109375" style="3" hidden="1" customWidth="1" outlineLevel="1"/>
    <col min="20" max="20" width="12.42578125" style="3" hidden="1" customWidth="1" outlineLevel="1"/>
    <col min="21" max="21" width="14.5703125" style="4" hidden="1" customWidth="1" outlineLevel="1"/>
    <col min="22" max="22" width="18" style="4" bestFit="1" customWidth="1"/>
    <col min="23" max="23" width="6.5703125" style="83" bestFit="1" customWidth="1"/>
    <col min="24" max="24" width="1.140625" style="93" customWidth="1"/>
    <col min="25" max="27" width="17.7109375" style="4" customWidth="1" outlineLevel="1"/>
    <col min="28" max="28" width="17.28515625" style="3" customWidth="1" outlineLevel="1"/>
    <col min="29" max="31" width="17.7109375" style="3" customWidth="1" outlineLevel="1"/>
    <col min="32" max="32" width="17.7109375" style="4" customWidth="1" outlineLevel="1"/>
    <col min="33" max="33" width="17.28515625" style="3" customWidth="1" outlineLevel="1"/>
    <col min="34" max="34" width="16.85546875" style="3" customWidth="1" outlineLevel="1"/>
    <col min="35" max="35" width="17.7109375" style="3" customWidth="1" outlineLevel="1"/>
    <col min="36" max="36" width="17.7109375" style="4" customWidth="1" outlineLevel="1"/>
    <col min="37" max="37" width="19.42578125" style="4" bestFit="1" customWidth="1"/>
    <col min="38" max="38" width="6.5703125" style="83" bestFit="1" customWidth="1"/>
    <col min="39" max="39" width="9.140625" style="2" bestFit="1" customWidth="1"/>
    <col min="40" max="40" width="12.5703125" style="1" bestFit="1" customWidth="1"/>
    <col min="41" max="16384" width="11.42578125" style="1"/>
  </cols>
  <sheetData>
    <row r="1" spans="1:40" s="57" customFormat="1" ht="6.75" customHeight="1">
      <c r="A1" s="6"/>
      <c r="B1" s="8"/>
      <c r="C1" s="8"/>
      <c r="D1" s="6"/>
      <c r="E1" s="7"/>
      <c r="F1" s="6"/>
      <c r="G1" s="6"/>
      <c r="H1" s="6"/>
      <c r="I1" s="60" t="s">
        <v>222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v>3</v>
      </c>
      <c r="AA1" s="59">
        <v>4</v>
      </c>
      <c r="AB1" s="59">
        <v>5</v>
      </c>
      <c r="AC1" s="59">
        <v>6</v>
      </c>
      <c r="AD1" s="59">
        <v>7</v>
      </c>
      <c r="AE1" s="59">
        <v>8</v>
      </c>
      <c r="AF1" s="59">
        <v>9</v>
      </c>
      <c r="AG1" s="59">
        <v>10</v>
      </c>
      <c r="AH1" s="59">
        <v>11</v>
      </c>
      <c r="AI1" s="59">
        <v>12</v>
      </c>
      <c r="AJ1" s="59">
        <v>13</v>
      </c>
      <c r="AK1" s="59"/>
      <c r="AL1" s="68"/>
      <c r="AM1" s="58">
        <v>17</v>
      </c>
    </row>
    <row r="2" spans="1:40" s="52" customFormat="1" ht="18" customHeight="1">
      <c r="A2" s="55"/>
      <c r="B2" s="55"/>
      <c r="C2" s="55"/>
      <c r="D2" s="55"/>
      <c r="E2" s="56"/>
      <c r="F2" s="55"/>
      <c r="G2" s="55"/>
      <c r="H2" s="55"/>
      <c r="I2" s="54"/>
      <c r="J2" s="309">
        <v>2024</v>
      </c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1"/>
      <c r="V2" s="312" t="s">
        <v>81</v>
      </c>
      <c r="W2" s="313"/>
      <c r="X2" s="85"/>
      <c r="Y2" s="309">
        <v>2025</v>
      </c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1"/>
      <c r="AK2" s="312" t="s">
        <v>81</v>
      </c>
      <c r="AL2" s="314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2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2024</v>
      </c>
      <c r="W3" s="69" t="s">
        <v>82</v>
      </c>
      <c r="X3" s="86"/>
      <c r="Y3" s="132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2025</v>
      </c>
      <c r="AL3" s="69" t="s">
        <v>82</v>
      </c>
      <c r="AM3" s="45" t="s">
        <v>83</v>
      </c>
    </row>
    <row r="4" spans="1:40">
      <c r="I4" s="43" t="s">
        <v>84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>
      <c r="A5" s="8"/>
      <c r="D5" s="8"/>
      <c r="E5" s="42"/>
      <c r="F5" s="8"/>
      <c r="G5" s="8"/>
      <c r="H5" s="8"/>
      <c r="I5" s="41"/>
      <c r="J5" s="222"/>
      <c r="K5" s="222"/>
      <c r="L5" s="222"/>
      <c r="M5" s="222"/>
      <c r="N5" s="222"/>
      <c r="O5" s="222"/>
      <c r="P5" s="1"/>
      <c r="Q5" s="222"/>
      <c r="R5" s="1"/>
      <c r="S5" s="1"/>
      <c r="T5" s="1"/>
      <c r="U5" s="222"/>
      <c r="V5" s="222"/>
      <c r="W5" s="223"/>
      <c r="X5" s="224"/>
      <c r="Y5" s="222"/>
      <c r="Z5" s="222"/>
      <c r="AA5" s="222"/>
      <c r="AB5" s="222"/>
      <c r="AC5" s="222"/>
      <c r="AD5" s="222"/>
      <c r="AE5" s="1"/>
      <c r="AF5" s="222"/>
      <c r="AG5" s="1"/>
      <c r="AH5" s="1"/>
      <c r="AI5" s="1"/>
      <c r="AJ5" s="222"/>
      <c r="AK5" s="222"/>
      <c r="AL5" s="223"/>
      <c r="AM5" s="40"/>
    </row>
    <row r="6" spans="1:40" collapsed="1">
      <c r="A6" s="12" t="s">
        <v>85</v>
      </c>
      <c r="B6" s="19"/>
      <c r="C6" s="19"/>
      <c r="D6" s="12"/>
      <c r="E6" s="7" t="s">
        <v>86</v>
      </c>
      <c r="I6" s="144" t="s">
        <v>87</v>
      </c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>
        <f t="shared" ref="V6:V31" si="0">SUM(J6:U6)</f>
        <v>0</v>
      </c>
      <c r="W6" s="72" t="e">
        <f t="shared" ref="W6:W32" si="1">V6/V$6</f>
        <v>#DIV/0!</v>
      </c>
      <c r="X6" s="89"/>
      <c r="Y6" s="222">
        <f>SUM(Y7:Y10)</f>
        <v>0</v>
      </c>
      <c r="Z6" s="222">
        <f t="shared" ref="Z6:AJ6" si="2">SUM(Z7:Z10)</f>
        <v>0</v>
      </c>
      <c r="AA6" s="222">
        <f t="shared" si="2"/>
        <v>0</v>
      </c>
      <c r="AB6" s="222">
        <f t="shared" si="2"/>
        <v>0</v>
      </c>
      <c r="AC6" s="222">
        <f t="shared" si="2"/>
        <v>0</v>
      </c>
      <c r="AD6" s="222">
        <f t="shared" si="2"/>
        <v>0</v>
      </c>
      <c r="AE6" s="222">
        <f t="shared" si="2"/>
        <v>0</v>
      </c>
      <c r="AF6" s="222">
        <f t="shared" si="2"/>
        <v>0</v>
      </c>
      <c r="AG6" s="222">
        <f t="shared" si="2"/>
        <v>0</v>
      </c>
      <c r="AH6" s="222">
        <f t="shared" si="2"/>
        <v>0</v>
      </c>
      <c r="AI6" s="222">
        <f t="shared" si="2"/>
        <v>0</v>
      </c>
      <c r="AJ6" s="222">
        <f t="shared" si="2"/>
        <v>0</v>
      </c>
      <c r="AK6" s="222">
        <f t="shared" ref="AK6:AK31" si="3">SUM(Y6:AJ6)</f>
        <v>0</v>
      </c>
      <c r="AL6" s="72" t="e">
        <f t="shared" ref="AL6:AL32" si="4">AK6/AK$6</f>
        <v>#DIV/0!</v>
      </c>
      <c r="AM6" s="10">
        <f>IFERROR(AK6/V6-1,0)</f>
        <v>0</v>
      </c>
      <c r="AN6" s="9"/>
    </row>
    <row r="7" spans="1:40" ht="15" hidden="1" customHeight="1" outlineLevel="1">
      <c r="A7" s="12" t="s">
        <v>85</v>
      </c>
      <c r="B7" s="19" t="s">
        <v>88</v>
      </c>
      <c r="C7" s="19" t="s">
        <v>89</v>
      </c>
      <c r="D7" s="12" t="s">
        <v>90</v>
      </c>
      <c r="E7" s="20"/>
      <c r="F7" s="12"/>
      <c r="G7" s="12"/>
      <c r="H7" s="12"/>
      <c r="I7" s="145" t="s">
        <v>343</v>
      </c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6">
        <f t="shared" si="0"/>
        <v>0</v>
      </c>
      <c r="W7" s="73" t="e">
        <f t="shared" si="1"/>
        <v>#DIV/0!</v>
      </c>
      <c r="X7" s="89"/>
      <c r="Y7" s="225">
        <v>0</v>
      </c>
      <c r="Z7" s="225">
        <v>0</v>
      </c>
      <c r="AA7" s="225">
        <v>0</v>
      </c>
      <c r="AB7" s="225">
        <v>0</v>
      </c>
      <c r="AC7" s="225">
        <v>0</v>
      </c>
      <c r="AD7" s="225">
        <v>0</v>
      </c>
      <c r="AE7" s="225">
        <v>0</v>
      </c>
      <c r="AF7" s="225">
        <v>0</v>
      </c>
      <c r="AG7" s="225">
        <v>0</v>
      </c>
      <c r="AH7" s="225">
        <v>0</v>
      </c>
      <c r="AI7" s="225">
        <v>0</v>
      </c>
      <c r="AJ7" s="225">
        <v>0</v>
      </c>
      <c r="AK7" s="226">
        <f t="shared" si="3"/>
        <v>0</v>
      </c>
      <c r="AL7" s="73" t="e">
        <f t="shared" si="4"/>
        <v>#DIV/0!</v>
      </c>
      <c r="AM7" s="14">
        <f t="shared" ref="AM7:AM91" si="5">IFERROR(AK7/V7-1,0)</f>
        <v>0</v>
      </c>
      <c r="AN7" s="9"/>
    </row>
    <row r="8" spans="1:40" ht="15" hidden="1" customHeight="1" outlineLevel="1">
      <c r="A8" s="12" t="s">
        <v>85</v>
      </c>
      <c r="B8" s="19" t="s">
        <v>88</v>
      </c>
      <c r="C8" s="19" t="s">
        <v>91</v>
      </c>
      <c r="D8" s="12" t="s">
        <v>92</v>
      </c>
      <c r="E8" s="20"/>
      <c r="F8" s="12"/>
      <c r="G8" s="12"/>
      <c r="H8" s="12"/>
      <c r="I8" s="145" t="s">
        <v>344</v>
      </c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6">
        <f t="shared" si="0"/>
        <v>0</v>
      </c>
      <c r="W8" s="73" t="e">
        <f t="shared" si="1"/>
        <v>#DIV/0!</v>
      </c>
      <c r="X8" s="89"/>
      <c r="Y8" s="225">
        <v>0</v>
      </c>
      <c r="Z8" s="225">
        <v>0</v>
      </c>
      <c r="AA8" s="225">
        <v>0</v>
      </c>
      <c r="AB8" s="225">
        <v>0</v>
      </c>
      <c r="AC8" s="225">
        <v>0</v>
      </c>
      <c r="AD8" s="225">
        <v>0</v>
      </c>
      <c r="AE8" s="225">
        <v>0</v>
      </c>
      <c r="AF8" s="225">
        <v>0</v>
      </c>
      <c r="AG8" s="225">
        <v>0</v>
      </c>
      <c r="AH8" s="225">
        <v>0</v>
      </c>
      <c r="AI8" s="225">
        <v>0</v>
      </c>
      <c r="AJ8" s="225">
        <v>0</v>
      </c>
      <c r="AK8" s="226">
        <f t="shared" si="3"/>
        <v>0</v>
      </c>
      <c r="AL8" s="73" t="e">
        <f t="shared" si="4"/>
        <v>#DIV/0!</v>
      </c>
      <c r="AM8" s="14">
        <f t="shared" si="5"/>
        <v>0</v>
      </c>
      <c r="AN8" s="9"/>
    </row>
    <row r="9" spans="1:40" ht="15" hidden="1" customHeight="1" outlineLevel="1">
      <c r="A9" s="12" t="s">
        <v>85</v>
      </c>
      <c r="B9" s="19" t="s">
        <v>88</v>
      </c>
      <c r="C9" s="19" t="s">
        <v>93</v>
      </c>
      <c r="D9" s="12" t="s">
        <v>94</v>
      </c>
      <c r="E9" s="20"/>
      <c r="F9" s="12"/>
      <c r="G9" s="12"/>
      <c r="H9" s="12"/>
      <c r="I9" s="145" t="s">
        <v>345</v>
      </c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6">
        <f t="shared" si="0"/>
        <v>0</v>
      </c>
      <c r="W9" s="73" t="e">
        <f t="shared" si="1"/>
        <v>#DIV/0!</v>
      </c>
      <c r="X9" s="89"/>
      <c r="Y9" s="225">
        <v>0</v>
      </c>
      <c r="Z9" s="225">
        <v>0</v>
      </c>
      <c r="AA9" s="225">
        <v>0</v>
      </c>
      <c r="AB9" s="225">
        <v>0</v>
      </c>
      <c r="AC9" s="225">
        <v>0</v>
      </c>
      <c r="AD9" s="225">
        <v>0</v>
      </c>
      <c r="AE9" s="225">
        <v>0</v>
      </c>
      <c r="AF9" s="225">
        <v>0</v>
      </c>
      <c r="AG9" s="225">
        <v>0</v>
      </c>
      <c r="AH9" s="225">
        <v>0</v>
      </c>
      <c r="AI9" s="225">
        <v>0</v>
      </c>
      <c r="AJ9" s="225">
        <v>0</v>
      </c>
      <c r="AK9" s="226">
        <f t="shared" si="3"/>
        <v>0</v>
      </c>
      <c r="AL9" s="73" t="e">
        <f t="shared" si="4"/>
        <v>#DIV/0!</v>
      </c>
      <c r="AM9" s="14">
        <f t="shared" si="5"/>
        <v>0</v>
      </c>
      <c r="AN9" s="9"/>
    </row>
    <row r="10" spans="1:40" ht="15" hidden="1" customHeight="1" outlineLevel="1">
      <c r="A10" s="12" t="s">
        <v>85</v>
      </c>
      <c r="B10" s="19" t="s">
        <v>88</v>
      </c>
      <c r="C10" s="19" t="s">
        <v>346</v>
      </c>
      <c r="D10" s="12" t="s">
        <v>347</v>
      </c>
      <c r="E10" s="20"/>
      <c r="F10" s="12" t="s">
        <v>348</v>
      </c>
      <c r="G10" s="12" t="s">
        <v>349</v>
      </c>
      <c r="H10" s="12" t="s">
        <v>350</v>
      </c>
      <c r="I10" s="197" t="s">
        <v>351</v>
      </c>
      <c r="J10" s="225"/>
      <c r="K10" s="225"/>
      <c r="L10" s="225"/>
      <c r="M10" s="225"/>
      <c r="N10" s="225"/>
      <c r="O10" s="225"/>
      <c r="P10" s="225"/>
      <c r="Q10" s="225"/>
      <c r="R10" s="225"/>
      <c r="S10" s="225"/>
      <c r="T10" s="225"/>
      <c r="U10" s="225"/>
      <c r="V10" s="226">
        <f t="shared" si="0"/>
        <v>0</v>
      </c>
      <c r="W10" s="73" t="e">
        <f t="shared" si="1"/>
        <v>#DIV/0!</v>
      </c>
      <c r="X10" s="89"/>
      <c r="Y10" s="225">
        <v>0</v>
      </c>
      <c r="Z10" s="225">
        <v>0</v>
      </c>
      <c r="AA10" s="225">
        <v>0</v>
      </c>
      <c r="AB10" s="225">
        <v>0</v>
      </c>
      <c r="AC10" s="225">
        <v>0</v>
      </c>
      <c r="AD10" s="225">
        <v>0</v>
      </c>
      <c r="AE10" s="225">
        <v>0</v>
      </c>
      <c r="AF10" s="225">
        <v>0</v>
      </c>
      <c r="AG10" s="225">
        <v>0</v>
      </c>
      <c r="AH10" s="225">
        <v>0</v>
      </c>
      <c r="AI10" s="225">
        <v>0</v>
      </c>
      <c r="AJ10" s="225">
        <v>0</v>
      </c>
      <c r="AK10" s="226">
        <f t="shared" si="3"/>
        <v>0</v>
      </c>
      <c r="AL10" s="73" t="e">
        <f t="shared" si="4"/>
        <v>#DIV/0!</v>
      </c>
      <c r="AM10" s="14">
        <f t="shared" si="5"/>
        <v>0</v>
      </c>
      <c r="AN10" s="9"/>
    </row>
    <row r="11" spans="1:40" ht="15" hidden="1" customHeight="1" outlineLevel="1">
      <c r="A11" s="12" t="s">
        <v>85</v>
      </c>
      <c r="B11" s="19" t="s">
        <v>88</v>
      </c>
      <c r="C11" s="19" t="s">
        <v>346</v>
      </c>
      <c r="D11" s="12" t="s">
        <v>347</v>
      </c>
      <c r="E11" s="20" t="s">
        <v>352</v>
      </c>
      <c r="F11" s="12" t="s">
        <v>348</v>
      </c>
      <c r="G11" s="12" t="s">
        <v>349</v>
      </c>
      <c r="H11" s="12" t="s">
        <v>350</v>
      </c>
      <c r="I11" s="145" t="s">
        <v>95</v>
      </c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6">
        <f t="shared" si="0"/>
        <v>0</v>
      </c>
      <c r="W11" s="73" t="e">
        <f t="shared" si="1"/>
        <v>#DIV/0!</v>
      </c>
      <c r="X11" s="89"/>
      <c r="Y11" s="225">
        <v>0</v>
      </c>
      <c r="Z11" s="225">
        <v>0</v>
      </c>
      <c r="AA11" s="225">
        <v>0</v>
      </c>
      <c r="AB11" s="225">
        <v>0</v>
      </c>
      <c r="AC11" s="225">
        <v>0</v>
      </c>
      <c r="AD11" s="225">
        <v>0</v>
      </c>
      <c r="AE11" s="225">
        <v>0</v>
      </c>
      <c r="AF11" s="225">
        <v>0</v>
      </c>
      <c r="AG11" s="225">
        <v>0</v>
      </c>
      <c r="AH11" s="225">
        <v>0</v>
      </c>
      <c r="AI11" s="225">
        <v>0</v>
      </c>
      <c r="AJ11" s="225">
        <v>0</v>
      </c>
      <c r="AK11" s="226">
        <f t="shared" si="3"/>
        <v>0</v>
      </c>
      <c r="AL11" s="73" t="e">
        <f t="shared" si="4"/>
        <v>#DIV/0!</v>
      </c>
      <c r="AM11" s="14">
        <f t="shared" si="5"/>
        <v>0</v>
      </c>
      <c r="AN11" s="9"/>
    </row>
    <row r="12" spans="1:40" ht="15" hidden="1" customHeight="1" outlineLevel="1">
      <c r="A12" s="12"/>
      <c r="B12" s="19"/>
      <c r="C12" s="19"/>
      <c r="D12" s="12"/>
      <c r="E12" s="20"/>
      <c r="F12" s="12"/>
      <c r="G12" s="12"/>
      <c r="H12" s="12"/>
      <c r="I12" s="145" t="s">
        <v>353</v>
      </c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6"/>
      <c r="W12" s="73"/>
      <c r="X12" s="89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6"/>
      <c r="AL12" s="73"/>
      <c r="AM12" s="14"/>
      <c r="AN12" s="9"/>
    </row>
    <row r="13" spans="1:40" ht="15" hidden="1" customHeight="1" outlineLevel="1">
      <c r="A13" s="12"/>
      <c r="B13" s="19"/>
      <c r="C13" s="19"/>
      <c r="D13" s="12"/>
      <c r="E13" s="20"/>
      <c r="F13" s="12"/>
      <c r="G13" s="12"/>
      <c r="H13" s="12"/>
      <c r="I13" s="145" t="s">
        <v>115</v>
      </c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6"/>
      <c r="W13" s="73"/>
      <c r="X13" s="89"/>
      <c r="Y13" s="225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225"/>
      <c r="AK13" s="226"/>
      <c r="AL13" s="73"/>
      <c r="AM13" s="14"/>
      <c r="AN13" s="9"/>
    </row>
    <row r="14" spans="1:40" ht="15" hidden="1" customHeight="1" outlineLevel="1">
      <c r="A14" s="12"/>
      <c r="B14" s="19"/>
      <c r="C14" s="19"/>
      <c r="D14" s="12"/>
      <c r="E14" s="20"/>
      <c r="F14" s="12"/>
      <c r="G14" s="12"/>
      <c r="H14" s="12"/>
      <c r="I14" s="145" t="s">
        <v>116</v>
      </c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6"/>
      <c r="W14" s="73"/>
      <c r="X14" s="89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6"/>
      <c r="AL14" s="73"/>
      <c r="AM14" s="14"/>
      <c r="AN14" s="9"/>
    </row>
    <row r="15" spans="1:40" collapsed="1">
      <c r="A15" s="12" t="s">
        <v>97</v>
      </c>
      <c r="B15" s="19"/>
      <c r="E15" s="7" t="s">
        <v>98</v>
      </c>
      <c r="I15" s="144" t="s">
        <v>99</v>
      </c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>
        <f t="shared" si="0"/>
        <v>0</v>
      </c>
      <c r="W15" s="72" t="e">
        <f t="shared" si="1"/>
        <v>#DIV/0!</v>
      </c>
      <c r="X15" s="89"/>
      <c r="Y15" s="222">
        <f>SUM(Y16:Y31)</f>
        <v>0</v>
      </c>
      <c r="Z15" s="222">
        <f t="shared" ref="Z15:AJ15" si="6">SUM(Z16:Z31)</f>
        <v>0</v>
      </c>
      <c r="AA15" s="222">
        <f t="shared" si="6"/>
        <v>0</v>
      </c>
      <c r="AB15" s="222">
        <f t="shared" si="6"/>
        <v>0</v>
      </c>
      <c r="AC15" s="222">
        <f t="shared" si="6"/>
        <v>0</v>
      </c>
      <c r="AD15" s="222">
        <f t="shared" si="6"/>
        <v>0</v>
      </c>
      <c r="AE15" s="222">
        <f t="shared" si="6"/>
        <v>0</v>
      </c>
      <c r="AF15" s="222">
        <f t="shared" si="6"/>
        <v>0</v>
      </c>
      <c r="AG15" s="222">
        <f t="shared" si="6"/>
        <v>0</v>
      </c>
      <c r="AH15" s="222">
        <f t="shared" si="6"/>
        <v>0</v>
      </c>
      <c r="AI15" s="222">
        <f t="shared" si="6"/>
        <v>0</v>
      </c>
      <c r="AJ15" s="222">
        <f t="shared" si="6"/>
        <v>0</v>
      </c>
      <c r="AK15" s="222">
        <f t="shared" si="3"/>
        <v>0</v>
      </c>
      <c r="AL15" s="72" t="e">
        <f t="shared" si="4"/>
        <v>#DIV/0!</v>
      </c>
      <c r="AM15" s="10">
        <f t="shared" si="5"/>
        <v>0</v>
      </c>
      <c r="AN15" s="9"/>
    </row>
    <row r="16" spans="1:40" hidden="1" outlineLevel="1">
      <c r="A16" s="37" t="s">
        <v>97</v>
      </c>
      <c r="B16" s="39"/>
      <c r="C16" s="39" t="s">
        <v>100</v>
      </c>
      <c r="D16" s="37" t="s">
        <v>101</v>
      </c>
      <c r="E16" s="38"/>
      <c r="F16" s="37"/>
      <c r="G16" s="37"/>
      <c r="H16" s="37"/>
      <c r="I16" s="198" t="s">
        <v>102</v>
      </c>
      <c r="J16" s="225"/>
      <c r="K16" s="225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6">
        <f t="shared" si="0"/>
        <v>0</v>
      </c>
      <c r="W16" s="73" t="e">
        <f t="shared" si="1"/>
        <v>#DIV/0!</v>
      </c>
      <c r="X16" s="89"/>
      <c r="Y16" s="225">
        <v>0</v>
      </c>
      <c r="Z16" s="225">
        <v>0</v>
      </c>
      <c r="AA16" s="225">
        <v>0</v>
      </c>
      <c r="AB16" s="225">
        <v>0</v>
      </c>
      <c r="AC16" s="225">
        <v>0</v>
      </c>
      <c r="AD16" s="225">
        <v>0</v>
      </c>
      <c r="AE16" s="225">
        <v>0</v>
      </c>
      <c r="AF16" s="225">
        <v>0</v>
      </c>
      <c r="AG16" s="225">
        <v>0</v>
      </c>
      <c r="AH16" s="225">
        <v>0</v>
      </c>
      <c r="AI16" s="225">
        <v>0</v>
      </c>
      <c r="AJ16" s="225">
        <v>0</v>
      </c>
      <c r="AK16" s="226">
        <f t="shared" si="3"/>
        <v>0</v>
      </c>
      <c r="AL16" s="73" t="e">
        <f t="shared" si="4"/>
        <v>#DIV/0!</v>
      </c>
      <c r="AM16" s="14">
        <f t="shared" si="5"/>
        <v>0</v>
      </c>
      <c r="AN16" s="9"/>
    </row>
    <row r="17" spans="1:40" hidden="1" outlineLevel="1">
      <c r="A17" s="37" t="s">
        <v>97</v>
      </c>
      <c r="B17" s="39"/>
      <c r="C17" s="39" t="s">
        <v>103</v>
      </c>
      <c r="D17" s="37" t="s">
        <v>104</v>
      </c>
      <c r="E17" s="38"/>
      <c r="F17" s="37"/>
      <c r="G17" s="37"/>
      <c r="H17" s="37"/>
      <c r="I17" s="198" t="s">
        <v>105</v>
      </c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6">
        <f t="shared" si="0"/>
        <v>0</v>
      </c>
      <c r="W17" s="73" t="e">
        <f t="shared" si="1"/>
        <v>#DIV/0!</v>
      </c>
      <c r="X17" s="89"/>
      <c r="Y17" s="225">
        <v>0</v>
      </c>
      <c r="Z17" s="225">
        <v>0</v>
      </c>
      <c r="AA17" s="225">
        <v>0</v>
      </c>
      <c r="AB17" s="225">
        <v>0</v>
      </c>
      <c r="AC17" s="225">
        <v>0</v>
      </c>
      <c r="AD17" s="225">
        <v>0</v>
      </c>
      <c r="AE17" s="225">
        <v>0</v>
      </c>
      <c r="AF17" s="225">
        <v>0</v>
      </c>
      <c r="AG17" s="225">
        <v>0</v>
      </c>
      <c r="AH17" s="225">
        <v>0</v>
      </c>
      <c r="AI17" s="225">
        <v>0</v>
      </c>
      <c r="AJ17" s="225">
        <v>0</v>
      </c>
      <c r="AK17" s="226">
        <f t="shared" si="3"/>
        <v>0</v>
      </c>
      <c r="AL17" s="73" t="e">
        <f t="shared" si="4"/>
        <v>#DIV/0!</v>
      </c>
      <c r="AM17" s="14">
        <f t="shared" si="5"/>
        <v>0</v>
      </c>
      <c r="AN17" s="9"/>
    </row>
    <row r="18" spans="1:40" hidden="1" outlineLevel="1">
      <c r="A18" s="37" t="s">
        <v>97</v>
      </c>
      <c r="B18" s="39"/>
      <c r="C18" s="39" t="s">
        <v>106</v>
      </c>
      <c r="D18" s="37" t="s">
        <v>107</v>
      </c>
      <c r="E18" s="38"/>
      <c r="F18" s="37"/>
      <c r="G18" s="37"/>
      <c r="H18" s="37"/>
      <c r="I18" s="198" t="s">
        <v>5</v>
      </c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6">
        <f t="shared" si="0"/>
        <v>0</v>
      </c>
      <c r="W18" s="73" t="e">
        <f t="shared" si="1"/>
        <v>#DIV/0!</v>
      </c>
      <c r="X18" s="89"/>
      <c r="Y18" s="225">
        <v>0</v>
      </c>
      <c r="Z18" s="225">
        <v>0</v>
      </c>
      <c r="AA18" s="225">
        <v>0</v>
      </c>
      <c r="AB18" s="225">
        <v>0</v>
      </c>
      <c r="AC18" s="225">
        <v>0</v>
      </c>
      <c r="AD18" s="225">
        <v>0</v>
      </c>
      <c r="AE18" s="225">
        <v>0</v>
      </c>
      <c r="AF18" s="225">
        <v>0</v>
      </c>
      <c r="AG18" s="225">
        <v>0</v>
      </c>
      <c r="AH18" s="225">
        <v>0</v>
      </c>
      <c r="AI18" s="225">
        <v>0</v>
      </c>
      <c r="AJ18" s="225">
        <v>0</v>
      </c>
      <c r="AK18" s="226">
        <f t="shared" si="3"/>
        <v>0</v>
      </c>
      <c r="AL18" s="73" t="e">
        <f t="shared" si="4"/>
        <v>#DIV/0!</v>
      </c>
      <c r="AM18" s="14">
        <f t="shared" si="5"/>
        <v>0</v>
      </c>
      <c r="AN18" s="9"/>
    </row>
    <row r="19" spans="1:40" hidden="1" outlineLevel="1">
      <c r="A19" s="37" t="s">
        <v>97</v>
      </c>
      <c r="B19" s="39"/>
      <c r="C19" s="39" t="s">
        <v>108</v>
      </c>
      <c r="D19" s="37"/>
      <c r="E19" s="38"/>
      <c r="F19" s="37"/>
      <c r="G19" s="37"/>
      <c r="H19" s="37"/>
      <c r="I19" s="198" t="s">
        <v>109</v>
      </c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6">
        <f t="shared" si="0"/>
        <v>0</v>
      </c>
      <c r="W19" s="73" t="e">
        <f t="shared" si="1"/>
        <v>#DIV/0!</v>
      </c>
      <c r="X19" s="89"/>
      <c r="Y19" s="227">
        <v>0</v>
      </c>
      <c r="Z19" s="227">
        <v>0</v>
      </c>
      <c r="AA19" s="227">
        <v>0</v>
      </c>
      <c r="AB19" s="227">
        <v>0</v>
      </c>
      <c r="AC19" s="227">
        <v>0</v>
      </c>
      <c r="AD19" s="227">
        <v>0</v>
      </c>
      <c r="AE19" s="227">
        <v>0</v>
      </c>
      <c r="AF19" s="227">
        <v>0</v>
      </c>
      <c r="AG19" s="227">
        <v>0</v>
      </c>
      <c r="AH19" s="227">
        <v>0</v>
      </c>
      <c r="AI19" s="227">
        <v>0</v>
      </c>
      <c r="AJ19" s="227">
        <v>0</v>
      </c>
      <c r="AK19" s="226">
        <f t="shared" si="3"/>
        <v>0</v>
      </c>
      <c r="AL19" s="73" t="e">
        <f t="shared" si="4"/>
        <v>#DIV/0!</v>
      </c>
      <c r="AM19" s="14">
        <f t="shared" si="5"/>
        <v>0</v>
      </c>
      <c r="AN19" s="9"/>
    </row>
    <row r="20" spans="1:40" hidden="1" outlineLevel="1">
      <c r="A20" s="37" t="s">
        <v>97</v>
      </c>
      <c r="B20" s="39"/>
      <c r="C20" s="39" t="s">
        <v>110</v>
      </c>
      <c r="D20" s="37"/>
      <c r="E20" s="38"/>
      <c r="F20" s="37"/>
      <c r="G20" s="37"/>
      <c r="H20" s="37"/>
      <c r="I20" s="198" t="s">
        <v>111</v>
      </c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6">
        <f t="shared" si="0"/>
        <v>0</v>
      </c>
      <c r="W20" s="73" t="e">
        <f t="shared" si="1"/>
        <v>#DIV/0!</v>
      </c>
      <c r="X20" s="89"/>
      <c r="Y20" s="227">
        <v>0</v>
      </c>
      <c r="Z20" s="227">
        <v>0</v>
      </c>
      <c r="AA20" s="227">
        <v>0</v>
      </c>
      <c r="AB20" s="227">
        <v>0</v>
      </c>
      <c r="AC20" s="227">
        <v>0</v>
      </c>
      <c r="AD20" s="227">
        <v>0</v>
      </c>
      <c r="AE20" s="227">
        <v>0</v>
      </c>
      <c r="AF20" s="227">
        <v>0</v>
      </c>
      <c r="AG20" s="227">
        <v>0</v>
      </c>
      <c r="AH20" s="227">
        <v>0</v>
      </c>
      <c r="AI20" s="227">
        <v>0</v>
      </c>
      <c r="AJ20" s="227">
        <v>0</v>
      </c>
      <c r="AK20" s="226">
        <f t="shared" si="3"/>
        <v>0</v>
      </c>
      <c r="AL20" s="73" t="e">
        <f t="shared" si="4"/>
        <v>#DIV/0!</v>
      </c>
      <c r="AM20" s="14">
        <f t="shared" si="5"/>
        <v>0</v>
      </c>
      <c r="AN20" s="9"/>
    </row>
    <row r="21" spans="1:40" hidden="1" outlineLevel="1">
      <c r="A21" s="37" t="s">
        <v>97</v>
      </c>
      <c r="B21" s="39"/>
      <c r="C21" s="39" t="s">
        <v>112</v>
      </c>
      <c r="D21" s="37"/>
      <c r="E21" s="38"/>
      <c r="F21" s="37"/>
      <c r="G21" s="37"/>
      <c r="H21" s="37"/>
      <c r="I21" s="198" t="s">
        <v>113</v>
      </c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6">
        <f t="shared" si="0"/>
        <v>0</v>
      </c>
      <c r="W21" s="73" t="e">
        <f t="shared" si="1"/>
        <v>#DIV/0!</v>
      </c>
      <c r="X21" s="89"/>
      <c r="Y21" s="227">
        <v>0</v>
      </c>
      <c r="Z21" s="227">
        <v>0</v>
      </c>
      <c r="AA21" s="227">
        <v>0</v>
      </c>
      <c r="AB21" s="227">
        <v>0</v>
      </c>
      <c r="AC21" s="227">
        <v>0</v>
      </c>
      <c r="AD21" s="227">
        <v>0</v>
      </c>
      <c r="AE21" s="227">
        <v>0</v>
      </c>
      <c r="AF21" s="227">
        <v>0</v>
      </c>
      <c r="AG21" s="227">
        <v>0</v>
      </c>
      <c r="AH21" s="227">
        <v>0</v>
      </c>
      <c r="AI21" s="227">
        <v>0</v>
      </c>
      <c r="AJ21" s="227">
        <v>0</v>
      </c>
      <c r="AK21" s="226">
        <f t="shared" si="3"/>
        <v>0</v>
      </c>
      <c r="AL21" s="73" t="e">
        <f t="shared" si="4"/>
        <v>#DIV/0!</v>
      </c>
      <c r="AM21" s="14">
        <f t="shared" si="5"/>
        <v>0</v>
      </c>
      <c r="AN21" s="9"/>
    </row>
    <row r="22" spans="1:40" hidden="1" outlineLevel="1">
      <c r="A22" s="37" t="s">
        <v>97</v>
      </c>
      <c r="B22" s="39"/>
      <c r="C22" s="39" t="s">
        <v>117</v>
      </c>
      <c r="D22" s="37" t="s">
        <v>118</v>
      </c>
      <c r="E22" s="38"/>
      <c r="F22" s="37"/>
      <c r="G22" s="37"/>
      <c r="H22" s="37"/>
      <c r="I22" s="198" t="s">
        <v>119</v>
      </c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6">
        <f t="shared" si="0"/>
        <v>0</v>
      </c>
      <c r="W22" s="73" t="e">
        <f t="shared" si="1"/>
        <v>#DIV/0!</v>
      </c>
      <c r="X22" s="89"/>
      <c r="Y22" s="225">
        <v>0</v>
      </c>
      <c r="Z22" s="225">
        <v>0</v>
      </c>
      <c r="AA22" s="225">
        <v>0</v>
      </c>
      <c r="AB22" s="225">
        <v>0</v>
      </c>
      <c r="AC22" s="225">
        <v>0</v>
      </c>
      <c r="AD22" s="225">
        <v>0</v>
      </c>
      <c r="AE22" s="225">
        <v>0</v>
      </c>
      <c r="AF22" s="225">
        <v>0</v>
      </c>
      <c r="AG22" s="225">
        <v>0</v>
      </c>
      <c r="AH22" s="225">
        <v>0</v>
      </c>
      <c r="AI22" s="225">
        <v>0</v>
      </c>
      <c r="AJ22" s="225">
        <v>0</v>
      </c>
      <c r="AK22" s="226">
        <f t="shared" si="3"/>
        <v>0</v>
      </c>
      <c r="AL22" s="73" t="e">
        <f t="shared" si="4"/>
        <v>#DIV/0!</v>
      </c>
      <c r="AM22" s="14">
        <f t="shared" si="5"/>
        <v>0</v>
      </c>
      <c r="AN22" s="9"/>
    </row>
    <row r="23" spans="1:40" hidden="1" outlineLevel="1">
      <c r="A23" s="37" t="s">
        <v>97</v>
      </c>
      <c r="B23" s="39"/>
      <c r="C23" s="39" t="s">
        <v>120</v>
      </c>
      <c r="D23" s="37"/>
      <c r="E23" s="38"/>
      <c r="F23" s="37"/>
      <c r="G23" s="37"/>
      <c r="H23" s="37"/>
      <c r="I23" s="198" t="s">
        <v>121</v>
      </c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6">
        <f t="shared" si="0"/>
        <v>0</v>
      </c>
      <c r="W23" s="73" t="e">
        <f t="shared" si="1"/>
        <v>#DIV/0!</v>
      </c>
      <c r="X23" s="89"/>
      <c r="Y23" s="225">
        <v>0</v>
      </c>
      <c r="Z23" s="225">
        <v>0</v>
      </c>
      <c r="AA23" s="225">
        <v>0</v>
      </c>
      <c r="AB23" s="225">
        <v>0</v>
      </c>
      <c r="AC23" s="225">
        <v>0</v>
      </c>
      <c r="AD23" s="225">
        <v>0</v>
      </c>
      <c r="AE23" s="225">
        <v>0</v>
      </c>
      <c r="AF23" s="225">
        <v>0</v>
      </c>
      <c r="AG23" s="225">
        <v>0</v>
      </c>
      <c r="AH23" s="225">
        <v>0</v>
      </c>
      <c r="AI23" s="225">
        <v>0</v>
      </c>
      <c r="AJ23" s="225">
        <v>0</v>
      </c>
      <c r="AK23" s="226">
        <f t="shared" si="3"/>
        <v>0</v>
      </c>
      <c r="AL23" s="73" t="e">
        <f t="shared" si="4"/>
        <v>#DIV/0!</v>
      </c>
      <c r="AM23" s="14">
        <f t="shared" si="5"/>
        <v>0</v>
      </c>
      <c r="AN23" s="9"/>
    </row>
    <row r="24" spans="1:40" hidden="1" outlineLevel="1">
      <c r="A24" s="37" t="s">
        <v>97</v>
      </c>
      <c r="B24" s="39"/>
      <c r="C24" s="39" t="s">
        <v>122</v>
      </c>
      <c r="D24" s="37"/>
      <c r="E24" s="38"/>
      <c r="F24" s="37"/>
      <c r="G24" s="37"/>
      <c r="H24" s="37"/>
      <c r="I24" s="198" t="s">
        <v>123</v>
      </c>
      <c r="J24" s="225"/>
      <c r="K24" s="225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6">
        <f t="shared" si="0"/>
        <v>0</v>
      </c>
      <c r="W24" s="73" t="e">
        <f t="shared" si="1"/>
        <v>#DIV/0!</v>
      </c>
      <c r="X24" s="89"/>
      <c r="Y24" s="225">
        <v>0</v>
      </c>
      <c r="Z24" s="225">
        <v>0</v>
      </c>
      <c r="AA24" s="225">
        <v>0</v>
      </c>
      <c r="AB24" s="225">
        <v>0</v>
      </c>
      <c r="AC24" s="225">
        <v>0</v>
      </c>
      <c r="AD24" s="225">
        <v>0</v>
      </c>
      <c r="AE24" s="225">
        <v>0</v>
      </c>
      <c r="AF24" s="225">
        <v>0</v>
      </c>
      <c r="AG24" s="225">
        <v>0</v>
      </c>
      <c r="AH24" s="225">
        <v>0</v>
      </c>
      <c r="AI24" s="225">
        <v>0</v>
      </c>
      <c r="AJ24" s="225">
        <v>0</v>
      </c>
      <c r="AK24" s="226">
        <f t="shared" si="3"/>
        <v>0</v>
      </c>
      <c r="AL24" s="73" t="e">
        <f t="shared" si="4"/>
        <v>#DIV/0!</v>
      </c>
      <c r="AM24" s="14">
        <f t="shared" si="5"/>
        <v>0</v>
      </c>
      <c r="AN24" s="9"/>
    </row>
    <row r="25" spans="1:40" hidden="1" outlineLevel="1">
      <c r="A25" s="37" t="s">
        <v>97</v>
      </c>
      <c r="B25" s="39"/>
      <c r="C25" s="39" t="s">
        <v>124</v>
      </c>
      <c r="D25" s="37"/>
      <c r="E25" s="38"/>
      <c r="F25" s="37"/>
      <c r="G25" s="37"/>
      <c r="H25" s="37"/>
      <c r="I25" s="198" t="s">
        <v>125</v>
      </c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6">
        <f t="shared" si="0"/>
        <v>0</v>
      </c>
      <c r="W25" s="73" t="e">
        <f t="shared" si="1"/>
        <v>#DIV/0!</v>
      </c>
      <c r="X25" s="89"/>
      <c r="Y25" s="225">
        <v>0</v>
      </c>
      <c r="Z25" s="225">
        <v>0</v>
      </c>
      <c r="AA25" s="225">
        <v>0</v>
      </c>
      <c r="AB25" s="225">
        <v>0</v>
      </c>
      <c r="AC25" s="225">
        <v>0</v>
      </c>
      <c r="AD25" s="225">
        <v>0</v>
      </c>
      <c r="AE25" s="225">
        <v>0</v>
      </c>
      <c r="AF25" s="225">
        <v>0</v>
      </c>
      <c r="AG25" s="225">
        <v>0</v>
      </c>
      <c r="AH25" s="225">
        <v>0</v>
      </c>
      <c r="AI25" s="225">
        <v>0</v>
      </c>
      <c r="AJ25" s="225">
        <v>0</v>
      </c>
      <c r="AK25" s="226">
        <f t="shared" si="3"/>
        <v>0</v>
      </c>
      <c r="AL25" s="73" t="e">
        <f t="shared" si="4"/>
        <v>#DIV/0!</v>
      </c>
      <c r="AM25" s="14">
        <f t="shared" si="5"/>
        <v>0</v>
      </c>
      <c r="AN25" s="9"/>
    </row>
    <row r="26" spans="1:40" hidden="1" outlineLevel="1">
      <c r="A26" s="37" t="s">
        <v>97</v>
      </c>
      <c r="B26" s="39"/>
      <c r="C26" s="39" t="s">
        <v>126</v>
      </c>
      <c r="D26" s="37"/>
      <c r="E26" s="38"/>
      <c r="F26" s="37"/>
      <c r="G26" s="37"/>
      <c r="H26" s="37"/>
      <c r="I26" s="198" t="s">
        <v>126</v>
      </c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6">
        <f t="shared" si="0"/>
        <v>0</v>
      </c>
      <c r="W26" s="73" t="e">
        <f t="shared" si="1"/>
        <v>#DIV/0!</v>
      </c>
      <c r="X26" s="89"/>
      <c r="Y26" s="225">
        <v>0</v>
      </c>
      <c r="Z26" s="225">
        <v>0</v>
      </c>
      <c r="AA26" s="225">
        <v>0</v>
      </c>
      <c r="AB26" s="225">
        <v>0</v>
      </c>
      <c r="AC26" s="225">
        <v>0</v>
      </c>
      <c r="AD26" s="225">
        <v>0</v>
      </c>
      <c r="AE26" s="225">
        <v>0</v>
      </c>
      <c r="AF26" s="225">
        <v>0</v>
      </c>
      <c r="AG26" s="225">
        <v>0</v>
      </c>
      <c r="AH26" s="225">
        <v>0</v>
      </c>
      <c r="AI26" s="225">
        <v>0</v>
      </c>
      <c r="AJ26" s="225">
        <v>0</v>
      </c>
      <c r="AK26" s="226">
        <f t="shared" si="3"/>
        <v>0</v>
      </c>
      <c r="AL26" s="73" t="e">
        <f t="shared" si="4"/>
        <v>#DIV/0!</v>
      </c>
      <c r="AM26" s="14">
        <f t="shared" si="5"/>
        <v>0</v>
      </c>
      <c r="AN26" s="9"/>
    </row>
    <row r="27" spans="1:40" hidden="1" outlineLevel="1">
      <c r="A27" s="37" t="s">
        <v>97</v>
      </c>
      <c r="B27" s="39"/>
      <c r="C27" s="39" t="s">
        <v>127</v>
      </c>
      <c r="D27" s="37" t="s">
        <v>90</v>
      </c>
      <c r="E27" s="38"/>
      <c r="F27" s="37"/>
      <c r="G27" s="37"/>
      <c r="H27" s="37"/>
      <c r="I27" s="198" t="s">
        <v>128</v>
      </c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6">
        <f t="shared" si="0"/>
        <v>0</v>
      </c>
      <c r="W27" s="73" t="e">
        <f t="shared" si="1"/>
        <v>#DIV/0!</v>
      </c>
      <c r="X27" s="89"/>
      <c r="Y27" s="227">
        <v>0</v>
      </c>
      <c r="Z27" s="227">
        <v>0</v>
      </c>
      <c r="AA27" s="227">
        <v>0</v>
      </c>
      <c r="AB27" s="227">
        <v>0</v>
      </c>
      <c r="AC27" s="227">
        <v>0</v>
      </c>
      <c r="AD27" s="227">
        <v>0</v>
      </c>
      <c r="AE27" s="227">
        <v>0</v>
      </c>
      <c r="AF27" s="227">
        <v>0</v>
      </c>
      <c r="AG27" s="227">
        <v>0</v>
      </c>
      <c r="AH27" s="227">
        <v>0</v>
      </c>
      <c r="AI27" s="227">
        <v>0</v>
      </c>
      <c r="AJ27" s="227">
        <v>0</v>
      </c>
      <c r="AK27" s="226">
        <f t="shared" si="3"/>
        <v>0</v>
      </c>
      <c r="AL27" s="73" t="e">
        <f t="shared" si="4"/>
        <v>#DIV/0!</v>
      </c>
      <c r="AM27" s="14">
        <f t="shared" si="5"/>
        <v>0</v>
      </c>
      <c r="AN27" s="9"/>
    </row>
    <row r="28" spans="1:40" hidden="1" outlineLevel="1">
      <c r="A28" s="37" t="s">
        <v>97</v>
      </c>
      <c r="B28" s="39"/>
      <c r="C28" s="39" t="s">
        <v>129</v>
      </c>
      <c r="D28" s="37" t="s">
        <v>90</v>
      </c>
      <c r="E28" s="38"/>
      <c r="F28" s="37"/>
      <c r="G28" s="37"/>
      <c r="H28" s="37"/>
      <c r="I28" s="198" t="s">
        <v>130</v>
      </c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6">
        <f t="shared" si="0"/>
        <v>0</v>
      </c>
      <c r="W28" s="73" t="e">
        <f t="shared" si="1"/>
        <v>#DIV/0!</v>
      </c>
      <c r="X28" s="89"/>
      <c r="Y28" s="227">
        <v>0</v>
      </c>
      <c r="Z28" s="227">
        <v>0</v>
      </c>
      <c r="AA28" s="227">
        <v>0</v>
      </c>
      <c r="AB28" s="227">
        <v>0</v>
      </c>
      <c r="AC28" s="227">
        <v>0</v>
      </c>
      <c r="AD28" s="227">
        <v>0</v>
      </c>
      <c r="AE28" s="227">
        <v>0</v>
      </c>
      <c r="AF28" s="227">
        <v>0</v>
      </c>
      <c r="AG28" s="227">
        <v>0</v>
      </c>
      <c r="AH28" s="227">
        <v>0</v>
      </c>
      <c r="AI28" s="227">
        <v>0</v>
      </c>
      <c r="AJ28" s="227">
        <v>0</v>
      </c>
      <c r="AK28" s="226">
        <f t="shared" si="3"/>
        <v>0</v>
      </c>
      <c r="AL28" s="73" t="e">
        <f t="shared" si="4"/>
        <v>#DIV/0!</v>
      </c>
      <c r="AM28" s="14">
        <f t="shared" si="5"/>
        <v>0</v>
      </c>
      <c r="AN28" s="9"/>
    </row>
    <row r="29" spans="1:40" hidden="1" outlineLevel="1">
      <c r="A29" s="37"/>
      <c r="B29" s="39"/>
      <c r="C29" s="39"/>
      <c r="D29" s="37"/>
      <c r="E29" s="38"/>
      <c r="F29" s="37"/>
      <c r="G29" s="37"/>
      <c r="H29" s="37"/>
      <c r="I29" s="198" t="s">
        <v>354</v>
      </c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6"/>
      <c r="W29" s="73"/>
      <c r="X29" s="89"/>
      <c r="Y29" s="227"/>
      <c r="Z29" s="227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6"/>
      <c r="AL29" s="73"/>
      <c r="AM29" s="14"/>
      <c r="AN29" s="9"/>
    </row>
    <row r="30" spans="1:40" hidden="1" outlineLevel="1">
      <c r="A30" s="37"/>
      <c r="B30" s="39"/>
      <c r="C30" s="39"/>
      <c r="D30" s="37"/>
      <c r="E30" s="38"/>
      <c r="F30" s="37"/>
      <c r="G30" s="37"/>
      <c r="H30" s="37"/>
      <c r="I30" s="198" t="s">
        <v>355</v>
      </c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6"/>
      <c r="W30" s="73"/>
      <c r="X30" s="89"/>
      <c r="Y30" s="227"/>
      <c r="Z30" s="227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6"/>
      <c r="AL30" s="73"/>
      <c r="AM30" s="14"/>
      <c r="AN30" s="9"/>
    </row>
    <row r="31" spans="1:40" hidden="1" outlineLevel="1">
      <c r="A31" s="37"/>
      <c r="B31" s="39"/>
      <c r="C31" s="39"/>
      <c r="D31" s="37"/>
      <c r="E31" s="38"/>
      <c r="F31" s="37"/>
      <c r="G31" s="37"/>
      <c r="H31" s="37"/>
      <c r="I31" s="198" t="s">
        <v>131</v>
      </c>
      <c r="J31" s="225"/>
      <c r="K31" s="225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6">
        <f t="shared" si="0"/>
        <v>0</v>
      </c>
      <c r="W31" s="73" t="e">
        <f t="shared" si="1"/>
        <v>#DIV/0!</v>
      </c>
      <c r="X31" s="89"/>
      <c r="Y31" s="225">
        <v>0</v>
      </c>
      <c r="Z31" s="225">
        <v>0</v>
      </c>
      <c r="AA31" s="225">
        <v>0</v>
      </c>
      <c r="AB31" s="225">
        <v>0</v>
      </c>
      <c r="AC31" s="225">
        <v>0</v>
      </c>
      <c r="AD31" s="225">
        <v>0</v>
      </c>
      <c r="AE31" s="225">
        <v>0</v>
      </c>
      <c r="AF31" s="225">
        <v>0</v>
      </c>
      <c r="AG31" s="225">
        <v>0</v>
      </c>
      <c r="AH31" s="225">
        <v>0</v>
      </c>
      <c r="AI31" s="225">
        <v>0</v>
      </c>
      <c r="AJ31" s="225">
        <v>0</v>
      </c>
      <c r="AK31" s="226">
        <f t="shared" si="3"/>
        <v>0</v>
      </c>
      <c r="AL31" s="73" t="e">
        <f t="shared" si="4"/>
        <v>#DIV/0!</v>
      </c>
      <c r="AM31" s="14">
        <f t="shared" si="5"/>
        <v>0</v>
      </c>
      <c r="AN31" s="9"/>
    </row>
    <row r="32" spans="1:40" ht="15.6" collapsed="1">
      <c r="I32" s="36" t="s">
        <v>135</v>
      </c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28"/>
      <c r="U32" s="228"/>
      <c r="V32" s="228">
        <f>V6-V15</f>
        <v>0</v>
      </c>
      <c r="W32" s="73" t="e">
        <f t="shared" si="1"/>
        <v>#DIV/0!</v>
      </c>
      <c r="X32" s="89"/>
      <c r="Y32" s="228">
        <f t="shared" ref="Y32:AK32" si="7">Y6-Y15</f>
        <v>0</v>
      </c>
      <c r="Z32" s="228">
        <f t="shared" si="7"/>
        <v>0</v>
      </c>
      <c r="AA32" s="228">
        <f t="shared" si="7"/>
        <v>0</v>
      </c>
      <c r="AB32" s="228">
        <f t="shared" si="7"/>
        <v>0</v>
      </c>
      <c r="AC32" s="228">
        <f t="shared" si="7"/>
        <v>0</v>
      </c>
      <c r="AD32" s="228">
        <f t="shared" si="7"/>
        <v>0</v>
      </c>
      <c r="AE32" s="228">
        <f t="shared" si="7"/>
        <v>0</v>
      </c>
      <c r="AF32" s="228">
        <f t="shared" si="7"/>
        <v>0</v>
      </c>
      <c r="AG32" s="228">
        <f t="shared" si="7"/>
        <v>0</v>
      </c>
      <c r="AH32" s="228">
        <f t="shared" si="7"/>
        <v>0</v>
      </c>
      <c r="AI32" s="228">
        <f t="shared" si="7"/>
        <v>0</v>
      </c>
      <c r="AJ32" s="228">
        <f t="shared" si="7"/>
        <v>0</v>
      </c>
      <c r="AK32" s="228">
        <f t="shared" si="7"/>
        <v>0</v>
      </c>
      <c r="AL32" s="73" t="e">
        <f t="shared" si="4"/>
        <v>#DIV/0!</v>
      </c>
      <c r="AM32" s="34">
        <f t="shared" si="5"/>
        <v>0</v>
      </c>
      <c r="AN32" s="9"/>
    </row>
    <row r="33" spans="1:40" hidden="1" outlineLevel="1">
      <c r="I33" s="31" t="s">
        <v>356</v>
      </c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30">
        <f>SUM(J33:U33)</f>
        <v>0</v>
      </c>
      <c r="W33" s="74"/>
      <c r="X33" s="90"/>
      <c r="Y33" s="229">
        <f t="shared" ref="Y33:AJ35" si="8">+Y43*Y39</f>
        <v>0</v>
      </c>
      <c r="Z33" s="229">
        <f t="shared" si="8"/>
        <v>0</v>
      </c>
      <c r="AA33" s="229">
        <f t="shared" si="8"/>
        <v>0</v>
      </c>
      <c r="AB33" s="229">
        <f t="shared" si="8"/>
        <v>0</v>
      </c>
      <c r="AC33" s="229">
        <f t="shared" si="8"/>
        <v>0</v>
      </c>
      <c r="AD33" s="229">
        <f t="shared" si="8"/>
        <v>0</v>
      </c>
      <c r="AE33" s="229">
        <f t="shared" si="8"/>
        <v>0</v>
      </c>
      <c r="AF33" s="229">
        <f t="shared" si="8"/>
        <v>0</v>
      </c>
      <c r="AG33" s="229">
        <f t="shared" si="8"/>
        <v>0</v>
      </c>
      <c r="AH33" s="229">
        <f t="shared" si="8"/>
        <v>0</v>
      </c>
      <c r="AI33" s="229">
        <f t="shared" si="8"/>
        <v>0</v>
      </c>
      <c r="AJ33" s="229">
        <f t="shared" si="8"/>
        <v>0</v>
      </c>
      <c r="AK33" s="230">
        <f>SUM(Y33:AJ33)</f>
        <v>0</v>
      </c>
      <c r="AL33" s="74"/>
      <c r="AM33" s="29">
        <f>IFERROR(AK33/V33-1,0)</f>
        <v>0</v>
      </c>
      <c r="AN33" s="9"/>
    </row>
    <row r="34" spans="1:40" hidden="1" outlineLevel="1">
      <c r="I34" s="31" t="s">
        <v>357</v>
      </c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30">
        <f>SUM(J34:U34)</f>
        <v>0</v>
      </c>
      <c r="W34" s="74"/>
      <c r="X34" s="90"/>
      <c r="Y34" s="229">
        <f t="shared" si="8"/>
        <v>0</v>
      </c>
      <c r="Z34" s="229">
        <f t="shared" si="8"/>
        <v>0</v>
      </c>
      <c r="AA34" s="229">
        <f t="shared" si="8"/>
        <v>0</v>
      </c>
      <c r="AB34" s="229">
        <f t="shared" si="8"/>
        <v>0</v>
      </c>
      <c r="AC34" s="229">
        <f t="shared" si="8"/>
        <v>0</v>
      </c>
      <c r="AD34" s="229">
        <f t="shared" si="8"/>
        <v>0</v>
      </c>
      <c r="AE34" s="229">
        <f t="shared" si="8"/>
        <v>0</v>
      </c>
      <c r="AF34" s="229">
        <f t="shared" si="8"/>
        <v>0</v>
      </c>
      <c r="AG34" s="229">
        <f t="shared" si="8"/>
        <v>0</v>
      </c>
      <c r="AH34" s="229">
        <f t="shared" si="8"/>
        <v>0</v>
      </c>
      <c r="AI34" s="229">
        <f t="shared" si="8"/>
        <v>0</v>
      </c>
      <c r="AJ34" s="229">
        <f t="shared" si="8"/>
        <v>0</v>
      </c>
      <c r="AK34" s="230">
        <f>SUM(Y34:AJ34)</f>
        <v>0</v>
      </c>
      <c r="AL34" s="74"/>
      <c r="AM34" s="29">
        <f>IFERROR(AK34/V34-1,0)</f>
        <v>0</v>
      </c>
      <c r="AN34" s="9"/>
    </row>
    <row r="35" spans="1:40" hidden="1" outlineLevel="1">
      <c r="I35" s="31" t="s">
        <v>143</v>
      </c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30">
        <f>SUM(J35:U35)</f>
        <v>0</v>
      </c>
      <c r="W35" s="74"/>
      <c r="X35" s="90"/>
      <c r="Y35" s="229">
        <f t="shared" si="8"/>
        <v>0</v>
      </c>
      <c r="Z35" s="229">
        <f t="shared" si="8"/>
        <v>0</v>
      </c>
      <c r="AA35" s="229">
        <f t="shared" si="8"/>
        <v>0</v>
      </c>
      <c r="AB35" s="229">
        <f t="shared" si="8"/>
        <v>0</v>
      </c>
      <c r="AC35" s="229">
        <f t="shared" si="8"/>
        <v>0</v>
      </c>
      <c r="AD35" s="229">
        <f t="shared" si="8"/>
        <v>0</v>
      </c>
      <c r="AE35" s="229">
        <f t="shared" si="8"/>
        <v>0</v>
      </c>
      <c r="AF35" s="229">
        <f t="shared" si="8"/>
        <v>0</v>
      </c>
      <c r="AG35" s="229">
        <f t="shared" si="8"/>
        <v>0</v>
      </c>
      <c r="AH35" s="229">
        <f t="shared" si="8"/>
        <v>0</v>
      </c>
      <c r="AI35" s="229">
        <f t="shared" si="8"/>
        <v>0</v>
      </c>
      <c r="AJ35" s="229">
        <f t="shared" si="8"/>
        <v>0</v>
      </c>
      <c r="AK35" s="230">
        <f>SUM(Y35:AJ35)</f>
        <v>0</v>
      </c>
      <c r="AL35" s="74"/>
      <c r="AM35" s="29">
        <f>IFERROR(AK35/V35-1,0)</f>
        <v>0</v>
      </c>
      <c r="AN35" s="9"/>
    </row>
    <row r="36" spans="1:40" hidden="1" outlineLevel="1">
      <c r="I36" s="31" t="s">
        <v>358</v>
      </c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30"/>
      <c r="W36" s="74"/>
      <c r="X36" s="90"/>
      <c r="Y36" s="229"/>
      <c r="Z36" s="229"/>
      <c r="AA36" s="229"/>
      <c r="AB36" s="229"/>
      <c r="AC36" s="229"/>
      <c r="AD36" s="229"/>
      <c r="AE36" s="229"/>
      <c r="AF36" s="229"/>
      <c r="AG36" s="229"/>
      <c r="AH36" s="229"/>
      <c r="AI36" s="229"/>
      <c r="AJ36" s="229"/>
      <c r="AK36" s="230"/>
      <c r="AL36" s="74"/>
      <c r="AM36" s="29"/>
      <c r="AN36" s="9"/>
    </row>
    <row r="37" spans="1:40" hidden="1" outlineLevel="1">
      <c r="I37" s="31" t="s">
        <v>139</v>
      </c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30"/>
      <c r="W37" s="74"/>
      <c r="X37" s="90"/>
      <c r="Y37" s="229"/>
      <c r="Z37" s="229"/>
      <c r="AA37" s="229"/>
      <c r="AB37" s="229"/>
      <c r="AC37" s="229"/>
      <c r="AD37" s="229"/>
      <c r="AE37" s="229"/>
      <c r="AF37" s="229"/>
      <c r="AG37" s="229"/>
      <c r="AH37" s="229"/>
      <c r="AI37" s="229"/>
      <c r="AJ37" s="229"/>
      <c r="AK37" s="230"/>
      <c r="AL37" s="74"/>
      <c r="AM37" s="29"/>
      <c r="AN37" s="9"/>
    </row>
    <row r="38" spans="1:40" collapsed="1">
      <c r="I38" s="18" t="s">
        <v>140</v>
      </c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>
        <f>SUM(J38:U38)</f>
        <v>0</v>
      </c>
      <c r="W38" s="74" t="e">
        <f>V38/V$38</f>
        <v>#DIV/0!</v>
      </c>
      <c r="X38" s="90"/>
      <c r="Y38" s="231">
        <f t="shared" ref="Y38:AJ38" si="9">SUM(Y39:Y41)</f>
        <v>0</v>
      </c>
      <c r="Z38" s="231">
        <f t="shared" si="9"/>
        <v>0</v>
      </c>
      <c r="AA38" s="231">
        <f t="shared" si="9"/>
        <v>0</v>
      </c>
      <c r="AB38" s="231">
        <f t="shared" si="9"/>
        <v>0</v>
      </c>
      <c r="AC38" s="231">
        <f t="shared" si="9"/>
        <v>0</v>
      </c>
      <c r="AD38" s="231">
        <f t="shared" si="9"/>
        <v>0</v>
      </c>
      <c r="AE38" s="231">
        <f t="shared" si="9"/>
        <v>0</v>
      </c>
      <c r="AF38" s="231">
        <f t="shared" si="9"/>
        <v>0</v>
      </c>
      <c r="AG38" s="231">
        <f t="shared" si="9"/>
        <v>0</v>
      </c>
      <c r="AH38" s="231">
        <f t="shared" si="9"/>
        <v>0</v>
      </c>
      <c r="AI38" s="231">
        <f t="shared" si="9"/>
        <v>0</v>
      </c>
      <c r="AJ38" s="231">
        <f t="shared" si="9"/>
        <v>0</v>
      </c>
      <c r="AK38" s="231">
        <f>SUM(Y38:AJ38)</f>
        <v>0</v>
      </c>
      <c r="AL38" s="74" t="e">
        <f>AK38/AK$38</f>
        <v>#DIV/0!</v>
      </c>
      <c r="AM38" s="16">
        <f t="shared" si="5"/>
        <v>0</v>
      </c>
      <c r="AN38" s="9"/>
    </row>
    <row r="39" spans="1:40" hidden="1" outlineLevel="1">
      <c r="I39" s="31" t="s">
        <v>356</v>
      </c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>
        <f>SUM(J39:U39)</f>
        <v>0</v>
      </c>
      <c r="W39" s="74" t="e">
        <f>V39/V$38</f>
        <v>#DIV/0!</v>
      </c>
      <c r="X39" s="90"/>
      <c r="Y39" s="230">
        <v>0</v>
      </c>
      <c r="Z39" s="230">
        <v>0</v>
      </c>
      <c r="AA39" s="230">
        <v>0</v>
      </c>
      <c r="AB39" s="230">
        <v>0</v>
      </c>
      <c r="AC39" s="230">
        <v>0</v>
      </c>
      <c r="AD39" s="230">
        <v>0</v>
      </c>
      <c r="AE39" s="230">
        <v>0</v>
      </c>
      <c r="AF39" s="230">
        <v>0</v>
      </c>
      <c r="AG39" s="230">
        <v>0</v>
      </c>
      <c r="AH39" s="230">
        <v>0</v>
      </c>
      <c r="AI39" s="230">
        <v>0</v>
      </c>
      <c r="AJ39" s="230">
        <v>0</v>
      </c>
      <c r="AK39" s="230">
        <f>SUM(Y39:AJ39)</f>
        <v>0</v>
      </c>
      <c r="AL39" s="74" t="e">
        <f>AK39/AK$38</f>
        <v>#DIV/0!</v>
      </c>
      <c r="AM39" s="29">
        <f t="shared" si="5"/>
        <v>0</v>
      </c>
      <c r="AN39" s="9"/>
    </row>
    <row r="40" spans="1:40" hidden="1" outlineLevel="1">
      <c r="I40" s="31" t="s">
        <v>357</v>
      </c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>
        <f>SUM(J40:U40)</f>
        <v>0</v>
      </c>
      <c r="W40" s="74" t="e">
        <f>V40/V$38</f>
        <v>#DIV/0!</v>
      </c>
      <c r="X40" s="90"/>
      <c r="Y40" s="230">
        <v>0</v>
      </c>
      <c r="Z40" s="230">
        <v>0</v>
      </c>
      <c r="AA40" s="230">
        <v>0</v>
      </c>
      <c r="AB40" s="230">
        <v>0</v>
      </c>
      <c r="AC40" s="230">
        <v>0</v>
      </c>
      <c r="AD40" s="230">
        <v>0</v>
      </c>
      <c r="AE40" s="230">
        <v>0</v>
      </c>
      <c r="AF40" s="230">
        <v>0</v>
      </c>
      <c r="AG40" s="230">
        <v>0</v>
      </c>
      <c r="AH40" s="230">
        <v>0</v>
      </c>
      <c r="AI40" s="230">
        <v>0</v>
      </c>
      <c r="AJ40" s="230">
        <v>0</v>
      </c>
      <c r="AK40" s="230">
        <f>SUM(Y40:AJ40)</f>
        <v>0</v>
      </c>
      <c r="AL40" s="74" t="e">
        <f>AK40/AK$38</f>
        <v>#DIV/0!</v>
      </c>
      <c r="AM40" s="29">
        <f t="shared" si="5"/>
        <v>0</v>
      </c>
      <c r="AN40" s="9"/>
    </row>
    <row r="41" spans="1:40" hidden="1" outlineLevel="1">
      <c r="I41" s="31" t="s">
        <v>143</v>
      </c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>
        <f>SUM(J41:U41)</f>
        <v>0</v>
      </c>
      <c r="W41" s="74" t="e">
        <f>V41/V$38</f>
        <v>#DIV/0!</v>
      </c>
      <c r="X41" s="90"/>
      <c r="Y41" s="230">
        <v>0</v>
      </c>
      <c r="Z41" s="230">
        <v>0</v>
      </c>
      <c r="AA41" s="230">
        <v>0</v>
      </c>
      <c r="AB41" s="230">
        <v>0</v>
      </c>
      <c r="AC41" s="230">
        <v>0</v>
      </c>
      <c r="AD41" s="230">
        <v>0</v>
      </c>
      <c r="AE41" s="230">
        <v>0</v>
      </c>
      <c r="AF41" s="230">
        <v>0</v>
      </c>
      <c r="AG41" s="230">
        <v>0</v>
      </c>
      <c r="AH41" s="230">
        <v>0</v>
      </c>
      <c r="AI41" s="230">
        <v>0</v>
      </c>
      <c r="AJ41" s="230">
        <v>0</v>
      </c>
      <c r="AK41" s="230">
        <f>SUM(Y41:AJ41)</f>
        <v>0</v>
      </c>
      <c r="AL41" s="74" t="e">
        <f>AK41/AK$38</f>
        <v>#DIV/0!</v>
      </c>
      <c r="AM41" s="29">
        <f t="shared" si="5"/>
        <v>0</v>
      </c>
      <c r="AN41" s="9"/>
    </row>
    <row r="42" spans="1:40" collapsed="1">
      <c r="I42" s="18" t="s">
        <v>359</v>
      </c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1">
        <f>SUM(J42:U42)</f>
        <v>0</v>
      </c>
      <c r="W42" s="74"/>
      <c r="X42" s="90"/>
      <c r="Y42" s="232">
        <f t="shared" ref="Y42:AJ42" si="10">IFERROR(Y32/Y38,0)</f>
        <v>0</v>
      </c>
      <c r="Z42" s="232">
        <f t="shared" si="10"/>
        <v>0</v>
      </c>
      <c r="AA42" s="232">
        <f t="shared" si="10"/>
        <v>0</v>
      </c>
      <c r="AB42" s="232">
        <f t="shared" si="10"/>
        <v>0</v>
      </c>
      <c r="AC42" s="232">
        <f t="shared" si="10"/>
        <v>0</v>
      </c>
      <c r="AD42" s="232">
        <f t="shared" si="10"/>
        <v>0</v>
      </c>
      <c r="AE42" s="232">
        <f t="shared" si="10"/>
        <v>0</v>
      </c>
      <c r="AF42" s="232">
        <f t="shared" si="10"/>
        <v>0</v>
      </c>
      <c r="AG42" s="232">
        <f t="shared" si="10"/>
        <v>0</v>
      </c>
      <c r="AH42" s="232">
        <f t="shared" si="10"/>
        <v>0</v>
      </c>
      <c r="AI42" s="232">
        <f t="shared" si="10"/>
        <v>0</v>
      </c>
      <c r="AJ42" s="232">
        <f t="shared" si="10"/>
        <v>0</v>
      </c>
      <c r="AK42" s="231">
        <f>SUM(Y42:AJ42)</f>
        <v>0</v>
      </c>
      <c r="AL42" s="74"/>
      <c r="AM42" s="16">
        <f t="shared" si="5"/>
        <v>0</v>
      </c>
      <c r="AN42" s="9"/>
    </row>
    <row r="43" spans="1:40" hidden="1" outlineLevel="1">
      <c r="I43" s="31" t="s">
        <v>356</v>
      </c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>
        <f>IFERROR((V7-(V16+V19+V22+V24+V27))/V39,0)</f>
        <v>0</v>
      </c>
      <c r="W43" s="74"/>
      <c r="X43" s="90"/>
      <c r="Y43" s="229">
        <f t="shared" ref="Y43:AK44" si="11">IFERROR((Y7-(Y16+Y19+Y22+Y24+Y27))/Y39,0)</f>
        <v>0</v>
      </c>
      <c r="Z43" s="229">
        <f t="shared" si="11"/>
        <v>0</v>
      </c>
      <c r="AA43" s="229">
        <f t="shared" si="11"/>
        <v>0</v>
      </c>
      <c r="AB43" s="229">
        <f t="shared" si="11"/>
        <v>0</v>
      </c>
      <c r="AC43" s="229">
        <f t="shared" si="11"/>
        <v>0</v>
      </c>
      <c r="AD43" s="229">
        <f t="shared" si="11"/>
        <v>0</v>
      </c>
      <c r="AE43" s="229">
        <f t="shared" si="11"/>
        <v>0</v>
      </c>
      <c r="AF43" s="229">
        <f t="shared" si="11"/>
        <v>0</v>
      </c>
      <c r="AG43" s="229">
        <f t="shared" si="11"/>
        <v>0</v>
      </c>
      <c r="AH43" s="229">
        <f t="shared" si="11"/>
        <v>0</v>
      </c>
      <c r="AI43" s="229">
        <f t="shared" si="11"/>
        <v>0</v>
      </c>
      <c r="AJ43" s="229">
        <f t="shared" si="11"/>
        <v>0</v>
      </c>
      <c r="AK43" s="229">
        <f t="shared" si="11"/>
        <v>0</v>
      </c>
      <c r="AL43" s="74"/>
      <c r="AM43" s="29">
        <f t="shared" si="5"/>
        <v>0</v>
      </c>
      <c r="AN43" s="9"/>
    </row>
    <row r="44" spans="1:40" hidden="1" outlineLevel="1">
      <c r="I44" s="31" t="s">
        <v>357</v>
      </c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>
        <f>IFERROR((V8-(V17+V20+V23+V25+V28))/V40,0)</f>
        <v>0</v>
      </c>
      <c r="W44" s="74"/>
      <c r="X44" s="90"/>
      <c r="Y44" s="229">
        <f t="shared" si="11"/>
        <v>0</v>
      </c>
      <c r="Z44" s="229">
        <f t="shared" si="11"/>
        <v>0</v>
      </c>
      <c r="AA44" s="229">
        <f t="shared" si="11"/>
        <v>0</v>
      </c>
      <c r="AB44" s="229">
        <f t="shared" si="11"/>
        <v>0</v>
      </c>
      <c r="AC44" s="229">
        <f t="shared" si="11"/>
        <v>0</v>
      </c>
      <c r="AD44" s="229">
        <f t="shared" si="11"/>
        <v>0</v>
      </c>
      <c r="AE44" s="229">
        <f t="shared" si="11"/>
        <v>0</v>
      </c>
      <c r="AF44" s="229">
        <f t="shared" si="11"/>
        <v>0</v>
      </c>
      <c r="AG44" s="229">
        <f t="shared" si="11"/>
        <v>0</v>
      </c>
      <c r="AH44" s="229">
        <f t="shared" si="11"/>
        <v>0</v>
      </c>
      <c r="AI44" s="229">
        <f t="shared" si="11"/>
        <v>0</v>
      </c>
      <c r="AJ44" s="229">
        <f t="shared" si="11"/>
        <v>0</v>
      </c>
      <c r="AK44" s="229">
        <f t="shared" si="11"/>
        <v>0</v>
      </c>
      <c r="AL44" s="74"/>
      <c r="AM44" s="29">
        <f t="shared" si="5"/>
        <v>0</v>
      </c>
      <c r="AN44" s="9"/>
    </row>
    <row r="45" spans="1:40" hidden="1" outlineLevel="1">
      <c r="I45" s="31" t="s">
        <v>143</v>
      </c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>
        <f>IFERROR((V9-(V18+V21+V26))/V41,0)</f>
        <v>0</v>
      </c>
      <c r="W45" s="74"/>
      <c r="X45" s="90"/>
      <c r="Y45" s="229">
        <f t="shared" ref="Y45:AK45" si="12">IFERROR((Y9-(Y18+Y21+Y26))/Y41,0)</f>
        <v>0</v>
      </c>
      <c r="Z45" s="229">
        <f t="shared" si="12"/>
        <v>0</v>
      </c>
      <c r="AA45" s="229">
        <f t="shared" si="12"/>
        <v>0</v>
      </c>
      <c r="AB45" s="229">
        <f t="shared" si="12"/>
        <v>0</v>
      </c>
      <c r="AC45" s="229">
        <f t="shared" si="12"/>
        <v>0</v>
      </c>
      <c r="AD45" s="229">
        <f t="shared" si="12"/>
        <v>0</v>
      </c>
      <c r="AE45" s="229">
        <f t="shared" si="12"/>
        <v>0</v>
      </c>
      <c r="AF45" s="229">
        <f t="shared" si="12"/>
        <v>0</v>
      </c>
      <c r="AG45" s="229">
        <f t="shared" si="12"/>
        <v>0</v>
      </c>
      <c r="AH45" s="229">
        <f t="shared" si="12"/>
        <v>0</v>
      </c>
      <c r="AI45" s="229">
        <f t="shared" si="12"/>
        <v>0</v>
      </c>
      <c r="AJ45" s="229">
        <f t="shared" si="12"/>
        <v>0</v>
      </c>
      <c r="AK45" s="229">
        <f t="shared" si="12"/>
        <v>0</v>
      </c>
      <c r="AL45" s="74"/>
      <c r="AM45" s="29">
        <f t="shared" si="5"/>
        <v>0</v>
      </c>
      <c r="AN45" s="9"/>
    </row>
    <row r="47" spans="1:40">
      <c r="A47" s="21"/>
      <c r="B47" s="21"/>
      <c r="C47" s="21"/>
      <c r="D47" s="21"/>
      <c r="E47" s="7" t="s">
        <v>98</v>
      </c>
      <c r="I47" s="139" t="s">
        <v>145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0" ht="6" customHeight="1">
      <c r="A48" s="21"/>
      <c r="B48" s="21"/>
      <c r="C48" s="21"/>
      <c r="D48" s="21"/>
      <c r="E48" s="22"/>
      <c r="F48" s="21"/>
      <c r="G48" s="21"/>
      <c r="H48" s="21"/>
      <c r="I48" s="139"/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collapsed="1">
      <c r="A49" s="12" t="s">
        <v>146</v>
      </c>
      <c r="B49" s="19" t="s">
        <v>88</v>
      </c>
      <c r="I49" s="146" t="s">
        <v>147</v>
      </c>
      <c r="J49" s="222"/>
      <c r="K49" s="222"/>
      <c r="L49" s="222"/>
      <c r="M49" s="222"/>
      <c r="N49" s="222"/>
      <c r="O49" s="222"/>
      <c r="P49" s="222"/>
      <c r="Q49" s="222"/>
      <c r="R49" s="222"/>
      <c r="S49" s="222"/>
      <c r="T49" s="222"/>
      <c r="U49" s="222"/>
      <c r="V49" s="222">
        <f>SUM(V50:V87)</f>
        <v>0</v>
      </c>
      <c r="W49" s="72" t="e">
        <f t="shared" ref="W49:W155" si="13">V49/V$6</f>
        <v>#DIV/0!</v>
      </c>
      <c r="X49" s="89"/>
      <c r="Y49" s="222">
        <f t="shared" ref="Y49:AK49" si="14">SUM(Y50:Y87)</f>
        <v>0</v>
      </c>
      <c r="Z49" s="222">
        <f t="shared" si="14"/>
        <v>0</v>
      </c>
      <c r="AA49" s="222">
        <f t="shared" si="14"/>
        <v>0</v>
      </c>
      <c r="AB49" s="222">
        <f t="shared" si="14"/>
        <v>0</v>
      </c>
      <c r="AC49" s="222">
        <f t="shared" si="14"/>
        <v>0</v>
      </c>
      <c r="AD49" s="222">
        <f t="shared" si="14"/>
        <v>0</v>
      </c>
      <c r="AE49" s="222">
        <f t="shared" si="14"/>
        <v>0</v>
      </c>
      <c r="AF49" s="222">
        <f t="shared" si="14"/>
        <v>0</v>
      </c>
      <c r="AG49" s="222">
        <f t="shared" si="14"/>
        <v>0</v>
      </c>
      <c r="AH49" s="222">
        <f t="shared" si="14"/>
        <v>0</v>
      </c>
      <c r="AI49" s="222">
        <f t="shared" si="14"/>
        <v>0</v>
      </c>
      <c r="AJ49" s="222">
        <f t="shared" si="14"/>
        <v>0</v>
      </c>
      <c r="AK49" s="222">
        <f t="shared" si="14"/>
        <v>0</v>
      </c>
      <c r="AL49" s="72" t="e">
        <f t="shared" ref="AL49:AL155" si="15">AK49/AK$6</f>
        <v>#DIV/0!</v>
      </c>
      <c r="AM49" s="10">
        <f t="shared" si="5"/>
        <v>0</v>
      </c>
      <c r="AN49" s="9"/>
    </row>
    <row r="50" spans="1:40" hidden="1" outlineLevel="1">
      <c r="A50" s="12" t="s">
        <v>146</v>
      </c>
      <c r="B50" s="8" t="s">
        <v>88</v>
      </c>
      <c r="C50" s="19" t="s">
        <v>148</v>
      </c>
      <c r="D50" s="12"/>
      <c r="E50" s="20"/>
      <c r="F50" s="12"/>
      <c r="G50" s="12"/>
      <c r="H50" s="12"/>
      <c r="I50" t="s">
        <v>149</v>
      </c>
      <c r="J50" s="225"/>
      <c r="K50" s="225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6">
        <f>SUM(J50:U50)</f>
        <v>0</v>
      </c>
      <c r="W50" s="73" t="e">
        <f t="shared" si="13"/>
        <v>#DIV/0!</v>
      </c>
      <c r="X50" s="89"/>
      <c r="Y50" s="225">
        <v>0</v>
      </c>
      <c r="Z50" s="225">
        <v>0</v>
      </c>
      <c r="AA50" s="225">
        <v>0</v>
      </c>
      <c r="AB50" s="225">
        <v>0</v>
      </c>
      <c r="AC50" s="225">
        <v>0</v>
      </c>
      <c r="AD50" s="225">
        <v>0</v>
      </c>
      <c r="AE50" s="225">
        <v>0</v>
      </c>
      <c r="AF50" s="225">
        <v>0</v>
      </c>
      <c r="AG50" s="225">
        <v>0</v>
      </c>
      <c r="AH50" s="225">
        <v>0</v>
      </c>
      <c r="AI50" s="225">
        <v>0</v>
      </c>
      <c r="AJ50" s="225">
        <v>0</v>
      </c>
      <c r="AK50" s="226">
        <f>SUM(Y50:AJ50)</f>
        <v>0</v>
      </c>
      <c r="AL50" s="73" t="e">
        <f t="shared" si="15"/>
        <v>#DIV/0!</v>
      </c>
      <c r="AM50" s="14">
        <f t="shared" si="5"/>
        <v>0</v>
      </c>
      <c r="AN50" s="9"/>
    </row>
    <row r="51" spans="1:40" hidden="1" outlineLevel="1">
      <c r="A51" s="12" t="s">
        <v>146</v>
      </c>
      <c r="B51" s="8" t="s">
        <v>88</v>
      </c>
      <c r="I51" t="s">
        <v>148</v>
      </c>
      <c r="J51" s="225"/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6">
        <f t="shared" ref="V51:V72" si="16">SUM(J51:U51)</f>
        <v>0</v>
      </c>
      <c r="W51" s="73" t="e">
        <f t="shared" si="13"/>
        <v>#DIV/0!</v>
      </c>
      <c r="X51" s="89"/>
      <c r="Y51" s="225">
        <v>0</v>
      </c>
      <c r="Z51" s="225">
        <v>0</v>
      </c>
      <c r="AA51" s="225">
        <v>0</v>
      </c>
      <c r="AB51" s="225">
        <v>0</v>
      </c>
      <c r="AC51" s="225">
        <v>0</v>
      </c>
      <c r="AD51" s="225">
        <v>0</v>
      </c>
      <c r="AE51" s="225">
        <v>0</v>
      </c>
      <c r="AF51" s="225">
        <v>0</v>
      </c>
      <c r="AG51" s="225">
        <v>0</v>
      </c>
      <c r="AH51" s="225">
        <v>0</v>
      </c>
      <c r="AI51" s="225">
        <v>0</v>
      </c>
      <c r="AJ51" s="225">
        <v>0</v>
      </c>
      <c r="AK51" s="226">
        <f t="shared" ref="AK51:AK72" si="17">SUM(Y51:AJ51)</f>
        <v>0</v>
      </c>
      <c r="AL51" s="73" t="e">
        <f t="shared" si="15"/>
        <v>#DIV/0!</v>
      </c>
      <c r="AM51" s="14">
        <f t="shared" si="5"/>
        <v>0</v>
      </c>
      <c r="AN51" s="9"/>
    </row>
    <row r="52" spans="1:40" hidden="1" outlineLevel="1">
      <c r="A52" s="12" t="s">
        <v>146</v>
      </c>
      <c r="B52" s="8" t="s">
        <v>88</v>
      </c>
      <c r="I52" t="s">
        <v>192</v>
      </c>
      <c r="J52" s="225"/>
      <c r="K52" s="225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6">
        <f t="shared" si="16"/>
        <v>0</v>
      </c>
      <c r="W52" s="73" t="e">
        <f t="shared" si="13"/>
        <v>#DIV/0!</v>
      </c>
      <c r="X52" s="89"/>
      <c r="Y52" s="225">
        <v>0</v>
      </c>
      <c r="Z52" s="225">
        <v>0</v>
      </c>
      <c r="AA52" s="225">
        <v>0</v>
      </c>
      <c r="AB52" s="225">
        <v>0</v>
      </c>
      <c r="AC52" s="225">
        <v>0</v>
      </c>
      <c r="AD52" s="225">
        <v>0</v>
      </c>
      <c r="AE52" s="225">
        <v>0</v>
      </c>
      <c r="AF52" s="225">
        <v>0</v>
      </c>
      <c r="AG52" s="225">
        <v>0</v>
      </c>
      <c r="AH52" s="225">
        <v>0</v>
      </c>
      <c r="AI52" s="225">
        <v>0</v>
      </c>
      <c r="AJ52" s="225">
        <v>0</v>
      </c>
      <c r="AK52" s="226">
        <f t="shared" si="17"/>
        <v>0</v>
      </c>
      <c r="AL52" s="73" t="e">
        <f t="shared" si="15"/>
        <v>#DIV/0!</v>
      </c>
      <c r="AM52" s="14">
        <f t="shared" si="5"/>
        <v>0</v>
      </c>
      <c r="AN52" s="9"/>
    </row>
    <row r="53" spans="1:40" hidden="1" outlineLevel="1">
      <c r="A53" s="12" t="s">
        <v>146</v>
      </c>
      <c r="B53" s="8" t="s">
        <v>88</v>
      </c>
      <c r="I53" t="s">
        <v>153</v>
      </c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6">
        <f t="shared" si="16"/>
        <v>0</v>
      </c>
      <c r="W53" s="73" t="e">
        <f t="shared" si="13"/>
        <v>#DIV/0!</v>
      </c>
      <c r="X53" s="89"/>
      <c r="Y53" s="225">
        <v>0</v>
      </c>
      <c r="Z53" s="225">
        <v>0</v>
      </c>
      <c r="AA53" s="225">
        <v>0</v>
      </c>
      <c r="AB53" s="225">
        <v>0</v>
      </c>
      <c r="AC53" s="225">
        <v>0</v>
      </c>
      <c r="AD53" s="225">
        <v>0</v>
      </c>
      <c r="AE53" s="225">
        <v>0</v>
      </c>
      <c r="AF53" s="225">
        <v>0</v>
      </c>
      <c r="AG53" s="225">
        <v>0</v>
      </c>
      <c r="AH53" s="225">
        <v>0</v>
      </c>
      <c r="AI53" s="225">
        <v>0</v>
      </c>
      <c r="AJ53" s="225">
        <v>0</v>
      </c>
      <c r="AK53" s="226">
        <f t="shared" si="17"/>
        <v>0</v>
      </c>
      <c r="AL53" s="73" t="e">
        <f t="shared" si="15"/>
        <v>#DIV/0!</v>
      </c>
      <c r="AM53" s="14">
        <f t="shared" si="5"/>
        <v>0</v>
      </c>
      <c r="AN53" s="9"/>
    </row>
    <row r="54" spans="1:40" hidden="1" outlineLevel="1">
      <c r="A54" s="12" t="s">
        <v>146</v>
      </c>
      <c r="B54" s="8" t="s">
        <v>88</v>
      </c>
      <c r="C54" s="8" t="s">
        <v>155</v>
      </c>
      <c r="I54" t="s">
        <v>156</v>
      </c>
      <c r="J54" s="225"/>
      <c r="K54" s="225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6">
        <f t="shared" si="16"/>
        <v>0</v>
      </c>
      <c r="W54" s="73" t="e">
        <f t="shared" si="13"/>
        <v>#DIV/0!</v>
      </c>
      <c r="X54" s="89"/>
      <c r="Y54" s="225">
        <v>0</v>
      </c>
      <c r="Z54" s="225">
        <v>0</v>
      </c>
      <c r="AA54" s="225">
        <v>0</v>
      </c>
      <c r="AB54" s="225">
        <v>0</v>
      </c>
      <c r="AC54" s="225">
        <v>0</v>
      </c>
      <c r="AD54" s="225">
        <v>0</v>
      </c>
      <c r="AE54" s="225">
        <v>0</v>
      </c>
      <c r="AF54" s="225">
        <v>0</v>
      </c>
      <c r="AG54" s="225">
        <v>0</v>
      </c>
      <c r="AH54" s="225">
        <v>0</v>
      </c>
      <c r="AI54" s="225">
        <v>0</v>
      </c>
      <c r="AJ54" s="225">
        <v>0</v>
      </c>
      <c r="AK54" s="226">
        <f t="shared" si="17"/>
        <v>0</v>
      </c>
      <c r="AL54" s="73" t="e">
        <f t="shared" si="15"/>
        <v>#DIV/0!</v>
      </c>
      <c r="AM54" s="14">
        <f t="shared" si="5"/>
        <v>0</v>
      </c>
      <c r="AN54" s="9"/>
    </row>
    <row r="55" spans="1:40" hidden="1" outlineLevel="1">
      <c r="A55" s="12" t="s">
        <v>146</v>
      </c>
      <c r="B55" s="8" t="s">
        <v>88</v>
      </c>
      <c r="I55" t="s">
        <v>287</v>
      </c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6">
        <f t="shared" si="16"/>
        <v>0</v>
      </c>
      <c r="W55" s="73" t="e">
        <f t="shared" si="13"/>
        <v>#DIV/0!</v>
      </c>
      <c r="X55" s="89"/>
      <c r="Y55" s="225">
        <v>0</v>
      </c>
      <c r="Z55" s="225">
        <v>0</v>
      </c>
      <c r="AA55" s="225">
        <v>0</v>
      </c>
      <c r="AB55" s="225">
        <v>0</v>
      </c>
      <c r="AC55" s="225">
        <v>0</v>
      </c>
      <c r="AD55" s="225">
        <v>0</v>
      </c>
      <c r="AE55" s="225">
        <v>0</v>
      </c>
      <c r="AF55" s="225">
        <v>0</v>
      </c>
      <c r="AG55" s="225">
        <v>0</v>
      </c>
      <c r="AH55" s="225">
        <v>0</v>
      </c>
      <c r="AI55" s="225">
        <v>0</v>
      </c>
      <c r="AJ55" s="225">
        <v>0</v>
      </c>
      <c r="AK55" s="226">
        <f t="shared" si="17"/>
        <v>0</v>
      </c>
      <c r="AL55" s="73" t="e">
        <f t="shared" si="15"/>
        <v>#DIV/0!</v>
      </c>
      <c r="AM55" s="14">
        <f t="shared" si="5"/>
        <v>0</v>
      </c>
      <c r="AN55" s="9"/>
    </row>
    <row r="56" spans="1:40" hidden="1" outlineLevel="1">
      <c r="A56" s="12" t="s">
        <v>146</v>
      </c>
      <c r="B56" s="8" t="s">
        <v>88</v>
      </c>
      <c r="I56" t="s">
        <v>158</v>
      </c>
      <c r="J56" s="225"/>
      <c r="K56" s="225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6">
        <f t="shared" si="16"/>
        <v>0</v>
      </c>
      <c r="W56" s="73" t="e">
        <f t="shared" si="13"/>
        <v>#DIV/0!</v>
      </c>
      <c r="X56" s="89"/>
      <c r="Y56" s="225">
        <v>0</v>
      </c>
      <c r="Z56" s="225">
        <v>0</v>
      </c>
      <c r="AA56" s="225">
        <v>0</v>
      </c>
      <c r="AB56" s="225">
        <v>0</v>
      </c>
      <c r="AC56" s="225">
        <v>0</v>
      </c>
      <c r="AD56" s="225">
        <v>0</v>
      </c>
      <c r="AE56" s="225">
        <v>0</v>
      </c>
      <c r="AF56" s="225">
        <v>0</v>
      </c>
      <c r="AG56" s="225">
        <v>0</v>
      </c>
      <c r="AH56" s="225">
        <v>0</v>
      </c>
      <c r="AI56" s="225">
        <v>0</v>
      </c>
      <c r="AJ56" s="225">
        <v>0</v>
      </c>
      <c r="AK56" s="226">
        <f t="shared" si="17"/>
        <v>0</v>
      </c>
      <c r="AL56" s="73" t="e">
        <f t="shared" si="15"/>
        <v>#DIV/0!</v>
      </c>
      <c r="AM56" s="14">
        <f t="shared" si="5"/>
        <v>0</v>
      </c>
      <c r="AN56" s="9"/>
    </row>
    <row r="57" spans="1:40" hidden="1" outlineLevel="1">
      <c r="A57" s="12" t="s">
        <v>146</v>
      </c>
      <c r="B57" s="8" t="s">
        <v>88</v>
      </c>
      <c r="I57" t="s">
        <v>159</v>
      </c>
      <c r="J57" s="225"/>
      <c r="K57" s="225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6">
        <f t="shared" si="16"/>
        <v>0</v>
      </c>
      <c r="W57" s="73" t="e">
        <f t="shared" si="13"/>
        <v>#DIV/0!</v>
      </c>
      <c r="X57" s="89"/>
      <c r="Y57" s="225">
        <v>0</v>
      </c>
      <c r="Z57" s="225">
        <v>0</v>
      </c>
      <c r="AA57" s="225">
        <v>0</v>
      </c>
      <c r="AB57" s="225">
        <v>0</v>
      </c>
      <c r="AC57" s="225">
        <v>0</v>
      </c>
      <c r="AD57" s="225">
        <v>0</v>
      </c>
      <c r="AE57" s="225">
        <v>0</v>
      </c>
      <c r="AF57" s="225">
        <v>0</v>
      </c>
      <c r="AG57" s="225">
        <v>0</v>
      </c>
      <c r="AH57" s="225">
        <v>0</v>
      </c>
      <c r="AI57" s="225">
        <v>0</v>
      </c>
      <c r="AJ57" s="225">
        <v>0</v>
      </c>
      <c r="AK57" s="226">
        <f t="shared" si="17"/>
        <v>0</v>
      </c>
      <c r="AL57" s="73" t="e">
        <f t="shared" si="15"/>
        <v>#DIV/0!</v>
      </c>
      <c r="AM57" s="14">
        <f t="shared" si="5"/>
        <v>0</v>
      </c>
      <c r="AN57" s="9"/>
    </row>
    <row r="58" spans="1:40" hidden="1" outlineLevel="1">
      <c r="A58" s="12" t="s">
        <v>146</v>
      </c>
      <c r="B58" s="8" t="s">
        <v>88</v>
      </c>
      <c r="I58" t="s">
        <v>285</v>
      </c>
      <c r="J58" s="225"/>
      <c r="K58" s="225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6">
        <f t="shared" si="16"/>
        <v>0</v>
      </c>
      <c r="W58" s="73" t="e">
        <f t="shared" si="13"/>
        <v>#DIV/0!</v>
      </c>
      <c r="X58" s="89"/>
      <c r="Y58" s="225">
        <v>0</v>
      </c>
      <c r="Z58" s="225">
        <v>0</v>
      </c>
      <c r="AA58" s="225">
        <v>0</v>
      </c>
      <c r="AB58" s="225">
        <v>0</v>
      </c>
      <c r="AC58" s="225">
        <v>0</v>
      </c>
      <c r="AD58" s="225">
        <v>0</v>
      </c>
      <c r="AE58" s="225">
        <v>0</v>
      </c>
      <c r="AF58" s="225">
        <v>0</v>
      </c>
      <c r="AG58" s="225">
        <v>0</v>
      </c>
      <c r="AH58" s="225">
        <v>0</v>
      </c>
      <c r="AI58" s="225">
        <v>0</v>
      </c>
      <c r="AJ58" s="225">
        <v>0</v>
      </c>
      <c r="AK58" s="226">
        <f t="shared" si="17"/>
        <v>0</v>
      </c>
      <c r="AL58" s="73" t="e">
        <f t="shared" si="15"/>
        <v>#DIV/0!</v>
      </c>
      <c r="AM58" s="14">
        <f t="shared" si="5"/>
        <v>0</v>
      </c>
      <c r="AN58" s="9"/>
    </row>
    <row r="59" spans="1:40" hidden="1" outlineLevel="1">
      <c r="A59" s="12" t="s">
        <v>146</v>
      </c>
      <c r="B59" s="8" t="s">
        <v>88</v>
      </c>
      <c r="I59" t="s">
        <v>164</v>
      </c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6">
        <f t="shared" si="16"/>
        <v>0</v>
      </c>
      <c r="W59" s="73" t="e">
        <f t="shared" si="13"/>
        <v>#DIV/0!</v>
      </c>
      <c r="X59" s="89"/>
      <c r="Y59" s="225">
        <v>0</v>
      </c>
      <c r="Z59" s="225">
        <v>0</v>
      </c>
      <c r="AA59" s="225">
        <v>0</v>
      </c>
      <c r="AB59" s="225">
        <v>0</v>
      </c>
      <c r="AC59" s="225">
        <v>0</v>
      </c>
      <c r="AD59" s="225">
        <v>0</v>
      </c>
      <c r="AE59" s="225">
        <v>0</v>
      </c>
      <c r="AF59" s="225">
        <v>0</v>
      </c>
      <c r="AG59" s="225">
        <v>0</v>
      </c>
      <c r="AH59" s="225">
        <v>0</v>
      </c>
      <c r="AI59" s="225">
        <v>0</v>
      </c>
      <c r="AJ59" s="225">
        <v>0</v>
      </c>
      <c r="AK59" s="226">
        <f t="shared" si="17"/>
        <v>0</v>
      </c>
      <c r="AL59" s="73" t="e">
        <f t="shared" si="15"/>
        <v>#DIV/0!</v>
      </c>
      <c r="AM59" s="14">
        <f t="shared" si="5"/>
        <v>0</v>
      </c>
      <c r="AN59" s="9"/>
    </row>
    <row r="60" spans="1:40" hidden="1" outlineLevel="1">
      <c r="A60" s="12" t="s">
        <v>146</v>
      </c>
      <c r="B60" s="8" t="s">
        <v>88</v>
      </c>
      <c r="I60" t="s">
        <v>152</v>
      </c>
      <c r="J60" s="225"/>
      <c r="K60" s="225"/>
      <c r="L60" s="225"/>
      <c r="M60" s="225"/>
      <c r="N60" s="225"/>
      <c r="O60" s="225"/>
      <c r="P60" s="225"/>
      <c r="Q60" s="225"/>
      <c r="R60" s="225"/>
      <c r="S60" s="225"/>
      <c r="T60" s="225"/>
      <c r="U60" s="225"/>
      <c r="V60" s="226">
        <f t="shared" si="16"/>
        <v>0</v>
      </c>
      <c r="W60" s="73" t="e">
        <f t="shared" si="13"/>
        <v>#DIV/0!</v>
      </c>
      <c r="X60" s="89"/>
      <c r="Y60" s="225">
        <v>0</v>
      </c>
      <c r="Z60" s="225">
        <v>0</v>
      </c>
      <c r="AA60" s="225">
        <v>0</v>
      </c>
      <c r="AB60" s="225">
        <v>0</v>
      </c>
      <c r="AC60" s="225">
        <v>0</v>
      </c>
      <c r="AD60" s="225">
        <v>0</v>
      </c>
      <c r="AE60" s="225">
        <v>0</v>
      </c>
      <c r="AF60" s="225">
        <v>0</v>
      </c>
      <c r="AG60" s="225">
        <v>0</v>
      </c>
      <c r="AH60" s="225">
        <v>0</v>
      </c>
      <c r="AI60" s="225">
        <v>0</v>
      </c>
      <c r="AJ60" s="225">
        <v>0</v>
      </c>
      <c r="AK60" s="226">
        <f t="shared" si="17"/>
        <v>0</v>
      </c>
      <c r="AL60" s="73" t="e">
        <f t="shared" si="15"/>
        <v>#DIV/0!</v>
      </c>
      <c r="AM60" s="14">
        <f t="shared" si="5"/>
        <v>0</v>
      </c>
      <c r="AN60" s="9"/>
    </row>
    <row r="61" spans="1:40" hidden="1" outlineLevel="1">
      <c r="A61" s="12" t="s">
        <v>146</v>
      </c>
      <c r="B61" s="8" t="s">
        <v>88</v>
      </c>
      <c r="I61" t="s">
        <v>165</v>
      </c>
      <c r="J61" s="225"/>
      <c r="K61" s="225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6">
        <f t="shared" si="16"/>
        <v>0</v>
      </c>
      <c r="W61" s="73" t="e">
        <f t="shared" si="13"/>
        <v>#DIV/0!</v>
      </c>
      <c r="X61" s="89"/>
      <c r="Y61" s="225">
        <v>0</v>
      </c>
      <c r="Z61" s="225">
        <v>0</v>
      </c>
      <c r="AA61" s="225">
        <v>0</v>
      </c>
      <c r="AB61" s="225">
        <v>0</v>
      </c>
      <c r="AC61" s="225">
        <v>0</v>
      </c>
      <c r="AD61" s="225">
        <v>0</v>
      </c>
      <c r="AE61" s="225">
        <v>0</v>
      </c>
      <c r="AF61" s="225">
        <v>0</v>
      </c>
      <c r="AG61" s="225">
        <v>0</v>
      </c>
      <c r="AH61" s="225">
        <v>0</v>
      </c>
      <c r="AI61" s="225">
        <v>0</v>
      </c>
      <c r="AJ61" s="225">
        <v>0</v>
      </c>
      <c r="AK61" s="226">
        <f t="shared" si="17"/>
        <v>0</v>
      </c>
      <c r="AL61" s="73" t="e">
        <f t="shared" si="15"/>
        <v>#DIV/0!</v>
      </c>
      <c r="AM61" s="14">
        <f t="shared" si="5"/>
        <v>0</v>
      </c>
      <c r="AN61" s="9"/>
    </row>
    <row r="62" spans="1:40" hidden="1" outlineLevel="1">
      <c r="A62" s="12" t="s">
        <v>146</v>
      </c>
      <c r="B62" s="8" t="s">
        <v>88</v>
      </c>
      <c r="I62" t="s">
        <v>167</v>
      </c>
      <c r="J62" s="225"/>
      <c r="K62" s="225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6">
        <f t="shared" si="16"/>
        <v>0</v>
      </c>
      <c r="W62" s="73" t="e">
        <f t="shared" si="13"/>
        <v>#DIV/0!</v>
      </c>
      <c r="X62" s="89"/>
      <c r="Y62" s="225">
        <v>0</v>
      </c>
      <c r="Z62" s="225">
        <v>0</v>
      </c>
      <c r="AA62" s="225">
        <v>0</v>
      </c>
      <c r="AB62" s="225">
        <v>0</v>
      </c>
      <c r="AC62" s="225">
        <v>0</v>
      </c>
      <c r="AD62" s="225">
        <v>0</v>
      </c>
      <c r="AE62" s="225">
        <v>0</v>
      </c>
      <c r="AF62" s="225">
        <v>0</v>
      </c>
      <c r="AG62" s="225">
        <v>0</v>
      </c>
      <c r="AH62" s="225">
        <v>0</v>
      </c>
      <c r="AI62" s="225">
        <v>0</v>
      </c>
      <c r="AJ62" s="225">
        <v>0</v>
      </c>
      <c r="AK62" s="226">
        <f t="shared" si="17"/>
        <v>0</v>
      </c>
      <c r="AL62" s="73" t="e">
        <f t="shared" si="15"/>
        <v>#DIV/0!</v>
      </c>
      <c r="AM62" s="14">
        <f t="shared" si="5"/>
        <v>0</v>
      </c>
      <c r="AN62" s="9"/>
    </row>
    <row r="63" spans="1:40" hidden="1" outlineLevel="1">
      <c r="A63" s="12" t="s">
        <v>146</v>
      </c>
      <c r="B63" s="8" t="s">
        <v>88</v>
      </c>
      <c r="I63" t="s">
        <v>168</v>
      </c>
      <c r="J63" s="225"/>
      <c r="K63" s="225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6">
        <f t="shared" si="16"/>
        <v>0</v>
      </c>
      <c r="W63" s="73" t="e">
        <f t="shared" si="13"/>
        <v>#DIV/0!</v>
      </c>
      <c r="X63" s="89"/>
      <c r="Y63" s="225">
        <v>0</v>
      </c>
      <c r="Z63" s="225">
        <v>0</v>
      </c>
      <c r="AA63" s="225">
        <v>0</v>
      </c>
      <c r="AB63" s="225">
        <v>0</v>
      </c>
      <c r="AC63" s="225">
        <v>0</v>
      </c>
      <c r="AD63" s="225">
        <v>0</v>
      </c>
      <c r="AE63" s="225">
        <v>0</v>
      </c>
      <c r="AF63" s="225">
        <v>0</v>
      </c>
      <c r="AG63" s="225">
        <v>0</v>
      </c>
      <c r="AH63" s="225">
        <v>0</v>
      </c>
      <c r="AI63" s="225">
        <v>0</v>
      </c>
      <c r="AJ63" s="225">
        <v>0</v>
      </c>
      <c r="AK63" s="226">
        <f t="shared" si="17"/>
        <v>0</v>
      </c>
      <c r="AL63" s="73" t="e">
        <f t="shared" si="15"/>
        <v>#DIV/0!</v>
      </c>
      <c r="AM63" s="14">
        <f t="shared" si="5"/>
        <v>0</v>
      </c>
      <c r="AN63" s="9"/>
    </row>
    <row r="64" spans="1:40" hidden="1" outlineLevel="1">
      <c r="A64" s="12" t="s">
        <v>146</v>
      </c>
      <c r="B64" s="8" t="s">
        <v>88</v>
      </c>
      <c r="I64" t="s">
        <v>282</v>
      </c>
      <c r="J64" s="225"/>
      <c r="K64" s="225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6">
        <f t="shared" si="16"/>
        <v>0</v>
      </c>
      <c r="W64" s="73" t="e">
        <f t="shared" si="13"/>
        <v>#DIV/0!</v>
      </c>
      <c r="X64" s="89"/>
      <c r="Y64" s="225">
        <v>0</v>
      </c>
      <c r="Z64" s="225">
        <v>0</v>
      </c>
      <c r="AA64" s="225">
        <v>0</v>
      </c>
      <c r="AB64" s="225">
        <v>0</v>
      </c>
      <c r="AC64" s="225">
        <v>0</v>
      </c>
      <c r="AD64" s="225">
        <v>0</v>
      </c>
      <c r="AE64" s="225">
        <v>0</v>
      </c>
      <c r="AF64" s="225">
        <v>0</v>
      </c>
      <c r="AG64" s="225">
        <v>0</v>
      </c>
      <c r="AH64" s="225">
        <v>0</v>
      </c>
      <c r="AI64" s="225">
        <v>0</v>
      </c>
      <c r="AJ64" s="225">
        <v>0</v>
      </c>
      <c r="AK64" s="226">
        <f t="shared" si="17"/>
        <v>0</v>
      </c>
      <c r="AL64" s="73" t="e">
        <f t="shared" si="15"/>
        <v>#DIV/0!</v>
      </c>
      <c r="AM64" s="14">
        <f t="shared" si="5"/>
        <v>0</v>
      </c>
      <c r="AN64" s="9"/>
    </row>
    <row r="65" spans="1:40" hidden="1" outlineLevel="1">
      <c r="A65" s="12" t="s">
        <v>146</v>
      </c>
      <c r="B65" s="8" t="s">
        <v>88</v>
      </c>
      <c r="I65" t="s">
        <v>170</v>
      </c>
      <c r="J65" s="225"/>
      <c r="K65" s="225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6">
        <f t="shared" si="16"/>
        <v>0</v>
      </c>
      <c r="W65" s="73" t="e">
        <f t="shared" si="13"/>
        <v>#DIV/0!</v>
      </c>
      <c r="X65" s="89"/>
      <c r="Y65" s="225">
        <v>0</v>
      </c>
      <c r="Z65" s="225">
        <v>0</v>
      </c>
      <c r="AA65" s="225">
        <v>0</v>
      </c>
      <c r="AB65" s="225">
        <v>0</v>
      </c>
      <c r="AC65" s="225">
        <v>0</v>
      </c>
      <c r="AD65" s="225">
        <v>0</v>
      </c>
      <c r="AE65" s="225">
        <v>0</v>
      </c>
      <c r="AF65" s="225">
        <v>0</v>
      </c>
      <c r="AG65" s="225">
        <v>0</v>
      </c>
      <c r="AH65" s="225">
        <v>0</v>
      </c>
      <c r="AI65" s="225">
        <v>0</v>
      </c>
      <c r="AJ65" s="225">
        <v>0</v>
      </c>
      <c r="AK65" s="226">
        <f t="shared" si="17"/>
        <v>0</v>
      </c>
      <c r="AL65" s="73" t="e">
        <f t="shared" si="15"/>
        <v>#DIV/0!</v>
      </c>
      <c r="AM65" s="14">
        <f t="shared" si="5"/>
        <v>0</v>
      </c>
      <c r="AN65" s="9"/>
    </row>
    <row r="66" spans="1:40" hidden="1" outlineLevel="1">
      <c r="A66" s="12" t="s">
        <v>146</v>
      </c>
      <c r="B66" s="8" t="s">
        <v>88</v>
      </c>
      <c r="I66" t="s">
        <v>171</v>
      </c>
      <c r="J66" s="225"/>
      <c r="K66" s="225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6">
        <f t="shared" si="16"/>
        <v>0</v>
      </c>
      <c r="W66" s="73" t="e">
        <f t="shared" si="13"/>
        <v>#DIV/0!</v>
      </c>
      <c r="X66" s="89"/>
      <c r="Y66" s="225">
        <v>0</v>
      </c>
      <c r="Z66" s="225">
        <v>0</v>
      </c>
      <c r="AA66" s="225">
        <v>0</v>
      </c>
      <c r="AB66" s="225">
        <v>0</v>
      </c>
      <c r="AC66" s="225">
        <v>0</v>
      </c>
      <c r="AD66" s="225">
        <v>0</v>
      </c>
      <c r="AE66" s="225">
        <v>0</v>
      </c>
      <c r="AF66" s="225">
        <v>0</v>
      </c>
      <c r="AG66" s="225">
        <v>0</v>
      </c>
      <c r="AH66" s="225">
        <v>0</v>
      </c>
      <c r="AI66" s="225">
        <v>0</v>
      </c>
      <c r="AJ66" s="225">
        <v>0</v>
      </c>
      <c r="AK66" s="226">
        <f t="shared" si="17"/>
        <v>0</v>
      </c>
      <c r="AL66" s="73" t="e">
        <f t="shared" si="15"/>
        <v>#DIV/0!</v>
      </c>
      <c r="AM66" s="14">
        <f t="shared" si="5"/>
        <v>0</v>
      </c>
      <c r="AN66" s="9"/>
    </row>
    <row r="67" spans="1:40" hidden="1" outlineLevel="1">
      <c r="A67" s="12" t="s">
        <v>146</v>
      </c>
      <c r="B67" s="8" t="s">
        <v>88</v>
      </c>
      <c r="I67" t="s">
        <v>172</v>
      </c>
      <c r="J67" s="225"/>
      <c r="K67" s="225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6">
        <f t="shared" si="16"/>
        <v>0</v>
      </c>
      <c r="W67" s="73" t="e">
        <f t="shared" si="13"/>
        <v>#DIV/0!</v>
      </c>
      <c r="X67" s="89"/>
      <c r="Y67" s="225">
        <v>0</v>
      </c>
      <c r="Z67" s="225">
        <v>0</v>
      </c>
      <c r="AA67" s="225">
        <v>0</v>
      </c>
      <c r="AB67" s="225">
        <v>0</v>
      </c>
      <c r="AC67" s="225">
        <v>0</v>
      </c>
      <c r="AD67" s="225">
        <v>0</v>
      </c>
      <c r="AE67" s="225">
        <v>0</v>
      </c>
      <c r="AF67" s="225">
        <v>0</v>
      </c>
      <c r="AG67" s="225">
        <v>0</v>
      </c>
      <c r="AH67" s="225">
        <v>0</v>
      </c>
      <c r="AI67" s="225">
        <v>0</v>
      </c>
      <c r="AJ67" s="225">
        <v>0</v>
      </c>
      <c r="AK67" s="226">
        <f t="shared" si="17"/>
        <v>0</v>
      </c>
      <c r="AL67" s="73" t="e">
        <f t="shared" si="15"/>
        <v>#DIV/0!</v>
      </c>
      <c r="AM67" s="14">
        <f t="shared" si="5"/>
        <v>0</v>
      </c>
      <c r="AN67" s="9"/>
    </row>
    <row r="68" spans="1:40" hidden="1" outlineLevel="1">
      <c r="A68" s="12" t="s">
        <v>146</v>
      </c>
      <c r="B68" s="8" t="s">
        <v>88</v>
      </c>
      <c r="I68" t="s">
        <v>173</v>
      </c>
      <c r="J68" s="225"/>
      <c r="K68" s="225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6">
        <f t="shared" si="16"/>
        <v>0</v>
      </c>
      <c r="W68" s="73" t="e">
        <f t="shared" si="13"/>
        <v>#DIV/0!</v>
      </c>
      <c r="X68" s="89"/>
      <c r="Y68" s="225">
        <v>0</v>
      </c>
      <c r="Z68" s="225">
        <v>0</v>
      </c>
      <c r="AA68" s="225">
        <v>0</v>
      </c>
      <c r="AB68" s="225">
        <v>0</v>
      </c>
      <c r="AC68" s="225">
        <v>0</v>
      </c>
      <c r="AD68" s="225">
        <v>0</v>
      </c>
      <c r="AE68" s="225">
        <v>0</v>
      </c>
      <c r="AF68" s="225">
        <v>0</v>
      </c>
      <c r="AG68" s="225">
        <v>0</v>
      </c>
      <c r="AH68" s="225">
        <v>0</v>
      </c>
      <c r="AI68" s="225">
        <v>0</v>
      </c>
      <c r="AJ68" s="225">
        <v>0</v>
      </c>
      <c r="AK68" s="226">
        <f t="shared" si="17"/>
        <v>0</v>
      </c>
      <c r="AL68" s="73" t="e">
        <f t="shared" si="15"/>
        <v>#DIV/0!</v>
      </c>
      <c r="AM68" s="14">
        <f t="shared" si="5"/>
        <v>0</v>
      </c>
      <c r="AN68" s="9"/>
    </row>
    <row r="69" spans="1:40" hidden="1" outlineLevel="1">
      <c r="A69" s="12" t="s">
        <v>146</v>
      </c>
      <c r="B69" s="8" t="s">
        <v>88</v>
      </c>
      <c r="I69" t="s">
        <v>175</v>
      </c>
      <c r="J69" s="225"/>
      <c r="K69" s="225"/>
      <c r="L69" s="225"/>
      <c r="M69" s="225"/>
      <c r="N69" s="225"/>
      <c r="O69" s="225"/>
      <c r="P69" s="225"/>
      <c r="Q69" s="225"/>
      <c r="R69" s="225"/>
      <c r="S69" s="225"/>
      <c r="T69" s="225"/>
      <c r="U69" s="225"/>
      <c r="V69" s="226">
        <f t="shared" si="16"/>
        <v>0</v>
      </c>
      <c r="W69" s="73" t="e">
        <f t="shared" si="13"/>
        <v>#DIV/0!</v>
      </c>
      <c r="X69" s="89"/>
      <c r="Y69" s="225">
        <v>0</v>
      </c>
      <c r="Z69" s="225">
        <v>0</v>
      </c>
      <c r="AA69" s="225">
        <v>0</v>
      </c>
      <c r="AB69" s="225">
        <v>0</v>
      </c>
      <c r="AC69" s="225">
        <v>0</v>
      </c>
      <c r="AD69" s="225">
        <v>0</v>
      </c>
      <c r="AE69" s="225">
        <v>0</v>
      </c>
      <c r="AF69" s="225">
        <v>0</v>
      </c>
      <c r="AG69" s="225">
        <v>0</v>
      </c>
      <c r="AH69" s="225">
        <v>0</v>
      </c>
      <c r="AI69" s="225">
        <v>0</v>
      </c>
      <c r="AJ69" s="225">
        <v>0</v>
      </c>
      <c r="AK69" s="226">
        <f t="shared" si="17"/>
        <v>0</v>
      </c>
      <c r="AL69" s="73" t="e">
        <f t="shared" si="15"/>
        <v>#DIV/0!</v>
      </c>
      <c r="AM69" s="14">
        <f t="shared" si="5"/>
        <v>0</v>
      </c>
      <c r="AN69" s="9"/>
    </row>
    <row r="70" spans="1:40" hidden="1" outlineLevel="1">
      <c r="A70" s="12" t="s">
        <v>146</v>
      </c>
      <c r="B70" s="8" t="s">
        <v>88</v>
      </c>
      <c r="I70" t="s">
        <v>176</v>
      </c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225"/>
      <c r="U70" s="225"/>
      <c r="V70" s="226">
        <f t="shared" si="16"/>
        <v>0</v>
      </c>
      <c r="W70" s="73" t="e">
        <f t="shared" si="13"/>
        <v>#DIV/0!</v>
      </c>
      <c r="X70" s="89"/>
      <c r="Y70" s="225">
        <v>0</v>
      </c>
      <c r="Z70" s="225">
        <v>0</v>
      </c>
      <c r="AA70" s="225">
        <v>0</v>
      </c>
      <c r="AB70" s="225">
        <v>0</v>
      </c>
      <c r="AC70" s="225">
        <v>0</v>
      </c>
      <c r="AD70" s="225">
        <v>0</v>
      </c>
      <c r="AE70" s="225">
        <v>0</v>
      </c>
      <c r="AF70" s="225">
        <v>0</v>
      </c>
      <c r="AG70" s="225">
        <v>0</v>
      </c>
      <c r="AH70" s="225">
        <v>0</v>
      </c>
      <c r="AI70" s="225">
        <v>0</v>
      </c>
      <c r="AJ70" s="225">
        <v>0</v>
      </c>
      <c r="AK70" s="226">
        <f t="shared" si="17"/>
        <v>0</v>
      </c>
      <c r="AL70" s="73" t="e">
        <f t="shared" si="15"/>
        <v>#DIV/0!</v>
      </c>
      <c r="AM70" s="14">
        <f t="shared" si="5"/>
        <v>0</v>
      </c>
      <c r="AN70" s="9"/>
    </row>
    <row r="71" spans="1:40" hidden="1" outlineLevel="1">
      <c r="A71" s="12" t="s">
        <v>146</v>
      </c>
      <c r="B71" s="8" t="s">
        <v>88</v>
      </c>
      <c r="I71" t="s">
        <v>178</v>
      </c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6">
        <f t="shared" si="16"/>
        <v>0</v>
      </c>
      <c r="W71" s="73" t="e">
        <f t="shared" si="13"/>
        <v>#DIV/0!</v>
      </c>
      <c r="X71" s="89"/>
      <c r="Y71" s="225">
        <v>0</v>
      </c>
      <c r="Z71" s="225">
        <v>0</v>
      </c>
      <c r="AA71" s="225">
        <v>0</v>
      </c>
      <c r="AB71" s="225">
        <v>0</v>
      </c>
      <c r="AC71" s="225">
        <v>0</v>
      </c>
      <c r="AD71" s="225">
        <v>0</v>
      </c>
      <c r="AE71" s="225">
        <v>0</v>
      </c>
      <c r="AF71" s="225">
        <v>0</v>
      </c>
      <c r="AG71" s="225">
        <v>0</v>
      </c>
      <c r="AH71" s="225">
        <v>0</v>
      </c>
      <c r="AI71" s="225">
        <v>0</v>
      </c>
      <c r="AJ71" s="225">
        <v>0</v>
      </c>
      <c r="AK71" s="226">
        <f t="shared" si="17"/>
        <v>0</v>
      </c>
      <c r="AL71" s="73" t="e">
        <f t="shared" si="15"/>
        <v>#DIV/0!</v>
      </c>
      <c r="AM71" s="14">
        <f t="shared" si="5"/>
        <v>0</v>
      </c>
      <c r="AN71" s="9"/>
    </row>
    <row r="72" spans="1:40" hidden="1" outlineLevel="1">
      <c r="A72" s="12" t="s">
        <v>146</v>
      </c>
      <c r="B72" s="8" t="s">
        <v>88</v>
      </c>
      <c r="I72" t="s">
        <v>163</v>
      </c>
      <c r="J72" s="225"/>
      <c r="K72" s="225"/>
      <c r="L72" s="225"/>
      <c r="M72" s="225"/>
      <c r="N72" s="225"/>
      <c r="O72" s="225"/>
      <c r="P72" s="225"/>
      <c r="Q72" s="225"/>
      <c r="R72" s="225"/>
      <c r="S72" s="225"/>
      <c r="T72" s="225"/>
      <c r="U72" s="225"/>
      <c r="V72" s="226">
        <f t="shared" si="16"/>
        <v>0</v>
      </c>
      <c r="W72" s="73" t="e">
        <f t="shared" si="13"/>
        <v>#DIV/0!</v>
      </c>
      <c r="X72" s="89"/>
      <c r="Y72" s="225">
        <v>0</v>
      </c>
      <c r="Z72" s="225">
        <v>0</v>
      </c>
      <c r="AA72" s="225">
        <v>0</v>
      </c>
      <c r="AB72" s="225">
        <v>0</v>
      </c>
      <c r="AC72" s="225">
        <v>0</v>
      </c>
      <c r="AD72" s="225">
        <v>0</v>
      </c>
      <c r="AE72" s="225">
        <v>0</v>
      </c>
      <c r="AF72" s="225">
        <v>0</v>
      </c>
      <c r="AG72" s="225">
        <v>0</v>
      </c>
      <c r="AH72" s="225">
        <v>0</v>
      </c>
      <c r="AI72" s="225">
        <v>0</v>
      </c>
      <c r="AJ72" s="225">
        <v>0</v>
      </c>
      <c r="AK72" s="226">
        <f t="shared" si="17"/>
        <v>0</v>
      </c>
      <c r="AL72" s="73" t="e">
        <f t="shared" si="15"/>
        <v>#DIV/0!</v>
      </c>
      <c r="AM72" s="14">
        <f t="shared" si="5"/>
        <v>0</v>
      </c>
      <c r="AN72" s="9"/>
    </row>
    <row r="73" spans="1:40" hidden="1" outlineLevel="1">
      <c r="A73" s="12"/>
      <c r="I73" t="s">
        <v>360</v>
      </c>
      <c r="J73" s="225"/>
      <c r="K73" s="225"/>
      <c r="L73" s="225"/>
      <c r="M73" s="225"/>
      <c r="N73" s="225"/>
      <c r="O73" s="225"/>
      <c r="P73" s="225"/>
      <c r="Q73" s="225"/>
      <c r="R73" s="225"/>
      <c r="S73" s="225"/>
      <c r="T73" s="225"/>
      <c r="U73" s="225"/>
      <c r="V73" s="226"/>
      <c r="W73" s="73"/>
      <c r="X73" s="89"/>
      <c r="Y73" s="225"/>
      <c r="Z73" s="225"/>
      <c r="AA73" s="225"/>
      <c r="AB73" s="225"/>
      <c r="AC73" s="225"/>
      <c r="AD73" s="225"/>
      <c r="AE73" s="225"/>
      <c r="AF73" s="225"/>
      <c r="AG73" s="225"/>
      <c r="AH73" s="225"/>
      <c r="AI73" s="225"/>
      <c r="AJ73" s="225"/>
      <c r="AK73" s="226"/>
      <c r="AL73" s="73"/>
      <c r="AM73" s="14"/>
      <c r="AN73" s="9"/>
    </row>
    <row r="74" spans="1:40" hidden="1" outlineLevel="1">
      <c r="A74" s="12"/>
      <c r="I74" t="s">
        <v>179</v>
      </c>
      <c r="J74" s="225"/>
      <c r="K74" s="225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6"/>
      <c r="W74" s="73"/>
      <c r="X74" s="89"/>
      <c r="Y74" s="225"/>
      <c r="Z74" s="225"/>
      <c r="AA74" s="225"/>
      <c r="AB74" s="225"/>
      <c r="AC74" s="225"/>
      <c r="AD74" s="225"/>
      <c r="AE74" s="225"/>
      <c r="AF74" s="225"/>
      <c r="AG74" s="225"/>
      <c r="AH74" s="225"/>
      <c r="AI74" s="225"/>
      <c r="AJ74" s="225"/>
      <c r="AK74" s="226"/>
      <c r="AL74" s="73"/>
      <c r="AM74" s="14"/>
      <c r="AN74" s="9"/>
    </row>
    <row r="75" spans="1:40" hidden="1" outlineLevel="1">
      <c r="A75" s="12"/>
      <c r="I75" t="s">
        <v>180</v>
      </c>
      <c r="J75" s="225"/>
      <c r="K75" s="225"/>
      <c r="L75" s="225"/>
      <c r="M75" s="225"/>
      <c r="N75" s="225"/>
      <c r="O75" s="225"/>
      <c r="P75" s="225"/>
      <c r="Q75" s="225"/>
      <c r="R75" s="225"/>
      <c r="S75" s="225"/>
      <c r="T75" s="225"/>
      <c r="U75" s="225"/>
      <c r="V75" s="226"/>
      <c r="W75" s="73"/>
      <c r="X75" s="89"/>
      <c r="Y75" s="225"/>
      <c r="Z75" s="225"/>
      <c r="AA75" s="225"/>
      <c r="AB75" s="225"/>
      <c r="AC75" s="225"/>
      <c r="AD75" s="225"/>
      <c r="AE75" s="225"/>
      <c r="AF75" s="225"/>
      <c r="AG75" s="225"/>
      <c r="AH75" s="225"/>
      <c r="AI75" s="225"/>
      <c r="AJ75" s="225"/>
      <c r="AK75" s="226"/>
      <c r="AL75" s="73"/>
      <c r="AM75" s="14"/>
      <c r="AN75" s="9"/>
    </row>
    <row r="76" spans="1:40" hidden="1" outlineLevel="1">
      <c r="A76" s="12"/>
      <c r="I76" t="s">
        <v>181</v>
      </c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225"/>
      <c r="U76" s="225"/>
      <c r="V76" s="226"/>
      <c r="W76" s="73"/>
      <c r="X76" s="89"/>
      <c r="Y76" s="225"/>
      <c r="Z76" s="225"/>
      <c r="AA76" s="225"/>
      <c r="AB76" s="225"/>
      <c r="AC76" s="225"/>
      <c r="AD76" s="225"/>
      <c r="AE76" s="225"/>
      <c r="AF76" s="225"/>
      <c r="AG76" s="225"/>
      <c r="AH76" s="225"/>
      <c r="AI76" s="225"/>
      <c r="AJ76" s="225"/>
      <c r="AK76" s="226"/>
      <c r="AL76" s="73"/>
      <c r="AM76" s="14"/>
      <c r="AN76" s="9"/>
    </row>
    <row r="77" spans="1:40" hidden="1" outlineLevel="1">
      <c r="A77" s="12"/>
      <c r="I77" t="s">
        <v>182</v>
      </c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225"/>
      <c r="U77" s="225"/>
      <c r="V77" s="226"/>
      <c r="W77" s="73"/>
      <c r="X77" s="89"/>
      <c r="Y77" s="225"/>
      <c r="Z77" s="225"/>
      <c r="AA77" s="225"/>
      <c r="AB77" s="225"/>
      <c r="AC77" s="225"/>
      <c r="AD77" s="225"/>
      <c r="AE77" s="225"/>
      <c r="AF77" s="225"/>
      <c r="AG77" s="225"/>
      <c r="AH77" s="225"/>
      <c r="AI77" s="225"/>
      <c r="AJ77" s="225"/>
      <c r="AK77" s="226"/>
      <c r="AL77" s="73"/>
      <c r="AM77" s="14"/>
      <c r="AN77" s="9"/>
    </row>
    <row r="78" spans="1:40" hidden="1" outlineLevel="1">
      <c r="A78" s="12"/>
      <c r="I78" t="s">
        <v>183</v>
      </c>
      <c r="J78" s="225"/>
      <c r="K78" s="225"/>
      <c r="L78" s="225"/>
      <c r="M78" s="225"/>
      <c r="N78" s="225"/>
      <c r="O78" s="225"/>
      <c r="P78" s="225"/>
      <c r="Q78" s="225"/>
      <c r="R78" s="225"/>
      <c r="S78" s="225"/>
      <c r="T78" s="225"/>
      <c r="U78" s="225"/>
      <c r="V78" s="226"/>
      <c r="W78" s="73"/>
      <c r="X78" s="89"/>
      <c r="Y78" s="225"/>
      <c r="Z78" s="225"/>
      <c r="AA78" s="225"/>
      <c r="AB78" s="225"/>
      <c r="AC78" s="225"/>
      <c r="AD78" s="225"/>
      <c r="AE78" s="225"/>
      <c r="AF78" s="225"/>
      <c r="AG78" s="225"/>
      <c r="AH78" s="225"/>
      <c r="AI78" s="225"/>
      <c r="AJ78" s="225"/>
      <c r="AK78" s="226"/>
      <c r="AL78" s="73"/>
      <c r="AM78" s="14"/>
      <c r="AN78" s="9"/>
    </row>
    <row r="79" spans="1:40" hidden="1" outlineLevel="1">
      <c r="A79" s="12"/>
      <c r="I79" t="s">
        <v>184</v>
      </c>
      <c r="J79" s="225"/>
      <c r="K79" s="225"/>
      <c r="L79" s="225"/>
      <c r="M79" s="225"/>
      <c r="N79" s="225"/>
      <c r="O79" s="225"/>
      <c r="P79" s="225"/>
      <c r="Q79" s="225"/>
      <c r="R79" s="225"/>
      <c r="S79" s="225"/>
      <c r="T79" s="225"/>
      <c r="U79" s="225"/>
      <c r="V79" s="226"/>
      <c r="W79" s="73"/>
      <c r="X79" s="89"/>
      <c r="Y79" s="225"/>
      <c r="Z79" s="225"/>
      <c r="AA79" s="225"/>
      <c r="AB79" s="225"/>
      <c r="AC79" s="225"/>
      <c r="AD79" s="225"/>
      <c r="AE79" s="225"/>
      <c r="AF79" s="225"/>
      <c r="AG79" s="225"/>
      <c r="AH79" s="225"/>
      <c r="AI79" s="225"/>
      <c r="AJ79" s="225"/>
      <c r="AK79" s="226"/>
      <c r="AL79" s="73"/>
      <c r="AM79" s="14"/>
      <c r="AN79" s="9"/>
    </row>
    <row r="80" spans="1:40" hidden="1" outlineLevel="1">
      <c r="A80" s="12"/>
      <c r="I80" t="s">
        <v>161</v>
      </c>
      <c r="J80" s="225"/>
      <c r="K80" s="225"/>
      <c r="L80" s="225"/>
      <c r="M80" s="225"/>
      <c r="N80" s="225"/>
      <c r="O80" s="225"/>
      <c r="P80" s="225"/>
      <c r="Q80" s="225"/>
      <c r="R80" s="225"/>
      <c r="S80" s="225"/>
      <c r="T80" s="225"/>
      <c r="U80" s="225"/>
      <c r="V80" s="226"/>
      <c r="W80" s="73"/>
      <c r="X80" s="89"/>
      <c r="Y80" s="225"/>
      <c r="Z80" s="225"/>
      <c r="AA80" s="225"/>
      <c r="AB80" s="225"/>
      <c r="AC80" s="225"/>
      <c r="AD80" s="225"/>
      <c r="AE80" s="225"/>
      <c r="AF80" s="225"/>
      <c r="AG80" s="225"/>
      <c r="AH80" s="225"/>
      <c r="AI80" s="225"/>
      <c r="AJ80" s="225"/>
      <c r="AK80" s="226"/>
      <c r="AL80" s="73"/>
      <c r="AM80" s="14"/>
      <c r="AN80" s="9"/>
    </row>
    <row r="81" spans="1:40" hidden="1" outlineLevel="1">
      <c r="A81" s="12"/>
      <c r="I81" t="s">
        <v>162</v>
      </c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6"/>
      <c r="W81" s="73"/>
      <c r="X81" s="89"/>
      <c r="Y81" s="225"/>
      <c r="Z81" s="225"/>
      <c r="AA81" s="225"/>
      <c r="AB81" s="225"/>
      <c r="AC81" s="225"/>
      <c r="AD81" s="225"/>
      <c r="AE81" s="225"/>
      <c r="AF81" s="225"/>
      <c r="AG81" s="225"/>
      <c r="AH81" s="225"/>
      <c r="AI81" s="225"/>
      <c r="AJ81" s="225"/>
      <c r="AK81" s="226"/>
      <c r="AL81" s="73"/>
      <c r="AM81" s="14"/>
      <c r="AN81" s="9"/>
    </row>
    <row r="82" spans="1:40" hidden="1" outlineLevel="1">
      <c r="A82" s="12"/>
      <c r="I82" t="s">
        <v>277</v>
      </c>
      <c r="J82" s="225"/>
      <c r="K82" s="225"/>
      <c r="L82" s="225"/>
      <c r="M82" s="225"/>
      <c r="N82" s="225"/>
      <c r="O82" s="225"/>
      <c r="P82" s="225"/>
      <c r="Q82" s="225"/>
      <c r="R82" s="225"/>
      <c r="S82" s="225"/>
      <c r="T82" s="225"/>
      <c r="U82" s="225"/>
      <c r="V82" s="226"/>
      <c r="W82" s="73"/>
      <c r="X82" s="89"/>
      <c r="Y82" s="225"/>
      <c r="Z82" s="225"/>
      <c r="AA82" s="225"/>
      <c r="AB82" s="225"/>
      <c r="AC82" s="225"/>
      <c r="AD82" s="225"/>
      <c r="AE82" s="225"/>
      <c r="AF82" s="225"/>
      <c r="AG82" s="225"/>
      <c r="AH82" s="225"/>
      <c r="AI82" s="225"/>
      <c r="AJ82" s="225"/>
      <c r="AK82" s="226"/>
      <c r="AL82" s="73"/>
      <c r="AM82" s="14"/>
      <c r="AN82" s="9"/>
    </row>
    <row r="83" spans="1:40" hidden="1" outlineLevel="1">
      <c r="A83" s="12"/>
      <c r="I83" t="s">
        <v>188</v>
      </c>
      <c r="J83" s="225"/>
      <c r="K83" s="225"/>
      <c r="L83" s="225"/>
      <c r="M83" s="225"/>
      <c r="N83" s="225"/>
      <c r="O83" s="225"/>
      <c r="P83" s="225"/>
      <c r="Q83" s="225"/>
      <c r="R83" s="225"/>
      <c r="S83" s="225"/>
      <c r="T83" s="225"/>
      <c r="U83" s="225"/>
      <c r="V83" s="226"/>
      <c r="W83" s="73"/>
      <c r="X83" s="89"/>
      <c r="Y83" s="225"/>
      <c r="Z83" s="225"/>
      <c r="AA83" s="225"/>
      <c r="AB83" s="225"/>
      <c r="AC83" s="225"/>
      <c r="AD83" s="225"/>
      <c r="AE83" s="225"/>
      <c r="AF83" s="225"/>
      <c r="AG83" s="225"/>
      <c r="AH83" s="225"/>
      <c r="AI83" s="225"/>
      <c r="AJ83" s="225"/>
      <c r="AK83" s="226"/>
      <c r="AL83" s="73"/>
      <c r="AM83" s="14"/>
      <c r="AN83" s="9"/>
    </row>
    <row r="84" spans="1:40" hidden="1" outlineLevel="1">
      <c r="A84" s="12"/>
      <c r="I84" t="s">
        <v>174</v>
      </c>
      <c r="J84" s="225"/>
      <c r="K84" s="225"/>
      <c r="L84" s="225"/>
      <c r="M84" s="225"/>
      <c r="N84" s="225"/>
      <c r="O84" s="225"/>
      <c r="P84" s="225"/>
      <c r="Q84" s="225"/>
      <c r="R84" s="225"/>
      <c r="S84" s="225"/>
      <c r="T84" s="225"/>
      <c r="U84" s="225"/>
      <c r="V84" s="226"/>
      <c r="W84" s="73"/>
      <c r="X84" s="89"/>
      <c r="Y84" s="225"/>
      <c r="Z84" s="225"/>
      <c r="AA84" s="225"/>
      <c r="AB84" s="225"/>
      <c r="AC84" s="225"/>
      <c r="AD84" s="225"/>
      <c r="AE84" s="225"/>
      <c r="AF84" s="225"/>
      <c r="AG84" s="225"/>
      <c r="AH84" s="225"/>
      <c r="AI84" s="225"/>
      <c r="AJ84" s="225"/>
      <c r="AK84" s="226"/>
      <c r="AL84" s="73"/>
      <c r="AM84" s="14"/>
      <c r="AN84" s="9"/>
    </row>
    <row r="85" spans="1:40" hidden="1" outlineLevel="1">
      <c r="A85" s="12"/>
      <c r="I85" t="s">
        <v>185</v>
      </c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225"/>
      <c r="U85" s="225"/>
      <c r="V85" s="226"/>
      <c r="W85" s="73"/>
      <c r="X85" s="89"/>
      <c r="Y85" s="225"/>
      <c r="Z85" s="225"/>
      <c r="AA85" s="225"/>
      <c r="AB85" s="225"/>
      <c r="AC85" s="225"/>
      <c r="AD85" s="225"/>
      <c r="AE85" s="225"/>
      <c r="AF85" s="225"/>
      <c r="AG85" s="225"/>
      <c r="AH85" s="225"/>
      <c r="AI85" s="225"/>
      <c r="AJ85" s="225"/>
      <c r="AK85" s="226"/>
      <c r="AL85" s="73"/>
      <c r="AM85" s="14"/>
      <c r="AN85" s="9"/>
    </row>
    <row r="86" spans="1:40" hidden="1" outlineLevel="1">
      <c r="A86" s="12"/>
      <c r="I86" t="s">
        <v>186</v>
      </c>
      <c r="J86" s="225"/>
      <c r="K86" s="225"/>
      <c r="L86" s="225"/>
      <c r="M86" s="225"/>
      <c r="N86" s="225"/>
      <c r="O86" s="225"/>
      <c r="P86" s="225"/>
      <c r="Q86" s="225"/>
      <c r="R86" s="225"/>
      <c r="S86" s="225"/>
      <c r="T86" s="225"/>
      <c r="U86" s="225"/>
      <c r="V86" s="226"/>
      <c r="W86" s="73"/>
      <c r="X86" s="89"/>
      <c r="Y86" s="225"/>
      <c r="Z86" s="225"/>
      <c r="AA86" s="225"/>
      <c r="AB86" s="225"/>
      <c r="AC86" s="225"/>
      <c r="AD86" s="225"/>
      <c r="AE86" s="225"/>
      <c r="AF86" s="225"/>
      <c r="AG86" s="225"/>
      <c r="AH86" s="225"/>
      <c r="AI86" s="225"/>
      <c r="AJ86" s="225"/>
      <c r="AK86" s="226"/>
      <c r="AL86" s="73"/>
      <c r="AM86" s="14"/>
      <c r="AN86" s="9"/>
    </row>
    <row r="87" spans="1:40" hidden="1" outlineLevel="1">
      <c r="A87" s="12"/>
      <c r="I87" t="s">
        <v>194</v>
      </c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225"/>
      <c r="U87" s="225"/>
      <c r="V87" s="226"/>
      <c r="W87" s="73"/>
      <c r="X87" s="89"/>
      <c r="Y87" s="225"/>
      <c r="Z87" s="225"/>
      <c r="AA87" s="225"/>
      <c r="AB87" s="225"/>
      <c r="AC87" s="225"/>
      <c r="AD87" s="225"/>
      <c r="AE87" s="225"/>
      <c r="AF87" s="225"/>
      <c r="AG87" s="225"/>
      <c r="AH87" s="225"/>
      <c r="AI87" s="225"/>
      <c r="AJ87" s="225"/>
      <c r="AK87" s="226"/>
      <c r="AL87" s="73"/>
      <c r="AM87" s="14"/>
      <c r="AN87" s="9"/>
    </row>
    <row r="88" spans="1:40" collapsed="1">
      <c r="A88" s="12" t="s">
        <v>195</v>
      </c>
      <c r="B88" s="8" t="s">
        <v>88</v>
      </c>
      <c r="I88" s="144" t="s">
        <v>196</v>
      </c>
      <c r="J88" s="222"/>
      <c r="K88" s="222"/>
      <c r="L88" s="222"/>
      <c r="M88" s="222"/>
      <c r="N88" s="222"/>
      <c r="O88" s="222"/>
      <c r="P88" s="222"/>
      <c r="Q88" s="222"/>
      <c r="R88" s="222"/>
      <c r="S88" s="222"/>
      <c r="T88" s="222"/>
      <c r="U88" s="222"/>
      <c r="V88" s="222">
        <f>SUM(V89:V103)</f>
        <v>0</v>
      </c>
      <c r="W88" s="72" t="e">
        <f t="shared" si="13"/>
        <v>#DIV/0!</v>
      </c>
      <c r="X88" s="89"/>
      <c r="Y88" s="222">
        <f t="shared" ref="Y88:AK88" si="18">SUM(Y89:Y103)</f>
        <v>0</v>
      </c>
      <c r="Z88" s="222">
        <f t="shared" si="18"/>
        <v>0</v>
      </c>
      <c r="AA88" s="222">
        <f t="shared" si="18"/>
        <v>0</v>
      </c>
      <c r="AB88" s="222">
        <f t="shared" si="18"/>
        <v>0</v>
      </c>
      <c r="AC88" s="222">
        <f t="shared" si="18"/>
        <v>0</v>
      </c>
      <c r="AD88" s="222">
        <f t="shared" si="18"/>
        <v>0</v>
      </c>
      <c r="AE88" s="222">
        <f t="shared" si="18"/>
        <v>0</v>
      </c>
      <c r="AF88" s="222">
        <f t="shared" si="18"/>
        <v>0</v>
      </c>
      <c r="AG88" s="222">
        <f t="shared" si="18"/>
        <v>0</v>
      </c>
      <c r="AH88" s="222">
        <f t="shared" si="18"/>
        <v>0</v>
      </c>
      <c r="AI88" s="222">
        <f t="shared" si="18"/>
        <v>0</v>
      </c>
      <c r="AJ88" s="222">
        <f t="shared" si="18"/>
        <v>0</v>
      </c>
      <c r="AK88" s="222">
        <f t="shared" si="18"/>
        <v>0</v>
      </c>
      <c r="AL88" s="72" t="e">
        <f t="shared" si="15"/>
        <v>#DIV/0!</v>
      </c>
      <c r="AM88" s="10">
        <f t="shared" si="5"/>
        <v>0</v>
      </c>
      <c r="AN88" s="9"/>
    </row>
    <row r="89" spans="1:40" hidden="1" outlineLevel="1">
      <c r="A89" s="12" t="s">
        <v>195</v>
      </c>
      <c r="B89" s="8" t="s">
        <v>88</v>
      </c>
      <c r="E89" s="127"/>
      <c r="I89" t="s">
        <v>197</v>
      </c>
      <c r="J89" s="225"/>
      <c r="K89" s="225"/>
      <c r="L89" s="225"/>
      <c r="M89" s="225"/>
      <c r="N89" s="225"/>
      <c r="O89" s="225"/>
      <c r="P89" s="225"/>
      <c r="Q89" s="225"/>
      <c r="R89" s="225"/>
      <c r="S89" s="225"/>
      <c r="T89" s="225"/>
      <c r="U89" s="225"/>
      <c r="V89" s="226">
        <f>SUM(J89:U89)</f>
        <v>0</v>
      </c>
      <c r="W89" s="73" t="e">
        <f t="shared" si="13"/>
        <v>#DIV/0!</v>
      </c>
      <c r="X89" s="89"/>
      <c r="Y89" s="225"/>
      <c r="Z89" s="225"/>
      <c r="AA89" s="225"/>
      <c r="AB89" s="225"/>
      <c r="AC89" s="225"/>
      <c r="AD89" s="225"/>
      <c r="AE89" s="225"/>
      <c r="AF89" s="225"/>
      <c r="AG89" s="225"/>
      <c r="AH89" s="225"/>
      <c r="AI89" s="225"/>
      <c r="AJ89" s="225"/>
      <c r="AK89" s="226">
        <f>SUM(Y89:AJ89)</f>
        <v>0</v>
      </c>
      <c r="AL89" s="73" t="e">
        <f t="shared" si="15"/>
        <v>#DIV/0!</v>
      </c>
      <c r="AM89" s="14">
        <f t="shared" si="5"/>
        <v>0</v>
      </c>
      <c r="AN89" s="9"/>
    </row>
    <row r="90" spans="1:40" hidden="1" outlineLevel="1">
      <c r="A90" s="12" t="s">
        <v>195</v>
      </c>
      <c r="B90" s="8" t="s">
        <v>88</v>
      </c>
      <c r="E90" s="127"/>
      <c r="I90" t="s">
        <v>198</v>
      </c>
      <c r="J90" s="225"/>
      <c r="K90" s="225"/>
      <c r="L90" s="225"/>
      <c r="M90" s="225"/>
      <c r="N90" s="225"/>
      <c r="O90" s="225"/>
      <c r="P90" s="225"/>
      <c r="Q90" s="225"/>
      <c r="R90" s="225"/>
      <c r="S90" s="225"/>
      <c r="T90" s="225"/>
      <c r="U90" s="225"/>
      <c r="V90" s="226">
        <f t="shared" ref="V90:V103" si="19">SUM(J90:U90)</f>
        <v>0</v>
      </c>
      <c r="W90" s="73" t="e">
        <f t="shared" si="13"/>
        <v>#DIV/0!</v>
      </c>
      <c r="X90" s="89"/>
      <c r="Y90" s="225"/>
      <c r="Z90" s="225"/>
      <c r="AA90" s="225"/>
      <c r="AB90" s="225"/>
      <c r="AC90" s="225"/>
      <c r="AD90" s="225"/>
      <c r="AE90" s="225"/>
      <c r="AF90" s="225"/>
      <c r="AG90" s="225"/>
      <c r="AH90" s="225"/>
      <c r="AI90" s="225"/>
      <c r="AJ90" s="225"/>
      <c r="AK90" s="226">
        <f t="shared" ref="AK90:AK103" si="20">SUM(Y90:AJ90)</f>
        <v>0</v>
      </c>
      <c r="AL90" s="73" t="e">
        <f t="shared" si="15"/>
        <v>#DIV/0!</v>
      </c>
      <c r="AM90" s="14">
        <f t="shared" si="5"/>
        <v>0</v>
      </c>
      <c r="AN90" s="9"/>
    </row>
    <row r="91" spans="1:40" hidden="1" outlineLevel="1">
      <c r="A91" s="12" t="s">
        <v>195</v>
      </c>
      <c r="B91" s="8" t="s">
        <v>88</v>
      </c>
      <c r="E91" s="127"/>
      <c r="I91" t="s">
        <v>199</v>
      </c>
      <c r="J91" s="225"/>
      <c r="K91" s="225"/>
      <c r="L91" s="225"/>
      <c r="M91" s="225"/>
      <c r="N91" s="225"/>
      <c r="O91" s="225"/>
      <c r="P91" s="225"/>
      <c r="Q91" s="225"/>
      <c r="R91" s="225"/>
      <c r="S91" s="225"/>
      <c r="T91" s="225"/>
      <c r="U91" s="225"/>
      <c r="V91" s="226">
        <f t="shared" si="19"/>
        <v>0</v>
      </c>
      <c r="W91" s="73" t="e">
        <f t="shared" si="13"/>
        <v>#DIV/0!</v>
      </c>
      <c r="X91" s="89"/>
      <c r="Y91" s="225"/>
      <c r="Z91" s="225"/>
      <c r="AA91" s="225"/>
      <c r="AB91" s="225"/>
      <c r="AC91" s="225"/>
      <c r="AD91" s="225"/>
      <c r="AE91" s="225"/>
      <c r="AF91" s="225"/>
      <c r="AG91" s="225"/>
      <c r="AH91" s="225"/>
      <c r="AI91" s="225"/>
      <c r="AJ91" s="225"/>
      <c r="AK91" s="226">
        <f t="shared" si="20"/>
        <v>0</v>
      </c>
      <c r="AL91" s="73" t="e">
        <f t="shared" si="15"/>
        <v>#DIV/0!</v>
      </c>
      <c r="AM91" s="14">
        <f t="shared" si="5"/>
        <v>0</v>
      </c>
      <c r="AN91" s="9"/>
    </row>
    <row r="92" spans="1:40" hidden="1" outlineLevel="1">
      <c r="A92" s="12" t="s">
        <v>195</v>
      </c>
      <c r="B92" s="8" t="s">
        <v>88</v>
      </c>
      <c r="E92" s="127"/>
      <c r="I92" t="s">
        <v>200</v>
      </c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6">
        <f t="shared" si="19"/>
        <v>0</v>
      </c>
      <c r="W92" s="73" t="e">
        <f t="shared" si="13"/>
        <v>#DIV/0!</v>
      </c>
      <c r="X92" s="89"/>
      <c r="Y92" s="225"/>
      <c r="Z92" s="225"/>
      <c r="AA92" s="225"/>
      <c r="AB92" s="225"/>
      <c r="AC92" s="225"/>
      <c r="AD92" s="225"/>
      <c r="AE92" s="225"/>
      <c r="AF92" s="225"/>
      <c r="AG92" s="225"/>
      <c r="AH92" s="225"/>
      <c r="AI92" s="225"/>
      <c r="AJ92" s="225"/>
      <c r="AK92" s="226">
        <f t="shared" si="20"/>
        <v>0</v>
      </c>
      <c r="AL92" s="73" t="e">
        <f t="shared" si="15"/>
        <v>#DIV/0!</v>
      </c>
      <c r="AM92" s="14">
        <f t="shared" ref="AM92:AM189" si="21">IFERROR(AK92/V92-1,0)</f>
        <v>0</v>
      </c>
      <c r="AN92" s="9"/>
    </row>
    <row r="93" spans="1:40" hidden="1" outlineLevel="1">
      <c r="A93" s="12" t="s">
        <v>195</v>
      </c>
      <c r="B93" s="8" t="s">
        <v>88</v>
      </c>
      <c r="E93" s="127"/>
      <c r="I93" t="s">
        <v>209</v>
      </c>
      <c r="J93" s="225"/>
      <c r="K93" s="225"/>
      <c r="L93" s="225"/>
      <c r="M93" s="225"/>
      <c r="N93" s="225"/>
      <c r="O93" s="225"/>
      <c r="P93" s="225"/>
      <c r="Q93" s="225"/>
      <c r="R93" s="225"/>
      <c r="S93" s="225"/>
      <c r="T93" s="225"/>
      <c r="U93" s="225"/>
      <c r="V93" s="226">
        <f t="shared" si="19"/>
        <v>0</v>
      </c>
      <c r="W93" s="73" t="e">
        <f t="shared" si="13"/>
        <v>#DIV/0!</v>
      </c>
      <c r="X93" s="89"/>
      <c r="Y93" s="225"/>
      <c r="Z93" s="225"/>
      <c r="AA93" s="225"/>
      <c r="AB93" s="225"/>
      <c r="AC93" s="225"/>
      <c r="AD93" s="225"/>
      <c r="AE93" s="225"/>
      <c r="AF93" s="225"/>
      <c r="AG93" s="225"/>
      <c r="AH93" s="225"/>
      <c r="AI93" s="225"/>
      <c r="AJ93" s="225"/>
      <c r="AK93" s="226">
        <f t="shared" si="20"/>
        <v>0</v>
      </c>
      <c r="AL93" s="73" t="e">
        <f t="shared" si="15"/>
        <v>#DIV/0!</v>
      </c>
      <c r="AM93" s="14">
        <f t="shared" si="21"/>
        <v>0</v>
      </c>
      <c r="AN93" s="9"/>
    </row>
    <row r="94" spans="1:40" hidden="1" outlineLevel="1">
      <c r="A94" s="12" t="s">
        <v>195</v>
      </c>
      <c r="B94" s="8" t="s">
        <v>88</v>
      </c>
      <c r="E94" s="127"/>
      <c r="I94" t="s">
        <v>202</v>
      </c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6">
        <f t="shared" si="19"/>
        <v>0</v>
      </c>
      <c r="W94" s="73" t="e">
        <f t="shared" si="13"/>
        <v>#DIV/0!</v>
      </c>
      <c r="X94" s="89"/>
      <c r="Y94" s="225"/>
      <c r="Z94" s="225"/>
      <c r="AA94" s="225"/>
      <c r="AB94" s="225"/>
      <c r="AC94" s="225"/>
      <c r="AD94" s="225"/>
      <c r="AE94" s="225"/>
      <c r="AF94" s="225"/>
      <c r="AG94" s="225"/>
      <c r="AH94" s="225"/>
      <c r="AI94" s="225"/>
      <c r="AJ94" s="225"/>
      <c r="AK94" s="226">
        <f t="shared" si="20"/>
        <v>0</v>
      </c>
      <c r="AL94" s="73" t="e">
        <f t="shared" si="15"/>
        <v>#DIV/0!</v>
      </c>
      <c r="AM94" s="14">
        <f t="shared" si="21"/>
        <v>0</v>
      </c>
      <c r="AN94" s="9"/>
    </row>
    <row r="95" spans="1:40" hidden="1" outlineLevel="1">
      <c r="A95" s="12" t="s">
        <v>195</v>
      </c>
      <c r="B95" s="8" t="s">
        <v>88</v>
      </c>
      <c r="E95" s="127"/>
      <c r="I95" t="s">
        <v>203</v>
      </c>
      <c r="J95" s="225"/>
      <c r="K95" s="225"/>
      <c r="L95" s="225"/>
      <c r="M95" s="225"/>
      <c r="N95" s="225"/>
      <c r="O95" s="225"/>
      <c r="P95" s="225"/>
      <c r="Q95" s="225"/>
      <c r="R95" s="225"/>
      <c r="S95" s="225"/>
      <c r="T95" s="225"/>
      <c r="U95" s="225"/>
      <c r="V95" s="226">
        <f t="shared" si="19"/>
        <v>0</v>
      </c>
      <c r="W95" s="73" t="e">
        <f t="shared" si="13"/>
        <v>#DIV/0!</v>
      </c>
      <c r="X95" s="89"/>
      <c r="Y95" s="225"/>
      <c r="Z95" s="225"/>
      <c r="AA95" s="225"/>
      <c r="AB95" s="225"/>
      <c r="AC95" s="225"/>
      <c r="AD95" s="225"/>
      <c r="AE95" s="225"/>
      <c r="AF95" s="225"/>
      <c r="AG95" s="225"/>
      <c r="AH95" s="225"/>
      <c r="AI95" s="225"/>
      <c r="AJ95" s="225"/>
      <c r="AK95" s="226">
        <f t="shared" si="20"/>
        <v>0</v>
      </c>
      <c r="AL95" s="73" t="e">
        <f t="shared" si="15"/>
        <v>#DIV/0!</v>
      </c>
      <c r="AM95" s="14">
        <f t="shared" si="21"/>
        <v>0</v>
      </c>
      <c r="AN95" s="9"/>
    </row>
    <row r="96" spans="1:40" hidden="1" outlineLevel="1">
      <c r="A96" s="12" t="s">
        <v>195</v>
      </c>
      <c r="B96" s="8" t="s">
        <v>88</v>
      </c>
      <c r="E96" s="127"/>
      <c r="I96" t="s">
        <v>204</v>
      </c>
      <c r="J96" s="225"/>
      <c r="K96" s="225"/>
      <c r="L96" s="225"/>
      <c r="M96" s="225"/>
      <c r="N96" s="225"/>
      <c r="O96" s="225"/>
      <c r="P96" s="225"/>
      <c r="Q96" s="225"/>
      <c r="R96" s="225"/>
      <c r="S96" s="225"/>
      <c r="T96" s="225"/>
      <c r="U96" s="225"/>
      <c r="V96" s="226">
        <f t="shared" si="19"/>
        <v>0</v>
      </c>
      <c r="W96" s="73" t="e">
        <f t="shared" si="13"/>
        <v>#DIV/0!</v>
      </c>
      <c r="X96" s="89"/>
      <c r="Y96" s="225"/>
      <c r="Z96" s="225"/>
      <c r="AA96" s="225"/>
      <c r="AB96" s="225"/>
      <c r="AC96" s="225"/>
      <c r="AD96" s="225"/>
      <c r="AE96" s="225"/>
      <c r="AF96" s="225"/>
      <c r="AG96" s="225"/>
      <c r="AH96" s="225"/>
      <c r="AI96" s="225"/>
      <c r="AJ96" s="225"/>
      <c r="AK96" s="226">
        <f t="shared" si="20"/>
        <v>0</v>
      </c>
      <c r="AL96" s="73" t="e">
        <f t="shared" si="15"/>
        <v>#DIV/0!</v>
      </c>
      <c r="AM96" s="14">
        <f t="shared" si="21"/>
        <v>0</v>
      </c>
      <c r="AN96" s="9"/>
    </row>
    <row r="97" spans="1:40" hidden="1" outlineLevel="1">
      <c r="A97" s="12" t="s">
        <v>195</v>
      </c>
      <c r="B97" s="8" t="s">
        <v>88</v>
      </c>
      <c r="E97" s="127"/>
      <c r="I97" t="s">
        <v>205</v>
      </c>
      <c r="J97" s="225"/>
      <c r="K97" s="225"/>
      <c r="L97" s="225"/>
      <c r="M97" s="225"/>
      <c r="N97" s="225"/>
      <c r="O97" s="225"/>
      <c r="P97" s="225"/>
      <c r="Q97" s="225"/>
      <c r="R97" s="225"/>
      <c r="S97" s="225"/>
      <c r="T97" s="225"/>
      <c r="U97" s="225"/>
      <c r="V97" s="226">
        <f t="shared" si="19"/>
        <v>0</v>
      </c>
      <c r="W97" s="73" t="e">
        <f t="shared" si="13"/>
        <v>#DIV/0!</v>
      </c>
      <c r="X97" s="89"/>
      <c r="Y97" s="225"/>
      <c r="Z97" s="225"/>
      <c r="AA97" s="225"/>
      <c r="AB97" s="225"/>
      <c r="AC97" s="225"/>
      <c r="AD97" s="225"/>
      <c r="AE97" s="225"/>
      <c r="AF97" s="225"/>
      <c r="AG97" s="225"/>
      <c r="AH97" s="225"/>
      <c r="AI97" s="225"/>
      <c r="AJ97" s="225"/>
      <c r="AK97" s="226">
        <f t="shared" si="20"/>
        <v>0</v>
      </c>
      <c r="AL97" s="73" t="e">
        <f t="shared" si="15"/>
        <v>#DIV/0!</v>
      </c>
      <c r="AM97" s="14">
        <f t="shared" si="21"/>
        <v>0</v>
      </c>
      <c r="AN97" s="9"/>
    </row>
    <row r="98" spans="1:40" hidden="1" outlineLevel="1">
      <c r="A98" s="12" t="s">
        <v>195</v>
      </c>
      <c r="B98" s="8" t="s">
        <v>88</v>
      </c>
      <c r="E98" s="127"/>
      <c r="I98" t="s">
        <v>207</v>
      </c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6">
        <f t="shared" si="19"/>
        <v>0</v>
      </c>
      <c r="W98" s="73" t="e">
        <f t="shared" si="13"/>
        <v>#DIV/0!</v>
      </c>
      <c r="X98" s="89"/>
      <c r="Y98" s="225"/>
      <c r="Z98" s="225"/>
      <c r="AA98" s="225"/>
      <c r="AB98" s="225"/>
      <c r="AC98" s="225"/>
      <c r="AD98" s="225"/>
      <c r="AE98" s="225"/>
      <c r="AF98" s="225"/>
      <c r="AG98" s="225"/>
      <c r="AH98" s="225"/>
      <c r="AI98" s="225"/>
      <c r="AJ98" s="225"/>
      <c r="AK98" s="226">
        <f t="shared" si="20"/>
        <v>0</v>
      </c>
      <c r="AL98" s="73" t="e">
        <f t="shared" si="15"/>
        <v>#DIV/0!</v>
      </c>
      <c r="AM98" s="14">
        <f t="shared" si="21"/>
        <v>0</v>
      </c>
      <c r="AN98" s="9"/>
    </row>
    <row r="99" spans="1:40" hidden="1" outlineLevel="1">
      <c r="A99" s="12" t="s">
        <v>195</v>
      </c>
      <c r="B99" s="8" t="s">
        <v>88</v>
      </c>
      <c r="E99" s="127"/>
      <c r="I99" t="s">
        <v>208</v>
      </c>
      <c r="J99" s="225"/>
      <c r="K99" s="225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6">
        <f t="shared" si="19"/>
        <v>0</v>
      </c>
      <c r="W99" s="73" t="e">
        <f t="shared" si="13"/>
        <v>#DIV/0!</v>
      </c>
      <c r="X99" s="89"/>
      <c r="Y99" s="225"/>
      <c r="Z99" s="225"/>
      <c r="AA99" s="225"/>
      <c r="AB99" s="225"/>
      <c r="AC99" s="225"/>
      <c r="AD99" s="225"/>
      <c r="AE99" s="225"/>
      <c r="AF99" s="225"/>
      <c r="AG99" s="225"/>
      <c r="AH99" s="225"/>
      <c r="AI99" s="225"/>
      <c r="AJ99" s="225"/>
      <c r="AK99" s="226">
        <f t="shared" si="20"/>
        <v>0</v>
      </c>
      <c r="AL99" s="73" t="e">
        <f t="shared" si="15"/>
        <v>#DIV/0!</v>
      </c>
      <c r="AM99" s="14">
        <f t="shared" si="21"/>
        <v>0</v>
      </c>
      <c r="AN99" s="9"/>
    </row>
    <row r="100" spans="1:40" hidden="1" outlineLevel="1">
      <c r="A100" s="12" t="s">
        <v>195</v>
      </c>
      <c r="B100" s="8" t="s">
        <v>88</v>
      </c>
      <c r="E100" s="127"/>
      <c r="I100" t="s">
        <v>289</v>
      </c>
      <c r="J100" s="225"/>
      <c r="K100" s="225"/>
      <c r="L100" s="225"/>
      <c r="M100" s="225"/>
      <c r="N100" s="225"/>
      <c r="O100" s="225"/>
      <c r="P100" s="225"/>
      <c r="Q100" s="225"/>
      <c r="R100" s="225"/>
      <c r="S100" s="225"/>
      <c r="T100" s="225"/>
      <c r="U100" s="225"/>
      <c r="V100" s="226">
        <f t="shared" si="19"/>
        <v>0</v>
      </c>
      <c r="W100" s="73" t="e">
        <f t="shared" si="13"/>
        <v>#DIV/0!</v>
      </c>
      <c r="X100" s="89"/>
      <c r="Y100" s="225"/>
      <c r="Z100" s="225"/>
      <c r="AA100" s="225"/>
      <c r="AB100" s="225"/>
      <c r="AC100" s="225"/>
      <c r="AD100" s="225"/>
      <c r="AE100" s="225"/>
      <c r="AF100" s="225"/>
      <c r="AG100" s="225"/>
      <c r="AH100" s="225"/>
      <c r="AI100" s="225"/>
      <c r="AJ100" s="225"/>
      <c r="AK100" s="226">
        <f t="shared" si="20"/>
        <v>0</v>
      </c>
      <c r="AL100" s="73" t="e">
        <f t="shared" si="15"/>
        <v>#DIV/0!</v>
      </c>
      <c r="AM100" s="14">
        <f t="shared" si="21"/>
        <v>0</v>
      </c>
      <c r="AN100" s="9"/>
    </row>
    <row r="101" spans="1:40" hidden="1" outlineLevel="1">
      <c r="A101" s="12" t="s">
        <v>195</v>
      </c>
      <c r="B101" s="8" t="s">
        <v>88</v>
      </c>
      <c r="E101" s="127"/>
      <c r="I101" t="s">
        <v>211</v>
      </c>
      <c r="J101" s="225"/>
      <c r="K101" s="225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6">
        <f t="shared" si="19"/>
        <v>0</v>
      </c>
      <c r="W101" s="73" t="e">
        <f t="shared" si="13"/>
        <v>#DIV/0!</v>
      </c>
      <c r="X101" s="89"/>
      <c r="Y101" s="225"/>
      <c r="Z101" s="225"/>
      <c r="AA101" s="225"/>
      <c r="AB101" s="225"/>
      <c r="AC101" s="225"/>
      <c r="AD101" s="225"/>
      <c r="AE101" s="225"/>
      <c r="AF101" s="225"/>
      <c r="AG101" s="225"/>
      <c r="AH101" s="225"/>
      <c r="AI101" s="225"/>
      <c r="AJ101" s="225"/>
      <c r="AK101" s="226">
        <f t="shared" si="20"/>
        <v>0</v>
      </c>
      <c r="AL101" s="73" t="e">
        <f t="shared" si="15"/>
        <v>#DIV/0!</v>
      </c>
      <c r="AM101" s="14">
        <f t="shared" si="21"/>
        <v>0</v>
      </c>
      <c r="AN101" s="9"/>
    </row>
    <row r="102" spans="1:40" hidden="1" outlineLevel="1">
      <c r="A102" s="12" t="s">
        <v>195</v>
      </c>
      <c r="B102" s="8" t="s">
        <v>88</v>
      </c>
      <c r="E102" s="127"/>
      <c r="I102" t="s">
        <v>213</v>
      </c>
      <c r="J102" s="225"/>
      <c r="K102" s="225"/>
      <c r="L102" s="225"/>
      <c r="M102" s="225"/>
      <c r="N102" s="225"/>
      <c r="O102" s="225"/>
      <c r="P102" s="225"/>
      <c r="Q102" s="225"/>
      <c r="R102" s="225"/>
      <c r="S102" s="225"/>
      <c r="T102" s="225"/>
      <c r="U102" s="225"/>
      <c r="V102" s="226">
        <f t="shared" si="19"/>
        <v>0</v>
      </c>
      <c r="W102" s="73" t="e">
        <f t="shared" si="13"/>
        <v>#DIV/0!</v>
      </c>
      <c r="X102" s="89"/>
      <c r="Y102" s="225"/>
      <c r="Z102" s="225"/>
      <c r="AA102" s="225"/>
      <c r="AB102" s="225"/>
      <c r="AC102" s="225"/>
      <c r="AD102" s="225"/>
      <c r="AE102" s="225"/>
      <c r="AF102" s="225"/>
      <c r="AG102" s="225"/>
      <c r="AH102" s="225"/>
      <c r="AI102" s="225"/>
      <c r="AJ102" s="225"/>
      <c r="AK102" s="226">
        <f t="shared" si="20"/>
        <v>0</v>
      </c>
      <c r="AL102" s="73" t="e">
        <f t="shared" si="15"/>
        <v>#DIV/0!</v>
      </c>
      <c r="AM102" s="14">
        <f t="shared" si="21"/>
        <v>0</v>
      </c>
      <c r="AN102" s="9"/>
    </row>
    <row r="103" spans="1:40" hidden="1" outlineLevel="1">
      <c r="A103" s="12" t="s">
        <v>195</v>
      </c>
      <c r="B103" s="8" t="s">
        <v>88</v>
      </c>
      <c r="E103" s="127"/>
      <c r="I103" t="s">
        <v>214</v>
      </c>
      <c r="J103" s="225"/>
      <c r="K103" s="225"/>
      <c r="L103" s="225"/>
      <c r="M103" s="225"/>
      <c r="N103" s="225"/>
      <c r="O103" s="225"/>
      <c r="P103" s="225"/>
      <c r="Q103" s="225"/>
      <c r="R103" s="225"/>
      <c r="S103" s="225"/>
      <c r="T103" s="225"/>
      <c r="U103" s="225"/>
      <c r="V103" s="226">
        <f t="shared" si="19"/>
        <v>0</v>
      </c>
      <c r="W103" s="73" t="e">
        <f t="shared" si="13"/>
        <v>#DIV/0!</v>
      </c>
      <c r="X103" s="89"/>
      <c r="Y103" s="225"/>
      <c r="Z103" s="225"/>
      <c r="AA103" s="225"/>
      <c r="AB103" s="225"/>
      <c r="AC103" s="225"/>
      <c r="AD103" s="225"/>
      <c r="AE103" s="225"/>
      <c r="AF103" s="225"/>
      <c r="AG103" s="225"/>
      <c r="AH103" s="225"/>
      <c r="AI103" s="225"/>
      <c r="AJ103" s="225"/>
      <c r="AK103" s="226">
        <f t="shared" si="20"/>
        <v>0</v>
      </c>
      <c r="AL103" s="73" t="e">
        <f t="shared" si="15"/>
        <v>#DIV/0!</v>
      </c>
      <c r="AM103" s="14">
        <f t="shared" si="21"/>
        <v>0</v>
      </c>
      <c r="AN103" s="9"/>
    </row>
    <row r="104" spans="1:40" collapsed="1">
      <c r="A104" s="12" t="s">
        <v>215</v>
      </c>
      <c r="B104" s="8" t="s">
        <v>88</v>
      </c>
      <c r="I104" s="144" t="s">
        <v>216</v>
      </c>
      <c r="J104" s="222"/>
      <c r="K104" s="222"/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>
        <f>SUM(V105:V108)</f>
        <v>0</v>
      </c>
      <c r="W104" s="72" t="e">
        <f t="shared" si="13"/>
        <v>#DIV/0!</v>
      </c>
      <c r="X104" s="89"/>
      <c r="Y104" s="222">
        <f>SUM(Y105:Y108)</f>
        <v>0</v>
      </c>
      <c r="Z104" s="222">
        <f t="shared" ref="Z104:AJ104" si="22">SUM(Z105:Z108)</f>
        <v>0</v>
      </c>
      <c r="AA104" s="222">
        <f t="shared" si="22"/>
        <v>0</v>
      </c>
      <c r="AB104" s="222">
        <f t="shared" si="22"/>
        <v>0</v>
      </c>
      <c r="AC104" s="222">
        <f t="shared" si="22"/>
        <v>0</v>
      </c>
      <c r="AD104" s="222">
        <f t="shared" si="22"/>
        <v>0</v>
      </c>
      <c r="AE104" s="222">
        <f t="shared" si="22"/>
        <v>0</v>
      </c>
      <c r="AF104" s="222">
        <f t="shared" si="22"/>
        <v>0</v>
      </c>
      <c r="AG104" s="222">
        <f t="shared" si="22"/>
        <v>0</v>
      </c>
      <c r="AH104" s="222">
        <f t="shared" si="22"/>
        <v>0</v>
      </c>
      <c r="AI104" s="222">
        <f t="shared" si="22"/>
        <v>0</v>
      </c>
      <c r="AJ104" s="222">
        <f t="shared" si="22"/>
        <v>0</v>
      </c>
      <c r="AK104" s="222">
        <f>SUM(AK105:AK108)</f>
        <v>0</v>
      </c>
      <c r="AL104" s="72" t="e">
        <f t="shared" si="15"/>
        <v>#DIV/0!</v>
      </c>
      <c r="AM104" s="10">
        <f t="shared" si="21"/>
        <v>0</v>
      </c>
      <c r="AN104" s="9"/>
    </row>
    <row r="105" spans="1:40" hidden="1" outlineLevel="1">
      <c r="A105" s="12" t="s">
        <v>215</v>
      </c>
      <c r="B105" s="8" t="s">
        <v>88</v>
      </c>
      <c r="E105" s="127"/>
      <c r="I105" s="137" t="s">
        <v>217</v>
      </c>
      <c r="J105" s="225"/>
      <c r="K105" s="225"/>
      <c r="L105" s="225"/>
      <c r="M105" s="225"/>
      <c r="N105" s="225"/>
      <c r="O105" s="225"/>
      <c r="P105" s="225"/>
      <c r="Q105" s="225"/>
      <c r="R105" s="225"/>
      <c r="S105" s="225"/>
      <c r="T105" s="225"/>
      <c r="U105" s="225"/>
      <c r="V105" s="226">
        <f>SUM(J105:U105)</f>
        <v>0</v>
      </c>
      <c r="W105" s="73" t="e">
        <f t="shared" si="13"/>
        <v>#DIV/0!</v>
      </c>
      <c r="X105" s="89"/>
      <c r="Y105" s="225"/>
      <c r="Z105" s="225"/>
      <c r="AA105" s="225"/>
      <c r="AB105" s="225"/>
      <c r="AC105" s="225"/>
      <c r="AD105" s="225"/>
      <c r="AE105" s="225"/>
      <c r="AF105" s="225"/>
      <c r="AG105" s="225"/>
      <c r="AH105" s="225"/>
      <c r="AI105" s="225"/>
      <c r="AJ105" s="225"/>
      <c r="AK105" s="226">
        <f>SUM(Y105:AJ105)</f>
        <v>0</v>
      </c>
      <c r="AL105" s="73" t="e">
        <f t="shared" si="15"/>
        <v>#DIV/0!</v>
      </c>
      <c r="AM105" s="14">
        <f t="shared" si="21"/>
        <v>0</v>
      </c>
      <c r="AN105" s="9"/>
    </row>
    <row r="106" spans="1:40" hidden="1" outlineLevel="1">
      <c r="A106" s="12" t="s">
        <v>215</v>
      </c>
      <c r="B106" s="8" t="s">
        <v>88</v>
      </c>
      <c r="E106" s="127"/>
      <c r="I106" s="137" t="s">
        <v>218</v>
      </c>
      <c r="J106" s="225"/>
      <c r="K106" s="225"/>
      <c r="L106" s="225"/>
      <c r="M106" s="225"/>
      <c r="N106" s="225"/>
      <c r="O106" s="225"/>
      <c r="P106" s="225"/>
      <c r="Q106" s="225"/>
      <c r="R106" s="225"/>
      <c r="S106" s="225"/>
      <c r="T106" s="225"/>
      <c r="U106" s="225"/>
      <c r="V106" s="226">
        <f>SUM(J106:U106)</f>
        <v>0</v>
      </c>
      <c r="W106" s="73" t="e">
        <f t="shared" si="13"/>
        <v>#DIV/0!</v>
      </c>
      <c r="X106" s="89"/>
      <c r="Y106" s="225"/>
      <c r="Z106" s="225"/>
      <c r="AA106" s="225"/>
      <c r="AB106" s="225"/>
      <c r="AC106" s="225"/>
      <c r="AD106" s="225"/>
      <c r="AE106" s="225"/>
      <c r="AF106" s="225"/>
      <c r="AG106" s="225"/>
      <c r="AH106" s="225"/>
      <c r="AI106" s="225"/>
      <c r="AJ106" s="225"/>
      <c r="AK106" s="226">
        <f>SUM(Y106:AJ106)</f>
        <v>0</v>
      </c>
      <c r="AL106" s="73" t="e">
        <f t="shared" si="15"/>
        <v>#DIV/0!</v>
      </c>
      <c r="AM106" s="14">
        <f t="shared" si="21"/>
        <v>0</v>
      </c>
      <c r="AN106" s="9"/>
    </row>
    <row r="107" spans="1:40" hidden="1" outlineLevel="1">
      <c r="A107" s="12" t="s">
        <v>215</v>
      </c>
      <c r="B107" s="8" t="s">
        <v>88</v>
      </c>
      <c r="E107" s="127"/>
      <c r="I107" s="137" t="s">
        <v>219</v>
      </c>
      <c r="J107" s="225"/>
      <c r="K107" s="225"/>
      <c r="L107" s="225"/>
      <c r="M107" s="225"/>
      <c r="N107" s="225"/>
      <c r="O107" s="225"/>
      <c r="P107" s="225"/>
      <c r="Q107" s="225"/>
      <c r="R107" s="225"/>
      <c r="S107" s="225"/>
      <c r="T107" s="225"/>
      <c r="U107" s="225"/>
      <c r="V107" s="226">
        <f>SUM(J107:U107)</f>
        <v>0</v>
      </c>
      <c r="W107" s="73" t="e">
        <f t="shared" si="13"/>
        <v>#DIV/0!</v>
      </c>
      <c r="X107" s="89"/>
      <c r="Y107" s="225"/>
      <c r="Z107" s="225"/>
      <c r="AA107" s="225"/>
      <c r="AB107" s="225"/>
      <c r="AC107" s="225"/>
      <c r="AD107" s="225"/>
      <c r="AE107" s="225"/>
      <c r="AF107" s="225"/>
      <c r="AG107" s="225"/>
      <c r="AH107" s="225"/>
      <c r="AI107" s="225"/>
      <c r="AJ107" s="225"/>
      <c r="AK107" s="226">
        <f>SUM(Y107:AJ107)</f>
        <v>0</v>
      </c>
      <c r="AL107" s="73" t="e">
        <f t="shared" si="15"/>
        <v>#DIV/0!</v>
      </c>
      <c r="AM107" s="14">
        <f t="shared" si="21"/>
        <v>0</v>
      </c>
      <c r="AN107" s="9"/>
    </row>
    <row r="108" spans="1:40" hidden="1" outlineLevel="1">
      <c r="A108" s="12" t="s">
        <v>215</v>
      </c>
      <c r="B108" s="8" t="s">
        <v>88</v>
      </c>
      <c r="E108" s="127"/>
      <c r="I108" s="137" t="s">
        <v>220</v>
      </c>
      <c r="J108" s="225"/>
      <c r="K108" s="225"/>
      <c r="L108" s="225"/>
      <c r="M108" s="225"/>
      <c r="N108" s="225"/>
      <c r="O108" s="225"/>
      <c r="P108" s="225"/>
      <c r="Q108" s="225"/>
      <c r="R108" s="225"/>
      <c r="S108" s="225"/>
      <c r="T108" s="225"/>
      <c r="U108" s="225"/>
      <c r="V108" s="226">
        <f>SUM(J108:U108)</f>
        <v>0</v>
      </c>
      <c r="W108" s="73" t="e">
        <f t="shared" si="13"/>
        <v>#DIV/0!</v>
      </c>
      <c r="X108" s="89"/>
      <c r="Y108" s="225"/>
      <c r="Z108" s="225"/>
      <c r="AA108" s="225"/>
      <c r="AB108" s="225"/>
      <c r="AC108" s="225"/>
      <c r="AD108" s="225"/>
      <c r="AE108" s="225"/>
      <c r="AF108" s="225"/>
      <c r="AG108" s="225"/>
      <c r="AH108" s="225"/>
      <c r="AI108" s="225"/>
      <c r="AJ108" s="225"/>
      <c r="AK108" s="226">
        <f>SUM(Y108:AJ108)</f>
        <v>0</v>
      </c>
      <c r="AL108" s="73" t="e">
        <f t="shared" si="15"/>
        <v>#DIV/0!</v>
      </c>
      <c r="AM108" s="14">
        <f t="shared" si="21"/>
        <v>0</v>
      </c>
      <c r="AN108" s="9"/>
    </row>
    <row r="109" spans="1:40" collapsed="1">
      <c r="A109" s="12" t="s">
        <v>221</v>
      </c>
      <c r="B109" s="8" t="s">
        <v>88</v>
      </c>
      <c r="C109" s="8" t="s">
        <v>222</v>
      </c>
      <c r="I109" s="144" t="s">
        <v>223</v>
      </c>
      <c r="J109" s="222"/>
      <c r="K109" s="222"/>
      <c r="L109" s="222"/>
      <c r="M109" s="222"/>
      <c r="N109" s="222"/>
      <c r="O109" s="222"/>
      <c r="P109" s="222"/>
      <c r="Q109" s="222"/>
      <c r="R109" s="222"/>
      <c r="S109" s="222"/>
      <c r="T109" s="222"/>
      <c r="U109" s="222"/>
      <c r="V109" s="222">
        <f>SUM(V110:V112)</f>
        <v>0</v>
      </c>
      <c r="W109" s="72" t="e">
        <f t="shared" si="13"/>
        <v>#DIV/0!</v>
      </c>
      <c r="X109" s="89"/>
      <c r="Y109" s="222">
        <f>SUM(Y110:Y112)</f>
        <v>0</v>
      </c>
      <c r="Z109" s="222">
        <f t="shared" ref="Z109:AJ109" si="23">SUM(Z110:Z112)</f>
        <v>0</v>
      </c>
      <c r="AA109" s="222">
        <f t="shared" si="23"/>
        <v>0</v>
      </c>
      <c r="AB109" s="222">
        <f t="shared" si="23"/>
        <v>0</v>
      </c>
      <c r="AC109" s="222">
        <f t="shared" si="23"/>
        <v>0</v>
      </c>
      <c r="AD109" s="222">
        <f t="shared" si="23"/>
        <v>0</v>
      </c>
      <c r="AE109" s="222">
        <f t="shared" si="23"/>
        <v>0</v>
      </c>
      <c r="AF109" s="222">
        <f t="shared" si="23"/>
        <v>0</v>
      </c>
      <c r="AG109" s="222">
        <f t="shared" si="23"/>
        <v>0</v>
      </c>
      <c r="AH109" s="222">
        <f t="shared" si="23"/>
        <v>0</v>
      </c>
      <c r="AI109" s="222">
        <f t="shared" si="23"/>
        <v>0</v>
      </c>
      <c r="AJ109" s="222">
        <f t="shared" si="23"/>
        <v>0</v>
      </c>
      <c r="AK109" s="222">
        <f>SUM(AK110:AK112)</f>
        <v>0</v>
      </c>
      <c r="AL109" s="72" t="e">
        <f t="shared" si="15"/>
        <v>#DIV/0!</v>
      </c>
      <c r="AM109" s="10">
        <f t="shared" si="21"/>
        <v>0</v>
      </c>
      <c r="AN109" s="9"/>
    </row>
    <row r="110" spans="1:40" hidden="1" outlineLevel="1">
      <c r="A110" s="12" t="s">
        <v>221</v>
      </c>
      <c r="B110" s="8" t="s">
        <v>88</v>
      </c>
      <c r="I110" s="137" t="s">
        <v>225</v>
      </c>
      <c r="J110" s="225"/>
      <c r="K110" s="225"/>
      <c r="L110" s="225"/>
      <c r="M110" s="225"/>
      <c r="N110" s="225"/>
      <c r="O110" s="225"/>
      <c r="P110" s="225"/>
      <c r="Q110" s="225"/>
      <c r="R110" s="225"/>
      <c r="S110" s="225"/>
      <c r="T110" s="225"/>
      <c r="U110" s="225"/>
      <c r="V110" s="226">
        <f>SUM(J110:U110)</f>
        <v>0</v>
      </c>
      <c r="W110" s="73" t="e">
        <f t="shared" si="13"/>
        <v>#DIV/0!</v>
      </c>
      <c r="X110" s="89"/>
      <c r="Y110" s="225">
        <v>0</v>
      </c>
      <c r="Z110" s="225">
        <v>0</v>
      </c>
      <c r="AA110" s="225">
        <v>0</v>
      </c>
      <c r="AB110" s="225">
        <v>0</v>
      </c>
      <c r="AC110" s="225">
        <v>0</v>
      </c>
      <c r="AD110" s="225">
        <v>0</v>
      </c>
      <c r="AE110" s="225">
        <v>0</v>
      </c>
      <c r="AF110" s="225">
        <v>0</v>
      </c>
      <c r="AG110" s="225">
        <v>0</v>
      </c>
      <c r="AH110" s="225">
        <v>0</v>
      </c>
      <c r="AI110" s="225">
        <v>0</v>
      </c>
      <c r="AJ110" s="225">
        <v>0</v>
      </c>
      <c r="AK110" s="226">
        <f>SUM(Y110:AJ110)</f>
        <v>0</v>
      </c>
      <c r="AL110" s="73" t="e">
        <f t="shared" si="15"/>
        <v>#DIV/0!</v>
      </c>
      <c r="AM110" s="14">
        <f t="shared" si="21"/>
        <v>0</v>
      </c>
      <c r="AN110" s="9"/>
    </row>
    <row r="111" spans="1:40" hidden="1" outlineLevel="1">
      <c r="A111" s="12" t="s">
        <v>221</v>
      </c>
      <c r="B111" s="8" t="s">
        <v>88</v>
      </c>
      <c r="I111" s="137" t="s">
        <v>227</v>
      </c>
      <c r="J111" s="225"/>
      <c r="K111" s="225"/>
      <c r="L111" s="225"/>
      <c r="M111" s="225"/>
      <c r="N111" s="225"/>
      <c r="O111" s="225"/>
      <c r="P111" s="225"/>
      <c r="Q111" s="225"/>
      <c r="R111" s="225"/>
      <c r="S111" s="225"/>
      <c r="T111" s="225"/>
      <c r="U111" s="225"/>
      <c r="V111" s="226">
        <f>SUM(J111:U111)</f>
        <v>0</v>
      </c>
      <c r="W111" s="73" t="e">
        <f t="shared" si="13"/>
        <v>#DIV/0!</v>
      </c>
      <c r="X111" s="89"/>
      <c r="Y111" s="225">
        <v>0</v>
      </c>
      <c r="Z111" s="225">
        <v>0</v>
      </c>
      <c r="AA111" s="225">
        <v>0</v>
      </c>
      <c r="AB111" s="225">
        <v>0</v>
      </c>
      <c r="AC111" s="225">
        <v>0</v>
      </c>
      <c r="AD111" s="225">
        <v>0</v>
      </c>
      <c r="AE111" s="225">
        <v>0</v>
      </c>
      <c r="AF111" s="225">
        <v>0</v>
      </c>
      <c r="AG111" s="225">
        <v>0</v>
      </c>
      <c r="AH111" s="225">
        <v>0</v>
      </c>
      <c r="AI111" s="225">
        <v>0</v>
      </c>
      <c r="AJ111" s="225">
        <v>0</v>
      </c>
      <c r="AK111" s="226">
        <f>SUM(Y111:AJ111)</f>
        <v>0</v>
      </c>
      <c r="AL111" s="73" t="e">
        <f t="shared" si="15"/>
        <v>#DIV/0!</v>
      </c>
      <c r="AM111" s="14">
        <f t="shared" si="21"/>
        <v>0</v>
      </c>
      <c r="AN111" s="9"/>
    </row>
    <row r="112" spans="1:40" hidden="1" outlineLevel="1">
      <c r="A112" s="12" t="s">
        <v>221</v>
      </c>
      <c r="B112" s="8" t="s">
        <v>88</v>
      </c>
      <c r="I112" s="137" t="s">
        <v>228</v>
      </c>
      <c r="J112" s="225"/>
      <c r="K112" s="225"/>
      <c r="L112" s="225"/>
      <c r="M112" s="225"/>
      <c r="N112" s="225"/>
      <c r="O112" s="225"/>
      <c r="P112" s="225"/>
      <c r="Q112" s="225"/>
      <c r="R112" s="225"/>
      <c r="S112" s="225"/>
      <c r="T112" s="225"/>
      <c r="U112" s="225"/>
      <c r="V112" s="226">
        <f>SUM(J112:U112)</f>
        <v>0</v>
      </c>
      <c r="W112" s="73" t="e">
        <f t="shared" si="13"/>
        <v>#DIV/0!</v>
      </c>
      <c r="X112" s="89"/>
      <c r="Y112" s="225">
        <v>0</v>
      </c>
      <c r="Z112" s="225">
        <v>0</v>
      </c>
      <c r="AA112" s="225">
        <v>0</v>
      </c>
      <c r="AB112" s="225">
        <v>0</v>
      </c>
      <c r="AC112" s="225">
        <v>0</v>
      </c>
      <c r="AD112" s="225">
        <v>0</v>
      </c>
      <c r="AE112" s="225">
        <v>0</v>
      </c>
      <c r="AF112" s="225">
        <v>0</v>
      </c>
      <c r="AG112" s="225">
        <v>0</v>
      </c>
      <c r="AH112" s="225">
        <v>0</v>
      </c>
      <c r="AI112" s="225">
        <v>0</v>
      </c>
      <c r="AJ112" s="225">
        <v>0</v>
      </c>
      <c r="AK112" s="226">
        <f>SUM(Y112:AJ112)</f>
        <v>0</v>
      </c>
      <c r="AL112" s="73" t="e">
        <f t="shared" si="15"/>
        <v>#DIV/0!</v>
      </c>
      <c r="AM112" s="14">
        <f t="shared" si="21"/>
        <v>0</v>
      </c>
      <c r="AN112" s="9"/>
    </row>
    <row r="113" spans="1:40" hidden="1" outlineLevel="1">
      <c r="A113" s="12"/>
      <c r="I113" s="137" t="s">
        <v>229</v>
      </c>
      <c r="J113" s="225"/>
      <c r="K113" s="225"/>
      <c r="L113" s="225"/>
      <c r="M113" s="225"/>
      <c r="N113" s="225"/>
      <c r="O113" s="225"/>
      <c r="P113" s="225"/>
      <c r="Q113" s="225"/>
      <c r="R113" s="225"/>
      <c r="S113" s="225"/>
      <c r="T113" s="225"/>
      <c r="U113" s="225"/>
      <c r="V113" s="226"/>
      <c r="W113" s="73"/>
      <c r="X113" s="89"/>
      <c r="Y113" s="225"/>
      <c r="Z113" s="225"/>
      <c r="AA113" s="225"/>
      <c r="AB113" s="225"/>
      <c r="AC113" s="225"/>
      <c r="AD113" s="225"/>
      <c r="AE113" s="225"/>
      <c r="AF113" s="225"/>
      <c r="AG113" s="225"/>
      <c r="AH113" s="225"/>
      <c r="AI113" s="225"/>
      <c r="AJ113" s="225"/>
      <c r="AK113" s="226"/>
      <c r="AL113" s="73"/>
      <c r="AM113" s="14"/>
      <c r="AN113" s="9"/>
    </row>
    <row r="114" spans="1:40" hidden="1" outlineLevel="1">
      <c r="A114" s="12"/>
      <c r="I114" s="137" t="s">
        <v>361</v>
      </c>
      <c r="J114" s="225"/>
      <c r="K114" s="225"/>
      <c r="L114" s="225"/>
      <c r="M114" s="225"/>
      <c r="N114" s="225"/>
      <c r="O114" s="225"/>
      <c r="P114" s="225"/>
      <c r="Q114" s="225"/>
      <c r="R114" s="225"/>
      <c r="S114" s="225"/>
      <c r="T114" s="225"/>
      <c r="U114" s="225"/>
      <c r="V114" s="226"/>
      <c r="W114" s="73"/>
      <c r="X114" s="89"/>
      <c r="Y114" s="225"/>
      <c r="Z114" s="225"/>
      <c r="AA114" s="225"/>
      <c r="AB114" s="225"/>
      <c r="AC114" s="225"/>
      <c r="AD114" s="225"/>
      <c r="AE114" s="225"/>
      <c r="AF114" s="225"/>
      <c r="AG114" s="225"/>
      <c r="AH114" s="225"/>
      <c r="AI114" s="225"/>
      <c r="AJ114" s="225"/>
      <c r="AK114" s="226"/>
      <c r="AL114" s="73"/>
      <c r="AM114" s="14"/>
      <c r="AN114" s="9"/>
    </row>
    <row r="115" spans="1:40" hidden="1" outlineLevel="1">
      <c r="A115" s="12"/>
      <c r="I115" s="137" t="s">
        <v>232</v>
      </c>
      <c r="J115" s="225"/>
      <c r="K115" s="225"/>
      <c r="L115" s="225"/>
      <c r="M115" s="225"/>
      <c r="N115" s="225"/>
      <c r="O115" s="225"/>
      <c r="P115" s="225"/>
      <c r="Q115" s="225"/>
      <c r="R115" s="225"/>
      <c r="S115" s="225"/>
      <c r="T115" s="225"/>
      <c r="U115" s="225"/>
      <c r="V115" s="226"/>
      <c r="W115" s="73"/>
      <c r="X115" s="89"/>
      <c r="Y115" s="225"/>
      <c r="Z115" s="225"/>
      <c r="AA115" s="225"/>
      <c r="AB115" s="225"/>
      <c r="AC115" s="225"/>
      <c r="AD115" s="225"/>
      <c r="AE115" s="225"/>
      <c r="AF115" s="225"/>
      <c r="AG115" s="225"/>
      <c r="AH115" s="225"/>
      <c r="AI115" s="225"/>
      <c r="AJ115" s="225"/>
      <c r="AK115" s="226"/>
      <c r="AL115" s="73"/>
      <c r="AM115" s="14"/>
      <c r="AN115" s="9"/>
    </row>
    <row r="116" spans="1:40" hidden="1" outlineLevel="1">
      <c r="A116" s="12"/>
      <c r="I116" s="137" t="s">
        <v>362</v>
      </c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225"/>
      <c r="U116" s="225"/>
      <c r="V116" s="226"/>
      <c r="W116" s="73"/>
      <c r="X116" s="89"/>
      <c r="Y116" s="225"/>
      <c r="Z116" s="225"/>
      <c r="AA116" s="225"/>
      <c r="AB116" s="225"/>
      <c r="AC116" s="225"/>
      <c r="AD116" s="225"/>
      <c r="AE116" s="225"/>
      <c r="AF116" s="225"/>
      <c r="AG116" s="225"/>
      <c r="AH116" s="225"/>
      <c r="AI116" s="225"/>
      <c r="AJ116" s="225"/>
      <c r="AK116" s="226"/>
      <c r="AL116" s="73"/>
      <c r="AM116" s="14"/>
      <c r="AN116" s="9"/>
    </row>
    <row r="117" spans="1:40" hidden="1" outlineLevel="1">
      <c r="A117" s="12"/>
      <c r="I117" s="137" t="s">
        <v>234</v>
      </c>
      <c r="J117" s="225"/>
      <c r="K117" s="225"/>
      <c r="L117" s="225"/>
      <c r="M117" s="225"/>
      <c r="N117" s="225"/>
      <c r="O117" s="225"/>
      <c r="P117" s="225"/>
      <c r="Q117" s="225"/>
      <c r="R117" s="225"/>
      <c r="S117" s="225"/>
      <c r="T117" s="225"/>
      <c r="U117" s="225"/>
      <c r="V117" s="226"/>
      <c r="W117" s="73"/>
      <c r="X117" s="89"/>
      <c r="Y117" s="225"/>
      <c r="Z117" s="225"/>
      <c r="AA117" s="225"/>
      <c r="AB117" s="225"/>
      <c r="AC117" s="225"/>
      <c r="AD117" s="225"/>
      <c r="AE117" s="225"/>
      <c r="AF117" s="225"/>
      <c r="AG117" s="225"/>
      <c r="AH117" s="225"/>
      <c r="AI117" s="225"/>
      <c r="AJ117" s="225"/>
      <c r="AK117" s="226"/>
      <c r="AL117" s="73"/>
      <c r="AM117" s="14"/>
      <c r="AN117" s="9"/>
    </row>
    <row r="118" spans="1:40" hidden="1" outlineLevel="1">
      <c r="A118" s="12"/>
      <c r="I118" s="137" t="s">
        <v>363</v>
      </c>
      <c r="J118" s="225"/>
      <c r="K118" s="225"/>
      <c r="L118" s="225"/>
      <c r="M118" s="225"/>
      <c r="N118" s="225"/>
      <c r="O118" s="225"/>
      <c r="P118" s="225"/>
      <c r="Q118" s="225"/>
      <c r="R118" s="225"/>
      <c r="S118" s="225"/>
      <c r="T118" s="225"/>
      <c r="U118" s="225"/>
      <c r="V118" s="226"/>
      <c r="W118" s="73"/>
      <c r="X118" s="89"/>
      <c r="Y118" s="225"/>
      <c r="Z118" s="225"/>
      <c r="AA118" s="225"/>
      <c r="AB118" s="225"/>
      <c r="AC118" s="225"/>
      <c r="AD118" s="225"/>
      <c r="AE118" s="225"/>
      <c r="AF118" s="225"/>
      <c r="AG118" s="225"/>
      <c r="AH118" s="225"/>
      <c r="AI118" s="225"/>
      <c r="AJ118" s="225"/>
      <c r="AK118" s="226"/>
      <c r="AL118" s="73"/>
      <c r="AM118" s="14"/>
      <c r="AN118" s="9"/>
    </row>
    <row r="119" spans="1:40" hidden="1" outlineLevel="1">
      <c r="A119" s="12"/>
      <c r="I119" s="137" t="s">
        <v>364</v>
      </c>
      <c r="J119" s="225"/>
      <c r="K119" s="225"/>
      <c r="L119" s="225"/>
      <c r="M119" s="225"/>
      <c r="N119" s="225"/>
      <c r="O119" s="225"/>
      <c r="P119" s="225"/>
      <c r="Q119" s="225"/>
      <c r="R119" s="225"/>
      <c r="S119" s="225"/>
      <c r="T119" s="225"/>
      <c r="U119" s="225"/>
      <c r="V119" s="226"/>
      <c r="W119" s="73"/>
      <c r="X119" s="89"/>
      <c r="Y119" s="225"/>
      <c r="Z119" s="225"/>
      <c r="AA119" s="225"/>
      <c r="AB119" s="225"/>
      <c r="AC119" s="225"/>
      <c r="AD119" s="225"/>
      <c r="AE119" s="225"/>
      <c r="AF119" s="225"/>
      <c r="AG119" s="225"/>
      <c r="AH119" s="225"/>
      <c r="AI119" s="225"/>
      <c r="AJ119" s="225"/>
      <c r="AK119" s="226"/>
      <c r="AL119" s="73"/>
      <c r="AM119" s="14"/>
      <c r="AN119" s="9"/>
    </row>
    <row r="120" spans="1:40" hidden="1" outlineLevel="1">
      <c r="A120" s="12"/>
      <c r="I120" s="137" t="s">
        <v>237</v>
      </c>
      <c r="J120" s="225"/>
      <c r="K120" s="225"/>
      <c r="L120" s="225"/>
      <c r="M120" s="225"/>
      <c r="N120" s="225"/>
      <c r="O120" s="225"/>
      <c r="P120" s="225"/>
      <c r="Q120" s="225"/>
      <c r="R120" s="225"/>
      <c r="S120" s="225"/>
      <c r="T120" s="225"/>
      <c r="U120" s="225"/>
      <c r="V120" s="226"/>
      <c r="W120" s="73"/>
      <c r="X120" s="89"/>
      <c r="Y120" s="225"/>
      <c r="Z120" s="225"/>
      <c r="AA120" s="225"/>
      <c r="AB120" s="225"/>
      <c r="AC120" s="225"/>
      <c r="AD120" s="225"/>
      <c r="AE120" s="225"/>
      <c r="AF120" s="225"/>
      <c r="AG120" s="225"/>
      <c r="AH120" s="225"/>
      <c r="AI120" s="225"/>
      <c r="AJ120" s="225"/>
      <c r="AK120" s="226"/>
      <c r="AL120" s="73"/>
      <c r="AM120" s="14"/>
      <c r="AN120" s="9"/>
    </row>
    <row r="121" spans="1:40" hidden="1" outlineLevel="1">
      <c r="A121" s="12"/>
      <c r="I121" s="137" t="s">
        <v>238</v>
      </c>
      <c r="J121" s="225"/>
      <c r="K121" s="225"/>
      <c r="L121" s="225"/>
      <c r="M121" s="225"/>
      <c r="N121" s="225"/>
      <c r="O121" s="225"/>
      <c r="P121" s="225"/>
      <c r="Q121" s="225"/>
      <c r="R121" s="225"/>
      <c r="S121" s="225"/>
      <c r="T121" s="225"/>
      <c r="U121" s="225"/>
      <c r="V121" s="226"/>
      <c r="W121" s="73"/>
      <c r="X121" s="89"/>
      <c r="Y121" s="225"/>
      <c r="Z121" s="225"/>
      <c r="AA121" s="225"/>
      <c r="AB121" s="225"/>
      <c r="AC121" s="225"/>
      <c r="AD121" s="225"/>
      <c r="AE121" s="225"/>
      <c r="AF121" s="225"/>
      <c r="AG121" s="225"/>
      <c r="AH121" s="225"/>
      <c r="AI121" s="225"/>
      <c r="AJ121" s="225"/>
      <c r="AK121" s="226"/>
      <c r="AL121" s="73"/>
      <c r="AM121" s="14"/>
      <c r="AN121" s="9"/>
    </row>
    <row r="122" spans="1:40" hidden="1" outlineLevel="1">
      <c r="A122" s="12"/>
      <c r="I122" s="137" t="s">
        <v>365</v>
      </c>
      <c r="J122" s="225"/>
      <c r="K122" s="225"/>
      <c r="L122" s="225"/>
      <c r="M122" s="225"/>
      <c r="N122" s="225"/>
      <c r="O122" s="225"/>
      <c r="P122" s="225"/>
      <c r="Q122" s="225"/>
      <c r="R122" s="225"/>
      <c r="S122" s="225"/>
      <c r="T122" s="225"/>
      <c r="U122" s="225"/>
      <c r="V122" s="226"/>
      <c r="W122" s="73"/>
      <c r="X122" s="89"/>
      <c r="Y122" s="225"/>
      <c r="Z122" s="225"/>
      <c r="AA122" s="225"/>
      <c r="AB122" s="225"/>
      <c r="AC122" s="225"/>
      <c r="AD122" s="225"/>
      <c r="AE122" s="225"/>
      <c r="AF122" s="225"/>
      <c r="AG122" s="225"/>
      <c r="AH122" s="225"/>
      <c r="AI122" s="225"/>
      <c r="AJ122" s="225"/>
      <c r="AK122" s="226"/>
      <c r="AL122" s="73"/>
      <c r="AM122" s="14"/>
      <c r="AN122" s="9"/>
    </row>
    <row r="123" spans="1:40" hidden="1" outlineLevel="1">
      <c r="A123" s="12"/>
      <c r="I123" s="137" t="s">
        <v>366</v>
      </c>
      <c r="J123" s="225"/>
      <c r="K123" s="225"/>
      <c r="L123" s="225"/>
      <c r="M123" s="225"/>
      <c r="N123" s="225"/>
      <c r="O123" s="225"/>
      <c r="P123" s="225"/>
      <c r="Q123" s="225"/>
      <c r="R123" s="225"/>
      <c r="S123" s="225"/>
      <c r="T123" s="225"/>
      <c r="U123" s="225"/>
      <c r="V123" s="226"/>
      <c r="W123" s="73"/>
      <c r="X123" s="89"/>
      <c r="Y123" s="225"/>
      <c r="Z123" s="225"/>
      <c r="AA123" s="225"/>
      <c r="AB123" s="225"/>
      <c r="AC123" s="225"/>
      <c r="AD123" s="225"/>
      <c r="AE123" s="225"/>
      <c r="AF123" s="225"/>
      <c r="AG123" s="225"/>
      <c r="AH123" s="225"/>
      <c r="AI123" s="225"/>
      <c r="AJ123" s="225"/>
      <c r="AK123" s="226"/>
      <c r="AL123" s="73"/>
      <c r="AM123" s="14"/>
      <c r="AN123" s="9"/>
    </row>
    <row r="124" spans="1:40" hidden="1" outlineLevel="1">
      <c r="A124" s="12"/>
      <c r="I124" s="137" t="s">
        <v>241</v>
      </c>
      <c r="J124" s="225"/>
      <c r="K124" s="225"/>
      <c r="L124" s="225"/>
      <c r="M124" s="225"/>
      <c r="N124" s="225"/>
      <c r="O124" s="225"/>
      <c r="P124" s="225"/>
      <c r="Q124" s="225"/>
      <c r="R124" s="225"/>
      <c r="S124" s="225"/>
      <c r="T124" s="225"/>
      <c r="U124" s="225"/>
      <c r="V124" s="226"/>
      <c r="W124" s="73"/>
      <c r="X124" s="89"/>
      <c r="Y124" s="225"/>
      <c r="Z124" s="225"/>
      <c r="AA124" s="225"/>
      <c r="AB124" s="225"/>
      <c r="AC124" s="225"/>
      <c r="AD124" s="225"/>
      <c r="AE124" s="225"/>
      <c r="AF124" s="225"/>
      <c r="AG124" s="225"/>
      <c r="AH124" s="225"/>
      <c r="AI124" s="225"/>
      <c r="AJ124" s="225"/>
      <c r="AK124" s="226"/>
      <c r="AL124" s="73"/>
      <c r="AM124" s="14"/>
      <c r="AN124" s="9"/>
    </row>
    <row r="125" spans="1:40" hidden="1" outlineLevel="1">
      <c r="A125" s="12"/>
      <c r="I125" s="137" t="s">
        <v>242</v>
      </c>
      <c r="J125" s="225"/>
      <c r="K125" s="225"/>
      <c r="L125" s="225"/>
      <c r="M125" s="225"/>
      <c r="N125" s="225"/>
      <c r="O125" s="225"/>
      <c r="P125" s="225"/>
      <c r="Q125" s="225"/>
      <c r="R125" s="225"/>
      <c r="S125" s="225"/>
      <c r="T125" s="225"/>
      <c r="U125" s="225"/>
      <c r="V125" s="226"/>
      <c r="W125" s="73"/>
      <c r="X125" s="89"/>
      <c r="Y125" s="225"/>
      <c r="Z125" s="225"/>
      <c r="AA125" s="225"/>
      <c r="AB125" s="225"/>
      <c r="AC125" s="225"/>
      <c r="AD125" s="225"/>
      <c r="AE125" s="225"/>
      <c r="AF125" s="225"/>
      <c r="AG125" s="225"/>
      <c r="AH125" s="225"/>
      <c r="AI125" s="225"/>
      <c r="AJ125" s="225"/>
      <c r="AK125" s="226"/>
      <c r="AL125" s="73"/>
      <c r="AM125" s="14"/>
      <c r="AN125" s="9"/>
    </row>
    <row r="126" spans="1:40" hidden="1" outlineLevel="1">
      <c r="A126" s="12"/>
      <c r="I126" s="137" t="s">
        <v>243</v>
      </c>
      <c r="J126" s="225"/>
      <c r="K126" s="225"/>
      <c r="L126" s="225"/>
      <c r="M126" s="225"/>
      <c r="N126" s="225"/>
      <c r="O126" s="225"/>
      <c r="P126" s="225"/>
      <c r="Q126" s="225"/>
      <c r="R126" s="225"/>
      <c r="S126" s="225"/>
      <c r="T126" s="225"/>
      <c r="U126" s="225"/>
      <c r="V126" s="226"/>
      <c r="W126" s="73"/>
      <c r="X126" s="89"/>
      <c r="Y126" s="225"/>
      <c r="Z126" s="225"/>
      <c r="AA126" s="225"/>
      <c r="AB126" s="225"/>
      <c r="AC126" s="225"/>
      <c r="AD126" s="225"/>
      <c r="AE126" s="225"/>
      <c r="AF126" s="225"/>
      <c r="AG126" s="225"/>
      <c r="AH126" s="225"/>
      <c r="AI126" s="225"/>
      <c r="AJ126" s="225"/>
      <c r="AK126" s="226"/>
      <c r="AL126" s="73"/>
      <c r="AM126" s="14"/>
      <c r="AN126" s="9"/>
    </row>
    <row r="127" spans="1:40" hidden="1" outlineLevel="1">
      <c r="A127" s="12"/>
      <c r="I127" s="137" t="s">
        <v>244</v>
      </c>
      <c r="J127" s="225"/>
      <c r="K127" s="225"/>
      <c r="L127" s="225"/>
      <c r="M127" s="225"/>
      <c r="N127" s="225"/>
      <c r="O127" s="225"/>
      <c r="P127" s="225"/>
      <c r="Q127" s="225"/>
      <c r="R127" s="225"/>
      <c r="S127" s="225"/>
      <c r="T127" s="225"/>
      <c r="U127" s="225"/>
      <c r="V127" s="226"/>
      <c r="W127" s="73"/>
      <c r="X127" s="89"/>
      <c r="Y127" s="225"/>
      <c r="Z127" s="225"/>
      <c r="AA127" s="225"/>
      <c r="AB127" s="225"/>
      <c r="AC127" s="225"/>
      <c r="AD127" s="225"/>
      <c r="AE127" s="225"/>
      <c r="AF127" s="225"/>
      <c r="AG127" s="225"/>
      <c r="AH127" s="225"/>
      <c r="AI127" s="225"/>
      <c r="AJ127" s="225"/>
      <c r="AK127" s="226"/>
      <c r="AL127" s="73"/>
      <c r="AM127" s="14"/>
      <c r="AN127" s="9"/>
    </row>
    <row r="128" spans="1:40" hidden="1" outlineLevel="1">
      <c r="A128" s="12"/>
      <c r="I128" s="137" t="s">
        <v>245</v>
      </c>
      <c r="J128" s="225"/>
      <c r="K128" s="225"/>
      <c r="L128" s="225"/>
      <c r="M128" s="225"/>
      <c r="N128" s="225"/>
      <c r="O128" s="225"/>
      <c r="P128" s="225"/>
      <c r="Q128" s="225"/>
      <c r="R128" s="225"/>
      <c r="S128" s="225"/>
      <c r="T128" s="225"/>
      <c r="U128" s="225"/>
      <c r="V128" s="226"/>
      <c r="W128" s="73"/>
      <c r="X128" s="89"/>
      <c r="Y128" s="225"/>
      <c r="Z128" s="225"/>
      <c r="AA128" s="225"/>
      <c r="AB128" s="225"/>
      <c r="AC128" s="225"/>
      <c r="AD128" s="225"/>
      <c r="AE128" s="225"/>
      <c r="AF128" s="225"/>
      <c r="AG128" s="225"/>
      <c r="AH128" s="225"/>
      <c r="AI128" s="225"/>
      <c r="AJ128" s="225"/>
      <c r="AK128" s="226"/>
      <c r="AL128" s="73"/>
      <c r="AM128" s="14"/>
      <c r="AN128" s="9"/>
    </row>
    <row r="129" spans="1:40" hidden="1" outlineLevel="1">
      <c r="A129" s="12"/>
      <c r="I129" s="137" t="s">
        <v>367</v>
      </c>
      <c r="J129" s="225"/>
      <c r="K129" s="225"/>
      <c r="L129" s="225"/>
      <c r="M129" s="225"/>
      <c r="N129" s="225"/>
      <c r="O129" s="225"/>
      <c r="P129" s="225"/>
      <c r="Q129" s="225"/>
      <c r="R129" s="225"/>
      <c r="S129" s="225"/>
      <c r="T129" s="225"/>
      <c r="U129" s="225"/>
      <c r="V129" s="226"/>
      <c r="W129" s="73"/>
      <c r="X129" s="89"/>
      <c r="Y129" s="225"/>
      <c r="Z129" s="225"/>
      <c r="AA129" s="225"/>
      <c r="AB129" s="225"/>
      <c r="AC129" s="225"/>
      <c r="AD129" s="225"/>
      <c r="AE129" s="225"/>
      <c r="AF129" s="225"/>
      <c r="AG129" s="225"/>
      <c r="AH129" s="225"/>
      <c r="AI129" s="225"/>
      <c r="AJ129" s="225"/>
      <c r="AK129" s="226"/>
      <c r="AL129" s="73"/>
      <c r="AM129" s="14"/>
      <c r="AN129" s="9"/>
    </row>
    <row r="130" spans="1:40" hidden="1" outlineLevel="1">
      <c r="A130" s="12"/>
      <c r="I130" s="137" t="s">
        <v>247</v>
      </c>
      <c r="J130" s="225"/>
      <c r="K130" s="225"/>
      <c r="L130" s="225"/>
      <c r="M130" s="225"/>
      <c r="N130" s="225"/>
      <c r="O130" s="225"/>
      <c r="P130" s="225"/>
      <c r="Q130" s="225"/>
      <c r="R130" s="225"/>
      <c r="S130" s="225"/>
      <c r="T130" s="225"/>
      <c r="U130" s="225"/>
      <c r="V130" s="226"/>
      <c r="W130" s="73"/>
      <c r="X130" s="89"/>
      <c r="Y130" s="225"/>
      <c r="Z130" s="225"/>
      <c r="AA130" s="225"/>
      <c r="AB130" s="225"/>
      <c r="AC130" s="225"/>
      <c r="AD130" s="225"/>
      <c r="AE130" s="225"/>
      <c r="AF130" s="225"/>
      <c r="AG130" s="225"/>
      <c r="AH130" s="225"/>
      <c r="AI130" s="225"/>
      <c r="AJ130" s="225"/>
      <c r="AK130" s="226"/>
      <c r="AL130" s="73"/>
      <c r="AM130" s="14"/>
      <c r="AN130" s="9"/>
    </row>
    <row r="131" spans="1:40" hidden="1" outlineLevel="1">
      <c r="A131" s="12"/>
      <c r="I131" s="137" t="s">
        <v>249</v>
      </c>
      <c r="J131" s="225"/>
      <c r="K131" s="225"/>
      <c r="L131" s="225"/>
      <c r="M131" s="225"/>
      <c r="N131" s="225"/>
      <c r="O131" s="225"/>
      <c r="P131" s="225"/>
      <c r="Q131" s="225"/>
      <c r="R131" s="225"/>
      <c r="S131" s="225"/>
      <c r="T131" s="225"/>
      <c r="U131" s="225"/>
      <c r="V131" s="226"/>
      <c r="W131" s="73"/>
      <c r="X131" s="89"/>
      <c r="Y131" s="225"/>
      <c r="Z131" s="225"/>
      <c r="AA131" s="225"/>
      <c r="AB131" s="225"/>
      <c r="AC131" s="225"/>
      <c r="AD131" s="225"/>
      <c r="AE131" s="225"/>
      <c r="AF131" s="225"/>
      <c r="AG131" s="225"/>
      <c r="AH131" s="225"/>
      <c r="AI131" s="225"/>
      <c r="AJ131" s="225"/>
      <c r="AK131" s="226"/>
      <c r="AL131" s="73"/>
      <c r="AM131" s="14"/>
      <c r="AN131" s="9"/>
    </row>
    <row r="132" spans="1:40" hidden="1" outlineLevel="1">
      <c r="A132" s="12"/>
      <c r="I132" s="137" t="s">
        <v>250</v>
      </c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225"/>
      <c r="U132" s="225"/>
      <c r="V132" s="226"/>
      <c r="W132" s="73"/>
      <c r="X132" s="89"/>
      <c r="Y132" s="225"/>
      <c r="Z132" s="225"/>
      <c r="AA132" s="225"/>
      <c r="AB132" s="225"/>
      <c r="AC132" s="225"/>
      <c r="AD132" s="225"/>
      <c r="AE132" s="225"/>
      <c r="AF132" s="225"/>
      <c r="AG132" s="225"/>
      <c r="AH132" s="225"/>
      <c r="AI132" s="225"/>
      <c r="AJ132" s="225"/>
      <c r="AK132" s="226"/>
      <c r="AL132" s="73"/>
      <c r="AM132" s="14"/>
      <c r="AN132" s="9"/>
    </row>
    <row r="133" spans="1:40" hidden="1" outlineLevel="1">
      <c r="A133" s="12"/>
      <c r="I133" s="137" t="s">
        <v>251</v>
      </c>
      <c r="J133" s="225"/>
      <c r="K133" s="225"/>
      <c r="L133" s="225"/>
      <c r="M133" s="225"/>
      <c r="N133" s="225"/>
      <c r="O133" s="225"/>
      <c r="P133" s="225"/>
      <c r="Q133" s="225"/>
      <c r="R133" s="225"/>
      <c r="S133" s="225"/>
      <c r="T133" s="225"/>
      <c r="U133" s="225"/>
      <c r="V133" s="226"/>
      <c r="W133" s="73"/>
      <c r="X133" s="89"/>
      <c r="Y133" s="225"/>
      <c r="Z133" s="225"/>
      <c r="AA133" s="225"/>
      <c r="AB133" s="225"/>
      <c r="AC133" s="225"/>
      <c r="AD133" s="225"/>
      <c r="AE133" s="225"/>
      <c r="AF133" s="225"/>
      <c r="AG133" s="225"/>
      <c r="AH133" s="225"/>
      <c r="AI133" s="225"/>
      <c r="AJ133" s="225"/>
      <c r="AK133" s="226"/>
      <c r="AL133" s="73"/>
      <c r="AM133" s="14"/>
      <c r="AN133" s="9"/>
    </row>
    <row r="134" spans="1:40" hidden="1" outlineLevel="1">
      <c r="A134" s="12"/>
      <c r="I134" s="137" t="s">
        <v>252</v>
      </c>
      <c r="J134" s="225"/>
      <c r="K134" s="225"/>
      <c r="L134" s="225"/>
      <c r="M134" s="225"/>
      <c r="N134" s="225"/>
      <c r="O134" s="225"/>
      <c r="P134" s="225"/>
      <c r="Q134" s="225"/>
      <c r="R134" s="225"/>
      <c r="S134" s="225"/>
      <c r="T134" s="225"/>
      <c r="U134" s="225"/>
      <c r="V134" s="226"/>
      <c r="W134" s="73"/>
      <c r="X134" s="89"/>
      <c r="Y134" s="225"/>
      <c r="Z134" s="225"/>
      <c r="AA134" s="225"/>
      <c r="AB134" s="225"/>
      <c r="AC134" s="225"/>
      <c r="AD134" s="225"/>
      <c r="AE134" s="225"/>
      <c r="AF134" s="225"/>
      <c r="AG134" s="225"/>
      <c r="AH134" s="225"/>
      <c r="AI134" s="225"/>
      <c r="AJ134" s="225"/>
      <c r="AK134" s="226"/>
      <c r="AL134" s="73"/>
      <c r="AM134" s="14"/>
      <c r="AN134" s="9"/>
    </row>
    <row r="135" spans="1:40" hidden="1" outlineLevel="1">
      <c r="A135" s="12"/>
      <c r="I135" s="137" t="s">
        <v>253</v>
      </c>
      <c r="J135" s="225"/>
      <c r="K135" s="225"/>
      <c r="L135" s="225"/>
      <c r="M135" s="225"/>
      <c r="N135" s="225"/>
      <c r="O135" s="225"/>
      <c r="P135" s="225"/>
      <c r="Q135" s="225"/>
      <c r="R135" s="225"/>
      <c r="S135" s="225"/>
      <c r="T135" s="225"/>
      <c r="U135" s="225"/>
      <c r="V135" s="226"/>
      <c r="W135" s="73"/>
      <c r="X135" s="89"/>
      <c r="Y135" s="225"/>
      <c r="Z135" s="225"/>
      <c r="AA135" s="225"/>
      <c r="AB135" s="225"/>
      <c r="AC135" s="225"/>
      <c r="AD135" s="225"/>
      <c r="AE135" s="225"/>
      <c r="AF135" s="225"/>
      <c r="AG135" s="225"/>
      <c r="AH135" s="225"/>
      <c r="AI135" s="225"/>
      <c r="AJ135" s="225"/>
      <c r="AK135" s="226"/>
      <c r="AL135" s="73"/>
      <c r="AM135" s="14"/>
      <c r="AN135" s="9"/>
    </row>
    <row r="136" spans="1:40" hidden="1" outlineLevel="1">
      <c r="A136" s="12"/>
      <c r="I136" s="137" t="s">
        <v>254</v>
      </c>
      <c r="J136" s="225"/>
      <c r="K136" s="225"/>
      <c r="L136" s="225"/>
      <c r="M136" s="225"/>
      <c r="N136" s="225"/>
      <c r="O136" s="225"/>
      <c r="P136" s="225"/>
      <c r="Q136" s="225"/>
      <c r="R136" s="225"/>
      <c r="S136" s="225"/>
      <c r="T136" s="225"/>
      <c r="U136" s="225"/>
      <c r="V136" s="226"/>
      <c r="W136" s="73"/>
      <c r="X136" s="89"/>
      <c r="Y136" s="225"/>
      <c r="Z136" s="225"/>
      <c r="AA136" s="225"/>
      <c r="AB136" s="225"/>
      <c r="AC136" s="225"/>
      <c r="AD136" s="225"/>
      <c r="AE136" s="225"/>
      <c r="AF136" s="225"/>
      <c r="AG136" s="225"/>
      <c r="AH136" s="225"/>
      <c r="AI136" s="225"/>
      <c r="AJ136" s="225"/>
      <c r="AK136" s="226"/>
      <c r="AL136" s="73"/>
      <c r="AM136" s="14"/>
      <c r="AN136" s="9"/>
    </row>
    <row r="137" spans="1:40" hidden="1" outlineLevel="1">
      <c r="A137" s="12"/>
      <c r="I137" s="137" t="s">
        <v>255</v>
      </c>
      <c r="J137" s="225"/>
      <c r="K137" s="225"/>
      <c r="L137" s="225"/>
      <c r="M137" s="225"/>
      <c r="N137" s="225"/>
      <c r="O137" s="225"/>
      <c r="P137" s="225"/>
      <c r="Q137" s="225"/>
      <c r="R137" s="225"/>
      <c r="S137" s="225"/>
      <c r="T137" s="225"/>
      <c r="U137" s="225"/>
      <c r="V137" s="226"/>
      <c r="W137" s="73"/>
      <c r="X137" s="89"/>
      <c r="Y137" s="225"/>
      <c r="Z137" s="225"/>
      <c r="AA137" s="225"/>
      <c r="AB137" s="225"/>
      <c r="AC137" s="225"/>
      <c r="AD137" s="225"/>
      <c r="AE137" s="225"/>
      <c r="AF137" s="225"/>
      <c r="AG137" s="225"/>
      <c r="AH137" s="225"/>
      <c r="AI137" s="225"/>
      <c r="AJ137" s="225"/>
      <c r="AK137" s="226"/>
      <c r="AL137" s="73"/>
      <c r="AM137" s="14"/>
      <c r="AN137" s="9"/>
    </row>
    <row r="138" spans="1:40" hidden="1" outlineLevel="1">
      <c r="A138" s="12"/>
      <c r="I138" s="137" t="s">
        <v>256</v>
      </c>
      <c r="J138" s="225"/>
      <c r="K138" s="225"/>
      <c r="L138" s="225"/>
      <c r="M138" s="225"/>
      <c r="N138" s="225"/>
      <c r="O138" s="225"/>
      <c r="P138" s="225"/>
      <c r="Q138" s="225"/>
      <c r="R138" s="225"/>
      <c r="S138" s="225"/>
      <c r="T138" s="225"/>
      <c r="U138" s="225"/>
      <c r="V138" s="226"/>
      <c r="W138" s="73"/>
      <c r="X138" s="89"/>
      <c r="Y138" s="225"/>
      <c r="Z138" s="225"/>
      <c r="AA138" s="225"/>
      <c r="AB138" s="225"/>
      <c r="AC138" s="225"/>
      <c r="AD138" s="225"/>
      <c r="AE138" s="225"/>
      <c r="AF138" s="225"/>
      <c r="AG138" s="225"/>
      <c r="AH138" s="225"/>
      <c r="AI138" s="225"/>
      <c r="AJ138" s="225"/>
      <c r="AK138" s="226"/>
      <c r="AL138" s="73"/>
      <c r="AM138" s="14"/>
      <c r="AN138" s="9"/>
    </row>
    <row r="139" spans="1:40" hidden="1" outlineLevel="1">
      <c r="A139" s="12"/>
      <c r="I139" s="137" t="s">
        <v>257</v>
      </c>
      <c r="J139" s="225"/>
      <c r="K139" s="225"/>
      <c r="L139" s="225"/>
      <c r="M139" s="225"/>
      <c r="N139" s="225"/>
      <c r="O139" s="225"/>
      <c r="P139" s="225"/>
      <c r="Q139" s="225"/>
      <c r="R139" s="225"/>
      <c r="S139" s="225"/>
      <c r="T139" s="225"/>
      <c r="U139" s="225"/>
      <c r="V139" s="226"/>
      <c r="W139" s="73"/>
      <c r="X139" s="89"/>
      <c r="Y139" s="225"/>
      <c r="Z139" s="225"/>
      <c r="AA139" s="225"/>
      <c r="AB139" s="225"/>
      <c r="AC139" s="225"/>
      <c r="AD139" s="225"/>
      <c r="AE139" s="225"/>
      <c r="AF139" s="225"/>
      <c r="AG139" s="225"/>
      <c r="AH139" s="225"/>
      <c r="AI139" s="225"/>
      <c r="AJ139" s="225"/>
      <c r="AK139" s="226"/>
      <c r="AL139" s="73"/>
      <c r="AM139" s="14"/>
      <c r="AN139" s="9"/>
    </row>
    <row r="140" spans="1:40" hidden="1" outlineLevel="1">
      <c r="A140" s="12"/>
      <c r="I140" s="137" t="s">
        <v>258</v>
      </c>
      <c r="J140" s="225"/>
      <c r="K140" s="225"/>
      <c r="L140" s="225"/>
      <c r="M140" s="225"/>
      <c r="N140" s="225"/>
      <c r="O140" s="225"/>
      <c r="P140" s="225"/>
      <c r="Q140" s="225"/>
      <c r="R140" s="225"/>
      <c r="S140" s="225"/>
      <c r="T140" s="225"/>
      <c r="U140" s="225"/>
      <c r="V140" s="226"/>
      <c r="W140" s="73"/>
      <c r="X140" s="89"/>
      <c r="Y140" s="225"/>
      <c r="Z140" s="225"/>
      <c r="AA140" s="225"/>
      <c r="AB140" s="225"/>
      <c r="AC140" s="225"/>
      <c r="AD140" s="225"/>
      <c r="AE140" s="225"/>
      <c r="AF140" s="225"/>
      <c r="AG140" s="225"/>
      <c r="AH140" s="225"/>
      <c r="AI140" s="225"/>
      <c r="AJ140" s="225"/>
      <c r="AK140" s="226"/>
      <c r="AL140" s="73"/>
      <c r="AM140" s="14"/>
      <c r="AN140" s="9"/>
    </row>
    <row r="141" spans="1:40" hidden="1" outlineLevel="1">
      <c r="A141" s="12"/>
      <c r="I141" s="137" t="s">
        <v>259</v>
      </c>
      <c r="J141" s="225"/>
      <c r="K141" s="225"/>
      <c r="L141" s="225"/>
      <c r="M141" s="225"/>
      <c r="N141" s="225"/>
      <c r="O141" s="225"/>
      <c r="P141" s="225"/>
      <c r="Q141" s="225"/>
      <c r="R141" s="225"/>
      <c r="S141" s="225"/>
      <c r="T141" s="225"/>
      <c r="U141" s="225"/>
      <c r="V141" s="226"/>
      <c r="W141" s="73"/>
      <c r="X141" s="89"/>
      <c r="Y141" s="225"/>
      <c r="Z141" s="225"/>
      <c r="AA141" s="225"/>
      <c r="AB141" s="225"/>
      <c r="AC141" s="225"/>
      <c r="AD141" s="225"/>
      <c r="AE141" s="225"/>
      <c r="AF141" s="225"/>
      <c r="AG141" s="225"/>
      <c r="AH141" s="225"/>
      <c r="AI141" s="225"/>
      <c r="AJ141" s="225"/>
      <c r="AK141" s="226"/>
      <c r="AL141" s="73"/>
      <c r="AM141" s="14"/>
      <c r="AN141" s="9"/>
    </row>
    <row r="142" spans="1:40" hidden="1" outlineLevel="1">
      <c r="A142" s="12"/>
      <c r="I142" s="137" t="s">
        <v>189</v>
      </c>
      <c r="J142" s="225"/>
      <c r="K142" s="225"/>
      <c r="L142" s="225"/>
      <c r="M142" s="225"/>
      <c r="N142" s="225"/>
      <c r="O142" s="225"/>
      <c r="P142" s="225"/>
      <c r="Q142" s="225"/>
      <c r="R142" s="225"/>
      <c r="S142" s="225"/>
      <c r="T142" s="225"/>
      <c r="U142" s="225"/>
      <c r="V142" s="226"/>
      <c r="W142" s="73"/>
      <c r="X142" s="89"/>
      <c r="Y142" s="225"/>
      <c r="Z142" s="225"/>
      <c r="AA142" s="225"/>
      <c r="AB142" s="225"/>
      <c r="AC142" s="225"/>
      <c r="AD142" s="225"/>
      <c r="AE142" s="225"/>
      <c r="AF142" s="225"/>
      <c r="AG142" s="225"/>
      <c r="AH142" s="225"/>
      <c r="AI142" s="225"/>
      <c r="AJ142" s="225"/>
      <c r="AK142" s="226"/>
      <c r="AL142" s="73"/>
      <c r="AM142" s="14"/>
      <c r="AN142" s="9"/>
    </row>
    <row r="143" spans="1:40" hidden="1" outlineLevel="1">
      <c r="A143" s="12"/>
      <c r="I143" s="137" t="s">
        <v>368</v>
      </c>
      <c r="J143" s="225"/>
      <c r="K143" s="225"/>
      <c r="L143" s="225"/>
      <c r="M143" s="225"/>
      <c r="N143" s="225"/>
      <c r="O143" s="225"/>
      <c r="P143" s="225"/>
      <c r="Q143" s="225"/>
      <c r="R143" s="225"/>
      <c r="S143" s="225"/>
      <c r="T143" s="225"/>
      <c r="U143" s="225"/>
      <c r="V143" s="226"/>
      <c r="W143" s="73"/>
      <c r="X143" s="89"/>
      <c r="Y143" s="225"/>
      <c r="Z143" s="225"/>
      <c r="AA143" s="225"/>
      <c r="AB143" s="225"/>
      <c r="AC143" s="225"/>
      <c r="AD143" s="225"/>
      <c r="AE143" s="225"/>
      <c r="AF143" s="225"/>
      <c r="AG143" s="225"/>
      <c r="AH143" s="225"/>
      <c r="AI143" s="225"/>
      <c r="AJ143" s="225"/>
      <c r="AK143" s="226"/>
      <c r="AL143" s="73"/>
      <c r="AM143" s="14"/>
      <c r="AN143" s="9"/>
    </row>
    <row r="144" spans="1:40" collapsed="1">
      <c r="A144" s="12" t="s">
        <v>263</v>
      </c>
      <c r="B144" s="8" t="s">
        <v>88</v>
      </c>
      <c r="I144" s="147" t="s">
        <v>264</v>
      </c>
      <c r="J144" s="222"/>
      <c r="K144" s="222"/>
      <c r="L144" s="222"/>
      <c r="M144" s="222"/>
      <c r="N144" s="222"/>
      <c r="O144" s="222"/>
      <c r="P144" s="222"/>
      <c r="Q144" s="222"/>
      <c r="R144" s="222"/>
      <c r="S144" s="222"/>
      <c r="T144" s="222"/>
      <c r="U144" s="222"/>
      <c r="V144" s="222">
        <f>SUM(V145:V151)</f>
        <v>0</v>
      </c>
      <c r="W144" s="72" t="e">
        <f t="shared" si="13"/>
        <v>#DIV/0!</v>
      </c>
      <c r="X144" s="89"/>
      <c r="Y144" s="222">
        <f>SUM(Y145:Y151)</f>
        <v>0</v>
      </c>
      <c r="Z144" s="222">
        <f t="shared" ref="Z144:AJ144" si="24">SUM(Z145:Z151)</f>
        <v>0</v>
      </c>
      <c r="AA144" s="222">
        <f t="shared" si="24"/>
        <v>0</v>
      </c>
      <c r="AB144" s="222">
        <f t="shared" si="24"/>
        <v>0</v>
      </c>
      <c r="AC144" s="222">
        <f t="shared" si="24"/>
        <v>0</v>
      </c>
      <c r="AD144" s="222">
        <f t="shared" si="24"/>
        <v>0</v>
      </c>
      <c r="AE144" s="222">
        <f t="shared" si="24"/>
        <v>0</v>
      </c>
      <c r="AF144" s="222">
        <f t="shared" si="24"/>
        <v>0</v>
      </c>
      <c r="AG144" s="222">
        <f t="shared" si="24"/>
        <v>0</v>
      </c>
      <c r="AH144" s="222">
        <f t="shared" si="24"/>
        <v>0</v>
      </c>
      <c r="AI144" s="222">
        <f t="shared" si="24"/>
        <v>0</v>
      </c>
      <c r="AJ144" s="222">
        <f t="shared" si="24"/>
        <v>0</v>
      </c>
      <c r="AK144" s="222">
        <f>SUM(AK145:AK151)</f>
        <v>0</v>
      </c>
      <c r="AL144" s="72" t="e">
        <f t="shared" si="15"/>
        <v>#DIV/0!</v>
      </c>
      <c r="AM144" s="10">
        <f t="shared" si="21"/>
        <v>0</v>
      </c>
      <c r="AN144" s="9"/>
    </row>
    <row r="145" spans="1:40" hidden="1" outlineLevel="1">
      <c r="A145" s="12" t="s">
        <v>263</v>
      </c>
      <c r="B145" s="8" t="s">
        <v>88</v>
      </c>
      <c r="I145" t="s">
        <v>265</v>
      </c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26">
        <f>SUM(J145:U145)</f>
        <v>0</v>
      </c>
      <c r="W145" s="73" t="e">
        <f t="shared" si="13"/>
        <v>#DIV/0!</v>
      </c>
      <c r="X145" s="89"/>
      <c r="Y145" s="233">
        <v>0</v>
      </c>
      <c r="Z145" s="233">
        <v>0</v>
      </c>
      <c r="AA145" s="233">
        <v>0</v>
      </c>
      <c r="AB145" s="233">
        <v>0</v>
      </c>
      <c r="AC145" s="233">
        <v>0</v>
      </c>
      <c r="AD145" s="233">
        <v>0</v>
      </c>
      <c r="AE145" s="233">
        <v>0</v>
      </c>
      <c r="AF145" s="233">
        <v>0</v>
      </c>
      <c r="AG145" s="233">
        <v>0</v>
      </c>
      <c r="AH145" s="233">
        <v>0</v>
      </c>
      <c r="AI145" s="233">
        <v>0</v>
      </c>
      <c r="AJ145" s="233">
        <v>0</v>
      </c>
      <c r="AK145" s="226">
        <f>SUM(Y145:AJ145)</f>
        <v>0</v>
      </c>
      <c r="AL145" s="73" t="e">
        <f t="shared" si="15"/>
        <v>#DIV/0!</v>
      </c>
      <c r="AM145" s="14">
        <f t="shared" si="21"/>
        <v>0</v>
      </c>
      <c r="AN145" s="9"/>
    </row>
    <row r="146" spans="1:40" hidden="1" outlineLevel="1">
      <c r="A146" s="12" t="s">
        <v>263</v>
      </c>
      <c r="B146" s="8" t="s">
        <v>88</v>
      </c>
      <c r="I146" t="s">
        <v>369</v>
      </c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26">
        <f t="shared" ref="V146:V151" si="25">SUM(J146:U146)</f>
        <v>0</v>
      </c>
      <c r="W146" s="73" t="e">
        <f t="shared" si="13"/>
        <v>#DIV/0!</v>
      </c>
      <c r="X146" s="89"/>
      <c r="Y146" s="233">
        <v>0</v>
      </c>
      <c r="Z146" s="233">
        <v>0</v>
      </c>
      <c r="AA146" s="233">
        <v>0</v>
      </c>
      <c r="AB146" s="233">
        <v>0</v>
      </c>
      <c r="AC146" s="233">
        <v>0</v>
      </c>
      <c r="AD146" s="233">
        <v>0</v>
      </c>
      <c r="AE146" s="233">
        <v>0</v>
      </c>
      <c r="AF146" s="233">
        <v>0</v>
      </c>
      <c r="AG146" s="233">
        <v>0</v>
      </c>
      <c r="AH146" s="233">
        <v>0</v>
      </c>
      <c r="AI146" s="233">
        <v>0</v>
      </c>
      <c r="AJ146" s="233">
        <v>0</v>
      </c>
      <c r="AK146" s="226">
        <f t="shared" ref="AK146:AK151" si="26">SUM(Y146:AJ146)</f>
        <v>0</v>
      </c>
      <c r="AL146" s="73" t="e">
        <f t="shared" si="15"/>
        <v>#DIV/0!</v>
      </c>
      <c r="AM146" s="14">
        <f t="shared" si="21"/>
        <v>0</v>
      </c>
      <c r="AN146" s="9"/>
    </row>
    <row r="147" spans="1:40" hidden="1" outlineLevel="1">
      <c r="A147" s="12" t="s">
        <v>263</v>
      </c>
      <c r="B147" s="8" t="s">
        <v>88</v>
      </c>
      <c r="I147" s="137" t="s">
        <v>292</v>
      </c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26">
        <f t="shared" si="25"/>
        <v>0</v>
      </c>
      <c r="W147" s="73" t="e">
        <f t="shared" si="13"/>
        <v>#DIV/0!</v>
      </c>
      <c r="X147" s="89"/>
      <c r="Y147" s="233">
        <v>0</v>
      </c>
      <c r="Z147" s="233">
        <v>0</v>
      </c>
      <c r="AA147" s="233">
        <v>0</v>
      </c>
      <c r="AB147" s="233">
        <v>0</v>
      </c>
      <c r="AC147" s="233">
        <v>0</v>
      </c>
      <c r="AD147" s="233">
        <v>0</v>
      </c>
      <c r="AE147" s="233">
        <v>0</v>
      </c>
      <c r="AF147" s="233">
        <v>0</v>
      </c>
      <c r="AG147" s="233">
        <v>0</v>
      </c>
      <c r="AH147" s="233">
        <v>0</v>
      </c>
      <c r="AI147" s="233">
        <v>0</v>
      </c>
      <c r="AJ147" s="233">
        <v>0</v>
      </c>
      <c r="AK147" s="226">
        <f t="shared" si="26"/>
        <v>0</v>
      </c>
      <c r="AL147" s="73" t="e">
        <f t="shared" si="15"/>
        <v>#DIV/0!</v>
      </c>
      <c r="AM147" s="14">
        <f t="shared" si="21"/>
        <v>0</v>
      </c>
      <c r="AN147" s="9"/>
    </row>
    <row r="148" spans="1:40" hidden="1" outlineLevel="1">
      <c r="A148" s="12" t="s">
        <v>263</v>
      </c>
      <c r="B148" s="8" t="s">
        <v>88</v>
      </c>
      <c r="I148" s="137" t="s">
        <v>266</v>
      </c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26">
        <f t="shared" si="25"/>
        <v>0</v>
      </c>
      <c r="W148" s="73" t="e">
        <f t="shared" si="13"/>
        <v>#DIV/0!</v>
      </c>
      <c r="X148" s="89"/>
      <c r="Y148" s="233">
        <v>0</v>
      </c>
      <c r="Z148" s="233">
        <v>0</v>
      </c>
      <c r="AA148" s="233">
        <v>0</v>
      </c>
      <c r="AB148" s="233">
        <v>0</v>
      </c>
      <c r="AC148" s="233">
        <v>0</v>
      </c>
      <c r="AD148" s="233">
        <v>0</v>
      </c>
      <c r="AE148" s="233">
        <v>0</v>
      </c>
      <c r="AF148" s="233">
        <v>0</v>
      </c>
      <c r="AG148" s="233">
        <v>0</v>
      </c>
      <c r="AH148" s="233">
        <v>0</v>
      </c>
      <c r="AI148" s="233">
        <v>0</v>
      </c>
      <c r="AJ148" s="233">
        <v>0</v>
      </c>
      <c r="AK148" s="226">
        <f t="shared" si="26"/>
        <v>0</v>
      </c>
      <c r="AL148" s="73" t="e">
        <f t="shared" si="15"/>
        <v>#DIV/0!</v>
      </c>
      <c r="AM148" s="14">
        <f t="shared" si="21"/>
        <v>0</v>
      </c>
      <c r="AN148" s="9"/>
    </row>
    <row r="149" spans="1:40" hidden="1" outlineLevel="1">
      <c r="A149" s="12" t="s">
        <v>263</v>
      </c>
      <c r="B149" s="8" t="s">
        <v>88</v>
      </c>
      <c r="I149" s="137" t="s">
        <v>267</v>
      </c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26">
        <f t="shared" si="25"/>
        <v>0</v>
      </c>
      <c r="W149" s="73" t="e">
        <f t="shared" si="13"/>
        <v>#DIV/0!</v>
      </c>
      <c r="X149" s="89"/>
      <c r="Y149" s="233">
        <v>0</v>
      </c>
      <c r="Z149" s="233">
        <v>0</v>
      </c>
      <c r="AA149" s="233">
        <v>0</v>
      </c>
      <c r="AB149" s="233">
        <v>0</v>
      </c>
      <c r="AC149" s="233">
        <v>0</v>
      </c>
      <c r="AD149" s="233">
        <v>0</v>
      </c>
      <c r="AE149" s="233">
        <v>0</v>
      </c>
      <c r="AF149" s="233">
        <v>0</v>
      </c>
      <c r="AG149" s="233">
        <v>0</v>
      </c>
      <c r="AH149" s="233">
        <v>0</v>
      </c>
      <c r="AI149" s="233">
        <v>0</v>
      </c>
      <c r="AJ149" s="233">
        <v>0</v>
      </c>
      <c r="AK149" s="226">
        <f t="shared" si="26"/>
        <v>0</v>
      </c>
      <c r="AL149" s="73" t="e">
        <f t="shared" si="15"/>
        <v>#DIV/0!</v>
      </c>
      <c r="AM149" s="14">
        <f t="shared" si="21"/>
        <v>0</v>
      </c>
      <c r="AN149" s="9"/>
    </row>
    <row r="150" spans="1:40" hidden="1" outlineLevel="1">
      <c r="A150" s="12" t="s">
        <v>263</v>
      </c>
      <c r="B150" s="8" t="s">
        <v>88</v>
      </c>
      <c r="C150" s="19" t="s">
        <v>268</v>
      </c>
      <c r="D150" s="12"/>
      <c r="E150" s="20"/>
      <c r="F150" s="12"/>
      <c r="G150" s="12"/>
      <c r="H150" s="12"/>
      <c r="I150" s="137" t="s">
        <v>269</v>
      </c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26">
        <f t="shared" si="25"/>
        <v>0</v>
      </c>
      <c r="W150" s="73" t="e">
        <f t="shared" si="13"/>
        <v>#DIV/0!</v>
      </c>
      <c r="X150" s="89"/>
      <c r="Y150" s="233">
        <v>0</v>
      </c>
      <c r="Z150" s="233">
        <v>0</v>
      </c>
      <c r="AA150" s="233">
        <v>0</v>
      </c>
      <c r="AB150" s="233">
        <v>0</v>
      </c>
      <c r="AC150" s="233">
        <v>0</v>
      </c>
      <c r="AD150" s="233">
        <v>0</v>
      </c>
      <c r="AE150" s="233">
        <v>0</v>
      </c>
      <c r="AF150" s="233">
        <v>0</v>
      </c>
      <c r="AG150" s="233">
        <v>0</v>
      </c>
      <c r="AH150" s="233">
        <v>0</v>
      </c>
      <c r="AI150" s="233">
        <v>0</v>
      </c>
      <c r="AJ150" s="233">
        <v>0</v>
      </c>
      <c r="AK150" s="226">
        <f t="shared" si="26"/>
        <v>0</v>
      </c>
      <c r="AL150" s="73" t="e">
        <f t="shared" si="15"/>
        <v>#DIV/0!</v>
      </c>
      <c r="AM150" s="14">
        <f t="shared" si="21"/>
        <v>0</v>
      </c>
      <c r="AN150" s="9"/>
    </row>
    <row r="151" spans="1:40" hidden="1" outlineLevel="1">
      <c r="A151" s="12" t="s">
        <v>263</v>
      </c>
      <c r="B151" s="8" t="s">
        <v>88</v>
      </c>
      <c r="I151" t="s">
        <v>270</v>
      </c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26">
        <f t="shared" si="25"/>
        <v>0</v>
      </c>
      <c r="W151" s="73" t="e">
        <f t="shared" si="13"/>
        <v>#DIV/0!</v>
      </c>
      <c r="X151" s="89"/>
      <c r="Y151" s="233">
        <v>0</v>
      </c>
      <c r="Z151" s="233">
        <v>0</v>
      </c>
      <c r="AA151" s="233">
        <v>0</v>
      </c>
      <c r="AB151" s="233">
        <v>0</v>
      </c>
      <c r="AC151" s="233">
        <v>0</v>
      </c>
      <c r="AD151" s="233">
        <v>0</v>
      </c>
      <c r="AE151" s="233">
        <v>0</v>
      </c>
      <c r="AF151" s="233">
        <v>0</v>
      </c>
      <c r="AG151" s="233">
        <v>0</v>
      </c>
      <c r="AH151" s="233">
        <v>0</v>
      </c>
      <c r="AI151" s="233">
        <v>0</v>
      </c>
      <c r="AJ151" s="233">
        <v>0</v>
      </c>
      <c r="AK151" s="226">
        <f t="shared" si="26"/>
        <v>0</v>
      </c>
      <c r="AL151" s="73" t="e">
        <f t="shared" si="15"/>
        <v>#DIV/0!</v>
      </c>
      <c r="AM151" s="14">
        <f t="shared" si="21"/>
        <v>0</v>
      </c>
      <c r="AN151" s="9"/>
    </row>
    <row r="152" spans="1:40">
      <c r="I152" s="28" t="s">
        <v>271</v>
      </c>
      <c r="J152" s="234"/>
      <c r="K152" s="234"/>
      <c r="L152" s="234"/>
      <c r="M152" s="234"/>
      <c r="N152" s="234"/>
      <c r="O152" s="234"/>
      <c r="P152" s="234"/>
      <c r="Q152" s="234"/>
      <c r="R152" s="234"/>
      <c r="S152" s="234"/>
      <c r="T152" s="234"/>
      <c r="U152" s="234"/>
      <c r="V152" s="234">
        <f>V49+V88+V104+V109+V144</f>
        <v>0</v>
      </c>
      <c r="W152" s="76" t="e">
        <f t="shared" si="13"/>
        <v>#DIV/0!</v>
      </c>
      <c r="X152" s="89"/>
      <c r="Y152" s="234">
        <f t="shared" ref="Y152:AK152" si="27">Y49+Y88+Y104+Y109+Y144</f>
        <v>0</v>
      </c>
      <c r="Z152" s="234">
        <f t="shared" si="27"/>
        <v>0</v>
      </c>
      <c r="AA152" s="234">
        <f t="shared" si="27"/>
        <v>0</v>
      </c>
      <c r="AB152" s="234">
        <f t="shared" si="27"/>
        <v>0</v>
      </c>
      <c r="AC152" s="234">
        <f t="shared" si="27"/>
        <v>0</v>
      </c>
      <c r="AD152" s="234">
        <f t="shared" si="27"/>
        <v>0</v>
      </c>
      <c r="AE152" s="234">
        <f t="shared" si="27"/>
        <v>0</v>
      </c>
      <c r="AF152" s="234">
        <f t="shared" si="27"/>
        <v>0</v>
      </c>
      <c r="AG152" s="234">
        <f t="shared" si="27"/>
        <v>0</v>
      </c>
      <c r="AH152" s="234">
        <f t="shared" si="27"/>
        <v>0</v>
      </c>
      <c r="AI152" s="234">
        <f t="shared" si="27"/>
        <v>0</v>
      </c>
      <c r="AJ152" s="234">
        <f t="shared" si="27"/>
        <v>0</v>
      </c>
      <c r="AK152" s="234">
        <f t="shared" si="27"/>
        <v>0</v>
      </c>
      <c r="AL152" s="76" t="e">
        <f t="shared" si="15"/>
        <v>#DIV/0!</v>
      </c>
      <c r="AM152" s="10">
        <f t="shared" si="21"/>
        <v>0</v>
      </c>
      <c r="AN152" s="9"/>
    </row>
    <row r="153" spans="1:40">
      <c r="I153" s="26" t="s">
        <v>272</v>
      </c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>
        <f>IFERROR(V151/V37,0)</f>
        <v>0</v>
      </c>
      <c r="W153" s="73" t="e">
        <f t="shared" si="13"/>
        <v>#DIV/0!</v>
      </c>
      <c r="X153" s="89"/>
      <c r="Y153" s="232">
        <f t="shared" ref="Y153:AK154" si="28">IFERROR(Y151/Y37,0)</f>
        <v>0</v>
      </c>
      <c r="Z153" s="232">
        <f t="shared" si="28"/>
        <v>0</v>
      </c>
      <c r="AA153" s="232">
        <f t="shared" si="28"/>
        <v>0</v>
      </c>
      <c r="AB153" s="232">
        <f t="shared" si="28"/>
        <v>0</v>
      </c>
      <c r="AC153" s="232">
        <f t="shared" si="28"/>
        <v>0</v>
      </c>
      <c r="AD153" s="232">
        <f t="shared" si="28"/>
        <v>0</v>
      </c>
      <c r="AE153" s="232">
        <f t="shared" si="28"/>
        <v>0</v>
      </c>
      <c r="AF153" s="232">
        <f t="shared" si="28"/>
        <v>0</v>
      </c>
      <c r="AG153" s="232">
        <f t="shared" si="28"/>
        <v>0</v>
      </c>
      <c r="AH153" s="232">
        <f t="shared" si="28"/>
        <v>0</v>
      </c>
      <c r="AI153" s="232">
        <f t="shared" si="28"/>
        <v>0</v>
      </c>
      <c r="AJ153" s="232">
        <f t="shared" si="28"/>
        <v>0</v>
      </c>
      <c r="AK153" s="232">
        <f t="shared" si="28"/>
        <v>0</v>
      </c>
      <c r="AL153" s="73" t="e">
        <f t="shared" si="15"/>
        <v>#DIV/0!</v>
      </c>
      <c r="AM153" s="16">
        <f t="shared" si="21"/>
        <v>0</v>
      </c>
      <c r="AN153" s="9"/>
    </row>
    <row r="154" spans="1:40">
      <c r="I154" s="26" t="s">
        <v>273</v>
      </c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>
        <f>IFERROR(V152/V38,0)</f>
        <v>0</v>
      </c>
      <c r="W154" s="73" t="e">
        <f t="shared" si="13"/>
        <v>#DIV/0!</v>
      </c>
      <c r="X154" s="89"/>
      <c r="Y154" s="232">
        <f t="shared" si="28"/>
        <v>0</v>
      </c>
      <c r="Z154" s="232">
        <f t="shared" si="28"/>
        <v>0</v>
      </c>
      <c r="AA154" s="232">
        <f t="shared" si="28"/>
        <v>0</v>
      </c>
      <c r="AB154" s="232">
        <f t="shared" si="28"/>
        <v>0</v>
      </c>
      <c r="AC154" s="232">
        <f t="shared" si="28"/>
        <v>0</v>
      </c>
      <c r="AD154" s="232">
        <f t="shared" si="28"/>
        <v>0</v>
      </c>
      <c r="AE154" s="232">
        <f t="shared" si="28"/>
        <v>0</v>
      </c>
      <c r="AF154" s="232">
        <f t="shared" si="28"/>
        <v>0</v>
      </c>
      <c r="AG154" s="232">
        <f t="shared" si="28"/>
        <v>0</v>
      </c>
      <c r="AH154" s="232">
        <f t="shared" si="28"/>
        <v>0</v>
      </c>
      <c r="AI154" s="232">
        <f t="shared" si="28"/>
        <v>0</v>
      </c>
      <c r="AJ154" s="232">
        <f t="shared" si="28"/>
        <v>0</v>
      </c>
      <c r="AK154" s="232">
        <f t="shared" si="28"/>
        <v>0</v>
      </c>
      <c r="AL154" s="73" t="e">
        <f t="shared" si="15"/>
        <v>#DIV/0!</v>
      </c>
      <c r="AM154" s="16">
        <f t="shared" si="21"/>
        <v>0</v>
      </c>
      <c r="AN154" s="9"/>
    </row>
    <row r="155" spans="1:40" ht="15.6">
      <c r="I155" s="25" t="s">
        <v>274</v>
      </c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>
        <f>V32-V152</f>
        <v>0</v>
      </c>
      <c r="W155" s="77" t="e">
        <f t="shared" si="13"/>
        <v>#DIV/0!</v>
      </c>
      <c r="X155" s="89"/>
      <c r="Y155" s="235">
        <f t="shared" ref="Y155:AK155" si="29">Y32-Y152</f>
        <v>0</v>
      </c>
      <c r="Z155" s="235">
        <f t="shared" si="29"/>
        <v>0</v>
      </c>
      <c r="AA155" s="235">
        <f t="shared" si="29"/>
        <v>0</v>
      </c>
      <c r="AB155" s="235">
        <f t="shared" si="29"/>
        <v>0</v>
      </c>
      <c r="AC155" s="235">
        <f t="shared" si="29"/>
        <v>0</v>
      </c>
      <c r="AD155" s="235">
        <f t="shared" si="29"/>
        <v>0</v>
      </c>
      <c r="AE155" s="235">
        <f t="shared" si="29"/>
        <v>0</v>
      </c>
      <c r="AF155" s="235">
        <f t="shared" si="29"/>
        <v>0</v>
      </c>
      <c r="AG155" s="235">
        <f t="shared" si="29"/>
        <v>0</v>
      </c>
      <c r="AH155" s="235">
        <f t="shared" si="29"/>
        <v>0</v>
      </c>
      <c r="AI155" s="235">
        <f t="shared" si="29"/>
        <v>0</v>
      </c>
      <c r="AJ155" s="235">
        <f t="shared" si="29"/>
        <v>0</v>
      </c>
      <c r="AK155" s="235">
        <f t="shared" si="29"/>
        <v>0</v>
      </c>
      <c r="AL155" s="77" t="e">
        <f t="shared" si="15"/>
        <v>#DIV/0!</v>
      </c>
      <c r="AM155" s="23">
        <f t="shared" si="21"/>
        <v>0</v>
      </c>
      <c r="AN155" s="9"/>
    </row>
    <row r="156" spans="1:40">
      <c r="J156" s="136"/>
      <c r="W156" s="75"/>
      <c r="X156" s="89"/>
      <c r="Y156" s="136"/>
      <c r="AL156" s="75"/>
      <c r="AM156" s="13"/>
      <c r="AN156" s="9"/>
    </row>
    <row r="157" spans="1:40">
      <c r="E157" s="7" t="s">
        <v>98</v>
      </c>
      <c r="I157" s="139" t="s">
        <v>275</v>
      </c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75"/>
      <c r="X157" s="89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75"/>
      <c r="AM157" s="13"/>
      <c r="AN157" s="9"/>
    </row>
    <row r="158" spans="1:40" ht="5.25" customHeight="1">
      <c r="A158" s="21"/>
      <c r="B158" s="21"/>
      <c r="C158" s="21"/>
      <c r="D158" s="21"/>
      <c r="E158" s="22"/>
      <c r="F158" s="21"/>
      <c r="G158" s="21"/>
      <c r="H158" s="21"/>
      <c r="I158" s="139"/>
      <c r="W158" s="75"/>
      <c r="X158" s="89"/>
      <c r="AL158" s="75"/>
      <c r="AM158" s="13"/>
      <c r="AN158" s="9"/>
    </row>
    <row r="159" spans="1:40">
      <c r="A159" s="12" t="s">
        <v>146</v>
      </c>
      <c r="B159" s="8" t="s">
        <v>370</v>
      </c>
      <c r="I159" s="121" t="s">
        <v>147</v>
      </c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>
        <f>SUM(V160:V201)</f>
        <v>0</v>
      </c>
      <c r="W159" s="72" t="e">
        <f t="shared" ref="W159:W232" si="30">V159/V$6</f>
        <v>#DIV/0!</v>
      </c>
      <c r="X159" s="89"/>
      <c r="Y159" s="222">
        <f>SUM(Y160:Y208)</f>
        <v>57322.2</v>
      </c>
      <c r="Z159" s="222">
        <f t="shared" ref="Z159:AK159" si="31">SUM(Z160:Z208)</f>
        <v>56231.369999999995</v>
      </c>
      <c r="AA159" s="222">
        <f t="shared" si="31"/>
        <v>61715.864999999998</v>
      </c>
      <c r="AB159" s="222">
        <f t="shared" si="31"/>
        <v>58052.294999999998</v>
      </c>
      <c r="AC159" s="222">
        <f t="shared" si="31"/>
        <v>66217.875</v>
      </c>
      <c r="AD159" s="222">
        <f t="shared" si="31"/>
        <v>65202.224999999999</v>
      </c>
      <c r="AE159" s="222">
        <f t="shared" si="31"/>
        <v>64233.614999999998</v>
      </c>
      <c r="AF159" s="222">
        <f t="shared" si="31"/>
        <v>65094.345000000001</v>
      </c>
      <c r="AG159" s="222">
        <f t="shared" si="31"/>
        <v>63673.799999999996</v>
      </c>
      <c r="AH159" s="222">
        <f t="shared" si="31"/>
        <v>64643.46</v>
      </c>
      <c r="AI159" s="222">
        <f t="shared" si="31"/>
        <v>62397.824999999997</v>
      </c>
      <c r="AJ159" s="222">
        <f t="shared" si="31"/>
        <v>58880.1</v>
      </c>
      <c r="AK159" s="222">
        <f t="shared" si="31"/>
        <v>743664.97499999986</v>
      </c>
      <c r="AL159" s="72" t="e">
        <f t="shared" ref="AL159:AL232" si="32">AK159/AK$6</f>
        <v>#DIV/0!</v>
      </c>
      <c r="AM159" s="10">
        <f t="shared" si="21"/>
        <v>0</v>
      </c>
      <c r="AN159" s="9"/>
    </row>
    <row r="160" spans="1:40" outlineLevel="1">
      <c r="A160" s="12" t="s">
        <v>146</v>
      </c>
      <c r="B160" s="8" t="s">
        <v>370</v>
      </c>
      <c r="C160" s="8" t="s">
        <v>155</v>
      </c>
      <c r="I160" s="137" t="s">
        <v>159</v>
      </c>
      <c r="J160" s="225"/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6">
        <f>SUM(J160:U160)</f>
        <v>0</v>
      </c>
      <c r="W160" s="73" t="e">
        <f t="shared" si="30"/>
        <v>#DIV/0!</v>
      </c>
      <c r="X160" s="89"/>
      <c r="Y160" s="225">
        <f>+'TOTAL ESTACIONES'!Y39*0.015</f>
        <v>57322.2</v>
      </c>
      <c r="Z160" s="225">
        <f>+'TOTAL ESTACIONES'!Z39*0.015</f>
        <v>56231.369999999995</v>
      </c>
      <c r="AA160" s="225">
        <f>+'TOTAL ESTACIONES'!AA39*0.015</f>
        <v>61715.864999999998</v>
      </c>
      <c r="AB160" s="225">
        <f>+'TOTAL ESTACIONES'!AB39*0.015</f>
        <v>58052.294999999998</v>
      </c>
      <c r="AC160" s="225">
        <f>+'TOTAL ESTACIONES'!AC39*0.015</f>
        <v>66217.875</v>
      </c>
      <c r="AD160" s="225">
        <f>+'TOTAL ESTACIONES'!AD39*0.015</f>
        <v>65202.224999999999</v>
      </c>
      <c r="AE160" s="225">
        <f>+'TOTAL ESTACIONES'!AE39*0.015</f>
        <v>64233.614999999998</v>
      </c>
      <c r="AF160" s="225">
        <f>+'TOTAL ESTACIONES'!AF39*0.015</f>
        <v>65094.345000000001</v>
      </c>
      <c r="AG160" s="225">
        <f>+'TOTAL ESTACIONES'!AG39*0.015</f>
        <v>63673.799999999996</v>
      </c>
      <c r="AH160" s="225">
        <f>+'TOTAL ESTACIONES'!AH39*0.015</f>
        <v>64643.46</v>
      </c>
      <c r="AI160" s="225">
        <f>+'TOTAL ESTACIONES'!AI39*0.015</f>
        <v>62397.824999999997</v>
      </c>
      <c r="AJ160" s="225">
        <f>+'TOTAL ESTACIONES'!AJ39*0.015</f>
        <v>58880.1</v>
      </c>
      <c r="AK160" s="226">
        <f>SUM(Y160:AJ160)</f>
        <v>743664.97499999986</v>
      </c>
      <c r="AL160" s="73" t="e">
        <f t="shared" si="32"/>
        <v>#DIV/0!</v>
      </c>
      <c r="AM160" s="14">
        <f t="shared" si="21"/>
        <v>0</v>
      </c>
      <c r="AN160" s="9">
        <f>+AK160/12</f>
        <v>61972.081249999988</v>
      </c>
    </row>
    <row r="161" spans="1:40" outlineLevel="1">
      <c r="A161" s="12" t="s">
        <v>146</v>
      </c>
      <c r="B161" s="8" t="s">
        <v>370</v>
      </c>
      <c r="I161" s="137" t="s">
        <v>153</v>
      </c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6">
        <f t="shared" ref="V161:V208" si="33">SUM(J161:U161)</f>
        <v>0</v>
      </c>
      <c r="W161" s="73" t="e">
        <f t="shared" si="30"/>
        <v>#DIV/0!</v>
      </c>
      <c r="X161" s="89"/>
      <c r="Y161" s="225"/>
      <c r="Z161" s="225"/>
      <c r="AA161" s="225"/>
      <c r="AB161" s="225"/>
      <c r="AC161" s="225"/>
      <c r="AD161" s="225"/>
      <c r="AE161" s="225"/>
      <c r="AF161" s="225"/>
      <c r="AG161" s="225"/>
      <c r="AH161" s="225"/>
      <c r="AI161" s="225"/>
      <c r="AJ161" s="225"/>
      <c r="AK161" s="226">
        <f t="shared" ref="AK161:AK208" si="34">SUM(Y161:AJ161)</f>
        <v>0</v>
      </c>
      <c r="AL161" s="73" t="e">
        <f t="shared" si="32"/>
        <v>#DIV/0!</v>
      </c>
      <c r="AM161" s="14">
        <f t="shared" si="21"/>
        <v>0</v>
      </c>
      <c r="AN161" s="9"/>
    </row>
    <row r="162" spans="1:40" outlineLevel="1">
      <c r="A162" s="12" t="s">
        <v>146</v>
      </c>
      <c r="B162" s="8" t="s">
        <v>370</v>
      </c>
      <c r="I162" s="137" t="s">
        <v>276</v>
      </c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6">
        <f t="shared" si="33"/>
        <v>0</v>
      </c>
      <c r="W162" s="73" t="e">
        <f t="shared" si="30"/>
        <v>#DIV/0!</v>
      </c>
      <c r="X162" s="89"/>
      <c r="Y162" s="225"/>
      <c r="Z162" s="225"/>
      <c r="AA162" s="225"/>
      <c r="AB162" s="225"/>
      <c r="AC162" s="225"/>
      <c r="AD162" s="225"/>
      <c r="AE162" s="225"/>
      <c r="AF162" s="225"/>
      <c r="AG162" s="225"/>
      <c r="AH162" s="225"/>
      <c r="AI162" s="225"/>
      <c r="AJ162" s="225"/>
      <c r="AK162" s="226">
        <f t="shared" si="34"/>
        <v>0</v>
      </c>
      <c r="AL162" s="73" t="e">
        <f t="shared" si="32"/>
        <v>#DIV/0!</v>
      </c>
      <c r="AM162" s="14">
        <f t="shared" si="21"/>
        <v>0</v>
      </c>
      <c r="AN162" s="9"/>
    </row>
    <row r="163" spans="1:40" outlineLevel="1">
      <c r="A163" s="12"/>
      <c r="I163" s="137" t="s">
        <v>183</v>
      </c>
      <c r="J163" s="225"/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6">
        <f>SUM(J163:U163)</f>
        <v>0</v>
      </c>
      <c r="W163" s="73" t="e">
        <f>V163/V$6</f>
        <v>#DIV/0!</v>
      </c>
      <c r="X163" s="89"/>
      <c r="Y163" s="225"/>
      <c r="Z163" s="225"/>
      <c r="AA163" s="225"/>
      <c r="AB163" s="225"/>
      <c r="AC163" s="225"/>
      <c r="AD163" s="225"/>
      <c r="AE163" s="225"/>
      <c r="AF163" s="225"/>
      <c r="AG163" s="225"/>
      <c r="AH163" s="225"/>
      <c r="AI163" s="225"/>
      <c r="AJ163" s="225"/>
      <c r="AK163" s="226">
        <f t="shared" si="34"/>
        <v>0</v>
      </c>
      <c r="AL163" s="73" t="e">
        <f>AK163/AK$6</f>
        <v>#DIV/0!</v>
      </c>
      <c r="AM163" s="14">
        <f>IFERROR(AK163/V163-1,0)</f>
        <v>0</v>
      </c>
      <c r="AN163" s="9"/>
    </row>
    <row r="164" spans="1:40" outlineLevel="1">
      <c r="A164" s="12"/>
      <c r="I164" s="137" t="s">
        <v>192</v>
      </c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6">
        <f>SUM(J164:U164)</f>
        <v>0</v>
      </c>
      <c r="W164" s="73" t="e">
        <f>V164/V$6</f>
        <v>#DIV/0!</v>
      </c>
      <c r="X164" s="89"/>
      <c r="Y164" s="225"/>
      <c r="Z164" s="225"/>
      <c r="AA164" s="225"/>
      <c r="AB164" s="225"/>
      <c r="AC164" s="225"/>
      <c r="AD164" s="225"/>
      <c r="AE164" s="225"/>
      <c r="AF164" s="225"/>
      <c r="AG164" s="225"/>
      <c r="AH164" s="225"/>
      <c r="AI164" s="225"/>
      <c r="AJ164" s="225"/>
      <c r="AK164" s="226">
        <f t="shared" si="34"/>
        <v>0</v>
      </c>
      <c r="AL164" s="73" t="e">
        <f>AK164/AK$6</f>
        <v>#DIV/0!</v>
      </c>
      <c r="AM164" s="14">
        <f>IFERROR(AK164/V164-1,0)</f>
        <v>0</v>
      </c>
      <c r="AN164" s="9"/>
    </row>
    <row r="165" spans="1:40" outlineLevel="1">
      <c r="A165" s="12"/>
      <c r="I165" s="137" t="s">
        <v>371</v>
      </c>
      <c r="J165" s="225"/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6">
        <f>SUM(J165:U165)</f>
        <v>0</v>
      </c>
      <c r="W165" s="73" t="e">
        <f>V165/V$6</f>
        <v>#DIV/0!</v>
      </c>
      <c r="X165" s="89"/>
      <c r="Y165" s="225"/>
      <c r="Z165" s="225"/>
      <c r="AA165" s="225"/>
      <c r="AB165" s="225"/>
      <c r="AC165" s="225"/>
      <c r="AD165" s="225"/>
      <c r="AE165" s="225"/>
      <c r="AF165" s="225"/>
      <c r="AG165" s="225"/>
      <c r="AH165" s="225"/>
      <c r="AI165" s="225"/>
      <c r="AJ165" s="225"/>
      <c r="AK165" s="226">
        <f t="shared" si="34"/>
        <v>0</v>
      </c>
      <c r="AL165" s="73" t="e">
        <f>AK165/AK$6</f>
        <v>#DIV/0!</v>
      </c>
      <c r="AM165" s="14">
        <f>IFERROR(AK165/V165-1,0)</f>
        <v>0</v>
      </c>
      <c r="AN165" s="9"/>
    </row>
    <row r="166" spans="1:40" outlineLevel="1">
      <c r="A166" s="12" t="s">
        <v>146</v>
      </c>
      <c r="B166" s="8" t="s">
        <v>370</v>
      </c>
      <c r="I166" s="137" t="s">
        <v>372</v>
      </c>
      <c r="J166" s="225"/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6">
        <f t="shared" si="33"/>
        <v>0</v>
      </c>
      <c r="W166" s="73" t="e">
        <f t="shared" si="30"/>
        <v>#DIV/0!</v>
      </c>
      <c r="X166" s="89"/>
      <c r="Y166" s="225"/>
      <c r="Z166" s="225"/>
      <c r="AA166" s="225"/>
      <c r="AB166" s="225"/>
      <c r="AC166" s="225"/>
      <c r="AD166" s="225"/>
      <c r="AE166" s="225"/>
      <c r="AF166" s="225"/>
      <c r="AG166" s="225"/>
      <c r="AH166" s="225"/>
      <c r="AI166" s="225"/>
      <c r="AJ166" s="225"/>
      <c r="AK166" s="226">
        <f t="shared" si="34"/>
        <v>0</v>
      </c>
      <c r="AL166" s="73" t="e">
        <f t="shared" si="32"/>
        <v>#DIV/0!</v>
      </c>
      <c r="AM166" s="14">
        <f t="shared" si="21"/>
        <v>0</v>
      </c>
      <c r="AN166" s="9"/>
    </row>
    <row r="167" spans="1:40" outlineLevel="1">
      <c r="A167" s="12" t="s">
        <v>146</v>
      </c>
      <c r="B167" s="8" t="s">
        <v>370</v>
      </c>
      <c r="I167" s="137" t="s">
        <v>162</v>
      </c>
      <c r="J167" s="225"/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6">
        <f t="shared" si="33"/>
        <v>0</v>
      </c>
      <c r="W167" s="73" t="e">
        <f t="shared" si="30"/>
        <v>#DIV/0!</v>
      </c>
      <c r="X167" s="89"/>
      <c r="Y167" s="225"/>
      <c r="Z167" s="225"/>
      <c r="AA167" s="225"/>
      <c r="AB167" s="225"/>
      <c r="AC167" s="225"/>
      <c r="AD167" s="225"/>
      <c r="AE167" s="225"/>
      <c r="AF167" s="225"/>
      <c r="AG167" s="225"/>
      <c r="AH167" s="225"/>
      <c r="AI167" s="225"/>
      <c r="AJ167" s="225"/>
      <c r="AK167" s="226">
        <f t="shared" si="34"/>
        <v>0</v>
      </c>
      <c r="AL167" s="73" t="e">
        <f t="shared" si="32"/>
        <v>#DIV/0!</v>
      </c>
      <c r="AM167" s="14">
        <f t="shared" si="21"/>
        <v>0</v>
      </c>
      <c r="AN167" s="9"/>
    </row>
    <row r="168" spans="1:40" outlineLevel="1">
      <c r="A168" s="12" t="s">
        <v>146</v>
      </c>
      <c r="B168" s="8" t="s">
        <v>370</v>
      </c>
      <c r="I168" s="137" t="s">
        <v>161</v>
      </c>
      <c r="J168" s="225"/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6">
        <f t="shared" si="33"/>
        <v>0</v>
      </c>
      <c r="W168" s="73" t="e">
        <f t="shared" si="30"/>
        <v>#DIV/0!</v>
      </c>
      <c r="X168" s="89"/>
      <c r="Y168" s="225"/>
      <c r="Z168" s="225"/>
      <c r="AA168" s="225"/>
      <c r="AB168" s="225"/>
      <c r="AC168" s="225"/>
      <c r="AD168" s="225"/>
      <c r="AE168" s="225"/>
      <c r="AF168" s="225"/>
      <c r="AG168" s="225"/>
      <c r="AH168" s="225"/>
      <c r="AI168" s="225"/>
      <c r="AJ168" s="225"/>
      <c r="AK168" s="226">
        <f t="shared" si="34"/>
        <v>0</v>
      </c>
      <c r="AL168" s="73" t="e">
        <f t="shared" si="32"/>
        <v>#DIV/0!</v>
      </c>
      <c r="AM168" s="14">
        <f t="shared" si="21"/>
        <v>0</v>
      </c>
      <c r="AN168" s="9"/>
    </row>
    <row r="169" spans="1:40" outlineLevel="1">
      <c r="A169" s="12" t="s">
        <v>146</v>
      </c>
      <c r="B169" s="8" t="s">
        <v>370</v>
      </c>
      <c r="I169" s="137" t="s">
        <v>188</v>
      </c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6">
        <f t="shared" si="33"/>
        <v>0</v>
      </c>
      <c r="W169" s="73" t="e">
        <f t="shared" si="30"/>
        <v>#DIV/0!</v>
      </c>
      <c r="X169" s="89"/>
      <c r="Y169" s="225"/>
      <c r="Z169" s="225"/>
      <c r="AA169" s="225"/>
      <c r="AB169" s="225"/>
      <c r="AC169" s="225"/>
      <c r="AD169" s="225"/>
      <c r="AE169" s="225"/>
      <c r="AF169" s="225"/>
      <c r="AG169" s="225"/>
      <c r="AH169" s="225"/>
      <c r="AI169" s="225"/>
      <c r="AJ169" s="225"/>
      <c r="AK169" s="226">
        <f t="shared" si="34"/>
        <v>0</v>
      </c>
      <c r="AL169" s="73" t="e">
        <f t="shared" si="32"/>
        <v>#DIV/0!</v>
      </c>
      <c r="AM169" s="14">
        <f t="shared" si="21"/>
        <v>0</v>
      </c>
      <c r="AN169" s="9"/>
    </row>
    <row r="170" spans="1:40" outlineLevel="1">
      <c r="A170" s="12" t="s">
        <v>146</v>
      </c>
      <c r="B170" s="8" t="s">
        <v>370</v>
      </c>
      <c r="I170" s="137" t="s">
        <v>277</v>
      </c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6">
        <f t="shared" si="33"/>
        <v>0</v>
      </c>
      <c r="W170" s="73" t="e">
        <f t="shared" si="30"/>
        <v>#DIV/0!</v>
      </c>
      <c r="X170" s="89"/>
      <c r="Y170" s="225"/>
      <c r="Z170" s="225"/>
      <c r="AA170" s="225"/>
      <c r="AB170" s="225"/>
      <c r="AC170" s="225"/>
      <c r="AD170" s="225"/>
      <c r="AE170" s="225"/>
      <c r="AF170" s="225"/>
      <c r="AG170" s="225"/>
      <c r="AH170" s="225"/>
      <c r="AI170" s="225"/>
      <c r="AJ170" s="225"/>
      <c r="AK170" s="226">
        <f t="shared" si="34"/>
        <v>0</v>
      </c>
      <c r="AL170" s="73" t="e">
        <f t="shared" si="32"/>
        <v>#DIV/0!</v>
      </c>
      <c r="AM170" s="14">
        <f t="shared" si="21"/>
        <v>0</v>
      </c>
      <c r="AN170" s="9"/>
    </row>
    <row r="171" spans="1:40" outlineLevel="1">
      <c r="A171" s="12" t="s">
        <v>146</v>
      </c>
      <c r="B171" s="8" t="s">
        <v>370</v>
      </c>
      <c r="I171" s="137" t="s">
        <v>278</v>
      </c>
      <c r="J171" s="225"/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6">
        <f t="shared" si="33"/>
        <v>0</v>
      </c>
      <c r="W171" s="73" t="e">
        <f t="shared" si="30"/>
        <v>#DIV/0!</v>
      </c>
      <c r="X171" s="89"/>
      <c r="Y171" s="225"/>
      <c r="Z171" s="225"/>
      <c r="AA171" s="225"/>
      <c r="AB171" s="225"/>
      <c r="AC171" s="225"/>
      <c r="AD171" s="225"/>
      <c r="AE171" s="225"/>
      <c r="AF171" s="225"/>
      <c r="AG171" s="225"/>
      <c r="AH171" s="225"/>
      <c r="AI171" s="225"/>
      <c r="AJ171" s="225"/>
      <c r="AK171" s="226">
        <f t="shared" si="34"/>
        <v>0</v>
      </c>
      <c r="AL171" s="73" t="e">
        <f t="shared" si="32"/>
        <v>#DIV/0!</v>
      </c>
      <c r="AM171" s="14">
        <f t="shared" si="21"/>
        <v>0</v>
      </c>
      <c r="AN171" s="9"/>
    </row>
    <row r="172" spans="1:40" outlineLevel="1">
      <c r="A172" s="12" t="s">
        <v>146</v>
      </c>
      <c r="B172" s="8" t="s">
        <v>370</v>
      </c>
      <c r="I172" s="137" t="s">
        <v>187</v>
      </c>
      <c r="J172" s="225"/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6">
        <f t="shared" si="33"/>
        <v>0</v>
      </c>
      <c r="W172" s="73" t="e">
        <f t="shared" si="30"/>
        <v>#DIV/0!</v>
      </c>
      <c r="X172" s="89"/>
      <c r="Y172" s="225"/>
      <c r="Z172" s="225"/>
      <c r="AA172" s="225"/>
      <c r="AB172" s="225"/>
      <c r="AC172" s="225"/>
      <c r="AD172" s="225"/>
      <c r="AE172" s="225"/>
      <c r="AF172" s="225"/>
      <c r="AG172" s="225"/>
      <c r="AH172" s="225"/>
      <c r="AI172" s="225"/>
      <c r="AJ172" s="225"/>
      <c r="AK172" s="226">
        <f t="shared" si="34"/>
        <v>0</v>
      </c>
      <c r="AL172" s="73" t="e">
        <f t="shared" si="32"/>
        <v>#DIV/0!</v>
      </c>
      <c r="AM172" s="14">
        <f t="shared" si="21"/>
        <v>0</v>
      </c>
      <c r="AN172" s="9"/>
    </row>
    <row r="173" spans="1:40" outlineLevel="1">
      <c r="A173" s="12" t="s">
        <v>146</v>
      </c>
      <c r="B173" s="8" t="s">
        <v>370</v>
      </c>
      <c r="I173" s="137" t="s">
        <v>279</v>
      </c>
      <c r="J173" s="225"/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6">
        <f t="shared" si="33"/>
        <v>0</v>
      </c>
      <c r="W173" s="73" t="e">
        <f t="shared" si="30"/>
        <v>#DIV/0!</v>
      </c>
      <c r="X173" s="89"/>
      <c r="Y173" s="225"/>
      <c r="Z173" s="225"/>
      <c r="AA173" s="225"/>
      <c r="AB173" s="225"/>
      <c r="AC173" s="225"/>
      <c r="AD173" s="225"/>
      <c r="AE173" s="225"/>
      <c r="AF173" s="225"/>
      <c r="AG173" s="225"/>
      <c r="AH173" s="225"/>
      <c r="AI173" s="225"/>
      <c r="AJ173" s="225"/>
      <c r="AK173" s="226">
        <f t="shared" si="34"/>
        <v>0</v>
      </c>
      <c r="AL173" s="73" t="e">
        <f t="shared" si="32"/>
        <v>#DIV/0!</v>
      </c>
      <c r="AM173" s="14">
        <f t="shared" si="21"/>
        <v>0</v>
      </c>
      <c r="AN173" s="9"/>
    </row>
    <row r="174" spans="1:40" outlineLevel="1">
      <c r="A174" s="12" t="s">
        <v>146</v>
      </c>
      <c r="B174" s="8" t="s">
        <v>370</v>
      </c>
      <c r="I174" s="137" t="s">
        <v>164</v>
      </c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6">
        <f t="shared" si="33"/>
        <v>0</v>
      </c>
      <c r="W174" s="73" t="e">
        <f t="shared" si="30"/>
        <v>#DIV/0!</v>
      </c>
      <c r="X174" s="89"/>
      <c r="Y174" s="225"/>
      <c r="Z174" s="225"/>
      <c r="AA174" s="225"/>
      <c r="AB174" s="225"/>
      <c r="AC174" s="225"/>
      <c r="AD174" s="225"/>
      <c r="AE174" s="225"/>
      <c r="AF174" s="225"/>
      <c r="AG174" s="225"/>
      <c r="AH174" s="225"/>
      <c r="AI174" s="225"/>
      <c r="AJ174" s="225"/>
      <c r="AK174" s="226">
        <f t="shared" si="34"/>
        <v>0</v>
      </c>
      <c r="AL174" s="73" t="e">
        <f t="shared" si="32"/>
        <v>#DIV/0!</v>
      </c>
      <c r="AM174" s="14">
        <f t="shared" si="21"/>
        <v>0</v>
      </c>
      <c r="AN174" s="9"/>
    </row>
    <row r="175" spans="1:40" outlineLevel="1">
      <c r="A175" s="12" t="s">
        <v>146</v>
      </c>
      <c r="B175" s="8" t="s">
        <v>370</v>
      </c>
      <c r="I175" s="137" t="s">
        <v>182</v>
      </c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6">
        <f t="shared" si="33"/>
        <v>0</v>
      </c>
      <c r="W175" s="73" t="e">
        <f t="shared" si="30"/>
        <v>#DIV/0!</v>
      </c>
      <c r="X175" s="89"/>
      <c r="Y175" s="225"/>
      <c r="Z175" s="225"/>
      <c r="AA175" s="225"/>
      <c r="AB175" s="225"/>
      <c r="AC175" s="225"/>
      <c r="AD175" s="225"/>
      <c r="AE175" s="225"/>
      <c r="AF175" s="225"/>
      <c r="AG175" s="225"/>
      <c r="AH175" s="225"/>
      <c r="AI175" s="225"/>
      <c r="AJ175" s="225"/>
      <c r="AK175" s="226">
        <f t="shared" si="34"/>
        <v>0</v>
      </c>
      <c r="AL175" s="73" t="e">
        <f t="shared" si="32"/>
        <v>#DIV/0!</v>
      </c>
      <c r="AM175" s="14">
        <f t="shared" si="21"/>
        <v>0</v>
      </c>
      <c r="AN175" s="9"/>
    </row>
    <row r="176" spans="1:40" outlineLevel="1">
      <c r="A176" s="12" t="s">
        <v>146</v>
      </c>
      <c r="B176" s="8" t="s">
        <v>370</v>
      </c>
      <c r="I176" s="137" t="s">
        <v>280</v>
      </c>
      <c r="J176" s="225"/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6">
        <f t="shared" si="33"/>
        <v>0</v>
      </c>
      <c r="W176" s="73" t="e">
        <f t="shared" si="30"/>
        <v>#DIV/0!</v>
      </c>
      <c r="X176" s="89"/>
      <c r="Y176" s="225"/>
      <c r="Z176" s="225"/>
      <c r="AA176" s="225"/>
      <c r="AB176" s="225"/>
      <c r="AC176" s="225"/>
      <c r="AD176" s="225"/>
      <c r="AE176" s="225"/>
      <c r="AF176" s="225"/>
      <c r="AG176" s="225"/>
      <c r="AH176" s="225"/>
      <c r="AI176" s="225"/>
      <c r="AJ176" s="225"/>
      <c r="AK176" s="226">
        <f t="shared" si="34"/>
        <v>0</v>
      </c>
      <c r="AL176" s="73" t="e">
        <f t="shared" si="32"/>
        <v>#DIV/0!</v>
      </c>
      <c r="AM176" s="14">
        <f t="shared" si="21"/>
        <v>0</v>
      </c>
      <c r="AN176" s="9"/>
    </row>
    <row r="177" spans="1:40" outlineLevel="1">
      <c r="A177" s="12" t="s">
        <v>146</v>
      </c>
      <c r="B177" s="8" t="s">
        <v>370</v>
      </c>
      <c r="I177" s="137" t="s">
        <v>148</v>
      </c>
      <c r="J177" s="225"/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6">
        <f t="shared" si="33"/>
        <v>0</v>
      </c>
      <c r="W177" s="73" t="e">
        <f t="shared" si="30"/>
        <v>#DIV/0!</v>
      </c>
      <c r="X177" s="89"/>
      <c r="Y177" s="225"/>
      <c r="Z177" s="225"/>
      <c r="AA177" s="225"/>
      <c r="AB177" s="225"/>
      <c r="AC177" s="225"/>
      <c r="AD177" s="225"/>
      <c r="AE177" s="225"/>
      <c r="AF177" s="225"/>
      <c r="AG177" s="225"/>
      <c r="AH177" s="225"/>
      <c r="AI177" s="225"/>
      <c r="AJ177" s="225"/>
      <c r="AK177" s="226">
        <f t="shared" si="34"/>
        <v>0</v>
      </c>
      <c r="AL177" s="73" t="e">
        <f t="shared" si="32"/>
        <v>#DIV/0!</v>
      </c>
      <c r="AM177" s="14">
        <f t="shared" si="21"/>
        <v>0</v>
      </c>
      <c r="AN177" s="9"/>
    </row>
    <row r="178" spans="1:40" outlineLevel="1">
      <c r="A178" s="12" t="s">
        <v>146</v>
      </c>
      <c r="B178" s="8" t="s">
        <v>370</v>
      </c>
      <c r="I178" s="137" t="s">
        <v>185</v>
      </c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6">
        <f t="shared" si="33"/>
        <v>0</v>
      </c>
      <c r="W178" s="73" t="e">
        <f t="shared" si="30"/>
        <v>#DIV/0!</v>
      </c>
      <c r="X178" s="89"/>
      <c r="Y178" s="225"/>
      <c r="Z178" s="225"/>
      <c r="AA178" s="225"/>
      <c r="AB178" s="225"/>
      <c r="AC178" s="225"/>
      <c r="AD178" s="225"/>
      <c r="AE178" s="225"/>
      <c r="AF178" s="225"/>
      <c r="AG178" s="225"/>
      <c r="AH178" s="236"/>
      <c r="AI178" s="225"/>
      <c r="AJ178" s="225"/>
      <c r="AK178" s="226">
        <f t="shared" si="34"/>
        <v>0</v>
      </c>
      <c r="AL178" s="73" t="e">
        <f t="shared" si="32"/>
        <v>#DIV/0!</v>
      </c>
      <c r="AM178" s="14">
        <f t="shared" si="21"/>
        <v>0</v>
      </c>
      <c r="AN178" s="9"/>
    </row>
    <row r="179" spans="1:40" outlineLevel="1">
      <c r="A179" s="12" t="s">
        <v>146</v>
      </c>
      <c r="B179" s="8" t="s">
        <v>370</v>
      </c>
      <c r="C179" s="19"/>
      <c r="I179" s="137" t="s">
        <v>184</v>
      </c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6">
        <f t="shared" si="33"/>
        <v>0</v>
      </c>
      <c r="W179" s="73" t="e">
        <f t="shared" si="30"/>
        <v>#DIV/0!</v>
      </c>
      <c r="X179" s="89"/>
      <c r="Y179" s="225"/>
      <c r="Z179" s="225"/>
      <c r="AA179" s="225"/>
      <c r="AB179" s="225"/>
      <c r="AC179" s="225"/>
      <c r="AD179" s="225"/>
      <c r="AE179" s="225"/>
      <c r="AF179" s="225"/>
      <c r="AG179" s="225"/>
      <c r="AH179" s="225"/>
      <c r="AI179" s="225"/>
      <c r="AJ179" s="225"/>
      <c r="AK179" s="226">
        <f t="shared" si="34"/>
        <v>0</v>
      </c>
      <c r="AL179" s="73" t="e">
        <f t="shared" si="32"/>
        <v>#DIV/0!</v>
      </c>
      <c r="AM179" s="14">
        <f t="shared" si="21"/>
        <v>0</v>
      </c>
      <c r="AN179" s="9"/>
    </row>
    <row r="180" spans="1:40" outlineLevel="1">
      <c r="A180" s="12" t="s">
        <v>146</v>
      </c>
      <c r="B180" s="8" t="s">
        <v>370</v>
      </c>
      <c r="C180" s="19"/>
      <c r="I180" s="137" t="s">
        <v>172</v>
      </c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6">
        <f t="shared" si="33"/>
        <v>0</v>
      </c>
      <c r="W180" s="73" t="e">
        <f t="shared" si="30"/>
        <v>#DIV/0!</v>
      </c>
      <c r="X180" s="89"/>
      <c r="Y180" s="225"/>
      <c r="Z180" s="225"/>
      <c r="AA180" s="225"/>
      <c r="AB180" s="225"/>
      <c r="AC180" s="225"/>
      <c r="AD180" s="225"/>
      <c r="AE180" s="225"/>
      <c r="AF180" s="225"/>
      <c r="AG180" s="225"/>
      <c r="AH180" s="225"/>
      <c r="AI180" s="225"/>
      <c r="AJ180" s="225"/>
      <c r="AK180" s="226">
        <f t="shared" si="34"/>
        <v>0</v>
      </c>
      <c r="AL180" s="73" t="e">
        <f t="shared" si="32"/>
        <v>#DIV/0!</v>
      </c>
      <c r="AM180" s="14">
        <f t="shared" si="21"/>
        <v>0</v>
      </c>
      <c r="AN180" s="9"/>
    </row>
    <row r="181" spans="1:40" outlineLevel="1">
      <c r="A181" s="12" t="s">
        <v>146</v>
      </c>
      <c r="B181" s="8" t="s">
        <v>370</v>
      </c>
      <c r="C181" s="19" t="s">
        <v>360</v>
      </c>
      <c r="D181" s="12"/>
      <c r="E181" s="20"/>
      <c r="F181" s="12"/>
      <c r="G181" s="12"/>
      <c r="H181" s="12"/>
      <c r="I181" s="137" t="s">
        <v>158</v>
      </c>
      <c r="J181" s="225"/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6">
        <f t="shared" si="33"/>
        <v>0</v>
      </c>
      <c r="W181" s="73" t="e">
        <f t="shared" si="30"/>
        <v>#DIV/0!</v>
      </c>
      <c r="X181" s="89"/>
      <c r="Y181" s="225"/>
      <c r="Z181" s="225"/>
      <c r="AA181" s="225"/>
      <c r="AB181" s="225"/>
      <c r="AC181" s="225"/>
      <c r="AD181" s="225"/>
      <c r="AE181" s="225"/>
      <c r="AF181" s="225"/>
      <c r="AG181" s="225"/>
      <c r="AH181" s="225"/>
      <c r="AI181" s="225"/>
      <c r="AJ181" s="225"/>
      <c r="AK181" s="226">
        <f t="shared" si="34"/>
        <v>0</v>
      </c>
      <c r="AL181" s="73" t="e">
        <f t="shared" si="32"/>
        <v>#DIV/0!</v>
      </c>
      <c r="AM181" s="14">
        <f t="shared" si="21"/>
        <v>0</v>
      </c>
      <c r="AN181" s="9"/>
    </row>
    <row r="182" spans="1:40" outlineLevel="1">
      <c r="A182" s="12" t="s">
        <v>146</v>
      </c>
      <c r="B182" s="8" t="s">
        <v>370</v>
      </c>
      <c r="I182" s="137" t="s">
        <v>170</v>
      </c>
      <c r="J182" s="225"/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6">
        <f t="shared" si="33"/>
        <v>0</v>
      </c>
      <c r="W182" s="73" t="e">
        <f t="shared" si="30"/>
        <v>#DIV/0!</v>
      </c>
      <c r="X182" s="89"/>
      <c r="Y182" s="225"/>
      <c r="Z182" s="225"/>
      <c r="AA182" s="225"/>
      <c r="AB182" s="225"/>
      <c r="AC182" s="225"/>
      <c r="AD182" s="225"/>
      <c r="AE182" s="225"/>
      <c r="AF182" s="225"/>
      <c r="AG182" s="225"/>
      <c r="AH182" s="225"/>
      <c r="AI182" s="225"/>
      <c r="AJ182" s="225"/>
      <c r="AK182" s="226">
        <f t="shared" si="34"/>
        <v>0</v>
      </c>
      <c r="AL182" s="73" t="e">
        <f t="shared" si="32"/>
        <v>#DIV/0!</v>
      </c>
      <c r="AM182" s="14">
        <f t="shared" si="21"/>
        <v>0</v>
      </c>
      <c r="AN182" s="9"/>
    </row>
    <row r="183" spans="1:40" outlineLevel="1">
      <c r="A183" s="12" t="s">
        <v>146</v>
      </c>
      <c r="B183" s="8" t="s">
        <v>370</v>
      </c>
      <c r="I183" s="137" t="s">
        <v>179</v>
      </c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6">
        <f t="shared" si="33"/>
        <v>0</v>
      </c>
      <c r="W183" s="73" t="e">
        <f t="shared" si="30"/>
        <v>#DIV/0!</v>
      </c>
      <c r="X183" s="89"/>
      <c r="Y183" s="225"/>
      <c r="Z183" s="225"/>
      <c r="AA183" s="225"/>
      <c r="AB183" s="225"/>
      <c r="AC183" s="225"/>
      <c r="AD183" s="225"/>
      <c r="AE183" s="225"/>
      <c r="AF183" s="225"/>
      <c r="AG183" s="225"/>
      <c r="AH183" s="225"/>
      <c r="AI183" s="225"/>
      <c r="AJ183" s="225"/>
      <c r="AK183" s="226">
        <f t="shared" si="34"/>
        <v>0</v>
      </c>
      <c r="AL183" s="73" t="e">
        <f t="shared" si="32"/>
        <v>#DIV/0!</v>
      </c>
      <c r="AM183" s="14">
        <f t="shared" si="21"/>
        <v>0</v>
      </c>
      <c r="AN183" s="9"/>
    </row>
    <row r="184" spans="1:40" outlineLevel="1">
      <c r="A184" s="12" t="s">
        <v>146</v>
      </c>
      <c r="B184" s="8" t="s">
        <v>370</v>
      </c>
      <c r="I184" s="137" t="s">
        <v>178</v>
      </c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6">
        <f t="shared" si="33"/>
        <v>0</v>
      </c>
      <c r="W184" s="73" t="e">
        <f t="shared" si="30"/>
        <v>#DIV/0!</v>
      </c>
      <c r="X184" s="89"/>
      <c r="Y184" s="225"/>
      <c r="Z184" s="225"/>
      <c r="AA184" s="225"/>
      <c r="AB184" s="225"/>
      <c r="AC184" s="225"/>
      <c r="AD184" s="225"/>
      <c r="AE184" s="225"/>
      <c r="AF184" s="225"/>
      <c r="AG184" s="225"/>
      <c r="AH184" s="225"/>
      <c r="AI184" s="225"/>
      <c r="AJ184" s="225"/>
      <c r="AK184" s="226">
        <f t="shared" si="34"/>
        <v>0</v>
      </c>
      <c r="AL184" s="73" t="e">
        <f t="shared" si="32"/>
        <v>#DIV/0!</v>
      </c>
      <c r="AM184" s="14">
        <f t="shared" si="21"/>
        <v>0</v>
      </c>
      <c r="AN184" s="9"/>
    </row>
    <row r="185" spans="1:40" outlineLevel="1">
      <c r="A185" s="12" t="s">
        <v>146</v>
      </c>
      <c r="B185" s="8" t="s">
        <v>370</v>
      </c>
      <c r="I185" s="137" t="s">
        <v>360</v>
      </c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6">
        <f t="shared" si="33"/>
        <v>0</v>
      </c>
      <c r="W185" s="73" t="e">
        <f t="shared" si="30"/>
        <v>#DIV/0!</v>
      </c>
      <c r="X185" s="89"/>
      <c r="Y185" s="225"/>
      <c r="Z185" s="225"/>
      <c r="AA185" s="225"/>
      <c r="AB185" s="225"/>
      <c r="AC185" s="225"/>
      <c r="AD185" s="225"/>
      <c r="AE185" s="225"/>
      <c r="AF185" s="225"/>
      <c r="AG185" s="225"/>
      <c r="AH185" s="225"/>
      <c r="AI185" s="225"/>
      <c r="AJ185" s="225"/>
      <c r="AK185" s="226">
        <f t="shared" si="34"/>
        <v>0</v>
      </c>
      <c r="AL185" s="73" t="e">
        <f t="shared" si="32"/>
        <v>#DIV/0!</v>
      </c>
      <c r="AM185" s="14">
        <f t="shared" si="21"/>
        <v>0</v>
      </c>
      <c r="AN185" s="9"/>
    </row>
    <row r="186" spans="1:40" outlineLevel="1">
      <c r="A186" s="12" t="s">
        <v>146</v>
      </c>
      <c r="B186" s="8" t="s">
        <v>370</v>
      </c>
      <c r="I186" s="137" t="s">
        <v>282</v>
      </c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6">
        <f t="shared" si="33"/>
        <v>0</v>
      </c>
      <c r="W186" s="73" t="e">
        <f t="shared" si="30"/>
        <v>#DIV/0!</v>
      </c>
      <c r="X186" s="89"/>
      <c r="Y186" s="225"/>
      <c r="Z186" s="225"/>
      <c r="AA186" s="225"/>
      <c r="AB186" s="225"/>
      <c r="AC186" s="225"/>
      <c r="AD186" s="225"/>
      <c r="AE186" s="225"/>
      <c r="AF186" s="225"/>
      <c r="AG186" s="225"/>
      <c r="AH186" s="225"/>
      <c r="AI186" s="225"/>
      <c r="AJ186" s="225"/>
      <c r="AK186" s="226">
        <f t="shared" si="34"/>
        <v>0</v>
      </c>
      <c r="AL186" s="73" t="e">
        <f t="shared" si="32"/>
        <v>#DIV/0!</v>
      </c>
      <c r="AM186" s="14">
        <f t="shared" si="21"/>
        <v>0</v>
      </c>
      <c r="AN186" s="9"/>
    </row>
    <row r="187" spans="1:40" outlineLevel="1">
      <c r="A187" s="12" t="s">
        <v>146</v>
      </c>
      <c r="B187" s="8" t="s">
        <v>370</v>
      </c>
      <c r="C187" s="8" t="s">
        <v>171</v>
      </c>
      <c r="I187" s="137" t="s">
        <v>283</v>
      </c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6">
        <f t="shared" si="33"/>
        <v>0</v>
      </c>
      <c r="W187" s="73" t="e">
        <f t="shared" si="30"/>
        <v>#DIV/0!</v>
      </c>
      <c r="X187" s="89"/>
      <c r="Y187" s="225"/>
      <c r="Z187" s="225"/>
      <c r="AA187" s="225"/>
      <c r="AB187" s="225"/>
      <c r="AC187" s="225"/>
      <c r="AD187" s="225"/>
      <c r="AE187" s="225"/>
      <c r="AF187" s="225"/>
      <c r="AG187" s="225"/>
      <c r="AH187" s="225"/>
      <c r="AI187" s="225"/>
      <c r="AJ187" s="225"/>
      <c r="AK187" s="226">
        <f t="shared" si="34"/>
        <v>0</v>
      </c>
      <c r="AL187" s="73" t="e">
        <f t="shared" si="32"/>
        <v>#DIV/0!</v>
      </c>
      <c r="AM187" s="14">
        <f t="shared" si="21"/>
        <v>0</v>
      </c>
      <c r="AN187" s="9"/>
    </row>
    <row r="188" spans="1:40" outlineLevel="1">
      <c r="A188" s="12" t="s">
        <v>146</v>
      </c>
      <c r="B188" s="8" t="s">
        <v>370</v>
      </c>
      <c r="I188" s="137" t="s">
        <v>284</v>
      </c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6">
        <f t="shared" si="33"/>
        <v>0</v>
      </c>
      <c r="W188" s="73" t="e">
        <f t="shared" si="30"/>
        <v>#DIV/0!</v>
      </c>
      <c r="X188" s="89"/>
      <c r="Y188" s="225"/>
      <c r="Z188" s="225"/>
      <c r="AA188" s="225"/>
      <c r="AB188" s="225"/>
      <c r="AC188" s="225"/>
      <c r="AD188" s="225"/>
      <c r="AE188" s="225"/>
      <c r="AF188" s="225"/>
      <c r="AG188" s="225"/>
      <c r="AH188" s="225"/>
      <c r="AI188" s="225"/>
      <c r="AJ188" s="225"/>
      <c r="AK188" s="226">
        <f t="shared" si="34"/>
        <v>0</v>
      </c>
      <c r="AL188" s="73" t="e">
        <f t="shared" si="32"/>
        <v>#DIV/0!</v>
      </c>
      <c r="AM188" s="14">
        <f t="shared" si="21"/>
        <v>0</v>
      </c>
      <c r="AN188" s="9"/>
    </row>
    <row r="189" spans="1:40" outlineLevel="1">
      <c r="A189" s="12" t="s">
        <v>146</v>
      </c>
      <c r="B189" s="8" t="s">
        <v>370</v>
      </c>
      <c r="I189" s="137" t="s">
        <v>285</v>
      </c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6">
        <f t="shared" si="33"/>
        <v>0</v>
      </c>
      <c r="W189" s="73" t="e">
        <f t="shared" si="30"/>
        <v>#DIV/0!</v>
      </c>
      <c r="X189" s="89"/>
      <c r="Y189" s="225"/>
      <c r="Z189" s="225"/>
      <c r="AA189" s="225"/>
      <c r="AB189" s="225"/>
      <c r="AC189" s="225"/>
      <c r="AD189" s="225"/>
      <c r="AE189" s="225"/>
      <c r="AF189" s="225"/>
      <c r="AG189" s="225"/>
      <c r="AH189" s="225"/>
      <c r="AI189" s="225"/>
      <c r="AJ189" s="225"/>
      <c r="AK189" s="226">
        <f t="shared" si="34"/>
        <v>0</v>
      </c>
      <c r="AL189" s="73" t="e">
        <f t="shared" si="32"/>
        <v>#DIV/0!</v>
      </c>
      <c r="AM189" s="14">
        <f t="shared" si="21"/>
        <v>0</v>
      </c>
      <c r="AN189" s="9"/>
    </row>
    <row r="190" spans="1:40" outlineLevel="1">
      <c r="A190" s="12" t="s">
        <v>146</v>
      </c>
      <c r="B190" s="8" t="s">
        <v>370</v>
      </c>
      <c r="I190" s="137" t="s">
        <v>190</v>
      </c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6">
        <f t="shared" si="33"/>
        <v>0</v>
      </c>
      <c r="W190" s="73" t="e">
        <f t="shared" si="30"/>
        <v>#DIV/0!</v>
      </c>
      <c r="X190" s="89"/>
      <c r="Y190" s="225"/>
      <c r="Z190" s="225"/>
      <c r="AA190" s="225"/>
      <c r="AB190" s="225"/>
      <c r="AC190" s="225"/>
      <c r="AD190" s="225"/>
      <c r="AE190" s="225"/>
      <c r="AF190" s="225"/>
      <c r="AG190" s="225"/>
      <c r="AH190" s="225"/>
      <c r="AI190" s="225"/>
      <c r="AJ190" s="225"/>
      <c r="AK190" s="226">
        <f t="shared" si="34"/>
        <v>0</v>
      </c>
      <c r="AL190" s="73" t="e">
        <f t="shared" si="32"/>
        <v>#DIV/0!</v>
      </c>
      <c r="AM190" s="14">
        <f t="shared" ref="AM190:AM280" si="35">IFERROR(AK190/V190-1,0)</f>
        <v>0</v>
      </c>
      <c r="AN190" s="9"/>
    </row>
    <row r="191" spans="1:40" outlineLevel="1">
      <c r="A191" s="12"/>
      <c r="I191" s="137" t="s">
        <v>173</v>
      </c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6">
        <f>SUM(J191:U191)</f>
        <v>0</v>
      </c>
      <c r="W191" s="73" t="e">
        <f>V191/V$6</f>
        <v>#DIV/0!</v>
      </c>
      <c r="X191" s="89"/>
      <c r="Y191" s="225"/>
      <c r="Z191" s="225"/>
      <c r="AA191" s="225"/>
      <c r="AB191" s="225"/>
      <c r="AC191" s="225"/>
      <c r="AD191" s="225"/>
      <c r="AE191" s="225"/>
      <c r="AF191" s="225"/>
      <c r="AG191" s="225"/>
      <c r="AH191" s="225"/>
      <c r="AI191" s="225"/>
      <c r="AJ191" s="225"/>
      <c r="AK191" s="226">
        <f t="shared" si="34"/>
        <v>0</v>
      </c>
      <c r="AL191" s="73" t="e">
        <f>AK191/AK$6</f>
        <v>#DIV/0!</v>
      </c>
      <c r="AM191" s="14">
        <f>IFERROR(AK191/V191-1,0)</f>
        <v>0</v>
      </c>
      <c r="AN191" s="9"/>
    </row>
    <row r="192" spans="1:40" outlineLevel="1">
      <c r="A192" s="12" t="s">
        <v>146</v>
      </c>
      <c r="B192" s="8" t="s">
        <v>370</v>
      </c>
      <c r="I192" s="137" t="s">
        <v>176</v>
      </c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6">
        <f t="shared" si="33"/>
        <v>0</v>
      </c>
      <c r="W192" s="73" t="e">
        <f t="shared" si="30"/>
        <v>#DIV/0!</v>
      </c>
      <c r="X192" s="89"/>
      <c r="Y192" s="225"/>
      <c r="Z192" s="225"/>
      <c r="AA192" s="225"/>
      <c r="AB192" s="225"/>
      <c r="AC192" s="225"/>
      <c r="AD192" s="225"/>
      <c r="AE192" s="225"/>
      <c r="AF192" s="225"/>
      <c r="AG192" s="225"/>
      <c r="AH192" s="225"/>
      <c r="AI192" s="225"/>
      <c r="AJ192" s="225"/>
      <c r="AK192" s="226">
        <f t="shared" si="34"/>
        <v>0</v>
      </c>
      <c r="AL192" s="73" t="e">
        <f t="shared" si="32"/>
        <v>#DIV/0!</v>
      </c>
      <c r="AM192" s="14">
        <f t="shared" si="35"/>
        <v>0</v>
      </c>
      <c r="AN192" s="9"/>
    </row>
    <row r="193" spans="1:40" outlineLevel="1">
      <c r="A193" s="12" t="s">
        <v>146</v>
      </c>
      <c r="B193" s="8" t="s">
        <v>370</v>
      </c>
      <c r="I193" s="137" t="s">
        <v>174</v>
      </c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6">
        <f t="shared" si="33"/>
        <v>0</v>
      </c>
      <c r="W193" s="73" t="e">
        <f t="shared" si="30"/>
        <v>#DIV/0!</v>
      </c>
      <c r="X193" s="89"/>
      <c r="Y193" s="225"/>
      <c r="Z193" s="225"/>
      <c r="AA193" s="225"/>
      <c r="AB193" s="225"/>
      <c r="AC193" s="225"/>
      <c r="AD193" s="225"/>
      <c r="AE193" s="225"/>
      <c r="AF193" s="225"/>
      <c r="AG193" s="225"/>
      <c r="AH193" s="225"/>
      <c r="AI193" s="225"/>
      <c r="AJ193" s="225"/>
      <c r="AK193" s="226">
        <f t="shared" si="34"/>
        <v>0</v>
      </c>
      <c r="AL193" s="73" t="e">
        <f t="shared" si="32"/>
        <v>#DIV/0!</v>
      </c>
      <c r="AM193" s="14">
        <f t="shared" si="35"/>
        <v>0</v>
      </c>
      <c r="AN193" s="9"/>
    </row>
    <row r="194" spans="1:40" outlineLevel="1">
      <c r="A194" s="12" t="s">
        <v>146</v>
      </c>
      <c r="B194" s="8" t="s">
        <v>370</v>
      </c>
      <c r="I194" s="137" t="s">
        <v>165</v>
      </c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6">
        <f t="shared" si="33"/>
        <v>0</v>
      </c>
      <c r="W194" s="73" t="e">
        <f t="shared" si="30"/>
        <v>#DIV/0!</v>
      </c>
      <c r="X194" s="89"/>
      <c r="Y194" s="225"/>
      <c r="Z194" s="225"/>
      <c r="AA194" s="225"/>
      <c r="AB194" s="225"/>
      <c r="AC194" s="225"/>
      <c r="AD194" s="225"/>
      <c r="AE194" s="225"/>
      <c r="AF194" s="225"/>
      <c r="AG194" s="225"/>
      <c r="AH194" s="225"/>
      <c r="AI194" s="225"/>
      <c r="AJ194" s="225"/>
      <c r="AK194" s="226">
        <f t="shared" si="34"/>
        <v>0</v>
      </c>
      <c r="AL194" s="73" t="e">
        <f t="shared" si="32"/>
        <v>#DIV/0!</v>
      </c>
      <c r="AM194" s="14">
        <f t="shared" si="35"/>
        <v>0</v>
      </c>
      <c r="AN194" s="9"/>
    </row>
    <row r="195" spans="1:40" outlineLevel="1">
      <c r="A195" s="12" t="s">
        <v>146</v>
      </c>
      <c r="B195" s="8" t="s">
        <v>370</v>
      </c>
      <c r="I195" s="137" t="s">
        <v>168</v>
      </c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6">
        <f t="shared" si="33"/>
        <v>0</v>
      </c>
      <c r="W195" s="73" t="e">
        <f t="shared" si="30"/>
        <v>#DIV/0!</v>
      </c>
      <c r="X195" s="89"/>
      <c r="Y195" s="225"/>
      <c r="Z195" s="225"/>
      <c r="AA195" s="225"/>
      <c r="AB195" s="225"/>
      <c r="AC195" s="225"/>
      <c r="AD195" s="225"/>
      <c r="AE195" s="225"/>
      <c r="AF195" s="225"/>
      <c r="AG195" s="225"/>
      <c r="AH195" s="225"/>
      <c r="AI195" s="225"/>
      <c r="AJ195" s="225"/>
      <c r="AK195" s="226">
        <f t="shared" si="34"/>
        <v>0</v>
      </c>
      <c r="AL195" s="73" t="e">
        <f t="shared" si="32"/>
        <v>#DIV/0!</v>
      </c>
      <c r="AM195" s="14">
        <f t="shared" si="35"/>
        <v>0</v>
      </c>
      <c r="AN195" s="9"/>
    </row>
    <row r="196" spans="1:40" outlineLevel="1">
      <c r="A196" s="12" t="s">
        <v>146</v>
      </c>
      <c r="B196" s="8" t="s">
        <v>370</v>
      </c>
      <c r="I196" s="137" t="s">
        <v>156</v>
      </c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6">
        <f t="shared" si="33"/>
        <v>0</v>
      </c>
      <c r="W196" s="73" t="e">
        <f t="shared" si="30"/>
        <v>#DIV/0!</v>
      </c>
      <c r="X196" s="89"/>
      <c r="Y196" s="225"/>
      <c r="Z196" s="225"/>
      <c r="AA196" s="225"/>
      <c r="AB196" s="225"/>
      <c r="AC196" s="225"/>
      <c r="AD196" s="225"/>
      <c r="AE196" s="225"/>
      <c r="AF196" s="225"/>
      <c r="AG196" s="225"/>
      <c r="AH196" s="225"/>
      <c r="AI196" s="225"/>
      <c r="AJ196" s="225"/>
      <c r="AK196" s="226">
        <f t="shared" si="34"/>
        <v>0</v>
      </c>
      <c r="AL196" s="73" t="e">
        <f t="shared" si="32"/>
        <v>#DIV/0!</v>
      </c>
      <c r="AM196" s="14">
        <f t="shared" si="35"/>
        <v>0</v>
      </c>
      <c r="AN196" s="9"/>
    </row>
    <row r="197" spans="1:40" outlineLevel="1">
      <c r="A197" s="12" t="s">
        <v>146</v>
      </c>
      <c r="B197" s="8" t="s">
        <v>370</v>
      </c>
      <c r="I197" s="137" t="s">
        <v>286</v>
      </c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6">
        <f t="shared" si="33"/>
        <v>0</v>
      </c>
      <c r="W197" s="73" t="e">
        <f t="shared" si="30"/>
        <v>#DIV/0!</v>
      </c>
      <c r="X197" s="89"/>
      <c r="Y197" s="225"/>
      <c r="Z197" s="225"/>
      <c r="AA197" s="225"/>
      <c r="AB197" s="225"/>
      <c r="AC197" s="225"/>
      <c r="AD197" s="225"/>
      <c r="AE197" s="225"/>
      <c r="AF197" s="225"/>
      <c r="AG197" s="225"/>
      <c r="AH197" s="225"/>
      <c r="AI197" s="225"/>
      <c r="AJ197" s="225"/>
      <c r="AK197" s="226">
        <f t="shared" si="34"/>
        <v>0</v>
      </c>
      <c r="AL197" s="73" t="e">
        <f t="shared" si="32"/>
        <v>#DIV/0!</v>
      </c>
      <c r="AM197" s="14">
        <f t="shared" si="35"/>
        <v>0</v>
      </c>
      <c r="AN197" s="9"/>
    </row>
    <row r="198" spans="1:40" outlineLevel="1">
      <c r="A198" s="12" t="s">
        <v>146</v>
      </c>
      <c r="B198" s="8" t="s">
        <v>370</v>
      </c>
      <c r="I198" s="137" t="s">
        <v>287</v>
      </c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6">
        <f t="shared" si="33"/>
        <v>0</v>
      </c>
      <c r="W198" s="73" t="e">
        <f t="shared" si="30"/>
        <v>#DIV/0!</v>
      </c>
      <c r="X198" s="89"/>
      <c r="Y198" s="225"/>
      <c r="Z198" s="225"/>
      <c r="AA198" s="225"/>
      <c r="AB198" s="225"/>
      <c r="AC198" s="225"/>
      <c r="AD198" s="225"/>
      <c r="AE198" s="225"/>
      <c r="AF198" s="225"/>
      <c r="AG198" s="225"/>
      <c r="AH198" s="225"/>
      <c r="AI198" s="225"/>
      <c r="AJ198" s="225"/>
      <c r="AK198" s="226">
        <f t="shared" si="34"/>
        <v>0</v>
      </c>
      <c r="AL198" s="73" t="e">
        <f t="shared" si="32"/>
        <v>#DIV/0!</v>
      </c>
      <c r="AM198" s="14">
        <f t="shared" si="35"/>
        <v>0</v>
      </c>
      <c r="AN198" s="9"/>
    </row>
    <row r="199" spans="1:40" outlineLevel="1">
      <c r="A199" s="12" t="s">
        <v>146</v>
      </c>
      <c r="B199" s="8" t="s">
        <v>370</v>
      </c>
      <c r="I199" s="137" t="s">
        <v>149</v>
      </c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6">
        <f t="shared" si="33"/>
        <v>0</v>
      </c>
      <c r="W199" s="73" t="e">
        <f t="shared" si="30"/>
        <v>#DIV/0!</v>
      </c>
      <c r="X199" s="89"/>
      <c r="Y199" s="225"/>
      <c r="Z199" s="225"/>
      <c r="AA199" s="225"/>
      <c r="AB199" s="225"/>
      <c r="AC199" s="225"/>
      <c r="AD199" s="225"/>
      <c r="AE199" s="225"/>
      <c r="AF199" s="225"/>
      <c r="AG199" s="225"/>
      <c r="AH199" s="225"/>
      <c r="AI199" s="225"/>
      <c r="AJ199" s="225"/>
      <c r="AK199" s="226">
        <f t="shared" si="34"/>
        <v>0</v>
      </c>
      <c r="AL199" s="73" t="e">
        <f t="shared" si="32"/>
        <v>#DIV/0!</v>
      </c>
      <c r="AM199" s="14">
        <f t="shared" si="35"/>
        <v>0</v>
      </c>
      <c r="AN199" s="9"/>
    </row>
    <row r="200" spans="1:40" outlineLevel="1">
      <c r="A200" s="12" t="s">
        <v>146</v>
      </c>
      <c r="B200" s="8" t="s">
        <v>370</v>
      </c>
      <c r="I200" s="137" t="s">
        <v>152</v>
      </c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6">
        <f t="shared" si="33"/>
        <v>0</v>
      </c>
      <c r="W200" s="73" t="e">
        <f t="shared" si="30"/>
        <v>#DIV/0!</v>
      </c>
      <c r="X200" s="89"/>
      <c r="Y200" s="225"/>
      <c r="Z200" s="225"/>
      <c r="AA200" s="225"/>
      <c r="AB200" s="225"/>
      <c r="AC200" s="225"/>
      <c r="AD200" s="225"/>
      <c r="AE200" s="225"/>
      <c r="AF200" s="225"/>
      <c r="AG200" s="225"/>
      <c r="AH200" s="225"/>
      <c r="AI200" s="225"/>
      <c r="AJ200" s="225"/>
      <c r="AK200" s="226">
        <f t="shared" si="34"/>
        <v>0</v>
      </c>
      <c r="AL200" s="73" t="e">
        <f t="shared" si="32"/>
        <v>#DIV/0!</v>
      </c>
      <c r="AM200" s="14">
        <f t="shared" si="35"/>
        <v>0</v>
      </c>
      <c r="AN200" s="9"/>
    </row>
    <row r="201" spans="1:40" outlineLevel="1">
      <c r="A201" s="12" t="s">
        <v>146</v>
      </c>
      <c r="B201" s="8" t="s">
        <v>370</v>
      </c>
      <c r="I201" s="137" t="s">
        <v>180</v>
      </c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6">
        <f t="shared" si="33"/>
        <v>0</v>
      </c>
      <c r="W201" s="73" t="e">
        <f t="shared" si="30"/>
        <v>#DIV/0!</v>
      </c>
      <c r="X201" s="89"/>
      <c r="Y201" s="225"/>
      <c r="Z201" s="225"/>
      <c r="AA201" s="225"/>
      <c r="AB201" s="225"/>
      <c r="AC201" s="225"/>
      <c r="AD201" s="225"/>
      <c r="AE201" s="225"/>
      <c r="AF201" s="225"/>
      <c r="AG201" s="225"/>
      <c r="AH201" s="225"/>
      <c r="AI201" s="225"/>
      <c r="AJ201" s="225"/>
      <c r="AK201" s="226">
        <f t="shared" si="34"/>
        <v>0</v>
      </c>
      <c r="AL201" s="73" t="e">
        <f t="shared" si="32"/>
        <v>#DIV/0!</v>
      </c>
      <c r="AM201" s="14">
        <f t="shared" si="35"/>
        <v>0</v>
      </c>
      <c r="AN201" s="9"/>
    </row>
    <row r="202" spans="1:40" outlineLevel="1">
      <c r="A202" s="12"/>
      <c r="I202" s="137" t="s">
        <v>288</v>
      </c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6">
        <f t="shared" si="33"/>
        <v>0</v>
      </c>
      <c r="W202" s="73" t="e">
        <f t="shared" si="30"/>
        <v>#DIV/0!</v>
      </c>
      <c r="X202" s="89"/>
      <c r="Y202" s="225"/>
      <c r="Z202" s="225"/>
      <c r="AA202" s="225"/>
      <c r="AB202" s="225"/>
      <c r="AC202" s="225"/>
      <c r="AD202" s="225"/>
      <c r="AE202" s="225"/>
      <c r="AF202" s="225"/>
      <c r="AG202" s="225"/>
      <c r="AH202" s="225"/>
      <c r="AI202" s="225"/>
      <c r="AJ202" s="225"/>
      <c r="AK202" s="226">
        <f t="shared" si="34"/>
        <v>0</v>
      </c>
      <c r="AL202" s="73" t="e">
        <f t="shared" si="32"/>
        <v>#DIV/0!</v>
      </c>
      <c r="AM202" s="14">
        <f t="shared" si="35"/>
        <v>0</v>
      </c>
      <c r="AN202" s="9"/>
    </row>
    <row r="203" spans="1:40" outlineLevel="1">
      <c r="A203" s="12"/>
      <c r="I203" s="137" t="s">
        <v>186</v>
      </c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6">
        <f t="shared" si="33"/>
        <v>0</v>
      </c>
      <c r="W203" s="73" t="e">
        <f t="shared" si="30"/>
        <v>#DIV/0!</v>
      </c>
      <c r="X203" s="89"/>
      <c r="Y203" s="225"/>
      <c r="Z203" s="225"/>
      <c r="AA203" s="225"/>
      <c r="AB203" s="225"/>
      <c r="AC203" s="225"/>
      <c r="AD203" s="225"/>
      <c r="AE203" s="225"/>
      <c r="AF203" s="225"/>
      <c r="AG203" s="225"/>
      <c r="AH203" s="225"/>
      <c r="AI203" s="225"/>
      <c r="AJ203" s="225"/>
      <c r="AK203" s="226">
        <f t="shared" si="34"/>
        <v>0</v>
      </c>
      <c r="AL203" s="73" t="e">
        <f t="shared" si="32"/>
        <v>#DIV/0!</v>
      </c>
      <c r="AM203" s="14">
        <f t="shared" si="35"/>
        <v>0</v>
      </c>
      <c r="AN203" s="9"/>
    </row>
    <row r="204" spans="1:40" outlineLevel="1">
      <c r="A204" s="12"/>
      <c r="I204" s="137" t="s">
        <v>228</v>
      </c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6">
        <f t="shared" si="33"/>
        <v>0</v>
      </c>
      <c r="W204" s="73" t="e">
        <f t="shared" si="30"/>
        <v>#DIV/0!</v>
      </c>
      <c r="X204" s="89"/>
      <c r="Y204" s="225"/>
      <c r="Z204" s="225"/>
      <c r="AA204" s="225"/>
      <c r="AB204" s="225"/>
      <c r="AC204" s="225"/>
      <c r="AD204" s="225"/>
      <c r="AE204" s="225"/>
      <c r="AF204" s="225"/>
      <c r="AG204" s="225"/>
      <c r="AH204" s="225"/>
      <c r="AI204" s="225"/>
      <c r="AJ204" s="225"/>
      <c r="AK204" s="226">
        <f t="shared" si="34"/>
        <v>0</v>
      </c>
      <c r="AL204" s="73" t="e">
        <f t="shared" si="32"/>
        <v>#DIV/0!</v>
      </c>
      <c r="AM204" s="14">
        <f t="shared" si="35"/>
        <v>0</v>
      </c>
      <c r="AN204" s="9"/>
    </row>
    <row r="205" spans="1:40" outlineLevel="1">
      <c r="A205" s="12"/>
      <c r="I205" s="137" t="s">
        <v>167</v>
      </c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6">
        <f t="shared" si="33"/>
        <v>0</v>
      </c>
      <c r="W205" s="73" t="e">
        <f t="shared" si="30"/>
        <v>#DIV/0!</v>
      </c>
      <c r="X205" s="89"/>
      <c r="Y205" s="225"/>
      <c r="Z205" s="225"/>
      <c r="AA205" s="225"/>
      <c r="AB205" s="225"/>
      <c r="AC205" s="225"/>
      <c r="AD205" s="225"/>
      <c r="AE205" s="225"/>
      <c r="AF205" s="225"/>
      <c r="AG205" s="225"/>
      <c r="AH205" s="225"/>
      <c r="AI205" s="225"/>
      <c r="AJ205" s="225"/>
      <c r="AK205" s="226">
        <f t="shared" si="34"/>
        <v>0</v>
      </c>
      <c r="AL205" s="73" t="e">
        <f t="shared" si="32"/>
        <v>#DIV/0!</v>
      </c>
      <c r="AM205" s="14">
        <f t="shared" si="35"/>
        <v>0</v>
      </c>
      <c r="AN205" s="9"/>
    </row>
    <row r="206" spans="1:40" outlineLevel="1">
      <c r="A206" s="12"/>
      <c r="I206" s="137" t="s">
        <v>233</v>
      </c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6">
        <f t="shared" si="33"/>
        <v>0</v>
      </c>
      <c r="W206" s="73" t="e">
        <f t="shared" si="30"/>
        <v>#DIV/0!</v>
      </c>
      <c r="X206" s="89"/>
      <c r="Y206" s="225"/>
      <c r="Z206" s="225"/>
      <c r="AA206" s="225"/>
      <c r="AB206" s="225"/>
      <c r="AC206" s="225"/>
      <c r="AD206" s="225"/>
      <c r="AE206" s="225"/>
      <c r="AF206" s="225"/>
      <c r="AG206" s="225"/>
      <c r="AH206" s="225"/>
      <c r="AI206" s="225"/>
      <c r="AJ206" s="225"/>
      <c r="AK206" s="226">
        <f t="shared" si="34"/>
        <v>0</v>
      </c>
      <c r="AL206" s="73" t="e">
        <f t="shared" si="32"/>
        <v>#DIV/0!</v>
      </c>
      <c r="AM206" s="14">
        <f t="shared" si="35"/>
        <v>0</v>
      </c>
      <c r="AN206" s="9"/>
    </row>
    <row r="207" spans="1:40" outlineLevel="1">
      <c r="A207" s="12"/>
      <c r="I207" s="137" t="s">
        <v>194</v>
      </c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6">
        <f t="shared" si="33"/>
        <v>0</v>
      </c>
      <c r="W207" s="73" t="e">
        <f t="shared" si="30"/>
        <v>#DIV/0!</v>
      </c>
      <c r="X207" s="89"/>
      <c r="Y207" s="225"/>
      <c r="Z207" s="225"/>
      <c r="AA207" s="225"/>
      <c r="AB207" s="225"/>
      <c r="AC207" s="225"/>
      <c r="AD207" s="225"/>
      <c r="AE207" s="225"/>
      <c r="AF207" s="225"/>
      <c r="AG207" s="225"/>
      <c r="AH207" s="225"/>
      <c r="AI207" s="225"/>
      <c r="AJ207" s="225"/>
      <c r="AK207" s="226">
        <f t="shared" si="34"/>
        <v>0</v>
      </c>
      <c r="AL207" s="73" t="e">
        <f t="shared" si="32"/>
        <v>#DIV/0!</v>
      </c>
      <c r="AM207" s="14">
        <f t="shared" si="35"/>
        <v>0</v>
      </c>
      <c r="AN207" s="9"/>
    </row>
    <row r="208" spans="1:40" outlineLevel="1">
      <c r="A208" s="12"/>
      <c r="I208" s="137" t="s">
        <v>175</v>
      </c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6">
        <f t="shared" si="33"/>
        <v>0</v>
      </c>
      <c r="W208" s="73" t="e">
        <f t="shared" si="30"/>
        <v>#DIV/0!</v>
      </c>
      <c r="X208" s="89"/>
      <c r="Y208" s="225"/>
      <c r="Z208" s="225"/>
      <c r="AA208" s="225"/>
      <c r="AB208" s="225"/>
      <c r="AC208" s="225"/>
      <c r="AD208" s="225"/>
      <c r="AE208" s="225"/>
      <c r="AF208" s="225"/>
      <c r="AG208" s="225"/>
      <c r="AH208" s="225"/>
      <c r="AI208" s="225"/>
      <c r="AJ208" s="225"/>
      <c r="AK208" s="226">
        <f t="shared" si="34"/>
        <v>0</v>
      </c>
      <c r="AL208" s="73" t="e">
        <f t="shared" si="32"/>
        <v>#DIV/0!</v>
      </c>
      <c r="AM208" s="14">
        <f t="shared" si="35"/>
        <v>0</v>
      </c>
      <c r="AN208" s="9"/>
    </row>
    <row r="209" spans="1:40" collapsed="1">
      <c r="A209" s="12" t="s">
        <v>195</v>
      </c>
      <c r="B209" s="8" t="s">
        <v>370</v>
      </c>
      <c r="I209" s="123" t="s">
        <v>196</v>
      </c>
      <c r="J209" s="222"/>
      <c r="K209" s="222"/>
      <c r="L209" s="222"/>
      <c r="M209" s="222"/>
      <c r="N209" s="222"/>
      <c r="O209" s="222"/>
      <c r="P209" s="222"/>
      <c r="Q209" s="222"/>
      <c r="R209" s="222"/>
      <c r="S209" s="222"/>
      <c r="T209" s="222"/>
      <c r="U209" s="222"/>
      <c r="V209" s="222">
        <f>SUM(V210:V225)</f>
        <v>0</v>
      </c>
      <c r="W209" s="72" t="e">
        <f t="shared" si="30"/>
        <v>#DIV/0!</v>
      </c>
      <c r="X209" s="89"/>
      <c r="Y209" s="222">
        <f t="shared" ref="Y209:AK209" si="36">SUM(Y210:Y225)</f>
        <v>0</v>
      </c>
      <c r="Z209" s="222">
        <f t="shared" si="36"/>
        <v>0</v>
      </c>
      <c r="AA209" s="222">
        <f t="shared" si="36"/>
        <v>0</v>
      </c>
      <c r="AB209" s="222">
        <f t="shared" si="36"/>
        <v>0</v>
      </c>
      <c r="AC209" s="222">
        <f t="shared" si="36"/>
        <v>0</v>
      </c>
      <c r="AD209" s="222">
        <f t="shared" si="36"/>
        <v>0</v>
      </c>
      <c r="AE209" s="222">
        <f t="shared" si="36"/>
        <v>0</v>
      </c>
      <c r="AF209" s="222">
        <f t="shared" si="36"/>
        <v>0</v>
      </c>
      <c r="AG209" s="222">
        <f t="shared" si="36"/>
        <v>0</v>
      </c>
      <c r="AH209" s="222">
        <f t="shared" si="36"/>
        <v>0</v>
      </c>
      <c r="AI209" s="222">
        <f t="shared" si="36"/>
        <v>0</v>
      </c>
      <c r="AJ209" s="222">
        <f t="shared" si="36"/>
        <v>0</v>
      </c>
      <c r="AK209" s="222">
        <f t="shared" si="36"/>
        <v>0</v>
      </c>
      <c r="AL209" s="72" t="e">
        <f t="shared" si="32"/>
        <v>#DIV/0!</v>
      </c>
      <c r="AM209" s="10">
        <f t="shared" si="35"/>
        <v>0</v>
      </c>
      <c r="AN209" s="9"/>
    </row>
    <row r="210" spans="1:40" hidden="1" outlineLevel="1">
      <c r="A210" s="12" t="s">
        <v>195</v>
      </c>
      <c r="B210" s="8" t="s">
        <v>370</v>
      </c>
      <c r="I210" t="s">
        <v>197</v>
      </c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6">
        <f>SUM(J210:U210)</f>
        <v>0</v>
      </c>
      <c r="W210" s="73" t="e">
        <f t="shared" si="30"/>
        <v>#DIV/0!</v>
      </c>
      <c r="X210" s="89"/>
      <c r="Y210" s="225"/>
      <c r="Z210" s="225"/>
      <c r="AA210" s="225"/>
      <c r="AB210" s="225"/>
      <c r="AC210" s="225"/>
      <c r="AD210" s="225"/>
      <c r="AE210" s="225"/>
      <c r="AF210" s="225"/>
      <c r="AG210" s="225"/>
      <c r="AH210" s="225"/>
      <c r="AI210" s="225"/>
      <c r="AJ210" s="225"/>
      <c r="AK210" s="226">
        <f>SUM(Y210:AJ210)</f>
        <v>0</v>
      </c>
      <c r="AL210" s="73" t="e">
        <f t="shared" si="32"/>
        <v>#DIV/0!</v>
      </c>
      <c r="AM210" s="14">
        <f t="shared" si="35"/>
        <v>0</v>
      </c>
      <c r="AN210" s="9"/>
    </row>
    <row r="211" spans="1:40" hidden="1" outlineLevel="1">
      <c r="A211" s="12" t="s">
        <v>195</v>
      </c>
      <c r="B211" s="8" t="s">
        <v>370</v>
      </c>
      <c r="I211" t="s">
        <v>198</v>
      </c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6">
        <f t="shared" ref="V211:V225" si="37">SUM(J211:U211)</f>
        <v>0</v>
      </c>
      <c r="W211" s="73" t="e">
        <f t="shared" si="30"/>
        <v>#DIV/0!</v>
      </c>
      <c r="X211" s="89"/>
      <c r="Y211" s="225"/>
      <c r="Z211" s="225"/>
      <c r="AA211" s="225"/>
      <c r="AB211" s="225"/>
      <c r="AC211" s="225"/>
      <c r="AD211" s="225"/>
      <c r="AE211" s="225"/>
      <c r="AF211" s="225"/>
      <c r="AG211" s="225"/>
      <c r="AH211" s="225"/>
      <c r="AI211" s="225"/>
      <c r="AJ211" s="225"/>
      <c r="AK211" s="226">
        <f t="shared" ref="AK211:AK225" si="38">SUM(Y211:AJ211)</f>
        <v>0</v>
      </c>
      <c r="AL211" s="73" t="e">
        <f t="shared" si="32"/>
        <v>#DIV/0!</v>
      </c>
      <c r="AM211" s="14">
        <f t="shared" si="35"/>
        <v>0</v>
      </c>
      <c r="AN211" s="9"/>
    </row>
    <row r="212" spans="1:40" hidden="1" outlineLevel="1">
      <c r="A212" s="12" t="s">
        <v>195</v>
      </c>
      <c r="B212" s="8" t="s">
        <v>370</v>
      </c>
      <c r="I212" t="s">
        <v>199</v>
      </c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6">
        <f t="shared" si="37"/>
        <v>0</v>
      </c>
      <c r="W212" s="73" t="e">
        <f t="shared" si="30"/>
        <v>#DIV/0!</v>
      </c>
      <c r="X212" s="89"/>
      <c r="Y212" s="225"/>
      <c r="Z212" s="225"/>
      <c r="AA212" s="225"/>
      <c r="AB212" s="225"/>
      <c r="AC212" s="225"/>
      <c r="AD212" s="225"/>
      <c r="AE212" s="225"/>
      <c r="AF212" s="225"/>
      <c r="AG212" s="225"/>
      <c r="AH212" s="225"/>
      <c r="AI212" s="225"/>
      <c r="AJ212" s="225"/>
      <c r="AK212" s="226">
        <f t="shared" si="38"/>
        <v>0</v>
      </c>
      <c r="AL212" s="73" t="e">
        <f t="shared" si="32"/>
        <v>#DIV/0!</v>
      </c>
      <c r="AM212" s="14">
        <f t="shared" si="35"/>
        <v>0</v>
      </c>
      <c r="AN212" s="9"/>
    </row>
    <row r="213" spans="1:40" hidden="1" outlineLevel="1">
      <c r="A213" s="12" t="s">
        <v>195</v>
      </c>
      <c r="B213" s="8" t="s">
        <v>370</v>
      </c>
      <c r="I213" t="s">
        <v>200</v>
      </c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6">
        <f t="shared" si="37"/>
        <v>0</v>
      </c>
      <c r="W213" s="73" t="e">
        <f t="shared" si="30"/>
        <v>#DIV/0!</v>
      </c>
      <c r="X213" s="89"/>
      <c r="Y213" s="225"/>
      <c r="Z213" s="225"/>
      <c r="AA213" s="225"/>
      <c r="AB213" s="225"/>
      <c r="AC213" s="225"/>
      <c r="AD213" s="225"/>
      <c r="AE213" s="225"/>
      <c r="AF213" s="225"/>
      <c r="AG213" s="225"/>
      <c r="AH213" s="225"/>
      <c r="AI213" s="225"/>
      <c r="AJ213" s="225"/>
      <c r="AK213" s="226">
        <f t="shared" si="38"/>
        <v>0</v>
      </c>
      <c r="AL213" s="73" t="e">
        <f t="shared" si="32"/>
        <v>#DIV/0!</v>
      </c>
      <c r="AM213" s="14">
        <f t="shared" si="35"/>
        <v>0</v>
      </c>
      <c r="AN213" s="9"/>
    </row>
    <row r="214" spans="1:40" hidden="1" outlineLevel="1">
      <c r="A214" s="12" t="s">
        <v>195</v>
      </c>
      <c r="B214" s="8" t="s">
        <v>370</v>
      </c>
      <c r="I214" t="s">
        <v>201</v>
      </c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6">
        <f t="shared" si="37"/>
        <v>0</v>
      </c>
      <c r="W214" s="73" t="e">
        <f t="shared" si="30"/>
        <v>#DIV/0!</v>
      </c>
      <c r="X214" s="89"/>
      <c r="Y214" s="225"/>
      <c r="Z214" s="225"/>
      <c r="AA214" s="225"/>
      <c r="AB214" s="225"/>
      <c r="AC214" s="225"/>
      <c r="AD214" s="225"/>
      <c r="AE214" s="225"/>
      <c r="AF214" s="225"/>
      <c r="AG214" s="225"/>
      <c r="AH214" s="225"/>
      <c r="AI214" s="225"/>
      <c r="AJ214" s="225"/>
      <c r="AK214" s="226">
        <f t="shared" si="38"/>
        <v>0</v>
      </c>
      <c r="AL214" s="73" t="e">
        <f t="shared" si="32"/>
        <v>#DIV/0!</v>
      </c>
      <c r="AM214" s="14">
        <f t="shared" si="35"/>
        <v>0</v>
      </c>
      <c r="AN214" s="9"/>
    </row>
    <row r="215" spans="1:40" hidden="1" outlineLevel="1">
      <c r="A215" s="12" t="s">
        <v>195</v>
      </c>
      <c r="B215" s="8" t="s">
        <v>370</v>
      </c>
      <c r="I215" t="s">
        <v>209</v>
      </c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6">
        <f t="shared" si="37"/>
        <v>0</v>
      </c>
      <c r="W215" s="73" t="e">
        <f t="shared" si="30"/>
        <v>#DIV/0!</v>
      </c>
      <c r="X215" s="89"/>
      <c r="Y215" s="225"/>
      <c r="Z215" s="225"/>
      <c r="AA215" s="225"/>
      <c r="AB215" s="225"/>
      <c r="AC215" s="225"/>
      <c r="AD215" s="225"/>
      <c r="AE215" s="225"/>
      <c r="AF215" s="225"/>
      <c r="AG215" s="225"/>
      <c r="AH215" s="225"/>
      <c r="AI215" s="225"/>
      <c r="AJ215" s="225"/>
      <c r="AK215" s="226">
        <f t="shared" si="38"/>
        <v>0</v>
      </c>
      <c r="AL215" s="73" t="e">
        <f t="shared" si="32"/>
        <v>#DIV/0!</v>
      </c>
      <c r="AM215" s="14">
        <f t="shared" si="35"/>
        <v>0</v>
      </c>
      <c r="AN215" s="9"/>
    </row>
    <row r="216" spans="1:40" hidden="1" outlineLevel="1">
      <c r="A216" s="12" t="s">
        <v>195</v>
      </c>
      <c r="B216" s="8" t="s">
        <v>370</v>
      </c>
      <c r="I216" t="s">
        <v>202</v>
      </c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6">
        <f t="shared" si="37"/>
        <v>0</v>
      </c>
      <c r="W216" s="73" t="e">
        <f t="shared" si="30"/>
        <v>#DIV/0!</v>
      </c>
      <c r="X216" s="89"/>
      <c r="Y216" s="225"/>
      <c r="Z216" s="225"/>
      <c r="AA216" s="225"/>
      <c r="AB216" s="225"/>
      <c r="AC216" s="225"/>
      <c r="AD216" s="225"/>
      <c r="AE216" s="225"/>
      <c r="AF216" s="225"/>
      <c r="AG216" s="225"/>
      <c r="AH216" s="225"/>
      <c r="AI216" s="225"/>
      <c r="AJ216" s="225"/>
      <c r="AK216" s="226">
        <f t="shared" si="38"/>
        <v>0</v>
      </c>
      <c r="AL216" s="73" t="e">
        <f t="shared" si="32"/>
        <v>#DIV/0!</v>
      </c>
      <c r="AM216" s="14">
        <f t="shared" si="35"/>
        <v>0</v>
      </c>
      <c r="AN216" s="9"/>
    </row>
    <row r="217" spans="1:40" hidden="1" outlineLevel="1">
      <c r="A217" s="12" t="s">
        <v>195</v>
      </c>
      <c r="B217" s="8" t="s">
        <v>370</v>
      </c>
      <c r="I217" t="s">
        <v>203</v>
      </c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6">
        <f t="shared" si="37"/>
        <v>0</v>
      </c>
      <c r="W217" s="73" t="e">
        <f t="shared" si="30"/>
        <v>#DIV/0!</v>
      </c>
      <c r="X217" s="89"/>
      <c r="Y217" s="225"/>
      <c r="Z217" s="225"/>
      <c r="AA217" s="225"/>
      <c r="AB217" s="225"/>
      <c r="AC217" s="225"/>
      <c r="AD217" s="225"/>
      <c r="AE217" s="225"/>
      <c r="AF217" s="225"/>
      <c r="AG217" s="225"/>
      <c r="AH217" s="225"/>
      <c r="AI217" s="225"/>
      <c r="AJ217" s="225"/>
      <c r="AK217" s="226">
        <f t="shared" si="38"/>
        <v>0</v>
      </c>
      <c r="AL217" s="73" t="e">
        <f t="shared" si="32"/>
        <v>#DIV/0!</v>
      </c>
      <c r="AM217" s="14">
        <f t="shared" si="35"/>
        <v>0</v>
      </c>
      <c r="AN217" s="9"/>
    </row>
    <row r="218" spans="1:40" hidden="1" outlineLevel="1">
      <c r="A218" s="12" t="s">
        <v>195</v>
      </c>
      <c r="B218" s="8" t="s">
        <v>370</v>
      </c>
      <c r="I218" t="s">
        <v>204</v>
      </c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6">
        <f t="shared" si="37"/>
        <v>0</v>
      </c>
      <c r="W218" s="73" t="e">
        <f t="shared" si="30"/>
        <v>#DIV/0!</v>
      </c>
      <c r="X218" s="89"/>
      <c r="Y218" s="225"/>
      <c r="Z218" s="225"/>
      <c r="AA218" s="225"/>
      <c r="AB218" s="225"/>
      <c r="AC218" s="225"/>
      <c r="AD218" s="225"/>
      <c r="AE218" s="225"/>
      <c r="AF218" s="225"/>
      <c r="AG218" s="225"/>
      <c r="AH218" s="225"/>
      <c r="AI218" s="225"/>
      <c r="AJ218" s="225"/>
      <c r="AK218" s="226">
        <f t="shared" si="38"/>
        <v>0</v>
      </c>
      <c r="AL218" s="73" t="e">
        <f t="shared" si="32"/>
        <v>#DIV/0!</v>
      </c>
      <c r="AM218" s="14">
        <f t="shared" si="35"/>
        <v>0</v>
      </c>
      <c r="AN218" s="9"/>
    </row>
    <row r="219" spans="1:40" hidden="1" outlineLevel="1">
      <c r="A219" s="12" t="s">
        <v>195</v>
      </c>
      <c r="B219" s="8" t="s">
        <v>370</v>
      </c>
      <c r="I219" t="s">
        <v>205</v>
      </c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6">
        <f t="shared" si="37"/>
        <v>0</v>
      </c>
      <c r="W219" s="73" t="e">
        <f t="shared" si="30"/>
        <v>#DIV/0!</v>
      </c>
      <c r="X219" s="89"/>
      <c r="Y219" s="225"/>
      <c r="Z219" s="225"/>
      <c r="AA219" s="225"/>
      <c r="AB219" s="225"/>
      <c r="AC219" s="225"/>
      <c r="AD219" s="225"/>
      <c r="AE219" s="225"/>
      <c r="AF219" s="225"/>
      <c r="AG219" s="225"/>
      <c r="AH219" s="225"/>
      <c r="AI219" s="225"/>
      <c r="AJ219" s="225"/>
      <c r="AK219" s="226">
        <f t="shared" si="38"/>
        <v>0</v>
      </c>
      <c r="AL219" s="73" t="e">
        <f t="shared" si="32"/>
        <v>#DIV/0!</v>
      </c>
      <c r="AM219" s="14">
        <f t="shared" si="35"/>
        <v>0</v>
      </c>
      <c r="AN219" s="9"/>
    </row>
    <row r="220" spans="1:40" hidden="1" outlineLevel="1">
      <c r="A220" s="12" t="s">
        <v>195</v>
      </c>
      <c r="B220" s="8" t="s">
        <v>370</v>
      </c>
      <c r="I220" t="s">
        <v>207</v>
      </c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6">
        <f t="shared" si="37"/>
        <v>0</v>
      </c>
      <c r="W220" s="73" t="e">
        <f t="shared" si="30"/>
        <v>#DIV/0!</v>
      </c>
      <c r="X220" s="89"/>
      <c r="Y220" s="225"/>
      <c r="Z220" s="225"/>
      <c r="AA220" s="225"/>
      <c r="AB220" s="225"/>
      <c r="AC220" s="225"/>
      <c r="AD220" s="225"/>
      <c r="AE220" s="225"/>
      <c r="AF220" s="225"/>
      <c r="AG220" s="225"/>
      <c r="AH220" s="225"/>
      <c r="AI220" s="225"/>
      <c r="AJ220" s="225"/>
      <c r="AK220" s="226">
        <f t="shared" si="38"/>
        <v>0</v>
      </c>
      <c r="AL220" s="73" t="e">
        <f t="shared" si="32"/>
        <v>#DIV/0!</v>
      </c>
      <c r="AM220" s="14">
        <f t="shared" si="35"/>
        <v>0</v>
      </c>
      <c r="AN220" s="9"/>
    </row>
    <row r="221" spans="1:40" hidden="1" outlineLevel="1">
      <c r="A221" s="12" t="s">
        <v>195</v>
      </c>
      <c r="B221" s="8" t="s">
        <v>370</v>
      </c>
      <c r="I221" t="s">
        <v>208</v>
      </c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6">
        <f t="shared" si="37"/>
        <v>0</v>
      </c>
      <c r="W221" s="73" t="e">
        <f t="shared" si="30"/>
        <v>#DIV/0!</v>
      </c>
      <c r="X221" s="89"/>
      <c r="Y221" s="225"/>
      <c r="Z221" s="225"/>
      <c r="AA221" s="225"/>
      <c r="AB221" s="225"/>
      <c r="AC221" s="225"/>
      <c r="AD221" s="225"/>
      <c r="AE221" s="225"/>
      <c r="AF221" s="225"/>
      <c r="AG221" s="225"/>
      <c r="AH221" s="225"/>
      <c r="AI221" s="225"/>
      <c r="AJ221" s="225"/>
      <c r="AK221" s="226">
        <f t="shared" si="38"/>
        <v>0</v>
      </c>
      <c r="AL221" s="73" t="e">
        <f t="shared" si="32"/>
        <v>#DIV/0!</v>
      </c>
      <c r="AM221" s="14">
        <f t="shared" si="35"/>
        <v>0</v>
      </c>
      <c r="AN221" s="9"/>
    </row>
    <row r="222" spans="1:40" hidden="1" outlineLevel="1">
      <c r="A222" s="12" t="s">
        <v>195</v>
      </c>
      <c r="B222" s="8" t="s">
        <v>370</v>
      </c>
      <c r="I222" t="s">
        <v>289</v>
      </c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6">
        <f t="shared" si="37"/>
        <v>0</v>
      </c>
      <c r="W222" s="73" t="e">
        <f t="shared" si="30"/>
        <v>#DIV/0!</v>
      </c>
      <c r="X222" s="89"/>
      <c r="Y222" s="225"/>
      <c r="Z222" s="225"/>
      <c r="AA222" s="225"/>
      <c r="AB222" s="225"/>
      <c r="AC222" s="225"/>
      <c r="AD222" s="225"/>
      <c r="AE222" s="225"/>
      <c r="AF222" s="225"/>
      <c r="AG222" s="225"/>
      <c r="AH222" s="225"/>
      <c r="AI222" s="225"/>
      <c r="AJ222" s="225"/>
      <c r="AK222" s="226">
        <f t="shared" si="38"/>
        <v>0</v>
      </c>
      <c r="AL222" s="73" t="e">
        <f t="shared" si="32"/>
        <v>#DIV/0!</v>
      </c>
      <c r="AM222" s="14">
        <f t="shared" si="35"/>
        <v>0</v>
      </c>
      <c r="AN222" s="9"/>
    </row>
    <row r="223" spans="1:40" hidden="1" outlineLevel="1">
      <c r="A223" s="12" t="s">
        <v>195</v>
      </c>
      <c r="B223" s="8" t="s">
        <v>370</v>
      </c>
      <c r="I223" t="s">
        <v>211</v>
      </c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6">
        <f t="shared" si="37"/>
        <v>0</v>
      </c>
      <c r="W223" s="73" t="e">
        <f t="shared" si="30"/>
        <v>#DIV/0!</v>
      </c>
      <c r="X223" s="89"/>
      <c r="Y223" s="225"/>
      <c r="Z223" s="225"/>
      <c r="AA223" s="225"/>
      <c r="AB223" s="225"/>
      <c r="AC223" s="225"/>
      <c r="AD223" s="225"/>
      <c r="AE223" s="225"/>
      <c r="AF223" s="225"/>
      <c r="AG223" s="225"/>
      <c r="AH223" s="225"/>
      <c r="AI223" s="225"/>
      <c r="AJ223" s="225"/>
      <c r="AK223" s="226">
        <f t="shared" si="38"/>
        <v>0</v>
      </c>
      <c r="AL223" s="73" t="e">
        <f t="shared" si="32"/>
        <v>#DIV/0!</v>
      </c>
      <c r="AM223" s="14">
        <f t="shared" si="35"/>
        <v>0</v>
      </c>
      <c r="AN223" s="9"/>
    </row>
    <row r="224" spans="1:40" hidden="1" outlineLevel="1">
      <c r="A224" s="12" t="s">
        <v>195</v>
      </c>
      <c r="B224" s="8" t="s">
        <v>370</v>
      </c>
      <c r="I224" t="s">
        <v>213</v>
      </c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6">
        <f t="shared" si="37"/>
        <v>0</v>
      </c>
      <c r="W224" s="73" t="e">
        <f t="shared" si="30"/>
        <v>#DIV/0!</v>
      </c>
      <c r="X224" s="89"/>
      <c r="Y224" s="225"/>
      <c r="Z224" s="225"/>
      <c r="AA224" s="225"/>
      <c r="AB224" s="225"/>
      <c r="AC224" s="225"/>
      <c r="AD224" s="225"/>
      <c r="AE224" s="225"/>
      <c r="AF224" s="225"/>
      <c r="AG224" s="225"/>
      <c r="AH224" s="225"/>
      <c r="AI224" s="225"/>
      <c r="AJ224" s="225"/>
      <c r="AK224" s="226">
        <f t="shared" si="38"/>
        <v>0</v>
      </c>
      <c r="AL224" s="73" t="e">
        <f t="shared" si="32"/>
        <v>#DIV/0!</v>
      </c>
      <c r="AM224" s="14">
        <f t="shared" si="35"/>
        <v>0</v>
      </c>
      <c r="AN224" s="9"/>
    </row>
    <row r="225" spans="1:40" hidden="1" outlineLevel="1">
      <c r="A225" s="12" t="s">
        <v>195</v>
      </c>
      <c r="B225" s="8" t="s">
        <v>370</v>
      </c>
      <c r="I225" t="s">
        <v>214</v>
      </c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6">
        <f t="shared" si="37"/>
        <v>0</v>
      </c>
      <c r="W225" s="73" t="e">
        <f t="shared" si="30"/>
        <v>#DIV/0!</v>
      </c>
      <c r="X225" s="89"/>
      <c r="Y225" s="225"/>
      <c r="Z225" s="225"/>
      <c r="AA225" s="225"/>
      <c r="AB225" s="225"/>
      <c r="AC225" s="225"/>
      <c r="AD225" s="225"/>
      <c r="AE225" s="225"/>
      <c r="AF225" s="225"/>
      <c r="AG225" s="225"/>
      <c r="AH225" s="225"/>
      <c r="AI225" s="225"/>
      <c r="AJ225" s="225"/>
      <c r="AK225" s="226">
        <f t="shared" si="38"/>
        <v>0</v>
      </c>
      <c r="AL225" s="73" t="e">
        <f t="shared" si="32"/>
        <v>#DIV/0!</v>
      </c>
      <c r="AM225" s="14">
        <f t="shared" si="35"/>
        <v>0</v>
      </c>
      <c r="AN225" s="9"/>
    </row>
    <row r="226" spans="1:40" collapsed="1">
      <c r="A226" s="12" t="s">
        <v>215</v>
      </c>
      <c r="B226" s="8" t="s">
        <v>370</v>
      </c>
      <c r="I226" s="167" t="s">
        <v>216</v>
      </c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>
        <f>SUM(V227:V230)</f>
        <v>0</v>
      </c>
      <c r="W226" s="72" t="e">
        <f t="shared" si="30"/>
        <v>#DIV/0!</v>
      </c>
      <c r="X226" s="89"/>
      <c r="Y226" s="222">
        <f t="shared" ref="Y226:AK226" si="39">SUM(Y227:Y230)</f>
        <v>0</v>
      </c>
      <c r="Z226" s="222">
        <f t="shared" si="39"/>
        <v>0</v>
      </c>
      <c r="AA226" s="222">
        <f t="shared" si="39"/>
        <v>0</v>
      </c>
      <c r="AB226" s="222">
        <f t="shared" si="39"/>
        <v>0</v>
      </c>
      <c r="AC226" s="222">
        <f t="shared" si="39"/>
        <v>0</v>
      </c>
      <c r="AD226" s="222">
        <f t="shared" si="39"/>
        <v>0</v>
      </c>
      <c r="AE226" s="222">
        <f t="shared" si="39"/>
        <v>0</v>
      </c>
      <c r="AF226" s="222">
        <f t="shared" si="39"/>
        <v>0</v>
      </c>
      <c r="AG226" s="222">
        <f t="shared" si="39"/>
        <v>0</v>
      </c>
      <c r="AH226" s="222">
        <f t="shared" si="39"/>
        <v>0</v>
      </c>
      <c r="AI226" s="222">
        <f t="shared" si="39"/>
        <v>0</v>
      </c>
      <c r="AJ226" s="222">
        <f t="shared" si="39"/>
        <v>0</v>
      </c>
      <c r="AK226" s="222">
        <f t="shared" si="39"/>
        <v>0</v>
      </c>
      <c r="AL226" s="72" t="e">
        <f t="shared" si="32"/>
        <v>#DIV/0!</v>
      </c>
      <c r="AM226" s="10">
        <f t="shared" si="35"/>
        <v>0</v>
      </c>
      <c r="AN226" s="9"/>
    </row>
    <row r="227" spans="1:40" hidden="1" outlineLevel="1">
      <c r="A227" s="12" t="s">
        <v>215</v>
      </c>
      <c r="B227" s="8" t="s">
        <v>370</v>
      </c>
      <c r="I227" s="137" t="s">
        <v>217</v>
      </c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6">
        <f>SUM(J227:U227)</f>
        <v>0</v>
      </c>
      <c r="W227" s="73" t="e">
        <f t="shared" si="30"/>
        <v>#DIV/0!</v>
      </c>
      <c r="X227" s="89"/>
      <c r="Y227" s="225"/>
      <c r="Z227" s="225"/>
      <c r="AA227" s="225"/>
      <c r="AB227" s="225"/>
      <c r="AC227" s="225"/>
      <c r="AD227" s="225"/>
      <c r="AE227" s="225"/>
      <c r="AF227" s="225"/>
      <c r="AG227" s="225"/>
      <c r="AH227" s="225"/>
      <c r="AI227" s="225"/>
      <c r="AJ227" s="225"/>
      <c r="AK227" s="226">
        <f>SUM(Y227:AJ227)</f>
        <v>0</v>
      </c>
      <c r="AL227" s="73" t="e">
        <f t="shared" si="32"/>
        <v>#DIV/0!</v>
      </c>
      <c r="AM227" s="14">
        <f t="shared" si="35"/>
        <v>0</v>
      </c>
      <c r="AN227" s="9"/>
    </row>
    <row r="228" spans="1:40" hidden="1" outlineLevel="1">
      <c r="A228" s="12" t="s">
        <v>215</v>
      </c>
      <c r="B228" s="8" t="s">
        <v>370</v>
      </c>
      <c r="I228" s="137" t="s">
        <v>218</v>
      </c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6">
        <f>SUM(J228:U228)</f>
        <v>0</v>
      </c>
      <c r="W228" s="73" t="e">
        <f t="shared" si="30"/>
        <v>#DIV/0!</v>
      </c>
      <c r="X228" s="89"/>
      <c r="Y228" s="225"/>
      <c r="Z228" s="225"/>
      <c r="AA228" s="225"/>
      <c r="AB228" s="225"/>
      <c r="AC228" s="225"/>
      <c r="AD228" s="225"/>
      <c r="AE228" s="225"/>
      <c r="AF228" s="225"/>
      <c r="AG228" s="225"/>
      <c r="AH228" s="225"/>
      <c r="AI228" s="225"/>
      <c r="AJ228" s="225"/>
      <c r="AK228" s="226">
        <f t="shared" ref="AK228:AK230" si="40">SUM(Y228:AJ228)</f>
        <v>0</v>
      </c>
      <c r="AL228" s="73" t="e">
        <f t="shared" si="32"/>
        <v>#DIV/0!</v>
      </c>
      <c r="AM228" s="14">
        <f t="shared" si="35"/>
        <v>0</v>
      </c>
      <c r="AN228" s="9"/>
    </row>
    <row r="229" spans="1:40" hidden="1" outlineLevel="1">
      <c r="A229" s="12" t="s">
        <v>215</v>
      </c>
      <c r="B229" s="8" t="s">
        <v>370</v>
      </c>
      <c r="I229" s="137" t="s">
        <v>219</v>
      </c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6">
        <f>SUM(J229:U229)</f>
        <v>0</v>
      </c>
      <c r="W229" s="73" t="e">
        <f t="shared" si="30"/>
        <v>#DIV/0!</v>
      </c>
      <c r="X229" s="89"/>
      <c r="Y229" s="225"/>
      <c r="Z229" s="225"/>
      <c r="AA229" s="225"/>
      <c r="AB229" s="225"/>
      <c r="AC229" s="225"/>
      <c r="AD229" s="225"/>
      <c r="AE229" s="225"/>
      <c r="AF229" s="225"/>
      <c r="AG229" s="225"/>
      <c r="AH229" s="225"/>
      <c r="AI229" s="225"/>
      <c r="AJ229" s="225"/>
      <c r="AK229" s="226">
        <f t="shared" si="40"/>
        <v>0</v>
      </c>
      <c r="AL229" s="73" t="e">
        <f t="shared" si="32"/>
        <v>#DIV/0!</v>
      </c>
      <c r="AM229" s="14">
        <f t="shared" si="35"/>
        <v>0</v>
      </c>
      <c r="AN229" s="9"/>
    </row>
    <row r="230" spans="1:40" hidden="1" outlineLevel="1">
      <c r="A230" s="12" t="s">
        <v>215</v>
      </c>
      <c r="B230" s="8" t="s">
        <v>370</v>
      </c>
      <c r="I230" s="137" t="s">
        <v>373</v>
      </c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6">
        <f>SUM(J230:U230)</f>
        <v>0</v>
      </c>
      <c r="W230" s="73" t="e">
        <f t="shared" si="30"/>
        <v>#DIV/0!</v>
      </c>
      <c r="X230" s="89"/>
      <c r="Y230" s="225"/>
      <c r="Z230" s="225"/>
      <c r="AA230" s="225"/>
      <c r="AB230" s="225"/>
      <c r="AC230" s="225"/>
      <c r="AD230" s="225"/>
      <c r="AE230" s="225"/>
      <c r="AF230" s="225"/>
      <c r="AG230" s="225"/>
      <c r="AH230" s="225"/>
      <c r="AI230" s="225"/>
      <c r="AJ230" s="225"/>
      <c r="AK230" s="226">
        <f t="shared" si="40"/>
        <v>0</v>
      </c>
      <c r="AL230" s="73" t="e">
        <f t="shared" si="32"/>
        <v>#DIV/0!</v>
      </c>
      <c r="AM230" s="14">
        <f t="shared" si="35"/>
        <v>0</v>
      </c>
      <c r="AN230" s="9"/>
    </row>
    <row r="231" spans="1:40" collapsed="1">
      <c r="A231" s="12" t="s">
        <v>221</v>
      </c>
      <c r="B231" s="8" t="s">
        <v>370</v>
      </c>
      <c r="I231" s="121" t="s">
        <v>223</v>
      </c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>
        <f>SUM(V232:V236)</f>
        <v>0</v>
      </c>
      <c r="W231" s="72" t="e">
        <f t="shared" si="30"/>
        <v>#DIV/0!</v>
      </c>
      <c r="X231" s="89"/>
      <c r="Y231" s="222">
        <f>SUM(Y232:Y240)</f>
        <v>0</v>
      </c>
      <c r="Z231" s="222">
        <f t="shared" ref="Z231:AK231" si="41">SUM(Z232:Z240)</f>
        <v>0</v>
      </c>
      <c r="AA231" s="222">
        <f t="shared" si="41"/>
        <v>0</v>
      </c>
      <c r="AB231" s="222">
        <f t="shared" si="41"/>
        <v>0</v>
      </c>
      <c r="AC231" s="222">
        <f t="shared" si="41"/>
        <v>0</v>
      </c>
      <c r="AD231" s="222">
        <f t="shared" si="41"/>
        <v>0</v>
      </c>
      <c r="AE231" s="222">
        <f t="shared" si="41"/>
        <v>0</v>
      </c>
      <c r="AF231" s="222">
        <f t="shared" si="41"/>
        <v>0</v>
      </c>
      <c r="AG231" s="222">
        <f t="shared" si="41"/>
        <v>0</v>
      </c>
      <c r="AH231" s="222">
        <f t="shared" si="41"/>
        <v>0</v>
      </c>
      <c r="AI231" s="222">
        <f t="shared" si="41"/>
        <v>0</v>
      </c>
      <c r="AJ231" s="222">
        <f t="shared" si="41"/>
        <v>0</v>
      </c>
      <c r="AK231" s="222">
        <f t="shared" si="41"/>
        <v>0</v>
      </c>
      <c r="AL231" s="72" t="e">
        <f t="shared" si="32"/>
        <v>#DIV/0!</v>
      </c>
      <c r="AM231" s="10">
        <f t="shared" si="35"/>
        <v>0</v>
      </c>
      <c r="AN231" s="9"/>
    </row>
    <row r="232" spans="1:40" hidden="1" outlineLevel="1">
      <c r="A232" s="12" t="s">
        <v>221</v>
      </c>
      <c r="B232" s="8" t="s">
        <v>370</v>
      </c>
      <c r="I232" s="137" t="s">
        <v>237</v>
      </c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26">
        <f>SUM(J232:U232)</f>
        <v>0</v>
      </c>
      <c r="W232" s="73" t="e">
        <f t="shared" si="30"/>
        <v>#DIV/0!</v>
      </c>
      <c r="X232" s="89"/>
      <c r="Y232" s="233"/>
      <c r="Z232" s="233"/>
      <c r="AA232" s="233"/>
      <c r="AB232" s="233"/>
      <c r="AC232" s="233"/>
      <c r="AD232" s="233"/>
      <c r="AE232" s="233"/>
      <c r="AF232" s="233"/>
      <c r="AG232" s="233"/>
      <c r="AH232" s="233"/>
      <c r="AI232" s="233"/>
      <c r="AJ232" s="233"/>
      <c r="AK232" s="226">
        <f>SUM(Y232:AJ232)</f>
        <v>0</v>
      </c>
      <c r="AL232" s="73" t="e">
        <f t="shared" si="32"/>
        <v>#DIV/0!</v>
      </c>
      <c r="AM232" s="14">
        <f t="shared" si="35"/>
        <v>0</v>
      </c>
      <c r="AN232" s="9"/>
    </row>
    <row r="233" spans="1:40" hidden="1" outlineLevel="1">
      <c r="A233" s="12" t="s">
        <v>221</v>
      </c>
      <c r="B233" s="8" t="s">
        <v>370</v>
      </c>
      <c r="I233" s="137" t="s">
        <v>227</v>
      </c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26">
        <f>SUM(J233:U233)</f>
        <v>0</v>
      </c>
      <c r="W233" s="73" t="e">
        <f t="shared" ref="W233:W256" si="42">V233/V$6</f>
        <v>#DIV/0!</v>
      </c>
      <c r="X233" s="89"/>
      <c r="Y233" s="233"/>
      <c r="Z233" s="233"/>
      <c r="AA233" s="233"/>
      <c r="AB233" s="233"/>
      <c r="AC233" s="233"/>
      <c r="AD233" s="233"/>
      <c r="AE233" s="233"/>
      <c r="AF233" s="233"/>
      <c r="AG233" s="233"/>
      <c r="AH233" s="233"/>
      <c r="AI233" s="233"/>
      <c r="AJ233" s="233"/>
      <c r="AK233" s="226">
        <f t="shared" ref="AK233:AK240" si="43">SUM(Y233:AJ233)</f>
        <v>0</v>
      </c>
      <c r="AL233" s="73" t="e">
        <f t="shared" ref="AL233:AL256" si="44">AK233/AK$6</f>
        <v>#DIV/0!</v>
      </c>
      <c r="AM233" s="14">
        <f t="shared" si="35"/>
        <v>0</v>
      </c>
      <c r="AN233" s="9"/>
    </row>
    <row r="234" spans="1:40" hidden="1" outlineLevel="1">
      <c r="A234" s="12" t="s">
        <v>221</v>
      </c>
      <c r="B234" s="8" t="s">
        <v>370</v>
      </c>
      <c r="I234" s="137" t="s">
        <v>291</v>
      </c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26">
        <f>SUM(J234:U234)</f>
        <v>0</v>
      </c>
      <c r="W234" s="73" t="e">
        <f t="shared" si="42"/>
        <v>#DIV/0!</v>
      </c>
      <c r="X234" s="89"/>
      <c r="Y234" s="233"/>
      <c r="Z234" s="233"/>
      <c r="AA234" s="233"/>
      <c r="AB234" s="233"/>
      <c r="AC234" s="233"/>
      <c r="AD234" s="233"/>
      <c r="AE234" s="233"/>
      <c r="AF234" s="233"/>
      <c r="AG234" s="233"/>
      <c r="AH234" s="233"/>
      <c r="AI234" s="233"/>
      <c r="AJ234" s="233"/>
      <c r="AK234" s="226">
        <f t="shared" si="43"/>
        <v>0</v>
      </c>
      <c r="AL234" s="73" t="e">
        <f t="shared" si="44"/>
        <v>#DIV/0!</v>
      </c>
      <c r="AM234" s="14">
        <f t="shared" si="35"/>
        <v>0</v>
      </c>
      <c r="AN234" s="9"/>
    </row>
    <row r="235" spans="1:40" hidden="1" outlineLevel="1">
      <c r="A235" s="12" t="s">
        <v>221</v>
      </c>
      <c r="B235" s="8" t="s">
        <v>370</v>
      </c>
      <c r="I235" s="137" t="s">
        <v>225</v>
      </c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26">
        <f>SUM(J235:U235)</f>
        <v>0</v>
      </c>
      <c r="W235" s="73" t="e">
        <f t="shared" si="42"/>
        <v>#DIV/0!</v>
      </c>
      <c r="X235" s="89"/>
      <c r="Y235" s="233"/>
      <c r="Z235" s="233"/>
      <c r="AA235" s="233"/>
      <c r="AB235" s="233"/>
      <c r="AC235" s="233"/>
      <c r="AD235" s="233"/>
      <c r="AE235" s="233"/>
      <c r="AF235" s="233"/>
      <c r="AG235" s="233"/>
      <c r="AH235" s="233"/>
      <c r="AI235" s="233"/>
      <c r="AJ235" s="233"/>
      <c r="AK235" s="226">
        <f t="shared" si="43"/>
        <v>0</v>
      </c>
      <c r="AL235" s="73" t="e">
        <f t="shared" si="44"/>
        <v>#DIV/0!</v>
      </c>
      <c r="AM235" s="14">
        <f t="shared" si="35"/>
        <v>0</v>
      </c>
      <c r="AN235" s="9"/>
    </row>
    <row r="236" spans="1:40" hidden="1" outlineLevel="1">
      <c r="A236" s="12" t="s">
        <v>221</v>
      </c>
      <c r="B236" s="8" t="s">
        <v>370</v>
      </c>
      <c r="I236" s="137" t="s">
        <v>234</v>
      </c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26">
        <f>SUM(J236:U236)</f>
        <v>0</v>
      </c>
      <c r="W236" s="73" t="e">
        <f t="shared" si="42"/>
        <v>#DIV/0!</v>
      </c>
      <c r="X236" s="89"/>
      <c r="Y236" s="233"/>
      <c r="Z236" s="233"/>
      <c r="AA236" s="233"/>
      <c r="AB236" s="233"/>
      <c r="AC236" s="233"/>
      <c r="AD236" s="233"/>
      <c r="AE236" s="233"/>
      <c r="AF236" s="233"/>
      <c r="AG236" s="233"/>
      <c r="AH236" s="233"/>
      <c r="AI236" s="233"/>
      <c r="AJ236" s="233"/>
      <c r="AK236" s="226">
        <f t="shared" si="43"/>
        <v>0</v>
      </c>
      <c r="AL236" s="73" t="e">
        <f t="shared" si="44"/>
        <v>#DIV/0!</v>
      </c>
      <c r="AM236" s="14">
        <f t="shared" si="35"/>
        <v>0</v>
      </c>
      <c r="AN236" s="9"/>
    </row>
    <row r="237" spans="1:40" hidden="1" outlineLevel="1">
      <c r="A237" s="12"/>
      <c r="I237" s="137" t="s">
        <v>232</v>
      </c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26">
        <f t="shared" ref="V237:V240" si="45">SUM(J237:U237)</f>
        <v>0</v>
      </c>
      <c r="W237" s="73" t="e">
        <f t="shared" si="42"/>
        <v>#DIV/0!</v>
      </c>
      <c r="X237" s="89"/>
      <c r="Y237" s="233"/>
      <c r="Z237" s="233"/>
      <c r="AA237" s="233"/>
      <c r="AB237" s="233"/>
      <c r="AC237" s="233"/>
      <c r="AD237" s="233"/>
      <c r="AE237" s="233"/>
      <c r="AF237" s="233"/>
      <c r="AG237" s="233"/>
      <c r="AH237" s="233"/>
      <c r="AI237" s="233"/>
      <c r="AJ237" s="233"/>
      <c r="AK237" s="226">
        <f t="shared" si="43"/>
        <v>0</v>
      </c>
      <c r="AL237" s="73" t="e">
        <f t="shared" si="44"/>
        <v>#DIV/0!</v>
      </c>
      <c r="AM237" s="14">
        <f t="shared" si="35"/>
        <v>0</v>
      </c>
      <c r="AN237" s="9"/>
    </row>
    <row r="238" spans="1:40" hidden="1" outlineLevel="1">
      <c r="A238" s="12"/>
      <c r="I238" s="137" t="s">
        <v>233</v>
      </c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26">
        <f t="shared" si="45"/>
        <v>0</v>
      </c>
      <c r="W238" s="73" t="e">
        <f t="shared" si="42"/>
        <v>#DIV/0!</v>
      </c>
      <c r="X238" s="89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33"/>
      <c r="AK238" s="226">
        <f t="shared" si="43"/>
        <v>0</v>
      </c>
      <c r="AL238" s="73" t="e">
        <f t="shared" si="44"/>
        <v>#DIV/0!</v>
      </c>
      <c r="AM238" s="14">
        <f t="shared" si="35"/>
        <v>0</v>
      </c>
      <c r="AN238" s="9"/>
    </row>
    <row r="239" spans="1:40" hidden="1" outlineLevel="1">
      <c r="A239" s="12"/>
      <c r="I239" s="137" t="s">
        <v>231</v>
      </c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26">
        <f t="shared" si="45"/>
        <v>0</v>
      </c>
      <c r="W239" s="73" t="e">
        <f t="shared" si="42"/>
        <v>#DIV/0!</v>
      </c>
      <c r="X239" s="89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33"/>
      <c r="AK239" s="226">
        <f t="shared" si="43"/>
        <v>0</v>
      </c>
      <c r="AL239" s="73" t="e">
        <f t="shared" si="44"/>
        <v>#DIV/0!</v>
      </c>
      <c r="AM239" s="14">
        <f t="shared" si="35"/>
        <v>0</v>
      </c>
      <c r="AN239" s="9"/>
    </row>
    <row r="240" spans="1:40" hidden="1" outlineLevel="1">
      <c r="A240" s="12"/>
      <c r="I240" s="137" t="s">
        <v>222</v>
      </c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26">
        <f t="shared" si="45"/>
        <v>0</v>
      </c>
      <c r="W240" s="73" t="e">
        <f t="shared" si="42"/>
        <v>#DIV/0!</v>
      </c>
      <c r="X240" s="89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33"/>
      <c r="AK240" s="226">
        <f t="shared" si="43"/>
        <v>0</v>
      </c>
      <c r="AL240" s="73" t="e">
        <f t="shared" si="44"/>
        <v>#DIV/0!</v>
      </c>
      <c r="AM240" s="14">
        <f t="shared" si="35"/>
        <v>0</v>
      </c>
      <c r="AN240" s="9"/>
    </row>
    <row r="241" spans="1:40" collapsed="1">
      <c r="A241" s="12" t="s">
        <v>263</v>
      </c>
      <c r="B241" s="8" t="s">
        <v>370</v>
      </c>
      <c r="I241" s="122" t="s">
        <v>264</v>
      </c>
      <c r="J241" s="222"/>
      <c r="K241" s="222"/>
      <c r="L241" s="222"/>
      <c r="M241" s="222"/>
      <c r="N241" s="222"/>
      <c r="O241" s="222"/>
      <c r="P241" s="222"/>
      <c r="Q241" s="222"/>
      <c r="R241" s="222"/>
      <c r="S241" s="222"/>
      <c r="T241" s="222"/>
      <c r="U241" s="222"/>
      <c r="V241" s="222">
        <f>SUM(V242:V247)</f>
        <v>0</v>
      </c>
      <c r="W241" s="72" t="e">
        <f t="shared" si="42"/>
        <v>#DIV/0!</v>
      </c>
      <c r="X241" s="89"/>
      <c r="Y241" s="222">
        <f t="shared" ref="Y241:AK241" si="46">SUM(Y242:Y247)</f>
        <v>0</v>
      </c>
      <c r="Z241" s="222">
        <f t="shared" si="46"/>
        <v>0</v>
      </c>
      <c r="AA241" s="222">
        <f t="shared" si="46"/>
        <v>0</v>
      </c>
      <c r="AB241" s="222">
        <f t="shared" si="46"/>
        <v>0</v>
      </c>
      <c r="AC241" s="222">
        <f t="shared" si="46"/>
        <v>0</v>
      </c>
      <c r="AD241" s="222">
        <f t="shared" si="46"/>
        <v>0</v>
      </c>
      <c r="AE241" s="222">
        <f t="shared" si="46"/>
        <v>0</v>
      </c>
      <c r="AF241" s="222">
        <f t="shared" si="46"/>
        <v>0</v>
      </c>
      <c r="AG241" s="222">
        <f t="shared" si="46"/>
        <v>0</v>
      </c>
      <c r="AH241" s="222">
        <f t="shared" si="46"/>
        <v>0</v>
      </c>
      <c r="AI241" s="222">
        <f t="shared" si="46"/>
        <v>0</v>
      </c>
      <c r="AJ241" s="222">
        <f t="shared" si="46"/>
        <v>0</v>
      </c>
      <c r="AK241" s="222">
        <f t="shared" si="46"/>
        <v>0</v>
      </c>
      <c r="AL241" s="72" t="e">
        <f t="shared" si="44"/>
        <v>#DIV/0!</v>
      </c>
      <c r="AM241" s="10">
        <f t="shared" si="35"/>
        <v>0</v>
      </c>
      <c r="AN241" s="9"/>
    </row>
    <row r="242" spans="1:40" hidden="1" outlineLevel="1">
      <c r="A242" s="12" t="s">
        <v>263</v>
      </c>
      <c r="B242" s="8" t="s">
        <v>370</v>
      </c>
      <c r="I242" s="137" t="s">
        <v>270</v>
      </c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26">
        <f t="shared" ref="V242:V247" si="47">SUM(J242:U242)</f>
        <v>0</v>
      </c>
      <c r="W242" s="73" t="e">
        <f t="shared" si="42"/>
        <v>#DIV/0!</v>
      </c>
      <c r="X242" s="89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33"/>
      <c r="AK242" s="226">
        <f t="shared" ref="AK242:AK247" si="48">SUM(Y242:AJ242)</f>
        <v>0</v>
      </c>
      <c r="AL242" s="73" t="e">
        <f t="shared" si="44"/>
        <v>#DIV/0!</v>
      </c>
      <c r="AM242" s="14">
        <f t="shared" si="35"/>
        <v>0</v>
      </c>
      <c r="AN242" s="9"/>
    </row>
    <row r="243" spans="1:40" hidden="1" outlineLevel="1">
      <c r="A243" s="12" t="s">
        <v>263</v>
      </c>
      <c r="B243" s="8" t="s">
        <v>370</v>
      </c>
      <c r="C243" s="19" t="s">
        <v>369</v>
      </c>
      <c r="I243" s="137" t="s">
        <v>292</v>
      </c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26">
        <f t="shared" si="47"/>
        <v>0</v>
      </c>
      <c r="W243" s="73" t="e">
        <f t="shared" si="42"/>
        <v>#DIV/0!</v>
      </c>
      <c r="X243" s="89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33"/>
      <c r="AK243" s="226">
        <f t="shared" si="48"/>
        <v>0</v>
      </c>
      <c r="AL243" s="73" t="e">
        <f t="shared" si="44"/>
        <v>#DIV/0!</v>
      </c>
      <c r="AM243" s="14">
        <f t="shared" si="35"/>
        <v>0</v>
      </c>
      <c r="AN243" s="9"/>
    </row>
    <row r="244" spans="1:40" hidden="1" outlineLevel="1">
      <c r="A244" s="12" t="s">
        <v>263</v>
      </c>
      <c r="B244" s="8" t="s">
        <v>370</v>
      </c>
      <c r="I244" s="137" t="s">
        <v>293</v>
      </c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26">
        <f t="shared" si="47"/>
        <v>0</v>
      </c>
      <c r="W244" s="73" t="e">
        <f t="shared" si="42"/>
        <v>#DIV/0!</v>
      </c>
      <c r="X244" s="89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33"/>
      <c r="AK244" s="226">
        <f t="shared" si="48"/>
        <v>0</v>
      </c>
      <c r="AL244" s="73" t="e">
        <f t="shared" si="44"/>
        <v>#DIV/0!</v>
      </c>
      <c r="AM244" s="14">
        <f t="shared" si="35"/>
        <v>0</v>
      </c>
      <c r="AN244" s="9"/>
    </row>
    <row r="245" spans="1:40" hidden="1" outlineLevel="1">
      <c r="A245" s="12" t="s">
        <v>263</v>
      </c>
      <c r="B245" s="8" t="s">
        <v>370</v>
      </c>
      <c r="I245" s="137" t="s">
        <v>269</v>
      </c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26">
        <f t="shared" si="47"/>
        <v>0</v>
      </c>
      <c r="W245" s="73" t="e">
        <f t="shared" si="42"/>
        <v>#DIV/0!</v>
      </c>
      <c r="X245" s="89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33"/>
      <c r="AK245" s="226">
        <f t="shared" si="48"/>
        <v>0</v>
      </c>
      <c r="AL245" s="73" t="e">
        <f t="shared" si="44"/>
        <v>#DIV/0!</v>
      </c>
      <c r="AM245" s="14">
        <f t="shared" si="35"/>
        <v>0</v>
      </c>
      <c r="AN245" s="9"/>
    </row>
    <row r="246" spans="1:40" hidden="1" outlineLevel="1">
      <c r="A246" s="12" t="s">
        <v>263</v>
      </c>
      <c r="B246" s="8" t="s">
        <v>370</v>
      </c>
      <c r="I246" s="137" t="s">
        <v>266</v>
      </c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26">
        <f t="shared" si="47"/>
        <v>0</v>
      </c>
      <c r="W246" s="73" t="e">
        <f t="shared" si="42"/>
        <v>#DIV/0!</v>
      </c>
      <c r="X246" s="89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33"/>
      <c r="AK246" s="226">
        <f t="shared" si="48"/>
        <v>0</v>
      </c>
      <c r="AL246" s="73" t="e">
        <f t="shared" si="44"/>
        <v>#DIV/0!</v>
      </c>
      <c r="AM246" s="14">
        <f t="shared" si="35"/>
        <v>0</v>
      </c>
      <c r="AN246" s="9"/>
    </row>
    <row r="247" spans="1:40" hidden="1" outlineLevel="1">
      <c r="A247" s="12" t="s">
        <v>263</v>
      </c>
      <c r="B247" s="8" t="s">
        <v>370</v>
      </c>
      <c r="I247" s="137" t="s">
        <v>294</v>
      </c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26">
        <f t="shared" si="47"/>
        <v>0</v>
      </c>
      <c r="W247" s="73" t="e">
        <f t="shared" si="42"/>
        <v>#DIV/0!</v>
      </c>
      <c r="X247" s="89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33"/>
      <c r="AK247" s="226">
        <f t="shared" si="48"/>
        <v>0</v>
      </c>
      <c r="AL247" s="73" t="e">
        <f t="shared" si="44"/>
        <v>#DIV/0!</v>
      </c>
      <c r="AM247" s="14">
        <f t="shared" si="35"/>
        <v>0</v>
      </c>
      <c r="AN247" s="9"/>
    </row>
    <row r="248" spans="1:40">
      <c r="I248" s="128" t="s">
        <v>295</v>
      </c>
      <c r="J248" s="222"/>
      <c r="K248" s="222"/>
      <c r="L248" s="222"/>
      <c r="M248" s="222"/>
      <c r="N248" s="222"/>
      <c r="O248" s="222"/>
      <c r="P248" s="222"/>
      <c r="Q248" s="222"/>
      <c r="R248" s="222"/>
      <c r="S248" s="222"/>
      <c r="T248" s="222"/>
      <c r="U248" s="222"/>
      <c r="V248" s="222">
        <f>V159+V209+V226+V231+V241</f>
        <v>0</v>
      </c>
      <c r="W248" s="72" t="e">
        <f t="shared" si="42"/>
        <v>#DIV/0!</v>
      </c>
      <c r="X248" s="89"/>
      <c r="Y248" s="222">
        <f t="shared" ref="Y248:AJ248" si="49">Y159+Y209+Y226+Y231+Y241</f>
        <v>57322.2</v>
      </c>
      <c r="Z248" s="222">
        <f t="shared" si="49"/>
        <v>56231.369999999995</v>
      </c>
      <c r="AA248" s="222">
        <f t="shared" si="49"/>
        <v>61715.864999999998</v>
      </c>
      <c r="AB248" s="222">
        <f t="shared" si="49"/>
        <v>58052.294999999998</v>
      </c>
      <c r="AC248" s="222">
        <f t="shared" si="49"/>
        <v>66217.875</v>
      </c>
      <c r="AD248" s="222">
        <f t="shared" si="49"/>
        <v>65202.224999999999</v>
      </c>
      <c r="AE248" s="222">
        <f t="shared" si="49"/>
        <v>64233.614999999998</v>
      </c>
      <c r="AF248" s="222">
        <f t="shared" si="49"/>
        <v>65094.345000000001</v>
      </c>
      <c r="AG248" s="222">
        <f t="shared" si="49"/>
        <v>63673.799999999996</v>
      </c>
      <c r="AH248" s="222">
        <f t="shared" si="49"/>
        <v>64643.46</v>
      </c>
      <c r="AI248" s="222">
        <f t="shared" si="49"/>
        <v>62397.824999999997</v>
      </c>
      <c r="AJ248" s="222">
        <f t="shared" si="49"/>
        <v>58880.1</v>
      </c>
      <c r="AK248" s="222">
        <f>AK159+AK209+AK226+AK231+AK241</f>
        <v>743664.97499999986</v>
      </c>
      <c r="AL248" s="72" t="e">
        <f t="shared" si="44"/>
        <v>#DIV/0!</v>
      </c>
      <c r="AM248" s="10">
        <f t="shared" si="35"/>
        <v>0</v>
      </c>
      <c r="AN248" s="9"/>
    </row>
    <row r="249" spans="1:40">
      <c r="I249" s="128" t="s">
        <v>374</v>
      </c>
      <c r="J249" s="222"/>
      <c r="K249" s="222"/>
      <c r="L249" s="222"/>
      <c r="M249" s="222"/>
      <c r="N249" s="222"/>
      <c r="O249" s="222"/>
      <c r="P249" s="222"/>
      <c r="Q249" s="222"/>
      <c r="R249" s="222"/>
      <c r="S249" s="222"/>
      <c r="T249" s="222"/>
      <c r="U249" s="222"/>
      <c r="V249" s="222"/>
      <c r="W249" s="72"/>
      <c r="X249" s="89"/>
      <c r="Y249" s="222"/>
      <c r="Z249" s="222"/>
      <c r="AA249" s="222"/>
      <c r="AB249" s="222"/>
      <c r="AC249" s="222"/>
      <c r="AD249" s="222"/>
      <c r="AE249" s="222"/>
      <c r="AF249" s="222"/>
      <c r="AG249" s="222"/>
      <c r="AH249" s="222"/>
      <c r="AI249" s="222"/>
      <c r="AJ249" s="222"/>
      <c r="AK249" s="222"/>
      <c r="AL249" s="72"/>
      <c r="AM249" s="10"/>
      <c r="AN249" s="9"/>
    </row>
    <row r="250" spans="1:40">
      <c r="I250" s="18" t="s">
        <v>272</v>
      </c>
      <c r="J250" s="232"/>
      <c r="K250" s="232"/>
      <c r="L250" s="232"/>
      <c r="M250" s="232"/>
      <c r="N250" s="232"/>
      <c r="O250" s="232"/>
      <c r="P250" s="232"/>
      <c r="Q250" s="232"/>
      <c r="R250" s="232"/>
      <c r="S250" s="232"/>
      <c r="T250" s="232"/>
      <c r="U250" s="232"/>
      <c r="V250" s="232">
        <f>IFERROR(V248/V38,0)</f>
        <v>0</v>
      </c>
      <c r="W250" s="73" t="e">
        <f t="shared" si="42"/>
        <v>#DIV/0!</v>
      </c>
      <c r="X250" s="89"/>
      <c r="Y250" s="232"/>
      <c r="Z250" s="232"/>
      <c r="AA250" s="232"/>
      <c r="AB250" s="232"/>
      <c r="AC250" s="232"/>
      <c r="AD250" s="232"/>
      <c r="AE250" s="232"/>
      <c r="AF250" s="232"/>
      <c r="AG250" s="232"/>
      <c r="AH250" s="232"/>
      <c r="AI250" s="232"/>
      <c r="AJ250" s="232"/>
      <c r="AK250" s="232">
        <f>IFERROR(AK248/AK38,0)</f>
        <v>0</v>
      </c>
      <c r="AL250" s="73" t="e">
        <f t="shared" si="44"/>
        <v>#DIV/0!</v>
      </c>
      <c r="AM250" s="16">
        <f t="shared" si="35"/>
        <v>0</v>
      </c>
      <c r="AN250" s="9"/>
    </row>
    <row r="251" spans="1:40" ht="15.6">
      <c r="I251" s="140" t="s">
        <v>303</v>
      </c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>
        <f>V155-V248</f>
        <v>0</v>
      </c>
      <c r="W251" s="168" t="e">
        <f t="shared" si="42"/>
        <v>#DIV/0!</v>
      </c>
      <c r="X251" s="91"/>
      <c r="Y251" s="135">
        <f t="shared" ref="Y251:AK251" si="50">Y155-Y248</f>
        <v>-57322.2</v>
      </c>
      <c r="Z251" s="135">
        <f t="shared" si="50"/>
        <v>-56231.369999999995</v>
      </c>
      <c r="AA251" s="135">
        <f t="shared" si="50"/>
        <v>-61715.864999999998</v>
      </c>
      <c r="AB251" s="135">
        <f t="shared" si="50"/>
        <v>-58052.294999999998</v>
      </c>
      <c r="AC251" s="135">
        <f t="shared" si="50"/>
        <v>-66217.875</v>
      </c>
      <c r="AD251" s="135">
        <f t="shared" si="50"/>
        <v>-65202.224999999999</v>
      </c>
      <c r="AE251" s="135">
        <f t="shared" si="50"/>
        <v>-64233.614999999998</v>
      </c>
      <c r="AF251" s="135">
        <f t="shared" si="50"/>
        <v>-65094.345000000001</v>
      </c>
      <c r="AG251" s="135">
        <f t="shared" si="50"/>
        <v>-63673.799999999996</v>
      </c>
      <c r="AH251" s="135">
        <f t="shared" si="50"/>
        <v>-64643.46</v>
      </c>
      <c r="AI251" s="135">
        <f t="shared" si="50"/>
        <v>-62397.824999999997</v>
      </c>
      <c r="AJ251" s="135">
        <f t="shared" si="50"/>
        <v>-58880.1</v>
      </c>
      <c r="AK251" s="135">
        <f t="shared" si="50"/>
        <v>-743664.97499999986</v>
      </c>
      <c r="AL251" s="168" t="e">
        <f t="shared" si="44"/>
        <v>#DIV/0!</v>
      </c>
      <c r="AM251" s="154">
        <f t="shared" si="35"/>
        <v>0</v>
      </c>
      <c r="AN251" s="9"/>
    </row>
    <row r="252" spans="1:40">
      <c r="I252" s="18" t="s">
        <v>304</v>
      </c>
      <c r="J252" s="232"/>
      <c r="K252" s="232"/>
      <c r="L252" s="232"/>
      <c r="M252" s="232"/>
      <c r="N252" s="232"/>
      <c r="O252" s="232"/>
      <c r="P252" s="232"/>
      <c r="Q252" s="232"/>
      <c r="R252" s="232"/>
      <c r="S252" s="232"/>
      <c r="T252" s="232"/>
      <c r="U252" s="232"/>
      <c r="V252" s="232">
        <f>IFERROR(V154+V250,0)</f>
        <v>0</v>
      </c>
      <c r="W252" s="74" t="e">
        <f t="shared" si="42"/>
        <v>#DIV/0!</v>
      </c>
      <c r="X252" s="90"/>
      <c r="Y252" s="232"/>
      <c r="Z252" s="232"/>
      <c r="AA252" s="232"/>
      <c r="AB252" s="232"/>
      <c r="AC252" s="232"/>
      <c r="AD252" s="232"/>
      <c r="AE252" s="232"/>
      <c r="AF252" s="232"/>
      <c r="AG252" s="232"/>
      <c r="AH252" s="232"/>
      <c r="AI252" s="232"/>
      <c r="AJ252" s="232"/>
      <c r="AK252" s="232">
        <f>IFERROR(AK154+AK250,0)</f>
        <v>0</v>
      </c>
      <c r="AL252" s="74" t="e">
        <f t="shared" si="44"/>
        <v>#DIV/0!</v>
      </c>
      <c r="AM252" s="16">
        <f t="shared" si="35"/>
        <v>0</v>
      </c>
      <c r="AN252" s="9"/>
    </row>
    <row r="253" spans="1:40">
      <c r="I253" s="18" t="s">
        <v>305</v>
      </c>
      <c r="J253" s="232"/>
      <c r="K253" s="232"/>
      <c r="L253" s="232"/>
      <c r="M253" s="232"/>
      <c r="N253" s="232"/>
      <c r="O253" s="232"/>
      <c r="P253" s="232"/>
      <c r="Q253" s="232"/>
      <c r="R253" s="232"/>
      <c r="S253" s="232"/>
      <c r="T253" s="232"/>
      <c r="U253" s="232"/>
      <c r="V253" s="232">
        <f>IFERROR(V251/V38,0)</f>
        <v>0</v>
      </c>
      <c r="W253" s="74" t="e">
        <f t="shared" si="42"/>
        <v>#DIV/0!</v>
      </c>
      <c r="X253" s="90"/>
      <c r="Y253" s="232"/>
      <c r="Z253" s="232"/>
      <c r="AA253" s="232"/>
      <c r="AB253" s="232"/>
      <c r="AC253" s="232"/>
      <c r="AD253" s="232"/>
      <c r="AE253" s="232"/>
      <c r="AF253" s="232"/>
      <c r="AG253" s="232"/>
      <c r="AH253" s="232"/>
      <c r="AI253" s="232"/>
      <c r="AJ253" s="232"/>
      <c r="AK253" s="232">
        <f>IFERROR(AK251/AK38,0)</f>
        <v>0</v>
      </c>
      <c r="AL253" s="74" t="e">
        <f t="shared" si="44"/>
        <v>#DIV/0!</v>
      </c>
      <c r="AM253" s="16">
        <f t="shared" si="35"/>
        <v>0</v>
      </c>
      <c r="AN253" s="9"/>
    </row>
    <row r="254" spans="1:40" ht="15.6">
      <c r="I254" s="140" t="s">
        <v>306</v>
      </c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>
        <f>V158-V252</f>
        <v>0</v>
      </c>
      <c r="W254" s="168" t="e">
        <f t="shared" si="42"/>
        <v>#DIV/0!</v>
      </c>
      <c r="X254" s="91"/>
      <c r="Y254" s="135">
        <f t="shared" ref="Y254:AK254" si="51">Y158-Y252</f>
        <v>0</v>
      </c>
      <c r="Z254" s="135">
        <f t="shared" si="51"/>
        <v>0</v>
      </c>
      <c r="AA254" s="135">
        <f t="shared" si="51"/>
        <v>0</v>
      </c>
      <c r="AB254" s="135">
        <f t="shared" si="51"/>
        <v>0</v>
      </c>
      <c r="AC254" s="135">
        <f t="shared" si="51"/>
        <v>0</v>
      </c>
      <c r="AD254" s="135">
        <f t="shared" si="51"/>
        <v>0</v>
      </c>
      <c r="AE254" s="135">
        <f t="shared" si="51"/>
        <v>0</v>
      </c>
      <c r="AF254" s="135">
        <f t="shared" si="51"/>
        <v>0</v>
      </c>
      <c r="AG254" s="135">
        <f t="shared" si="51"/>
        <v>0</v>
      </c>
      <c r="AH254" s="135">
        <f t="shared" si="51"/>
        <v>0</v>
      </c>
      <c r="AI254" s="135">
        <f t="shared" si="51"/>
        <v>0</v>
      </c>
      <c r="AJ254" s="135">
        <f t="shared" si="51"/>
        <v>0</v>
      </c>
      <c r="AK254" s="135">
        <f t="shared" si="51"/>
        <v>0</v>
      </c>
      <c r="AL254" s="168" t="e">
        <f t="shared" si="44"/>
        <v>#DIV/0!</v>
      </c>
      <c r="AM254" s="154">
        <f t="shared" si="35"/>
        <v>0</v>
      </c>
      <c r="AN254" s="9"/>
    </row>
    <row r="255" spans="1:40">
      <c r="I255" s="18" t="s">
        <v>307</v>
      </c>
      <c r="J255" s="232"/>
      <c r="K255" s="232"/>
      <c r="L255" s="232"/>
      <c r="M255" s="232"/>
      <c r="N255" s="232"/>
      <c r="O255" s="232"/>
      <c r="P255" s="232"/>
      <c r="Q255" s="232"/>
      <c r="R255" s="232"/>
      <c r="S255" s="232"/>
      <c r="T255" s="232"/>
      <c r="U255" s="232"/>
      <c r="V255" s="232">
        <f>IFERROR(V157+V253,0)</f>
        <v>0</v>
      </c>
      <c r="W255" s="74" t="e">
        <f t="shared" si="42"/>
        <v>#DIV/0!</v>
      </c>
      <c r="X255" s="90"/>
      <c r="Y255" s="232"/>
      <c r="Z255" s="232"/>
      <c r="AA255" s="232"/>
      <c r="AB255" s="232"/>
      <c r="AC255" s="232"/>
      <c r="AD255" s="232"/>
      <c r="AE255" s="232"/>
      <c r="AF255" s="232"/>
      <c r="AG255" s="232"/>
      <c r="AH255" s="232"/>
      <c r="AI255" s="232"/>
      <c r="AJ255" s="232"/>
      <c r="AK255" s="232">
        <f>IFERROR(AK157+AK253,0)</f>
        <v>0</v>
      </c>
      <c r="AL255" s="74" t="e">
        <f t="shared" si="44"/>
        <v>#DIV/0!</v>
      </c>
      <c r="AM255" s="16">
        <f t="shared" si="35"/>
        <v>0</v>
      </c>
      <c r="AN255" s="9"/>
    </row>
    <row r="256" spans="1:40">
      <c r="I256" s="18" t="s">
        <v>308</v>
      </c>
      <c r="J256" s="232"/>
      <c r="K256" s="232"/>
      <c r="L256" s="232"/>
      <c r="M256" s="232"/>
      <c r="N256" s="232"/>
      <c r="O256" s="232"/>
      <c r="P256" s="232"/>
      <c r="Q256" s="232"/>
      <c r="R256" s="232"/>
      <c r="S256" s="232"/>
      <c r="T256" s="232"/>
      <c r="U256" s="232"/>
      <c r="V256" s="232">
        <f>IFERROR(V254/V41,0)</f>
        <v>0</v>
      </c>
      <c r="W256" s="74" t="e">
        <f t="shared" si="42"/>
        <v>#DIV/0!</v>
      </c>
      <c r="X256" s="90"/>
      <c r="Y256" s="232"/>
      <c r="Z256" s="232"/>
      <c r="AA256" s="232"/>
      <c r="AB256" s="232"/>
      <c r="AC256" s="232"/>
      <c r="AD256" s="232"/>
      <c r="AE256" s="232"/>
      <c r="AF256" s="232"/>
      <c r="AG256" s="232"/>
      <c r="AH256" s="232"/>
      <c r="AI256" s="232"/>
      <c r="AJ256" s="232"/>
      <c r="AK256" s="232">
        <f>IFERROR(AK254/AK41,0)</f>
        <v>0</v>
      </c>
      <c r="AL256" s="74" t="e">
        <f t="shared" si="44"/>
        <v>#DIV/0!</v>
      </c>
      <c r="AM256" s="16">
        <f t="shared" si="35"/>
        <v>0</v>
      </c>
      <c r="AN256" s="9"/>
    </row>
    <row r="257" spans="1:40">
      <c r="I257" s="137"/>
      <c r="J257" s="133"/>
      <c r="K257" s="133"/>
      <c r="L257" s="133"/>
      <c r="M257" s="134"/>
      <c r="N257" s="134"/>
      <c r="O257" s="134"/>
      <c r="P257" s="134"/>
      <c r="Q257" s="133"/>
      <c r="R257" s="134"/>
      <c r="S257" s="134"/>
      <c r="T257" s="134"/>
      <c r="U257" s="133"/>
      <c r="V257" s="133"/>
      <c r="W257" s="78"/>
      <c r="X257" s="89"/>
      <c r="Y257" s="133"/>
      <c r="Z257" s="133"/>
      <c r="AA257" s="133"/>
      <c r="AB257" s="134"/>
      <c r="AC257" s="134"/>
      <c r="AD257" s="134"/>
      <c r="AE257" s="134"/>
      <c r="AF257" s="133"/>
      <c r="AG257" s="134"/>
      <c r="AH257" s="134"/>
      <c r="AI257" s="134"/>
      <c r="AJ257" s="133"/>
      <c r="AK257" s="133"/>
      <c r="AL257" s="78"/>
      <c r="AM257" s="155"/>
      <c r="AN257" s="9"/>
    </row>
    <row r="258" spans="1:40" collapsed="1">
      <c r="A258" s="12" t="s">
        <v>375</v>
      </c>
      <c r="E258" s="7" t="s">
        <v>86</v>
      </c>
      <c r="I258" s="148" t="s">
        <v>310</v>
      </c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>
        <f>SUM(V259:V265)</f>
        <v>0</v>
      </c>
      <c r="W258" s="72" t="e">
        <f>V258/V$6</f>
        <v>#DIV/0!</v>
      </c>
      <c r="X258" s="89"/>
      <c r="Y258" s="222">
        <f t="shared" ref="Y258:AK258" si="52">SUM(Y259:Y265)</f>
        <v>0</v>
      </c>
      <c r="Z258" s="222">
        <f t="shared" si="52"/>
        <v>0</v>
      </c>
      <c r="AA258" s="222">
        <f t="shared" si="52"/>
        <v>0</v>
      </c>
      <c r="AB258" s="222">
        <f t="shared" si="52"/>
        <v>0</v>
      </c>
      <c r="AC258" s="222">
        <f t="shared" si="52"/>
        <v>0</v>
      </c>
      <c r="AD258" s="222">
        <f t="shared" si="52"/>
        <v>0</v>
      </c>
      <c r="AE258" s="222">
        <f t="shared" si="52"/>
        <v>0</v>
      </c>
      <c r="AF258" s="222">
        <f t="shared" si="52"/>
        <v>0</v>
      </c>
      <c r="AG258" s="222">
        <f t="shared" si="52"/>
        <v>0</v>
      </c>
      <c r="AH258" s="222">
        <f t="shared" si="52"/>
        <v>0</v>
      </c>
      <c r="AI258" s="222">
        <f t="shared" si="52"/>
        <v>0</v>
      </c>
      <c r="AJ258" s="222">
        <f t="shared" si="52"/>
        <v>0</v>
      </c>
      <c r="AK258" s="222">
        <f t="shared" si="52"/>
        <v>0</v>
      </c>
      <c r="AL258" s="72" t="e">
        <f>AK258/AK$6</f>
        <v>#DIV/0!</v>
      </c>
      <c r="AM258" s="10">
        <f t="shared" si="35"/>
        <v>0</v>
      </c>
      <c r="AN258" s="9"/>
    </row>
    <row r="259" spans="1:40" hidden="1" outlineLevel="1">
      <c r="A259" s="12" t="s">
        <v>375</v>
      </c>
      <c r="I259" s="137" t="s">
        <v>311</v>
      </c>
      <c r="J259" s="233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26">
        <f>SUM(J259:U259)</f>
        <v>0</v>
      </c>
      <c r="W259" s="73" t="e">
        <f>V259/V$6</f>
        <v>#DIV/0!</v>
      </c>
      <c r="X259" s="89"/>
      <c r="Y259" s="233"/>
      <c r="Z259" s="237"/>
      <c r="AA259" s="237"/>
      <c r="AB259" s="237"/>
      <c r="AC259" s="237"/>
      <c r="AD259" s="237"/>
      <c r="AE259" s="237"/>
      <c r="AF259" s="237"/>
      <c r="AG259" s="237"/>
      <c r="AH259" s="237"/>
      <c r="AI259" s="237"/>
      <c r="AJ259" s="237"/>
      <c r="AK259" s="226">
        <f>SUM(Y259:AJ259)</f>
        <v>0</v>
      </c>
      <c r="AL259" s="73" t="e">
        <f>AK259/AK$6</f>
        <v>#DIV/0!</v>
      </c>
      <c r="AM259" s="14">
        <f t="shared" si="35"/>
        <v>0</v>
      </c>
      <c r="AN259" s="9"/>
    </row>
    <row r="260" spans="1:40">
      <c r="I260" s="201" t="s">
        <v>312</v>
      </c>
    </row>
    <row r="261" spans="1:40" collapsed="1">
      <c r="I261" s="201" t="s">
        <v>313</v>
      </c>
    </row>
    <row r="262" spans="1:40" hidden="1" outlineLevel="1">
      <c r="A262" s="12"/>
      <c r="I262" s="201" t="s">
        <v>314</v>
      </c>
      <c r="J262" s="238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199"/>
      <c r="X262" s="89"/>
      <c r="Y262" s="238"/>
      <c r="Z262" s="239"/>
      <c r="AA262" s="239"/>
      <c r="AB262" s="239"/>
      <c r="AC262" s="239"/>
      <c r="AD262" s="239"/>
      <c r="AE262" s="239"/>
      <c r="AF262" s="239"/>
      <c r="AG262" s="239"/>
      <c r="AH262" s="239"/>
      <c r="AI262" s="239"/>
      <c r="AJ262" s="239"/>
      <c r="AK262" s="239"/>
      <c r="AL262" s="199"/>
      <c r="AM262" s="200"/>
      <c r="AN262" s="9"/>
    </row>
    <row r="263" spans="1:40" hidden="1" outlineLevel="1">
      <c r="A263" s="12"/>
      <c r="I263" s="137" t="s">
        <v>315</v>
      </c>
      <c r="J263" s="233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26">
        <f>SUM(J263:U263)</f>
        <v>0</v>
      </c>
      <c r="W263" s="73" t="e">
        <f>V263/V$6</f>
        <v>#DIV/0!</v>
      </c>
      <c r="X263" s="89"/>
      <c r="Y263" s="233"/>
      <c r="Z263" s="237"/>
      <c r="AA263" s="237"/>
      <c r="AB263" s="237"/>
      <c r="AC263" s="237"/>
      <c r="AD263" s="237"/>
      <c r="AE263" s="237"/>
      <c r="AF263" s="237"/>
      <c r="AG263" s="237"/>
      <c r="AH263" s="237"/>
      <c r="AI263" s="237"/>
      <c r="AJ263" s="237"/>
      <c r="AK263" s="226">
        <f>SUM(Y263:AJ263)</f>
        <v>0</v>
      </c>
      <c r="AL263" s="73" t="e">
        <f>AK263/AK$6</f>
        <v>#DIV/0!</v>
      </c>
      <c r="AM263" s="14">
        <f>IFERROR(AK263/V263-1,0)</f>
        <v>0</v>
      </c>
      <c r="AN263" s="9"/>
    </row>
    <row r="264" spans="1:40" collapsed="1">
      <c r="I264" s="5" t="s">
        <v>316</v>
      </c>
    </row>
    <row r="265" spans="1:40" hidden="1" outlineLevel="1">
      <c r="A265" s="12" t="s">
        <v>375</v>
      </c>
      <c r="I265" s="137" t="s">
        <v>317</v>
      </c>
      <c r="J265" s="233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26">
        <f>SUM(J265:U265)</f>
        <v>0</v>
      </c>
      <c r="W265" s="73" t="e">
        <f>V265/V$6</f>
        <v>#DIV/0!</v>
      </c>
      <c r="X265" s="89"/>
      <c r="Y265" s="233"/>
      <c r="Z265" s="237"/>
      <c r="AA265" s="237"/>
      <c r="AB265" s="237"/>
      <c r="AC265" s="237"/>
      <c r="AD265" s="237"/>
      <c r="AE265" s="237"/>
      <c r="AF265" s="237"/>
      <c r="AG265" s="237"/>
      <c r="AH265" s="237"/>
      <c r="AI265" s="237"/>
      <c r="AJ265" s="237"/>
      <c r="AK265" s="226">
        <f>SUM(Y265:AJ265)</f>
        <v>0</v>
      </c>
      <c r="AL265" s="73" t="e">
        <f>AK265/AK$6</f>
        <v>#DIV/0!</v>
      </c>
      <c r="AM265" s="14">
        <f>IFERROR(AK265/V265-1,0)</f>
        <v>0</v>
      </c>
      <c r="AN265" s="9"/>
    </row>
    <row r="266" spans="1:40" hidden="1" outlineLevel="1">
      <c r="A266" s="12"/>
      <c r="I266" s="202" t="s">
        <v>318</v>
      </c>
      <c r="J266" s="238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199"/>
      <c r="X266" s="89"/>
      <c r="Y266" s="238"/>
      <c r="Z266" s="239"/>
      <c r="AA266" s="239"/>
      <c r="AB266" s="239"/>
      <c r="AC266" s="239"/>
      <c r="AD266" s="239"/>
      <c r="AE266" s="239"/>
      <c r="AF266" s="239"/>
      <c r="AG266" s="239"/>
      <c r="AH266" s="239"/>
      <c r="AI266" s="239"/>
      <c r="AJ266" s="239"/>
      <c r="AK266" s="239"/>
      <c r="AL266" s="199"/>
      <c r="AM266" s="200"/>
      <c r="AN266" s="9"/>
    </row>
    <row r="267" spans="1:40" hidden="1" outlineLevel="1">
      <c r="A267" s="12"/>
      <c r="I267" s="202" t="s">
        <v>376</v>
      </c>
      <c r="J267" s="238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199"/>
      <c r="X267" s="89"/>
      <c r="Y267" s="238"/>
      <c r="Z267" s="239"/>
      <c r="AA267" s="239"/>
      <c r="AB267" s="239"/>
      <c r="AC267" s="239"/>
      <c r="AD267" s="239"/>
      <c r="AE267" s="239"/>
      <c r="AF267" s="239"/>
      <c r="AG267" s="239"/>
      <c r="AH267" s="239"/>
      <c r="AI267" s="239"/>
      <c r="AJ267" s="239"/>
      <c r="AK267" s="239"/>
      <c r="AL267" s="199"/>
      <c r="AM267" s="200"/>
      <c r="AN267" s="9"/>
    </row>
    <row r="268" spans="1:40" hidden="1" outlineLevel="1">
      <c r="A268" s="12"/>
      <c r="I268" s="202" t="s">
        <v>320</v>
      </c>
      <c r="J268" s="238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199"/>
      <c r="X268" s="89"/>
      <c r="Y268" s="238"/>
      <c r="Z268" s="239"/>
      <c r="AA268" s="239"/>
      <c r="AB268" s="239"/>
      <c r="AC268" s="239"/>
      <c r="AD268" s="239"/>
      <c r="AE268" s="239"/>
      <c r="AF268" s="239"/>
      <c r="AG268" s="239"/>
      <c r="AH268" s="239"/>
      <c r="AI268" s="239"/>
      <c r="AJ268" s="239"/>
      <c r="AK268" s="239"/>
      <c r="AL268" s="199"/>
      <c r="AM268" s="200"/>
      <c r="AN268" s="9"/>
    </row>
    <row r="269" spans="1:40" hidden="1" outlineLevel="1">
      <c r="A269" s="12"/>
      <c r="I269" s="202" t="s">
        <v>321</v>
      </c>
      <c r="J269" s="238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199"/>
      <c r="X269" s="89"/>
      <c r="Y269" s="238"/>
      <c r="Z269" s="239"/>
      <c r="AA269" s="239"/>
      <c r="AB269" s="239"/>
      <c r="AC269" s="239"/>
      <c r="AD269" s="239"/>
      <c r="AE269" s="239"/>
      <c r="AF269" s="239"/>
      <c r="AG269" s="239"/>
      <c r="AH269" s="239"/>
      <c r="AI269" s="239"/>
      <c r="AJ269" s="239"/>
      <c r="AK269" s="239"/>
      <c r="AL269" s="199"/>
      <c r="AM269" s="200"/>
      <c r="AN269" s="9"/>
    </row>
    <row r="270" spans="1:40" hidden="1" outlineLevel="1">
      <c r="A270" s="12"/>
      <c r="I270" s="202" t="s">
        <v>322</v>
      </c>
      <c r="J270" s="238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199"/>
      <c r="X270" s="89"/>
      <c r="Y270" s="238"/>
      <c r="Z270" s="239"/>
      <c r="AA270" s="239"/>
      <c r="AB270" s="239"/>
      <c r="AC270" s="239"/>
      <c r="AD270" s="239"/>
      <c r="AE270" s="239"/>
      <c r="AF270" s="239"/>
      <c r="AG270" s="239"/>
      <c r="AH270" s="239"/>
      <c r="AI270" s="239"/>
      <c r="AJ270" s="239"/>
      <c r="AK270" s="239"/>
      <c r="AL270" s="199"/>
      <c r="AM270" s="200"/>
      <c r="AN270" s="9"/>
    </row>
    <row r="271" spans="1:40" hidden="1" outlineLevel="1">
      <c r="A271" s="12"/>
      <c r="I271" s="202" t="s">
        <v>377</v>
      </c>
      <c r="J271" s="238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199"/>
      <c r="X271" s="89"/>
      <c r="Y271" s="238"/>
      <c r="Z271" s="239"/>
      <c r="AA271" s="239"/>
      <c r="AB271" s="239"/>
      <c r="AC271" s="239"/>
      <c r="AD271" s="239"/>
      <c r="AE271" s="239"/>
      <c r="AF271" s="239"/>
      <c r="AG271" s="239"/>
      <c r="AH271" s="239"/>
      <c r="AI271" s="239"/>
      <c r="AJ271" s="239"/>
      <c r="AK271" s="239"/>
      <c r="AL271" s="199"/>
      <c r="AM271" s="200"/>
      <c r="AN271" s="9"/>
    </row>
    <row r="272" spans="1:40">
      <c r="A272" s="1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 s="163"/>
      <c r="X272" s="9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 s="163"/>
      <c r="AM272" s="156"/>
      <c r="AN272" s="9"/>
    </row>
    <row r="273" spans="1:40" collapsed="1">
      <c r="A273" s="12" t="s">
        <v>378</v>
      </c>
      <c r="E273" s="7" t="s">
        <v>98</v>
      </c>
      <c r="I273" s="149" t="s">
        <v>324</v>
      </c>
      <c r="J273" s="222"/>
      <c r="K273" s="222"/>
      <c r="L273" s="222"/>
      <c r="M273" s="222"/>
      <c r="N273" s="222"/>
      <c r="O273" s="222"/>
      <c r="P273" s="222"/>
      <c r="Q273" s="222"/>
      <c r="R273" s="222"/>
      <c r="S273" s="222"/>
      <c r="T273" s="222"/>
      <c r="U273" s="222"/>
      <c r="V273" s="222">
        <f>SUM(V274:V278)</f>
        <v>0</v>
      </c>
      <c r="W273" s="72" t="e">
        <f>V273/V$6</f>
        <v>#DIV/0!</v>
      </c>
      <c r="X273" s="89"/>
      <c r="Y273" s="222">
        <f t="shared" ref="Y273:AK273" si="53">SUM(Y274:Y278)</f>
        <v>0</v>
      </c>
      <c r="Z273" s="222">
        <f t="shared" si="53"/>
        <v>0</v>
      </c>
      <c r="AA273" s="222">
        <f t="shared" si="53"/>
        <v>0</v>
      </c>
      <c r="AB273" s="222">
        <f t="shared" si="53"/>
        <v>0</v>
      </c>
      <c r="AC273" s="222">
        <f t="shared" si="53"/>
        <v>0</v>
      </c>
      <c r="AD273" s="222">
        <f t="shared" si="53"/>
        <v>0</v>
      </c>
      <c r="AE273" s="222">
        <f t="shared" si="53"/>
        <v>0</v>
      </c>
      <c r="AF273" s="222">
        <f t="shared" si="53"/>
        <v>0</v>
      </c>
      <c r="AG273" s="222">
        <f t="shared" si="53"/>
        <v>0</v>
      </c>
      <c r="AH273" s="222">
        <f t="shared" si="53"/>
        <v>0</v>
      </c>
      <c r="AI273" s="222">
        <f t="shared" si="53"/>
        <v>0</v>
      </c>
      <c r="AJ273" s="222">
        <f t="shared" si="53"/>
        <v>0</v>
      </c>
      <c r="AK273" s="222">
        <f t="shared" si="53"/>
        <v>0</v>
      </c>
      <c r="AL273" s="72" t="e">
        <f>AK273/AK$6</f>
        <v>#DIV/0!</v>
      </c>
      <c r="AM273" s="10">
        <f t="shared" si="35"/>
        <v>0</v>
      </c>
      <c r="AN273" s="9"/>
    </row>
    <row r="274" spans="1:40" hidden="1" outlineLevel="1">
      <c r="A274" s="12" t="s">
        <v>378</v>
      </c>
      <c r="I274" s="203" t="s">
        <v>325</v>
      </c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26">
        <f>SUM(J274:U274)</f>
        <v>0</v>
      </c>
      <c r="W274" s="73" t="e">
        <f>V274/V$6</f>
        <v>#DIV/0!</v>
      </c>
      <c r="X274" s="89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33"/>
      <c r="AK274" s="226">
        <f>SUM(Y274:AJ274)</f>
        <v>0</v>
      </c>
      <c r="AL274" s="73" t="e">
        <f>AK274/AK$6</f>
        <v>#DIV/0!</v>
      </c>
      <c r="AM274" s="14">
        <f t="shared" si="35"/>
        <v>0</v>
      </c>
      <c r="AN274" s="9"/>
    </row>
    <row r="275" spans="1:40" hidden="1" outlineLevel="1">
      <c r="A275" s="12" t="s">
        <v>378</v>
      </c>
      <c r="I275" s="203" t="s">
        <v>326</v>
      </c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26">
        <f>SUM(J275:U275)</f>
        <v>0</v>
      </c>
      <c r="W275" s="73" t="e">
        <f>V275/V$6</f>
        <v>#DIV/0!</v>
      </c>
      <c r="X275" s="89"/>
      <c r="Y275" s="233"/>
      <c r="Z275" s="233"/>
      <c r="AA275" s="233"/>
      <c r="AB275" s="233"/>
      <c r="AC275" s="233"/>
      <c r="AD275" s="233"/>
      <c r="AE275" s="233"/>
      <c r="AF275" s="233"/>
      <c r="AG275" s="233"/>
      <c r="AH275" s="233"/>
      <c r="AI275" s="233"/>
      <c r="AJ275" s="233"/>
      <c r="AK275" s="226">
        <f>SUM(Y275:AJ275)</f>
        <v>0</v>
      </c>
      <c r="AL275" s="73" t="e">
        <f>AK275/AK$6</f>
        <v>#DIV/0!</v>
      </c>
      <c r="AM275" s="14">
        <f t="shared" si="35"/>
        <v>0</v>
      </c>
      <c r="AN275" s="9"/>
    </row>
    <row r="276" spans="1:40" hidden="1" outlineLevel="1">
      <c r="A276" s="12" t="s">
        <v>378</v>
      </c>
      <c r="I276" s="203" t="s">
        <v>327</v>
      </c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26">
        <f>SUM(J276:U276)</f>
        <v>0</v>
      </c>
      <c r="W276" s="73" t="e">
        <f>V276/V$6</f>
        <v>#DIV/0!</v>
      </c>
      <c r="X276" s="89"/>
      <c r="Y276" s="233"/>
      <c r="Z276" s="233"/>
      <c r="AA276" s="233"/>
      <c r="AB276" s="233"/>
      <c r="AC276" s="233"/>
      <c r="AD276" s="233"/>
      <c r="AE276" s="233"/>
      <c r="AF276" s="233"/>
      <c r="AG276" s="233"/>
      <c r="AH276" s="233"/>
      <c r="AI276" s="233"/>
      <c r="AJ276" s="233"/>
      <c r="AK276" s="226">
        <f>SUM(Y276:AJ276)</f>
        <v>0</v>
      </c>
      <c r="AL276" s="73" t="e">
        <f>AK276/AK$6</f>
        <v>#DIV/0!</v>
      </c>
      <c r="AM276" s="14">
        <f t="shared" si="35"/>
        <v>0</v>
      </c>
      <c r="AN276" s="9"/>
    </row>
    <row r="277" spans="1:40" hidden="1" outlineLevel="1">
      <c r="A277" s="12"/>
      <c r="I277" s="203" t="s">
        <v>328</v>
      </c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26"/>
      <c r="W277" s="73"/>
      <c r="X277" s="89"/>
      <c r="Y277" s="233"/>
      <c r="Z277" s="233"/>
      <c r="AA277" s="233"/>
      <c r="AB277" s="233"/>
      <c r="AC277" s="233"/>
      <c r="AD277" s="233"/>
      <c r="AE277" s="233"/>
      <c r="AF277" s="233"/>
      <c r="AG277" s="233"/>
      <c r="AH277" s="233"/>
      <c r="AI277" s="233"/>
      <c r="AJ277" s="233"/>
      <c r="AK277" s="226"/>
      <c r="AL277" s="73"/>
      <c r="AM277" s="14"/>
      <c r="AN277" s="9"/>
    </row>
    <row r="278" spans="1:40" hidden="1" outlineLevel="1">
      <c r="A278" s="12" t="s">
        <v>378</v>
      </c>
      <c r="I278" s="203" t="s">
        <v>329</v>
      </c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26">
        <f>SUM(J278:U278)</f>
        <v>0</v>
      </c>
      <c r="W278" s="73" t="e">
        <f>V278/V$6</f>
        <v>#DIV/0!</v>
      </c>
      <c r="X278" s="89"/>
      <c r="Y278" s="233"/>
      <c r="Z278" s="233"/>
      <c r="AA278" s="233"/>
      <c r="AB278" s="233"/>
      <c r="AC278" s="233"/>
      <c r="AD278" s="233"/>
      <c r="AE278" s="233"/>
      <c r="AF278" s="233"/>
      <c r="AG278" s="233"/>
      <c r="AH278" s="233"/>
      <c r="AI278" s="233"/>
      <c r="AJ278" s="233"/>
      <c r="AK278" s="226">
        <f>SUM(Y278:AJ278)</f>
        <v>0</v>
      </c>
      <c r="AL278" s="73" t="e">
        <f>AK278/AK$6</f>
        <v>#DIV/0!</v>
      </c>
      <c r="AM278" s="14">
        <f t="shared" si="35"/>
        <v>0</v>
      </c>
      <c r="AN278" s="9"/>
    </row>
    <row r="279" spans="1:40">
      <c r="A279" s="12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64"/>
      <c r="X279" s="89"/>
      <c r="Y279" s="137"/>
      <c r="Z279" s="137"/>
      <c r="AA279" s="137"/>
      <c r="AB279" s="137"/>
      <c r="AC279" s="137"/>
      <c r="AD279" s="137"/>
      <c r="AE279" s="137"/>
      <c r="AF279" s="137"/>
      <c r="AG279" s="137"/>
      <c r="AH279" s="137"/>
      <c r="AI279" s="137"/>
      <c r="AJ279" s="137"/>
      <c r="AK279" s="137"/>
      <c r="AL279" s="164"/>
      <c r="AM279" s="157"/>
      <c r="AN279" s="9"/>
    </row>
    <row r="280" spans="1:40" collapsed="1">
      <c r="A280" s="12"/>
      <c r="E280" s="7" t="s">
        <v>98</v>
      </c>
      <c r="I280" s="149" t="s">
        <v>330</v>
      </c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>
        <f>SUM(V281:V286)</f>
        <v>0</v>
      </c>
      <c r="W280" s="72" t="e">
        <f t="shared" ref="W280:W286" si="54">V280/V$6</f>
        <v>#DIV/0!</v>
      </c>
      <c r="X280" s="89"/>
      <c r="Y280" s="165">
        <f>SUM(Y281:Y286)</f>
        <v>0</v>
      </c>
      <c r="Z280" s="165">
        <f>SUM(Z281:Z286)</f>
        <v>0</v>
      </c>
      <c r="AA280" s="165">
        <f>SUM(AA281:AA286)</f>
        <v>0</v>
      </c>
      <c r="AB280" s="165">
        <f>SUM(AB281:AB286)</f>
        <v>0</v>
      </c>
      <c r="AC280" s="165">
        <f>SUM(AC281:AC286)</f>
        <v>0</v>
      </c>
      <c r="AD280" s="165">
        <f t="shared" ref="AD280:AJ280" si="55">SUM(AD281:AD286)</f>
        <v>0</v>
      </c>
      <c r="AE280" s="165">
        <f t="shared" si="55"/>
        <v>0</v>
      </c>
      <c r="AF280" s="165">
        <f t="shared" si="55"/>
        <v>0</v>
      </c>
      <c r="AG280" s="165">
        <f t="shared" si="55"/>
        <v>0</v>
      </c>
      <c r="AH280" s="165">
        <f t="shared" si="55"/>
        <v>0</v>
      </c>
      <c r="AI280" s="165">
        <f t="shared" si="55"/>
        <v>0</v>
      </c>
      <c r="AJ280" s="165">
        <f t="shared" si="55"/>
        <v>0</v>
      </c>
      <c r="AK280" s="165">
        <f>SUM(AK281:AK286)</f>
        <v>0</v>
      </c>
      <c r="AL280" s="72" t="e">
        <f t="shared" ref="AL280:AL286" si="56">AK280/AK$6</f>
        <v>#DIV/0!</v>
      </c>
      <c r="AM280" s="10">
        <f t="shared" si="35"/>
        <v>0</v>
      </c>
      <c r="AN280" s="9"/>
    </row>
    <row r="281" spans="1:40" hidden="1" outlineLevel="1">
      <c r="A281" s="12" t="s">
        <v>263</v>
      </c>
      <c r="B281" s="8" t="s">
        <v>370</v>
      </c>
      <c r="I281" s="137" t="s">
        <v>331</v>
      </c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26">
        <f t="shared" ref="V281:V286" si="57">SUM(J281:U281)</f>
        <v>0</v>
      </c>
      <c r="W281" s="73" t="e">
        <f t="shared" si="54"/>
        <v>#DIV/0!</v>
      </c>
      <c r="X281" s="89"/>
      <c r="Y281" s="233"/>
      <c r="Z281" s="233"/>
      <c r="AA281" s="233"/>
      <c r="AB281" s="233"/>
      <c r="AC281" s="233"/>
      <c r="AD281" s="233"/>
      <c r="AE281" s="233"/>
      <c r="AF281" s="233"/>
      <c r="AG281" s="233"/>
      <c r="AH281" s="233"/>
      <c r="AI281" s="233"/>
      <c r="AJ281" s="233"/>
      <c r="AK281" s="226">
        <f t="shared" ref="AK281:AK286" si="58">SUM(Y281:AJ281)</f>
        <v>0</v>
      </c>
      <c r="AL281" s="73" t="e">
        <f t="shared" si="56"/>
        <v>#DIV/0!</v>
      </c>
      <c r="AM281" s="14">
        <f t="shared" ref="AM281:AM353" si="59">IFERROR(AK281/V281-1,0)</f>
        <v>0</v>
      </c>
      <c r="AN281" s="9"/>
    </row>
    <row r="282" spans="1:40" hidden="1" outlineLevel="1">
      <c r="A282" s="12" t="s">
        <v>263</v>
      </c>
      <c r="B282" s="8" t="s">
        <v>370</v>
      </c>
      <c r="I282" s="137" t="s">
        <v>332</v>
      </c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26">
        <f t="shared" si="57"/>
        <v>0</v>
      </c>
      <c r="W282" s="73" t="e">
        <f t="shared" si="54"/>
        <v>#DIV/0!</v>
      </c>
      <c r="X282" s="89"/>
      <c r="Y282" s="233"/>
      <c r="Z282" s="233"/>
      <c r="AA282" s="233"/>
      <c r="AB282" s="233"/>
      <c r="AC282" s="233"/>
      <c r="AD282" s="233"/>
      <c r="AE282" s="233"/>
      <c r="AF282" s="233"/>
      <c r="AG282" s="233"/>
      <c r="AH282" s="233"/>
      <c r="AI282" s="233"/>
      <c r="AJ282" s="233"/>
      <c r="AK282" s="226">
        <f t="shared" si="58"/>
        <v>0</v>
      </c>
      <c r="AL282" s="73" t="e">
        <f t="shared" si="56"/>
        <v>#DIV/0!</v>
      </c>
      <c r="AM282" s="14">
        <f t="shared" si="59"/>
        <v>0</v>
      </c>
      <c r="AN282" s="9"/>
    </row>
    <row r="283" spans="1:40" hidden="1" outlineLevel="1">
      <c r="A283" s="12" t="s">
        <v>263</v>
      </c>
      <c r="B283" s="8" t="s">
        <v>370</v>
      </c>
      <c r="I283" s="137" t="s">
        <v>333</v>
      </c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26">
        <f t="shared" si="57"/>
        <v>0</v>
      </c>
      <c r="W283" s="73" t="e">
        <f t="shared" si="54"/>
        <v>#DIV/0!</v>
      </c>
      <c r="X283" s="89"/>
      <c r="Y283" s="233"/>
      <c r="Z283" s="233"/>
      <c r="AA283" s="233"/>
      <c r="AB283" s="233"/>
      <c r="AC283" s="233"/>
      <c r="AD283" s="233"/>
      <c r="AE283" s="233"/>
      <c r="AF283" s="233"/>
      <c r="AG283" s="233"/>
      <c r="AH283" s="233"/>
      <c r="AI283" s="233"/>
      <c r="AJ283" s="233"/>
      <c r="AK283" s="226">
        <f t="shared" si="58"/>
        <v>0</v>
      </c>
      <c r="AL283" s="73" t="e">
        <f t="shared" si="56"/>
        <v>#DIV/0!</v>
      </c>
      <c r="AM283" s="14">
        <f t="shared" si="59"/>
        <v>0</v>
      </c>
      <c r="AN283" s="9"/>
    </row>
    <row r="284" spans="1:40" hidden="1" outlineLevel="1">
      <c r="A284" s="12" t="s">
        <v>263</v>
      </c>
      <c r="B284" s="8" t="s">
        <v>370</v>
      </c>
      <c r="I284" s="137" t="s">
        <v>334</v>
      </c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26">
        <f t="shared" si="57"/>
        <v>0</v>
      </c>
      <c r="W284" s="73" t="e">
        <f t="shared" si="54"/>
        <v>#DIV/0!</v>
      </c>
      <c r="X284" s="89"/>
      <c r="Y284" s="233"/>
      <c r="Z284" s="233"/>
      <c r="AA284" s="233"/>
      <c r="AB284" s="233"/>
      <c r="AC284" s="233"/>
      <c r="AD284" s="233"/>
      <c r="AE284" s="233"/>
      <c r="AF284" s="233"/>
      <c r="AG284" s="233"/>
      <c r="AH284" s="233"/>
      <c r="AI284" s="233"/>
      <c r="AJ284" s="233"/>
      <c r="AK284" s="226">
        <f t="shared" si="58"/>
        <v>0</v>
      </c>
      <c r="AL284" s="73" t="e">
        <f t="shared" si="56"/>
        <v>#DIV/0!</v>
      </c>
      <c r="AM284" s="14">
        <f t="shared" si="59"/>
        <v>0</v>
      </c>
      <c r="AN284" s="9"/>
    </row>
    <row r="285" spans="1:40" hidden="1" outlineLevel="1">
      <c r="A285" s="12" t="s">
        <v>263</v>
      </c>
      <c r="B285" s="8" t="s">
        <v>370</v>
      </c>
      <c r="I285" s="137" t="s">
        <v>335</v>
      </c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26">
        <f t="shared" si="57"/>
        <v>0</v>
      </c>
      <c r="W285" s="73" t="e">
        <f t="shared" si="54"/>
        <v>#DIV/0!</v>
      </c>
      <c r="X285" s="89"/>
      <c r="Y285" s="233"/>
      <c r="Z285" s="233"/>
      <c r="AA285" s="233"/>
      <c r="AB285" s="233"/>
      <c r="AC285" s="233"/>
      <c r="AD285" s="233"/>
      <c r="AE285" s="233"/>
      <c r="AF285" s="233"/>
      <c r="AG285" s="233"/>
      <c r="AH285" s="233"/>
      <c r="AI285" s="233"/>
      <c r="AJ285" s="233"/>
      <c r="AK285" s="226">
        <f t="shared" si="58"/>
        <v>0</v>
      </c>
      <c r="AL285" s="73" t="e">
        <f t="shared" si="56"/>
        <v>#DIV/0!</v>
      </c>
      <c r="AM285" s="14">
        <f t="shared" si="59"/>
        <v>0</v>
      </c>
      <c r="AN285" s="9"/>
    </row>
    <row r="286" spans="1:40" hidden="1" outlineLevel="1">
      <c r="A286" s="12" t="s">
        <v>263</v>
      </c>
      <c r="B286" s="8" t="s">
        <v>370</v>
      </c>
      <c r="I286" s="137" t="s">
        <v>336</v>
      </c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26">
        <f t="shared" si="57"/>
        <v>0</v>
      </c>
      <c r="W286" s="73" t="e">
        <f t="shared" si="54"/>
        <v>#DIV/0!</v>
      </c>
      <c r="X286" s="89"/>
      <c r="Y286" s="233"/>
      <c r="Z286" s="233"/>
      <c r="AA286" s="233"/>
      <c r="AB286" s="233"/>
      <c r="AC286" s="233"/>
      <c r="AD286" s="233"/>
      <c r="AE286" s="233"/>
      <c r="AF286" s="233"/>
      <c r="AG286" s="233"/>
      <c r="AH286" s="233"/>
      <c r="AI286" s="233"/>
      <c r="AJ286" s="233"/>
      <c r="AK286" s="226">
        <f t="shared" si="58"/>
        <v>0</v>
      </c>
      <c r="AL286" s="73" t="e">
        <f t="shared" si="56"/>
        <v>#DIV/0!</v>
      </c>
      <c r="AM286" s="14">
        <f t="shared" si="59"/>
        <v>0</v>
      </c>
      <c r="AN286" s="9"/>
    </row>
    <row r="287" spans="1:40">
      <c r="A287" s="12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64"/>
      <c r="X287" s="89"/>
      <c r="Y287" s="137"/>
      <c r="Z287" s="137"/>
      <c r="AA287" s="137"/>
      <c r="AB287" s="137"/>
      <c r="AC287" s="137"/>
      <c r="AD287" s="137"/>
      <c r="AE287" s="137"/>
      <c r="AF287" s="137"/>
      <c r="AG287" s="137"/>
      <c r="AH287" s="137"/>
      <c r="AI287" s="137"/>
      <c r="AJ287" s="137"/>
      <c r="AK287" s="137"/>
      <c r="AL287" s="164"/>
      <c r="AM287" s="157"/>
      <c r="AN287" s="9"/>
    </row>
    <row r="288" spans="1:40" ht="15.6">
      <c r="I288" s="140" t="s">
        <v>379</v>
      </c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>
        <f>+V251+V258-V273-V280</f>
        <v>0</v>
      </c>
      <c r="W288" s="168" t="e">
        <f>V288/V$6</f>
        <v>#DIV/0!</v>
      </c>
      <c r="X288" s="91"/>
      <c r="Y288" s="135">
        <f t="shared" ref="Y288:AK288" si="60">+Y251+Y258-Y273-Y280</f>
        <v>-57322.2</v>
      </c>
      <c r="Z288" s="135">
        <f t="shared" si="60"/>
        <v>-56231.369999999995</v>
      </c>
      <c r="AA288" s="135">
        <f t="shared" si="60"/>
        <v>-61715.864999999998</v>
      </c>
      <c r="AB288" s="135">
        <f t="shared" si="60"/>
        <v>-58052.294999999998</v>
      </c>
      <c r="AC288" s="135">
        <f t="shared" si="60"/>
        <v>-66217.875</v>
      </c>
      <c r="AD288" s="135">
        <f t="shared" si="60"/>
        <v>-65202.224999999999</v>
      </c>
      <c r="AE288" s="135">
        <f t="shared" si="60"/>
        <v>-64233.614999999998</v>
      </c>
      <c r="AF288" s="135">
        <f t="shared" si="60"/>
        <v>-65094.345000000001</v>
      </c>
      <c r="AG288" s="135">
        <f t="shared" si="60"/>
        <v>-63673.799999999996</v>
      </c>
      <c r="AH288" s="135">
        <f t="shared" si="60"/>
        <v>-64643.46</v>
      </c>
      <c r="AI288" s="135">
        <f t="shared" si="60"/>
        <v>-62397.824999999997</v>
      </c>
      <c r="AJ288" s="135">
        <f t="shared" si="60"/>
        <v>-58880.1</v>
      </c>
      <c r="AK288" s="135">
        <f t="shared" si="60"/>
        <v>-743664.97499999986</v>
      </c>
      <c r="AL288" s="168" t="e">
        <f>AK288/AK$6</f>
        <v>#DIV/0!</v>
      </c>
      <c r="AM288" s="154">
        <f t="shared" si="59"/>
        <v>0</v>
      </c>
      <c r="AN288" s="9"/>
    </row>
    <row r="289" spans="1:118">
      <c r="A289" s="12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64"/>
      <c r="X289" s="89"/>
      <c r="Y289" s="137"/>
      <c r="Z289" s="137"/>
      <c r="AA289" s="137"/>
      <c r="AB289" s="137"/>
      <c r="AC289" s="137"/>
      <c r="AD289" s="137"/>
      <c r="AE289" s="137"/>
      <c r="AF289" s="137"/>
      <c r="AG289" s="137"/>
      <c r="AH289" s="137"/>
      <c r="AI289" s="137"/>
      <c r="AJ289" s="137"/>
      <c r="AK289" s="137"/>
      <c r="AL289" s="164"/>
      <c r="AM289" s="157"/>
      <c r="AN289" s="9"/>
    </row>
    <row r="290" spans="1:118" s="209" customFormat="1" ht="13.15">
      <c r="A290" s="205"/>
      <c r="B290" s="205"/>
      <c r="C290" s="205"/>
      <c r="D290" s="205"/>
      <c r="E290" s="240"/>
      <c r="F290" s="205"/>
      <c r="G290" s="205"/>
      <c r="H290" s="205"/>
      <c r="I290" s="204" t="s">
        <v>380</v>
      </c>
      <c r="J290" s="204"/>
      <c r="K290" s="204"/>
      <c r="L290" s="206"/>
      <c r="M290" s="207"/>
      <c r="N290" s="206"/>
      <c r="O290" s="207"/>
      <c r="P290" s="206"/>
      <c r="Q290" s="207"/>
      <c r="R290" s="160"/>
      <c r="S290" s="160"/>
      <c r="T290" s="206"/>
      <c r="U290" s="207"/>
      <c r="V290" s="206"/>
      <c r="W290" s="207"/>
      <c r="X290" s="206"/>
      <c r="Y290" s="207"/>
      <c r="Z290" s="160"/>
      <c r="AA290" s="160"/>
      <c r="AB290" s="206"/>
      <c r="AC290" s="207"/>
      <c r="AD290" s="206"/>
      <c r="AE290" s="207"/>
      <c r="AF290" s="206"/>
      <c r="AG290" s="207"/>
      <c r="AH290" s="160"/>
      <c r="AI290" s="160"/>
      <c r="AJ290" s="206"/>
      <c r="AK290" s="207"/>
      <c r="AL290" s="206"/>
      <c r="AM290" s="207"/>
      <c r="AN290" s="206"/>
      <c r="AO290" s="207"/>
      <c r="AP290" s="160"/>
      <c r="AQ290" s="160"/>
      <c r="AR290" s="206"/>
      <c r="AS290" s="207"/>
      <c r="AT290" s="206"/>
      <c r="AU290" s="207"/>
      <c r="AV290" s="206"/>
      <c r="AW290" s="207"/>
      <c r="AX290" s="160"/>
      <c r="AY290" s="160"/>
      <c r="AZ290" s="206"/>
      <c r="BA290" s="207"/>
      <c r="BB290" s="206"/>
      <c r="BC290" s="207"/>
      <c r="BD290" s="206"/>
      <c r="BE290" s="207"/>
      <c r="BF290" s="160"/>
      <c r="BG290" s="160"/>
      <c r="BH290" s="206"/>
      <c r="BI290" s="207"/>
      <c r="BJ290" s="206"/>
      <c r="BK290" s="207"/>
      <c r="BL290" s="206"/>
      <c r="BM290" s="207"/>
      <c r="BN290" s="160"/>
      <c r="BO290" s="160"/>
      <c r="BP290" s="206"/>
      <c r="BQ290" s="207"/>
      <c r="BR290" s="206"/>
      <c r="BS290" s="207"/>
      <c r="BT290" s="206"/>
      <c r="BU290" s="207"/>
      <c r="BV290" s="160"/>
      <c r="BW290" s="160"/>
      <c r="BX290" s="206"/>
      <c r="BY290" s="207"/>
      <c r="BZ290" s="206"/>
      <c r="CA290" s="207"/>
      <c r="CB290" s="206"/>
      <c r="CC290" s="207"/>
      <c r="CD290" s="160"/>
      <c r="CE290" s="160"/>
      <c r="CF290" s="206"/>
      <c r="CG290" s="207"/>
      <c r="CH290" s="206"/>
      <c r="CI290" s="207"/>
      <c r="CJ290" s="206"/>
      <c r="CK290" s="207"/>
      <c r="CL290" s="160"/>
      <c r="CM290" s="160"/>
      <c r="CN290" s="206"/>
      <c r="CO290" s="207"/>
      <c r="CP290" s="206"/>
      <c r="CQ290" s="207"/>
      <c r="CR290" s="206"/>
      <c r="CS290" s="207"/>
      <c r="CT290" s="160"/>
      <c r="CU290" s="160"/>
      <c r="CV290" s="206"/>
      <c r="CW290" s="207"/>
      <c r="CX290" s="206"/>
      <c r="CY290" s="207"/>
      <c r="CZ290" s="206"/>
      <c r="DA290" s="207"/>
      <c r="DB290" s="160"/>
      <c r="DC290" s="160"/>
      <c r="DD290" s="206"/>
      <c r="DE290" s="207"/>
      <c r="DF290" s="206"/>
      <c r="DG290" s="207"/>
      <c r="DH290" s="206"/>
      <c r="DI290" s="207"/>
      <c r="DJ290" s="160"/>
      <c r="DK290" s="160"/>
      <c r="DL290" s="208"/>
      <c r="DM290" s="241"/>
      <c r="DN290" s="241"/>
    </row>
    <row r="291" spans="1:118">
      <c r="A291" s="12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64"/>
      <c r="X291" s="89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64"/>
      <c r="AM291" s="157"/>
      <c r="AN291" s="9"/>
    </row>
    <row r="292" spans="1:118" collapsed="1">
      <c r="A292" s="12" t="s">
        <v>221</v>
      </c>
      <c r="B292" s="8" t="s">
        <v>88</v>
      </c>
      <c r="C292" s="8" t="s">
        <v>222</v>
      </c>
      <c r="D292" s="138"/>
      <c r="E292" s="7" t="s">
        <v>98</v>
      </c>
      <c r="I292" s="210" t="s">
        <v>381</v>
      </c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2">
        <f>SUM(V293:V317)</f>
        <v>0</v>
      </c>
      <c r="W292" s="72" t="e">
        <f t="shared" ref="W292:W311" si="61">V292/V$6</f>
        <v>#DIV/0!</v>
      </c>
      <c r="X292" s="89"/>
      <c r="Y292" s="242">
        <f t="shared" ref="Y292:AK292" si="62">SUM(Y293:Y317)</f>
        <v>0</v>
      </c>
      <c r="Z292" s="242">
        <f t="shared" si="62"/>
        <v>0</v>
      </c>
      <c r="AA292" s="242">
        <f t="shared" si="62"/>
        <v>0</v>
      </c>
      <c r="AB292" s="242">
        <f t="shared" si="62"/>
        <v>0</v>
      </c>
      <c r="AC292" s="242">
        <f t="shared" si="62"/>
        <v>0</v>
      </c>
      <c r="AD292" s="242">
        <f t="shared" si="62"/>
        <v>0</v>
      </c>
      <c r="AE292" s="242">
        <f t="shared" si="62"/>
        <v>0</v>
      </c>
      <c r="AF292" s="242">
        <f t="shared" si="62"/>
        <v>0</v>
      </c>
      <c r="AG292" s="242">
        <f t="shared" si="62"/>
        <v>0</v>
      </c>
      <c r="AH292" s="242">
        <f t="shared" si="62"/>
        <v>0</v>
      </c>
      <c r="AI292" s="242">
        <f t="shared" si="62"/>
        <v>0</v>
      </c>
      <c r="AJ292" s="242">
        <f t="shared" si="62"/>
        <v>0</v>
      </c>
      <c r="AK292" s="242">
        <f t="shared" si="62"/>
        <v>0</v>
      </c>
      <c r="AL292" s="72" t="e">
        <f t="shared" ref="AL292:AL311" si="63">AK292/AK$6</f>
        <v>#DIV/0!</v>
      </c>
      <c r="AM292" s="10">
        <f t="shared" si="59"/>
        <v>0</v>
      </c>
      <c r="AN292" s="9"/>
    </row>
    <row r="293" spans="1:118" hidden="1" outlineLevel="2">
      <c r="A293" s="12" t="s">
        <v>222</v>
      </c>
      <c r="I293" s="211" t="s">
        <v>382</v>
      </c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26">
        <f>SUM(J293:U293)</f>
        <v>0</v>
      </c>
      <c r="W293" s="73" t="e">
        <f t="shared" si="61"/>
        <v>#DIV/0!</v>
      </c>
      <c r="X293" s="89"/>
      <c r="Y293" s="233"/>
      <c r="Z293" s="233"/>
      <c r="AA293" s="233"/>
      <c r="AB293" s="233"/>
      <c r="AC293" s="233"/>
      <c r="AD293" s="233">
        <v>0</v>
      </c>
      <c r="AE293" s="233">
        <v>0</v>
      </c>
      <c r="AF293" s="233">
        <v>0</v>
      </c>
      <c r="AG293" s="233">
        <v>0</v>
      </c>
      <c r="AH293" s="233">
        <v>0</v>
      </c>
      <c r="AI293" s="233">
        <v>0</v>
      </c>
      <c r="AJ293" s="233">
        <v>0</v>
      </c>
      <c r="AK293" s="226">
        <f>SUM(Y293:AJ293)</f>
        <v>0</v>
      </c>
      <c r="AL293" s="73" t="e">
        <f t="shared" si="63"/>
        <v>#DIV/0!</v>
      </c>
      <c r="AM293" s="158">
        <f t="shared" si="59"/>
        <v>0</v>
      </c>
      <c r="AN293" s="9"/>
    </row>
    <row r="294" spans="1:118" hidden="1" outlineLevel="2">
      <c r="A294" s="12" t="s">
        <v>222</v>
      </c>
      <c r="I294" s="211" t="s">
        <v>383</v>
      </c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26">
        <f t="shared" ref="V294:V311" si="64">SUM(J294:U294)</f>
        <v>0</v>
      </c>
      <c r="W294" s="73" t="e">
        <f t="shared" si="61"/>
        <v>#DIV/0!</v>
      </c>
      <c r="X294" s="89"/>
      <c r="Y294" s="233"/>
      <c r="Z294" s="233"/>
      <c r="AA294" s="233"/>
      <c r="AB294" s="233"/>
      <c r="AC294" s="233"/>
      <c r="AD294" s="233">
        <v>0</v>
      </c>
      <c r="AE294" s="233">
        <v>0</v>
      </c>
      <c r="AF294" s="233">
        <v>0</v>
      </c>
      <c r="AG294" s="233">
        <v>0</v>
      </c>
      <c r="AH294" s="233">
        <v>0</v>
      </c>
      <c r="AI294" s="233">
        <v>0</v>
      </c>
      <c r="AJ294" s="233">
        <v>0</v>
      </c>
      <c r="AK294" s="226">
        <f t="shared" ref="AK294:AK311" si="65">SUM(Y294:AJ294)</f>
        <v>0</v>
      </c>
      <c r="AL294" s="73" t="e">
        <f t="shared" si="63"/>
        <v>#DIV/0!</v>
      </c>
      <c r="AM294" s="158">
        <f t="shared" si="59"/>
        <v>0</v>
      </c>
      <c r="AN294" s="9"/>
    </row>
    <row r="295" spans="1:118" hidden="1" outlineLevel="2">
      <c r="A295" s="12" t="s">
        <v>222</v>
      </c>
      <c r="I295" s="211" t="s">
        <v>384</v>
      </c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26">
        <f t="shared" si="64"/>
        <v>0</v>
      </c>
      <c r="W295" s="73" t="e">
        <f t="shared" si="61"/>
        <v>#DIV/0!</v>
      </c>
      <c r="X295" s="89"/>
      <c r="Y295" s="233"/>
      <c r="Z295" s="233"/>
      <c r="AA295" s="233"/>
      <c r="AB295" s="233"/>
      <c r="AC295" s="233"/>
      <c r="AD295" s="233">
        <v>0</v>
      </c>
      <c r="AE295" s="233">
        <v>0</v>
      </c>
      <c r="AF295" s="233">
        <v>0</v>
      </c>
      <c r="AG295" s="233">
        <v>0</v>
      </c>
      <c r="AH295" s="233">
        <v>0</v>
      </c>
      <c r="AI295" s="233">
        <v>0</v>
      </c>
      <c r="AJ295" s="233">
        <v>0</v>
      </c>
      <c r="AK295" s="226">
        <f t="shared" si="65"/>
        <v>0</v>
      </c>
      <c r="AL295" s="73" t="e">
        <f t="shared" si="63"/>
        <v>#DIV/0!</v>
      </c>
      <c r="AM295" s="158">
        <f t="shared" si="59"/>
        <v>0</v>
      </c>
      <c r="AN295" s="9"/>
    </row>
    <row r="296" spans="1:118" hidden="1" outlineLevel="2">
      <c r="A296" s="12" t="s">
        <v>222</v>
      </c>
      <c r="I296" s="211" t="s">
        <v>385</v>
      </c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26">
        <f t="shared" si="64"/>
        <v>0</v>
      </c>
      <c r="W296" s="73" t="e">
        <f t="shared" si="61"/>
        <v>#DIV/0!</v>
      </c>
      <c r="X296" s="89"/>
      <c r="Y296" s="233"/>
      <c r="Z296" s="233"/>
      <c r="AA296" s="233"/>
      <c r="AB296" s="233"/>
      <c r="AC296" s="233"/>
      <c r="AD296" s="233">
        <v>0</v>
      </c>
      <c r="AE296" s="233">
        <v>0</v>
      </c>
      <c r="AF296" s="233">
        <v>0</v>
      </c>
      <c r="AG296" s="233">
        <v>0</v>
      </c>
      <c r="AH296" s="233">
        <v>0</v>
      </c>
      <c r="AI296" s="233">
        <v>0</v>
      </c>
      <c r="AJ296" s="233">
        <v>0</v>
      </c>
      <c r="AK296" s="226">
        <f t="shared" si="65"/>
        <v>0</v>
      </c>
      <c r="AL296" s="73" t="e">
        <f t="shared" si="63"/>
        <v>#DIV/0!</v>
      </c>
      <c r="AM296" s="158">
        <f t="shared" si="59"/>
        <v>0</v>
      </c>
      <c r="AN296" s="9"/>
    </row>
    <row r="297" spans="1:118" hidden="1" outlineLevel="2">
      <c r="A297" s="12" t="s">
        <v>222</v>
      </c>
      <c r="I297" s="211" t="s">
        <v>386</v>
      </c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26">
        <f t="shared" si="64"/>
        <v>0</v>
      </c>
      <c r="W297" s="73" t="e">
        <f t="shared" si="61"/>
        <v>#DIV/0!</v>
      </c>
      <c r="X297" s="89"/>
      <c r="Y297" s="233"/>
      <c r="Z297" s="233"/>
      <c r="AA297" s="233"/>
      <c r="AB297" s="233"/>
      <c r="AC297" s="233"/>
      <c r="AD297" s="233">
        <v>0</v>
      </c>
      <c r="AE297" s="233">
        <v>0</v>
      </c>
      <c r="AF297" s="233">
        <v>0</v>
      </c>
      <c r="AG297" s="233">
        <v>0</v>
      </c>
      <c r="AH297" s="233">
        <v>0</v>
      </c>
      <c r="AI297" s="233">
        <v>0</v>
      </c>
      <c r="AJ297" s="233">
        <v>0</v>
      </c>
      <c r="AK297" s="226">
        <f t="shared" si="65"/>
        <v>0</v>
      </c>
      <c r="AL297" s="73" t="e">
        <f t="shared" si="63"/>
        <v>#DIV/0!</v>
      </c>
      <c r="AM297" s="158">
        <f t="shared" si="59"/>
        <v>0</v>
      </c>
      <c r="AN297" s="9"/>
    </row>
    <row r="298" spans="1:118" hidden="1" outlineLevel="2">
      <c r="A298" s="12" t="s">
        <v>222</v>
      </c>
      <c r="I298" s="211" t="s">
        <v>387</v>
      </c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26">
        <f t="shared" si="64"/>
        <v>0</v>
      </c>
      <c r="W298" s="73" t="e">
        <f t="shared" si="61"/>
        <v>#DIV/0!</v>
      </c>
      <c r="X298" s="89"/>
      <c r="Y298" s="233"/>
      <c r="Z298" s="233"/>
      <c r="AA298" s="233"/>
      <c r="AB298" s="233"/>
      <c r="AC298" s="233"/>
      <c r="AD298" s="233">
        <v>0</v>
      </c>
      <c r="AE298" s="233">
        <v>0</v>
      </c>
      <c r="AF298" s="233">
        <v>0</v>
      </c>
      <c r="AG298" s="233">
        <v>0</v>
      </c>
      <c r="AH298" s="233">
        <v>0</v>
      </c>
      <c r="AI298" s="233">
        <v>0</v>
      </c>
      <c r="AJ298" s="233">
        <v>0</v>
      </c>
      <c r="AK298" s="226">
        <f t="shared" si="65"/>
        <v>0</v>
      </c>
      <c r="AL298" s="73" t="e">
        <f t="shared" si="63"/>
        <v>#DIV/0!</v>
      </c>
      <c r="AM298" s="158">
        <f t="shared" si="59"/>
        <v>0</v>
      </c>
      <c r="AN298" s="9"/>
    </row>
    <row r="299" spans="1:118" hidden="1" outlineLevel="2">
      <c r="A299" s="12" t="s">
        <v>222</v>
      </c>
      <c r="I299" s="211" t="s">
        <v>388</v>
      </c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26">
        <f t="shared" si="64"/>
        <v>0</v>
      </c>
      <c r="W299" s="73" t="e">
        <f t="shared" si="61"/>
        <v>#DIV/0!</v>
      </c>
      <c r="X299" s="89"/>
      <c r="Y299" s="233"/>
      <c r="Z299" s="233"/>
      <c r="AA299" s="233"/>
      <c r="AB299" s="233"/>
      <c r="AC299" s="233"/>
      <c r="AD299" s="233">
        <v>0</v>
      </c>
      <c r="AE299" s="233">
        <v>0</v>
      </c>
      <c r="AF299" s="233">
        <v>0</v>
      </c>
      <c r="AG299" s="233">
        <v>0</v>
      </c>
      <c r="AH299" s="233">
        <v>0</v>
      </c>
      <c r="AI299" s="233">
        <v>0</v>
      </c>
      <c r="AJ299" s="233">
        <v>0</v>
      </c>
      <c r="AK299" s="226">
        <f t="shared" si="65"/>
        <v>0</v>
      </c>
      <c r="AL299" s="73" t="e">
        <f t="shared" si="63"/>
        <v>#DIV/0!</v>
      </c>
      <c r="AM299" s="158">
        <f t="shared" si="59"/>
        <v>0</v>
      </c>
      <c r="AN299" s="9"/>
    </row>
    <row r="300" spans="1:118" hidden="1" outlineLevel="2">
      <c r="A300" s="12" t="s">
        <v>222</v>
      </c>
      <c r="I300" s="211" t="s">
        <v>389</v>
      </c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26">
        <f t="shared" si="64"/>
        <v>0</v>
      </c>
      <c r="W300" s="73" t="e">
        <f t="shared" si="61"/>
        <v>#DIV/0!</v>
      </c>
      <c r="X300" s="89"/>
      <c r="Y300" s="233"/>
      <c r="Z300" s="233"/>
      <c r="AA300" s="233"/>
      <c r="AB300" s="233"/>
      <c r="AC300" s="233"/>
      <c r="AD300" s="233">
        <v>0</v>
      </c>
      <c r="AE300" s="233">
        <v>0</v>
      </c>
      <c r="AF300" s="233">
        <v>0</v>
      </c>
      <c r="AG300" s="233">
        <v>0</v>
      </c>
      <c r="AH300" s="233">
        <v>0</v>
      </c>
      <c r="AI300" s="233">
        <v>0</v>
      </c>
      <c r="AJ300" s="233">
        <v>0</v>
      </c>
      <c r="AK300" s="226">
        <f t="shared" si="65"/>
        <v>0</v>
      </c>
      <c r="AL300" s="73" t="e">
        <f t="shared" si="63"/>
        <v>#DIV/0!</v>
      </c>
      <c r="AM300" s="158">
        <f t="shared" si="59"/>
        <v>0</v>
      </c>
      <c r="AN300" s="9"/>
    </row>
    <row r="301" spans="1:118" hidden="1" outlineLevel="2">
      <c r="A301" s="12" t="s">
        <v>222</v>
      </c>
      <c r="I301" s="211" t="s">
        <v>390</v>
      </c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26">
        <f t="shared" si="64"/>
        <v>0</v>
      </c>
      <c r="W301" s="73" t="e">
        <f t="shared" si="61"/>
        <v>#DIV/0!</v>
      </c>
      <c r="X301" s="89"/>
      <c r="Y301" s="233"/>
      <c r="Z301" s="233"/>
      <c r="AA301" s="233"/>
      <c r="AB301" s="233"/>
      <c r="AC301" s="233"/>
      <c r="AD301" s="233">
        <v>0</v>
      </c>
      <c r="AE301" s="233">
        <v>0</v>
      </c>
      <c r="AF301" s="233">
        <v>0</v>
      </c>
      <c r="AG301" s="233">
        <v>0</v>
      </c>
      <c r="AH301" s="233">
        <v>0</v>
      </c>
      <c r="AI301" s="233">
        <v>0</v>
      </c>
      <c r="AJ301" s="233">
        <v>0</v>
      </c>
      <c r="AK301" s="226">
        <f t="shared" si="65"/>
        <v>0</v>
      </c>
      <c r="AL301" s="73" t="e">
        <f t="shared" si="63"/>
        <v>#DIV/0!</v>
      </c>
      <c r="AM301" s="158">
        <f t="shared" si="59"/>
        <v>0</v>
      </c>
      <c r="AN301" s="9"/>
    </row>
    <row r="302" spans="1:118" hidden="1" outlineLevel="2">
      <c r="A302" s="12" t="s">
        <v>222</v>
      </c>
      <c r="I302" s="211" t="s">
        <v>391</v>
      </c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26">
        <f t="shared" si="64"/>
        <v>0</v>
      </c>
      <c r="W302" s="73" t="e">
        <f t="shared" si="61"/>
        <v>#DIV/0!</v>
      </c>
      <c r="X302" s="89"/>
      <c r="Y302" s="233"/>
      <c r="Z302" s="233"/>
      <c r="AA302" s="233"/>
      <c r="AB302" s="233"/>
      <c r="AC302" s="233"/>
      <c r="AD302" s="233">
        <v>0</v>
      </c>
      <c r="AE302" s="233">
        <v>0</v>
      </c>
      <c r="AF302" s="233">
        <v>0</v>
      </c>
      <c r="AG302" s="233">
        <v>0</v>
      </c>
      <c r="AH302" s="233">
        <v>0</v>
      </c>
      <c r="AI302" s="233">
        <v>0</v>
      </c>
      <c r="AJ302" s="233">
        <v>0</v>
      </c>
      <c r="AK302" s="226">
        <f t="shared" si="65"/>
        <v>0</v>
      </c>
      <c r="AL302" s="73" t="e">
        <f t="shared" si="63"/>
        <v>#DIV/0!</v>
      </c>
      <c r="AM302" s="158">
        <f t="shared" si="59"/>
        <v>0</v>
      </c>
      <c r="AN302" s="9"/>
    </row>
    <row r="303" spans="1:118" hidden="1" outlineLevel="2">
      <c r="A303" s="12" t="s">
        <v>222</v>
      </c>
      <c r="I303" s="211" t="s">
        <v>392</v>
      </c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26">
        <f t="shared" si="64"/>
        <v>0</v>
      </c>
      <c r="W303" s="73" t="e">
        <f t="shared" si="61"/>
        <v>#DIV/0!</v>
      </c>
      <c r="X303" s="89"/>
      <c r="Y303" s="233"/>
      <c r="Z303" s="233"/>
      <c r="AA303" s="233"/>
      <c r="AB303" s="233"/>
      <c r="AC303" s="233"/>
      <c r="AD303" s="233">
        <v>0</v>
      </c>
      <c r="AE303" s="233">
        <v>0</v>
      </c>
      <c r="AF303" s="233">
        <v>0</v>
      </c>
      <c r="AG303" s="233">
        <v>0</v>
      </c>
      <c r="AH303" s="233">
        <v>0</v>
      </c>
      <c r="AI303" s="233">
        <v>0</v>
      </c>
      <c r="AJ303" s="233">
        <v>0</v>
      </c>
      <c r="AK303" s="226">
        <f t="shared" si="65"/>
        <v>0</v>
      </c>
      <c r="AL303" s="73" t="e">
        <f t="shared" si="63"/>
        <v>#DIV/0!</v>
      </c>
      <c r="AM303" s="158">
        <f t="shared" si="59"/>
        <v>0</v>
      </c>
      <c r="AN303" s="9"/>
    </row>
    <row r="304" spans="1:118" hidden="1" outlineLevel="2">
      <c r="A304" s="12" t="s">
        <v>222</v>
      </c>
      <c r="I304" s="211" t="s">
        <v>393</v>
      </c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26">
        <f t="shared" si="64"/>
        <v>0</v>
      </c>
      <c r="W304" s="73" t="e">
        <f t="shared" si="61"/>
        <v>#DIV/0!</v>
      </c>
      <c r="X304" s="89"/>
      <c r="Y304" s="233"/>
      <c r="Z304" s="233"/>
      <c r="AA304" s="233"/>
      <c r="AB304" s="233"/>
      <c r="AC304" s="233"/>
      <c r="AD304" s="233">
        <v>0</v>
      </c>
      <c r="AE304" s="233">
        <v>0</v>
      </c>
      <c r="AF304" s="233">
        <v>0</v>
      </c>
      <c r="AG304" s="233">
        <v>0</v>
      </c>
      <c r="AH304" s="233">
        <v>0</v>
      </c>
      <c r="AI304" s="233">
        <v>0</v>
      </c>
      <c r="AJ304" s="233">
        <v>0</v>
      </c>
      <c r="AK304" s="226">
        <f t="shared" si="65"/>
        <v>0</v>
      </c>
      <c r="AL304" s="73" t="e">
        <f t="shared" si="63"/>
        <v>#DIV/0!</v>
      </c>
      <c r="AM304" s="158">
        <f t="shared" si="59"/>
        <v>0</v>
      </c>
      <c r="AN304" s="9"/>
    </row>
    <row r="305" spans="1:40" hidden="1" outlineLevel="2">
      <c r="A305" s="12" t="s">
        <v>222</v>
      </c>
      <c r="I305" s="211" t="s">
        <v>394</v>
      </c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26">
        <f t="shared" si="64"/>
        <v>0</v>
      </c>
      <c r="W305" s="73" t="e">
        <f t="shared" si="61"/>
        <v>#DIV/0!</v>
      </c>
      <c r="X305" s="89"/>
      <c r="Y305" s="233"/>
      <c r="Z305" s="233"/>
      <c r="AA305" s="233"/>
      <c r="AB305" s="233"/>
      <c r="AC305" s="233"/>
      <c r="AD305" s="233">
        <v>0</v>
      </c>
      <c r="AE305" s="233">
        <v>0</v>
      </c>
      <c r="AF305" s="233">
        <v>0</v>
      </c>
      <c r="AG305" s="233">
        <v>0</v>
      </c>
      <c r="AH305" s="233">
        <v>0</v>
      </c>
      <c r="AI305" s="233">
        <v>0</v>
      </c>
      <c r="AJ305" s="233">
        <v>0</v>
      </c>
      <c r="AK305" s="226">
        <f t="shared" si="65"/>
        <v>0</v>
      </c>
      <c r="AL305" s="73" t="e">
        <f t="shared" si="63"/>
        <v>#DIV/0!</v>
      </c>
      <c r="AM305" s="158">
        <f t="shared" si="59"/>
        <v>0</v>
      </c>
      <c r="AN305" s="9"/>
    </row>
    <row r="306" spans="1:40" hidden="1" outlineLevel="2">
      <c r="A306" s="12" t="s">
        <v>222</v>
      </c>
      <c r="I306" s="211" t="s">
        <v>395</v>
      </c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26">
        <f t="shared" si="64"/>
        <v>0</v>
      </c>
      <c r="W306" s="73" t="e">
        <f t="shared" si="61"/>
        <v>#DIV/0!</v>
      </c>
      <c r="X306" s="89"/>
      <c r="Y306" s="233"/>
      <c r="Z306" s="233"/>
      <c r="AA306" s="233"/>
      <c r="AB306" s="233"/>
      <c r="AC306" s="233"/>
      <c r="AD306" s="233">
        <v>0</v>
      </c>
      <c r="AE306" s="233">
        <v>0</v>
      </c>
      <c r="AF306" s="233">
        <v>0</v>
      </c>
      <c r="AG306" s="233">
        <v>0</v>
      </c>
      <c r="AH306" s="233">
        <v>0</v>
      </c>
      <c r="AI306" s="233">
        <v>0</v>
      </c>
      <c r="AJ306" s="233">
        <v>0</v>
      </c>
      <c r="AK306" s="226">
        <f t="shared" si="65"/>
        <v>0</v>
      </c>
      <c r="AL306" s="73" t="e">
        <f t="shared" si="63"/>
        <v>#DIV/0!</v>
      </c>
      <c r="AM306" s="158">
        <f t="shared" si="59"/>
        <v>0</v>
      </c>
      <c r="AN306" s="9"/>
    </row>
    <row r="307" spans="1:40" hidden="1" outlineLevel="2">
      <c r="A307" s="12" t="s">
        <v>222</v>
      </c>
      <c r="I307" s="211" t="s">
        <v>396</v>
      </c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26">
        <f t="shared" si="64"/>
        <v>0</v>
      </c>
      <c r="W307" s="73" t="e">
        <f t="shared" si="61"/>
        <v>#DIV/0!</v>
      </c>
      <c r="X307" s="89"/>
      <c r="Y307" s="233"/>
      <c r="Z307" s="233"/>
      <c r="AA307" s="233"/>
      <c r="AB307" s="233"/>
      <c r="AC307" s="233"/>
      <c r="AD307" s="233">
        <v>0</v>
      </c>
      <c r="AE307" s="233">
        <v>0</v>
      </c>
      <c r="AF307" s="233">
        <v>0</v>
      </c>
      <c r="AG307" s="233">
        <v>0</v>
      </c>
      <c r="AH307" s="233">
        <v>0</v>
      </c>
      <c r="AI307" s="233">
        <v>0</v>
      </c>
      <c r="AJ307" s="233">
        <v>0</v>
      </c>
      <c r="AK307" s="226">
        <f t="shared" si="65"/>
        <v>0</v>
      </c>
      <c r="AL307" s="73" t="e">
        <f t="shared" si="63"/>
        <v>#DIV/0!</v>
      </c>
      <c r="AM307" s="158">
        <f t="shared" si="59"/>
        <v>0</v>
      </c>
      <c r="AN307" s="9"/>
    </row>
    <row r="308" spans="1:40" hidden="1" outlineLevel="2">
      <c r="A308" s="12" t="s">
        <v>222</v>
      </c>
      <c r="D308" s="138"/>
      <c r="I308" s="211" t="s">
        <v>397</v>
      </c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26">
        <f t="shared" si="64"/>
        <v>0</v>
      </c>
      <c r="W308" s="73" t="e">
        <f t="shared" si="61"/>
        <v>#DIV/0!</v>
      </c>
      <c r="X308" s="89"/>
      <c r="Y308" s="233"/>
      <c r="Z308" s="233"/>
      <c r="AA308" s="233"/>
      <c r="AB308" s="233"/>
      <c r="AC308" s="233"/>
      <c r="AD308" s="233">
        <v>0</v>
      </c>
      <c r="AE308" s="233">
        <v>0</v>
      </c>
      <c r="AF308" s="233">
        <v>0</v>
      </c>
      <c r="AG308" s="233">
        <v>0</v>
      </c>
      <c r="AH308" s="233">
        <v>0</v>
      </c>
      <c r="AI308" s="233">
        <v>0</v>
      </c>
      <c r="AJ308" s="233">
        <v>0</v>
      </c>
      <c r="AK308" s="226">
        <f t="shared" si="65"/>
        <v>0</v>
      </c>
      <c r="AL308" s="73" t="e">
        <f t="shared" si="63"/>
        <v>#DIV/0!</v>
      </c>
      <c r="AM308" s="158">
        <f t="shared" si="59"/>
        <v>0</v>
      </c>
      <c r="AN308" s="9"/>
    </row>
    <row r="309" spans="1:40" hidden="1" outlineLevel="2">
      <c r="A309" s="12" t="s">
        <v>222</v>
      </c>
      <c r="D309" s="138"/>
      <c r="I309" s="211" t="s">
        <v>398</v>
      </c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26">
        <f t="shared" si="64"/>
        <v>0</v>
      </c>
      <c r="W309" s="73" t="e">
        <f t="shared" si="61"/>
        <v>#DIV/0!</v>
      </c>
      <c r="X309" s="89"/>
      <c r="Y309" s="233"/>
      <c r="Z309" s="233"/>
      <c r="AA309" s="233"/>
      <c r="AB309" s="233"/>
      <c r="AC309" s="233"/>
      <c r="AD309" s="233">
        <v>0</v>
      </c>
      <c r="AE309" s="233">
        <v>0</v>
      </c>
      <c r="AF309" s="233">
        <v>0</v>
      </c>
      <c r="AG309" s="233">
        <v>0</v>
      </c>
      <c r="AH309" s="233">
        <v>0</v>
      </c>
      <c r="AI309" s="233">
        <v>0</v>
      </c>
      <c r="AJ309" s="233">
        <v>0</v>
      </c>
      <c r="AK309" s="226">
        <f t="shared" si="65"/>
        <v>0</v>
      </c>
      <c r="AL309" s="73" t="e">
        <f t="shared" si="63"/>
        <v>#DIV/0!</v>
      </c>
      <c r="AM309" s="158">
        <f t="shared" si="59"/>
        <v>0</v>
      </c>
      <c r="AN309" s="9"/>
    </row>
    <row r="310" spans="1:40" hidden="1" outlineLevel="2">
      <c r="A310" s="12" t="s">
        <v>222</v>
      </c>
      <c r="D310" s="138"/>
      <c r="I310" s="211" t="s">
        <v>399</v>
      </c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26">
        <f t="shared" si="64"/>
        <v>0</v>
      </c>
      <c r="W310" s="73" t="e">
        <f t="shared" si="61"/>
        <v>#DIV/0!</v>
      </c>
      <c r="X310" s="89"/>
      <c r="Y310" s="233"/>
      <c r="Z310" s="233"/>
      <c r="AA310" s="233"/>
      <c r="AB310" s="233"/>
      <c r="AC310" s="233"/>
      <c r="AD310" s="233">
        <v>0</v>
      </c>
      <c r="AE310" s="233">
        <v>0</v>
      </c>
      <c r="AF310" s="233">
        <v>0</v>
      </c>
      <c r="AG310" s="233">
        <v>0</v>
      </c>
      <c r="AH310" s="233">
        <v>0</v>
      </c>
      <c r="AI310" s="233">
        <v>0</v>
      </c>
      <c r="AJ310" s="233">
        <v>0</v>
      </c>
      <c r="AK310" s="226">
        <f t="shared" si="65"/>
        <v>0</v>
      </c>
      <c r="AL310" s="73" t="e">
        <f t="shared" si="63"/>
        <v>#DIV/0!</v>
      </c>
      <c r="AM310" s="158">
        <f t="shared" si="59"/>
        <v>0</v>
      </c>
      <c r="AN310" s="9"/>
    </row>
    <row r="311" spans="1:40" hidden="1" outlineLevel="2">
      <c r="A311" s="12" t="s">
        <v>222</v>
      </c>
      <c r="D311" s="138"/>
      <c r="I311" s="211" t="s">
        <v>400</v>
      </c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26">
        <f t="shared" si="64"/>
        <v>0</v>
      </c>
      <c r="W311" s="73" t="e">
        <f t="shared" si="61"/>
        <v>#DIV/0!</v>
      </c>
      <c r="X311" s="89"/>
      <c r="Y311" s="233"/>
      <c r="Z311" s="233"/>
      <c r="AA311" s="233"/>
      <c r="AB311" s="233"/>
      <c r="AC311" s="233"/>
      <c r="AD311" s="233">
        <v>0</v>
      </c>
      <c r="AE311" s="233">
        <v>0</v>
      </c>
      <c r="AF311" s="233">
        <v>0</v>
      </c>
      <c r="AG311" s="233">
        <v>0</v>
      </c>
      <c r="AH311" s="233">
        <v>0</v>
      </c>
      <c r="AI311" s="233">
        <v>0</v>
      </c>
      <c r="AJ311" s="233">
        <v>0</v>
      </c>
      <c r="AK311" s="226">
        <f t="shared" si="65"/>
        <v>0</v>
      </c>
      <c r="AL311" s="73" t="e">
        <f t="shared" si="63"/>
        <v>#DIV/0!</v>
      </c>
      <c r="AM311" s="158">
        <f t="shared" si="59"/>
        <v>0</v>
      </c>
      <c r="AN311" s="9"/>
    </row>
    <row r="312" spans="1:40" hidden="1" outlineLevel="2">
      <c r="A312" s="12"/>
      <c r="D312" s="138"/>
      <c r="I312" s="211" t="s">
        <v>401</v>
      </c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26"/>
      <c r="W312" s="73"/>
      <c r="X312" s="89"/>
      <c r="Y312" s="233"/>
      <c r="Z312" s="233"/>
      <c r="AA312" s="233"/>
      <c r="AB312" s="233"/>
      <c r="AC312" s="233"/>
      <c r="AD312" s="233"/>
      <c r="AE312" s="233"/>
      <c r="AF312" s="233"/>
      <c r="AG312" s="233"/>
      <c r="AH312" s="233"/>
      <c r="AI312" s="233"/>
      <c r="AJ312" s="233"/>
      <c r="AK312" s="226"/>
      <c r="AL312" s="73"/>
      <c r="AM312" s="158"/>
      <c r="AN312" s="9"/>
    </row>
    <row r="313" spans="1:40" hidden="1" outlineLevel="2">
      <c r="A313" s="12"/>
      <c r="D313" s="138"/>
      <c r="I313" s="211" t="s">
        <v>402</v>
      </c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26"/>
      <c r="W313" s="73"/>
      <c r="X313" s="89"/>
      <c r="Y313" s="233"/>
      <c r="Z313" s="233"/>
      <c r="AA313" s="233"/>
      <c r="AB313" s="233"/>
      <c r="AC313" s="233"/>
      <c r="AD313" s="233"/>
      <c r="AE313" s="233"/>
      <c r="AF313" s="233"/>
      <c r="AG313" s="233"/>
      <c r="AH313" s="233"/>
      <c r="AI313" s="233"/>
      <c r="AJ313" s="233"/>
      <c r="AK313" s="226"/>
      <c r="AL313" s="73"/>
      <c r="AM313" s="158"/>
      <c r="AN313" s="9"/>
    </row>
    <row r="314" spans="1:40" hidden="1" outlineLevel="2">
      <c r="A314" s="12"/>
      <c r="D314" s="138"/>
      <c r="I314" s="211" t="s">
        <v>403</v>
      </c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26"/>
      <c r="W314" s="73"/>
      <c r="X314" s="89"/>
      <c r="Y314" s="233"/>
      <c r="Z314" s="233"/>
      <c r="AA314" s="233"/>
      <c r="AB314" s="233"/>
      <c r="AC314" s="233"/>
      <c r="AD314" s="233"/>
      <c r="AE314" s="233"/>
      <c r="AF314" s="233"/>
      <c r="AG314" s="233"/>
      <c r="AH314" s="233"/>
      <c r="AI314" s="233"/>
      <c r="AJ314" s="233"/>
      <c r="AK314" s="226"/>
      <c r="AL314" s="73"/>
      <c r="AM314" s="158"/>
      <c r="AN314" s="9"/>
    </row>
    <row r="315" spans="1:40" hidden="1" outlineLevel="2">
      <c r="A315" s="12"/>
      <c r="D315" s="138"/>
      <c r="I315" s="211" t="s">
        <v>404</v>
      </c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26"/>
      <c r="W315" s="73"/>
      <c r="X315" s="89"/>
      <c r="Y315" s="233"/>
      <c r="Z315" s="233"/>
      <c r="AA315" s="233"/>
      <c r="AB315" s="233"/>
      <c r="AC315" s="233"/>
      <c r="AD315" s="233"/>
      <c r="AE315" s="233"/>
      <c r="AF315" s="233"/>
      <c r="AG315" s="233"/>
      <c r="AH315" s="233"/>
      <c r="AI315" s="233"/>
      <c r="AJ315" s="233"/>
      <c r="AK315" s="226"/>
      <c r="AL315" s="73"/>
      <c r="AM315" s="158"/>
      <c r="AN315" s="9"/>
    </row>
    <row r="316" spans="1:40" hidden="1" outlineLevel="2">
      <c r="A316" s="12"/>
      <c r="D316" s="138"/>
      <c r="I316" s="211" t="s">
        <v>405</v>
      </c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26"/>
      <c r="W316" s="73"/>
      <c r="X316" s="89"/>
      <c r="Y316" s="233"/>
      <c r="Z316" s="233"/>
      <c r="AA316" s="233"/>
      <c r="AB316" s="233"/>
      <c r="AC316" s="233"/>
      <c r="AD316" s="233"/>
      <c r="AE316" s="233"/>
      <c r="AF316" s="233"/>
      <c r="AG316" s="233"/>
      <c r="AH316" s="233"/>
      <c r="AI316" s="233"/>
      <c r="AJ316" s="233"/>
      <c r="AK316" s="226"/>
      <c r="AL316" s="73"/>
      <c r="AM316" s="158"/>
      <c r="AN316" s="9"/>
    </row>
    <row r="317" spans="1:40" hidden="1" outlineLevel="2">
      <c r="A317" s="12"/>
      <c r="D317" s="138"/>
      <c r="I317" s="211" t="s">
        <v>406</v>
      </c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26"/>
      <c r="W317" s="73"/>
      <c r="X317" s="89"/>
      <c r="Y317" s="233"/>
      <c r="Z317" s="233"/>
      <c r="AA317" s="233"/>
      <c r="AB317" s="233"/>
      <c r="AC317" s="233"/>
      <c r="AD317" s="233"/>
      <c r="AE317" s="233"/>
      <c r="AF317" s="233"/>
      <c r="AG317" s="233"/>
      <c r="AH317" s="233"/>
      <c r="AI317" s="233"/>
      <c r="AJ317" s="233"/>
      <c r="AK317" s="226"/>
      <c r="AL317" s="73"/>
      <c r="AM317" s="158"/>
      <c r="AN317" s="9"/>
    </row>
    <row r="318" spans="1:40">
      <c r="A318" s="12"/>
      <c r="D318" s="138"/>
      <c r="I318"/>
      <c r="J318" s="243"/>
      <c r="K318" s="243"/>
      <c r="L318" s="243"/>
      <c r="M318" s="243"/>
      <c r="N318" s="243"/>
      <c r="O318" s="243"/>
      <c r="P318" s="243"/>
      <c r="Q318" s="243"/>
      <c r="R318" s="243"/>
      <c r="S318" s="243"/>
      <c r="T318" s="243"/>
      <c r="U318" s="243"/>
      <c r="V318" s="243"/>
      <c r="W318" s="79"/>
      <c r="X318" s="89"/>
      <c r="Y318" s="243"/>
      <c r="Z318" s="243"/>
      <c r="AA318" s="243"/>
      <c r="AB318" s="243"/>
      <c r="AC318" s="243"/>
      <c r="AD318" s="243"/>
      <c r="AE318" s="243"/>
      <c r="AF318" s="243"/>
      <c r="AG318" s="243"/>
      <c r="AH318" s="243"/>
      <c r="AI318" s="243"/>
      <c r="AJ318" s="243"/>
      <c r="AK318" s="243"/>
      <c r="AL318" s="79"/>
      <c r="AM318" s="159"/>
      <c r="AN318" s="9"/>
    </row>
    <row r="319" spans="1:40" collapsed="1">
      <c r="A319" s="12"/>
      <c r="D319" s="138"/>
      <c r="E319" s="7" t="s">
        <v>98</v>
      </c>
      <c r="I319" s="142" t="s">
        <v>341</v>
      </c>
      <c r="J319" s="243"/>
      <c r="K319" s="243"/>
      <c r="L319" s="243"/>
      <c r="M319" s="243"/>
      <c r="N319" s="243"/>
      <c r="O319" s="243"/>
      <c r="P319" s="243"/>
      <c r="Q319" s="243"/>
      <c r="R319" s="243"/>
      <c r="S319" s="243"/>
      <c r="T319" s="243"/>
      <c r="U319" s="243"/>
      <c r="V319" s="243">
        <f>SUM(V320:V349)</f>
        <v>0</v>
      </c>
      <c r="W319" s="79" t="e">
        <f t="shared" ref="W319:W328" si="66">V319/V$6</f>
        <v>#DIV/0!</v>
      </c>
      <c r="X319" s="89"/>
      <c r="Y319" s="243">
        <f t="shared" ref="Y319:AK319" si="67">SUM(Y320:Y349)</f>
        <v>0</v>
      </c>
      <c r="Z319" s="243">
        <f t="shared" si="67"/>
        <v>0</v>
      </c>
      <c r="AA319" s="243">
        <f t="shared" si="67"/>
        <v>0</v>
      </c>
      <c r="AB319" s="243">
        <f t="shared" si="67"/>
        <v>0</v>
      </c>
      <c r="AC319" s="243">
        <f t="shared" si="67"/>
        <v>0</v>
      </c>
      <c r="AD319" s="243">
        <f t="shared" si="67"/>
        <v>0</v>
      </c>
      <c r="AE319" s="243">
        <f t="shared" si="67"/>
        <v>0</v>
      </c>
      <c r="AF319" s="243">
        <f t="shared" si="67"/>
        <v>0</v>
      </c>
      <c r="AG319" s="243">
        <f t="shared" si="67"/>
        <v>0</v>
      </c>
      <c r="AH319" s="243">
        <f t="shared" si="67"/>
        <v>0</v>
      </c>
      <c r="AI319" s="243">
        <f t="shared" si="67"/>
        <v>0</v>
      </c>
      <c r="AJ319" s="243">
        <f t="shared" si="67"/>
        <v>0</v>
      </c>
      <c r="AK319" s="243">
        <f t="shared" si="67"/>
        <v>0</v>
      </c>
      <c r="AL319" s="79" t="e">
        <f t="shared" ref="AL319:AL328" si="68">AK319/AK$6</f>
        <v>#DIV/0!</v>
      </c>
      <c r="AM319" s="10">
        <f t="shared" si="59"/>
        <v>0</v>
      </c>
      <c r="AN319" s="9"/>
    </row>
    <row r="320" spans="1:40" hidden="1" outlineLevel="1">
      <c r="A320" s="12" t="s">
        <v>387</v>
      </c>
      <c r="I320" s="203" t="s">
        <v>407</v>
      </c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26">
        <f>SUM(J320:U320)</f>
        <v>0</v>
      </c>
      <c r="W320" s="73" t="e">
        <f t="shared" si="66"/>
        <v>#DIV/0!</v>
      </c>
      <c r="X320" s="89"/>
      <c r="Y320" s="233">
        <v>0</v>
      </c>
      <c r="Z320" s="233">
        <v>0</v>
      </c>
      <c r="AA320" s="233">
        <v>0</v>
      </c>
      <c r="AB320" s="233">
        <v>0</v>
      </c>
      <c r="AC320" s="233">
        <v>0</v>
      </c>
      <c r="AD320" s="233">
        <v>0</v>
      </c>
      <c r="AE320" s="233">
        <v>0</v>
      </c>
      <c r="AF320" s="233">
        <v>0</v>
      </c>
      <c r="AG320" s="233">
        <v>0</v>
      </c>
      <c r="AH320" s="233">
        <v>0</v>
      </c>
      <c r="AI320" s="233">
        <v>0</v>
      </c>
      <c r="AJ320" s="233">
        <v>0</v>
      </c>
      <c r="AK320" s="226">
        <f>SUM(Y320:AJ320)</f>
        <v>0</v>
      </c>
      <c r="AL320" s="73" t="e">
        <f t="shared" si="68"/>
        <v>#DIV/0!</v>
      </c>
      <c r="AM320" s="14">
        <f t="shared" si="59"/>
        <v>0</v>
      </c>
      <c r="AN320" s="9"/>
    </row>
    <row r="321" spans="1:40" hidden="1" outlineLevel="1">
      <c r="A321" s="12" t="s">
        <v>408</v>
      </c>
      <c r="I321" s="203" t="s">
        <v>409</v>
      </c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26">
        <f t="shared" ref="V321:V328" si="69">SUM(J321:U321)</f>
        <v>0</v>
      </c>
      <c r="W321" s="73" t="e">
        <f t="shared" si="66"/>
        <v>#DIV/0!</v>
      </c>
      <c r="X321" s="89"/>
      <c r="Y321" s="233">
        <v>0</v>
      </c>
      <c r="Z321" s="233">
        <v>0</v>
      </c>
      <c r="AA321" s="233">
        <v>0</v>
      </c>
      <c r="AB321" s="233">
        <v>0</v>
      </c>
      <c r="AC321" s="233">
        <v>0</v>
      </c>
      <c r="AD321" s="233">
        <v>0</v>
      </c>
      <c r="AE321" s="233">
        <v>0</v>
      </c>
      <c r="AF321" s="233">
        <v>0</v>
      </c>
      <c r="AG321" s="233">
        <v>0</v>
      </c>
      <c r="AH321" s="233">
        <v>0</v>
      </c>
      <c r="AI321" s="233">
        <v>0</v>
      </c>
      <c r="AJ321" s="233">
        <v>0</v>
      </c>
      <c r="AK321" s="226">
        <f t="shared" ref="AK321:AK328" si="70">SUM(Y321:AJ321)</f>
        <v>0</v>
      </c>
      <c r="AL321" s="73" t="e">
        <f t="shared" si="68"/>
        <v>#DIV/0!</v>
      </c>
      <c r="AM321" s="14">
        <f t="shared" si="59"/>
        <v>0</v>
      </c>
      <c r="AN321" s="9"/>
    </row>
    <row r="322" spans="1:40" hidden="1" outlineLevel="1">
      <c r="A322" s="12" t="s">
        <v>410</v>
      </c>
      <c r="I322" s="203" t="s">
        <v>411</v>
      </c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26">
        <f t="shared" si="69"/>
        <v>0</v>
      </c>
      <c r="W322" s="73" t="e">
        <f t="shared" si="66"/>
        <v>#DIV/0!</v>
      </c>
      <c r="X322" s="89"/>
      <c r="Y322" s="233">
        <v>0</v>
      </c>
      <c r="Z322" s="233">
        <v>0</v>
      </c>
      <c r="AA322" s="233">
        <v>0</v>
      </c>
      <c r="AB322" s="233">
        <v>0</v>
      </c>
      <c r="AC322" s="233">
        <v>0</v>
      </c>
      <c r="AD322" s="233">
        <v>0</v>
      </c>
      <c r="AE322" s="233">
        <v>0</v>
      </c>
      <c r="AF322" s="233">
        <v>0</v>
      </c>
      <c r="AG322" s="233">
        <v>0</v>
      </c>
      <c r="AH322" s="233">
        <v>0</v>
      </c>
      <c r="AI322" s="233">
        <v>0</v>
      </c>
      <c r="AJ322" s="233">
        <v>0</v>
      </c>
      <c r="AK322" s="226">
        <f t="shared" si="70"/>
        <v>0</v>
      </c>
      <c r="AL322" s="73" t="e">
        <f t="shared" si="68"/>
        <v>#DIV/0!</v>
      </c>
      <c r="AM322" s="14">
        <f t="shared" si="59"/>
        <v>0</v>
      </c>
      <c r="AN322" s="9"/>
    </row>
    <row r="323" spans="1:40" hidden="1" outlineLevel="1">
      <c r="A323" s="12" t="s">
        <v>412</v>
      </c>
      <c r="I323" s="203" t="s">
        <v>413</v>
      </c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26">
        <f t="shared" si="69"/>
        <v>0</v>
      </c>
      <c r="W323" s="73" t="e">
        <f t="shared" si="66"/>
        <v>#DIV/0!</v>
      </c>
      <c r="X323" s="89"/>
      <c r="Y323" s="233">
        <v>0</v>
      </c>
      <c r="Z323" s="233">
        <v>0</v>
      </c>
      <c r="AA323" s="233">
        <v>0</v>
      </c>
      <c r="AB323" s="233">
        <v>0</v>
      </c>
      <c r="AC323" s="233">
        <v>0</v>
      </c>
      <c r="AD323" s="233">
        <v>0</v>
      </c>
      <c r="AE323" s="233">
        <v>0</v>
      </c>
      <c r="AF323" s="233">
        <v>0</v>
      </c>
      <c r="AG323" s="233">
        <v>0</v>
      </c>
      <c r="AH323" s="233">
        <v>0</v>
      </c>
      <c r="AI323" s="233">
        <v>0</v>
      </c>
      <c r="AJ323" s="233">
        <v>0</v>
      </c>
      <c r="AK323" s="226">
        <f t="shared" si="70"/>
        <v>0</v>
      </c>
      <c r="AL323" s="73" t="e">
        <f t="shared" si="68"/>
        <v>#DIV/0!</v>
      </c>
      <c r="AM323" s="14">
        <f t="shared" si="59"/>
        <v>0</v>
      </c>
      <c r="AN323" s="9"/>
    </row>
    <row r="324" spans="1:40" hidden="1" outlineLevel="1">
      <c r="A324" s="12" t="s">
        <v>414</v>
      </c>
      <c r="I324" s="203" t="s">
        <v>415</v>
      </c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26">
        <f t="shared" si="69"/>
        <v>0</v>
      </c>
      <c r="W324" s="73" t="e">
        <f t="shared" si="66"/>
        <v>#DIV/0!</v>
      </c>
      <c r="X324" s="89"/>
      <c r="Y324" s="233">
        <v>0</v>
      </c>
      <c r="Z324" s="233">
        <v>0</v>
      </c>
      <c r="AA324" s="233">
        <v>0</v>
      </c>
      <c r="AB324" s="233">
        <v>0</v>
      </c>
      <c r="AC324" s="233">
        <v>0</v>
      </c>
      <c r="AD324" s="233">
        <v>0</v>
      </c>
      <c r="AE324" s="233">
        <v>0</v>
      </c>
      <c r="AF324" s="233">
        <v>0</v>
      </c>
      <c r="AG324" s="233">
        <v>0</v>
      </c>
      <c r="AH324" s="233">
        <v>0</v>
      </c>
      <c r="AI324" s="233">
        <v>0</v>
      </c>
      <c r="AJ324" s="233">
        <v>0</v>
      </c>
      <c r="AK324" s="226">
        <f t="shared" si="70"/>
        <v>0</v>
      </c>
      <c r="AL324" s="73" t="e">
        <f t="shared" si="68"/>
        <v>#DIV/0!</v>
      </c>
      <c r="AM324" s="14">
        <f t="shared" si="59"/>
        <v>0</v>
      </c>
      <c r="AN324" s="9"/>
    </row>
    <row r="325" spans="1:40" hidden="1" outlineLevel="1">
      <c r="A325" s="12" t="s">
        <v>416</v>
      </c>
      <c r="I325" s="203" t="s">
        <v>417</v>
      </c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26">
        <f t="shared" si="69"/>
        <v>0</v>
      </c>
      <c r="W325" s="73" t="e">
        <f t="shared" si="66"/>
        <v>#DIV/0!</v>
      </c>
      <c r="X325" s="89"/>
      <c r="Y325" s="233">
        <v>0</v>
      </c>
      <c r="Z325" s="233">
        <v>0</v>
      </c>
      <c r="AA325" s="233">
        <v>0</v>
      </c>
      <c r="AB325" s="233">
        <v>0</v>
      </c>
      <c r="AC325" s="233">
        <v>0</v>
      </c>
      <c r="AD325" s="233">
        <v>0</v>
      </c>
      <c r="AE325" s="233">
        <v>0</v>
      </c>
      <c r="AF325" s="233">
        <v>0</v>
      </c>
      <c r="AG325" s="233">
        <v>0</v>
      </c>
      <c r="AH325" s="233">
        <v>0</v>
      </c>
      <c r="AI325" s="233">
        <v>0</v>
      </c>
      <c r="AJ325" s="233">
        <v>0</v>
      </c>
      <c r="AK325" s="226">
        <f t="shared" si="70"/>
        <v>0</v>
      </c>
      <c r="AL325" s="73" t="e">
        <f t="shared" si="68"/>
        <v>#DIV/0!</v>
      </c>
      <c r="AM325" s="14">
        <f t="shared" si="59"/>
        <v>0</v>
      </c>
      <c r="AN325" s="9"/>
    </row>
    <row r="326" spans="1:40" hidden="1" outlineLevel="1">
      <c r="A326" s="12"/>
      <c r="I326" s="203" t="s">
        <v>408</v>
      </c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26">
        <f t="shared" si="69"/>
        <v>0</v>
      </c>
      <c r="W326" s="73" t="e">
        <f t="shared" si="66"/>
        <v>#DIV/0!</v>
      </c>
      <c r="X326" s="89"/>
      <c r="Y326" s="233">
        <v>0</v>
      </c>
      <c r="Z326" s="233">
        <v>0</v>
      </c>
      <c r="AA326" s="233">
        <v>0</v>
      </c>
      <c r="AB326" s="233">
        <v>0</v>
      </c>
      <c r="AC326" s="233">
        <v>0</v>
      </c>
      <c r="AD326" s="233">
        <v>0</v>
      </c>
      <c r="AE326" s="233">
        <v>0</v>
      </c>
      <c r="AF326" s="233">
        <v>0</v>
      </c>
      <c r="AG326" s="233">
        <v>0</v>
      </c>
      <c r="AH326" s="233">
        <v>0</v>
      </c>
      <c r="AI326" s="233">
        <v>0</v>
      </c>
      <c r="AJ326" s="233">
        <v>0</v>
      </c>
      <c r="AK326" s="226">
        <f t="shared" si="70"/>
        <v>0</v>
      </c>
      <c r="AL326" s="73" t="e">
        <f t="shared" si="68"/>
        <v>#DIV/0!</v>
      </c>
      <c r="AM326" s="14">
        <f t="shared" si="59"/>
        <v>0</v>
      </c>
      <c r="AN326" s="9"/>
    </row>
    <row r="327" spans="1:40" hidden="1" outlineLevel="1">
      <c r="A327" s="12"/>
      <c r="I327" s="203" t="s">
        <v>418</v>
      </c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26">
        <f t="shared" si="69"/>
        <v>0</v>
      </c>
      <c r="W327" s="73" t="e">
        <f t="shared" si="66"/>
        <v>#DIV/0!</v>
      </c>
      <c r="X327" s="89"/>
      <c r="Y327" s="233">
        <v>0</v>
      </c>
      <c r="Z327" s="233">
        <v>0</v>
      </c>
      <c r="AA327" s="233">
        <v>0</v>
      </c>
      <c r="AB327" s="233">
        <v>0</v>
      </c>
      <c r="AC327" s="233">
        <v>0</v>
      </c>
      <c r="AD327" s="233">
        <v>0</v>
      </c>
      <c r="AE327" s="233">
        <v>0</v>
      </c>
      <c r="AF327" s="233">
        <v>0</v>
      </c>
      <c r="AG327" s="233">
        <v>0</v>
      </c>
      <c r="AH327" s="233">
        <v>0</v>
      </c>
      <c r="AI327" s="233">
        <v>0</v>
      </c>
      <c r="AJ327" s="233">
        <v>0</v>
      </c>
      <c r="AK327" s="226">
        <f t="shared" si="70"/>
        <v>0</v>
      </c>
      <c r="AL327" s="73" t="e">
        <f t="shared" si="68"/>
        <v>#DIV/0!</v>
      </c>
      <c r="AM327" s="14">
        <f t="shared" si="59"/>
        <v>0</v>
      </c>
      <c r="AN327" s="9"/>
    </row>
    <row r="328" spans="1:40" hidden="1" outlineLevel="1">
      <c r="A328" s="12" t="s">
        <v>419</v>
      </c>
      <c r="I328" s="203" t="s">
        <v>420</v>
      </c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26">
        <f t="shared" si="69"/>
        <v>0</v>
      </c>
      <c r="W328" s="73" t="e">
        <f t="shared" si="66"/>
        <v>#DIV/0!</v>
      </c>
      <c r="X328" s="89"/>
      <c r="Y328" s="233">
        <v>0</v>
      </c>
      <c r="Z328" s="233">
        <v>0</v>
      </c>
      <c r="AA328" s="233">
        <v>0</v>
      </c>
      <c r="AB328" s="233">
        <v>0</v>
      </c>
      <c r="AC328" s="233">
        <v>0</v>
      </c>
      <c r="AD328" s="233">
        <v>0</v>
      </c>
      <c r="AE328" s="233">
        <v>0</v>
      </c>
      <c r="AF328" s="233">
        <v>0</v>
      </c>
      <c r="AG328" s="233">
        <v>0</v>
      </c>
      <c r="AH328" s="233">
        <v>0</v>
      </c>
      <c r="AI328" s="233">
        <v>0</v>
      </c>
      <c r="AJ328" s="233">
        <v>0</v>
      </c>
      <c r="AK328" s="226">
        <f t="shared" si="70"/>
        <v>0</v>
      </c>
      <c r="AL328" s="73" t="e">
        <f t="shared" si="68"/>
        <v>#DIV/0!</v>
      </c>
      <c r="AM328" s="14">
        <f t="shared" si="59"/>
        <v>0</v>
      </c>
      <c r="AN328" s="9"/>
    </row>
    <row r="329" spans="1:40" hidden="1" outlineLevel="1">
      <c r="A329" s="12"/>
      <c r="I329" s="203" t="s">
        <v>421</v>
      </c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26"/>
      <c r="W329" s="73"/>
      <c r="X329" s="89"/>
      <c r="Y329" s="233"/>
      <c r="Z329" s="233"/>
      <c r="AA329" s="233"/>
      <c r="AB329" s="233"/>
      <c r="AC329" s="233"/>
      <c r="AD329" s="233"/>
      <c r="AE329" s="233"/>
      <c r="AF329" s="233"/>
      <c r="AG329" s="233"/>
      <c r="AH329" s="233"/>
      <c r="AI329" s="233"/>
      <c r="AJ329" s="233"/>
      <c r="AK329" s="226"/>
      <c r="AL329" s="73"/>
      <c r="AM329" s="14"/>
      <c r="AN329" s="9"/>
    </row>
    <row r="330" spans="1:40" hidden="1" outlineLevel="1">
      <c r="A330" s="12"/>
      <c r="I330" s="203" t="s">
        <v>422</v>
      </c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26"/>
      <c r="W330" s="73"/>
      <c r="X330" s="89"/>
      <c r="Y330" s="233"/>
      <c r="Z330" s="233"/>
      <c r="AA330" s="233"/>
      <c r="AB330" s="233"/>
      <c r="AC330" s="233"/>
      <c r="AD330" s="233"/>
      <c r="AE330" s="233"/>
      <c r="AF330" s="233"/>
      <c r="AG330" s="233"/>
      <c r="AH330" s="233"/>
      <c r="AI330" s="233"/>
      <c r="AJ330" s="233"/>
      <c r="AK330" s="226"/>
      <c r="AL330" s="73"/>
      <c r="AM330" s="14"/>
      <c r="AN330" s="9"/>
    </row>
    <row r="331" spans="1:40" hidden="1" outlineLevel="1">
      <c r="A331" s="12"/>
      <c r="I331" s="203" t="s">
        <v>423</v>
      </c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26"/>
      <c r="W331" s="73"/>
      <c r="X331" s="89"/>
      <c r="Y331" s="233"/>
      <c r="Z331" s="233"/>
      <c r="AA331" s="233"/>
      <c r="AB331" s="233"/>
      <c r="AC331" s="233"/>
      <c r="AD331" s="233"/>
      <c r="AE331" s="233"/>
      <c r="AF331" s="233"/>
      <c r="AG331" s="233"/>
      <c r="AH331" s="233"/>
      <c r="AI331" s="233"/>
      <c r="AJ331" s="233"/>
      <c r="AK331" s="226"/>
      <c r="AL331" s="73"/>
      <c r="AM331" s="14"/>
      <c r="AN331" s="9"/>
    </row>
    <row r="332" spans="1:40" hidden="1" outlineLevel="1">
      <c r="A332" s="12"/>
      <c r="I332" s="203" t="s">
        <v>424</v>
      </c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26"/>
      <c r="W332" s="73"/>
      <c r="X332" s="89"/>
      <c r="Y332" s="233"/>
      <c r="Z332" s="233"/>
      <c r="AA332" s="233"/>
      <c r="AB332" s="233"/>
      <c r="AC332" s="233"/>
      <c r="AD332" s="233"/>
      <c r="AE332" s="233"/>
      <c r="AF332" s="233"/>
      <c r="AG332" s="233"/>
      <c r="AH332" s="233"/>
      <c r="AI332" s="233"/>
      <c r="AJ332" s="233"/>
      <c r="AK332" s="226"/>
      <c r="AL332" s="73"/>
      <c r="AM332" s="14"/>
      <c r="AN332" s="9"/>
    </row>
    <row r="333" spans="1:40" hidden="1" outlineLevel="1">
      <c r="A333" s="12"/>
      <c r="I333" s="203" t="s">
        <v>425</v>
      </c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26"/>
      <c r="W333" s="73"/>
      <c r="X333" s="89"/>
      <c r="Y333" s="233"/>
      <c r="Z333" s="233"/>
      <c r="AA333" s="233"/>
      <c r="AB333" s="233"/>
      <c r="AC333" s="233"/>
      <c r="AD333" s="233"/>
      <c r="AE333" s="233"/>
      <c r="AF333" s="233"/>
      <c r="AG333" s="233"/>
      <c r="AH333" s="233"/>
      <c r="AI333" s="233"/>
      <c r="AJ333" s="233"/>
      <c r="AK333" s="226"/>
      <c r="AL333" s="73"/>
      <c r="AM333" s="14"/>
      <c r="AN333" s="9"/>
    </row>
    <row r="334" spans="1:40" hidden="1" outlineLevel="1">
      <c r="A334" s="12"/>
      <c r="I334" s="203" t="s">
        <v>426</v>
      </c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26"/>
      <c r="W334" s="73"/>
      <c r="X334" s="89"/>
      <c r="Y334" s="233"/>
      <c r="Z334" s="233"/>
      <c r="AA334" s="233"/>
      <c r="AB334" s="233"/>
      <c r="AC334" s="233"/>
      <c r="AD334" s="233"/>
      <c r="AE334" s="233"/>
      <c r="AF334" s="233"/>
      <c r="AG334" s="233"/>
      <c r="AH334" s="233"/>
      <c r="AI334" s="233"/>
      <c r="AJ334" s="233"/>
      <c r="AK334" s="226"/>
      <c r="AL334" s="73"/>
      <c r="AM334" s="14"/>
      <c r="AN334" s="9"/>
    </row>
    <row r="335" spans="1:40" hidden="1" outlineLevel="1">
      <c r="A335" s="12"/>
      <c r="I335" s="203" t="s">
        <v>427</v>
      </c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26"/>
      <c r="W335" s="73"/>
      <c r="X335" s="89"/>
      <c r="Y335" s="233"/>
      <c r="Z335" s="233"/>
      <c r="AA335" s="233"/>
      <c r="AB335" s="233"/>
      <c r="AC335" s="233"/>
      <c r="AD335" s="233"/>
      <c r="AE335" s="233"/>
      <c r="AF335" s="233"/>
      <c r="AG335" s="233"/>
      <c r="AH335" s="233"/>
      <c r="AI335" s="233"/>
      <c r="AJ335" s="233"/>
      <c r="AK335" s="226"/>
      <c r="AL335" s="73"/>
      <c r="AM335" s="14"/>
      <c r="AN335" s="9"/>
    </row>
    <row r="336" spans="1:40" hidden="1" outlineLevel="1">
      <c r="A336" s="12"/>
      <c r="I336" s="203" t="s">
        <v>428</v>
      </c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26"/>
      <c r="W336" s="73"/>
      <c r="X336" s="89"/>
      <c r="Y336" s="233"/>
      <c r="Z336" s="233"/>
      <c r="AA336" s="233"/>
      <c r="AB336" s="233"/>
      <c r="AC336" s="233"/>
      <c r="AD336" s="233"/>
      <c r="AE336" s="233"/>
      <c r="AF336" s="233"/>
      <c r="AG336" s="233"/>
      <c r="AH336" s="233"/>
      <c r="AI336" s="233"/>
      <c r="AJ336" s="233"/>
      <c r="AK336" s="226"/>
      <c r="AL336" s="73"/>
      <c r="AM336" s="14"/>
      <c r="AN336" s="9"/>
    </row>
    <row r="337" spans="1:40" hidden="1" outlineLevel="1">
      <c r="A337" s="12"/>
      <c r="I337" s="203" t="s">
        <v>429</v>
      </c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26"/>
      <c r="W337" s="73"/>
      <c r="X337" s="89"/>
      <c r="Y337" s="233"/>
      <c r="Z337" s="233"/>
      <c r="AA337" s="233"/>
      <c r="AB337" s="233"/>
      <c r="AC337" s="233"/>
      <c r="AD337" s="233"/>
      <c r="AE337" s="233"/>
      <c r="AF337" s="233"/>
      <c r="AG337" s="233"/>
      <c r="AH337" s="233"/>
      <c r="AI337" s="233"/>
      <c r="AJ337" s="233"/>
      <c r="AK337" s="226"/>
      <c r="AL337" s="73"/>
      <c r="AM337" s="14"/>
      <c r="AN337" s="9"/>
    </row>
    <row r="338" spans="1:40" hidden="1" outlineLevel="1">
      <c r="A338" s="12"/>
      <c r="I338" s="203" t="s">
        <v>430</v>
      </c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26"/>
      <c r="W338" s="73"/>
      <c r="X338" s="89"/>
      <c r="Y338" s="233"/>
      <c r="Z338" s="233"/>
      <c r="AA338" s="233"/>
      <c r="AB338" s="233"/>
      <c r="AC338" s="233"/>
      <c r="AD338" s="233"/>
      <c r="AE338" s="233"/>
      <c r="AF338" s="233"/>
      <c r="AG338" s="233"/>
      <c r="AH338" s="233"/>
      <c r="AI338" s="233"/>
      <c r="AJ338" s="233"/>
      <c r="AK338" s="226"/>
      <c r="AL338" s="73"/>
      <c r="AM338" s="14"/>
      <c r="AN338" s="9"/>
    </row>
    <row r="339" spans="1:40" hidden="1" outlineLevel="1">
      <c r="A339" s="12"/>
      <c r="I339" s="203" t="s">
        <v>431</v>
      </c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26"/>
      <c r="W339" s="73"/>
      <c r="X339" s="89"/>
      <c r="Y339" s="233"/>
      <c r="Z339" s="233"/>
      <c r="AA339" s="233"/>
      <c r="AB339" s="233"/>
      <c r="AC339" s="233"/>
      <c r="AD339" s="233"/>
      <c r="AE339" s="233"/>
      <c r="AF339" s="233"/>
      <c r="AG339" s="233"/>
      <c r="AH339" s="233"/>
      <c r="AI339" s="233"/>
      <c r="AJ339" s="233"/>
      <c r="AK339" s="226"/>
      <c r="AL339" s="73"/>
      <c r="AM339" s="14"/>
      <c r="AN339" s="9"/>
    </row>
    <row r="340" spans="1:40" hidden="1" outlineLevel="1">
      <c r="A340" s="12"/>
      <c r="I340" s="203" t="s">
        <v>432</v>
      </c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26"/>
      <c r="W340" s="73"/>
      <c r="X340" s="89"/>
      <c r="Y340" s="233"/>
      <c r="Z340" s="233"/>
      <c r="AA340" s="233"/>
      <c r="AB340" s="233"/>
      <c r="AC340" s="233"/>
      <c r="AD340" s="233"/>
      <c r="AE340" s="233"/>
      <c r="AF340" s="233"/>
      <c r="AG340" s="233"/>
      <c r="AH340" s="233"/>
      <c r="AI340" s="233"/>
      <c r="AJ340" s="233"/>
      <c r="AK340" s="226"/>
      <c r="AL340" s="73"/>
      <c r="AM340" s="14"/>
      <c r="AN340" s="9"/>
    </row>
    <row r="341" spans="1:40" hidden="1" outlineLevel="1">
      <c r="A341" s="12"/>
      <c r="I341" s="203" t="s">
        <v>433</v>
      </c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26"/>
      <c r="W341" s="73"/>
      <c r="X341" s="89"/>
      <c r="Y341" s="233"/>
      <c r="Z341" s="233"/>
      <c r="AA341" s="233"/>
      <c r="AB341" s="233"/>
      <c r="AC341" s="233"/>
      <c r="AD341" s="233"/>
      <c r="AE341" s="233"/>
      <c r="AF341" s="233"/>
      <c r="AG341" s="233"/>
      <c r="AH341" s="233"/>
      <c r="AI341" s="233"/>
      <c r="AJ341" s="233"/>
      <c r="AK341" s="226"/>
      <c r="AL341" s="73"/>
      <c r="AM341" s="14"/>
      <c r="AN341" s="9"/>
    </row>
    <row r="342" spans="1:40" hidden="1" outlineLevel="1">
      <c r="A342" s="12"/>
      <c r="I342" s="203" t="s">
        <v>434</v>
      </c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26"/>
      <c r="W342" s="73"/>
      <c r="X342" s="89"/>
      <c r="Y342" s="233"/>
      <c r="Z342" s="233"/>
      <c r="AA342" s="233"/>
      <c r="AB342" s="233"/>
      <c r="AC342" s="233"/>
      <c r="AD342" s="233"/>
      <c r="AE342" s="233"/>
      <c r="AF342" s="233"/>
      <c r="AG342" s="233"/>
      <c r="AH342" s="233"/>
      <c r="AI342" s="233"/>
      <c r="AJ342" s="233"/>
      <c r="AK342" s="226"/>
      <c r="AL342" s="73"/>
      <c r="AM342" s="14"/>
      <c r="AN342" s="9"/>
    </row>
    <row r="343" spans="1:40" hidden="1" outlineLevel="1">
      <c r="A343" s="12"/>
      <c r="I343" s="203" t="s">
        <v>435</v>
      </c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26"/>
      <c r="W343" s="73"/>
      <c r="X343" s="89"/>
      <c r="Y343" s="233"/>
      <c r="Z343" s="233"/>
      <c r="AA343" s="233"/>
      <c r="AB343" s="233"/>
      <c r="AC343" s="233"/>
      <c r="AD343" s="233"/>
      <c r="AE343" s="233"/>
      <c r="AF343" s="233"/>
      <c r="AG343" s="233"/>
      <c r="AH343" s="233"/>
      <c r="AI343" s="233"/>
      <c r="AJ343" s="233"/>
      <c r="AK343" s="226"/>
      <c r="AL343" s="73"/>
      <c r="AM343" s="14"/>
      <c r="AN343" s="9"/>
    </row>
    <row r="344" spans="1:40" hidden="1" outlineLevel="1">
      <c r="A344" s="12"/>
      <c r="I344" s="203" t="s">
        <v>436</v>
      </c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26"/>
      <c r="W344" s="73"/>
      <c r="X344" s="89"/>
      <c r="Y344" s="233"/>
      <c r="Z344" s="233"/>
      <c r="AA344" s="233"/>
      <c r="AB344" s="233"/>
      <c r="AC344" s="233"/>
      <c r="AD344" s="233"/>
      <c r="AE344" s="233"/>
      <c r="AF344" s="233"/>
      <c r="AG344" s="233"/>
      <c r="AH344" s="233"/>
      <c r="AI344" s="233"/>
      <c r="AJ344" s="233"/>
      <c r="AK344" s="226"/>
      <c r="AL344" s="73"/>
      <c r="AM344" s="14"/>
      <c r="AN344" s="9"/>
    </row>
    <row r="345" spans="1:40" hidden="1" outlineLevel="1">
      <c r="A345" s="12"/>
      <c r="I345" s="203" t="s">
        <v>437</v>
      </c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26"/>
      <c r="W345" s="73"/>
      <c r="X345" s="89"/>
      <c r="Y345" s="233"/>
      <c r="Z345" s="233"/>
      <c r="AA345" s="233"/>
      <c r="AB345" s="233"/>
      <c r="AC345" s="233"/>
      <c r="AD345" s="233"/>
      <c r="AE345" s="233"/>
      <c r="AF345" s="233"/>
      <c r="AG345" s="233"/>
      <c r="AH345" s="233"/>
      <c r="AI345" s="233"/>
      <c r="AJ345" s="233"/>
      <c r="AK345" s="226"/>
      <c r="AL345" s="73"/>
      <c r="AM345" s="14"/>
      <c r="AN345" s="9"/>
    </row>
    <row r="346" spans="1:40" hidden="1" outlineLevel="1">
      <c r="A346" s="12"/>
      <c r="I346" s="203" t="s">
        <v>438</v>
      </c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26"/>
      <c r="W346" s="73"/>
      <c r="X346" s="89"/>
      <c r="Y346" s="233"/>
      <c r="Z346" s="233"/>
      <c r="AA346" s="233"/>
      <c r="AB346" s="233"/>
      <c r="AC346" s="233"/>
      <c r="AD346" s="233"/>
      <c r="AE346" s="233"/>
      <c r="AF346" s="233"/>
      <c r="AG346" s="233"/>
      <c r="AH346" s="233"/>
      <c r="AI346" s="233"/>
      <c r="AJ346" s="233"/>
      <c r="AK346" s="226"/>
      <c r="AL346" s="73"/>
      <c r="AM346" s="14"/>
      <c r="AN346" s="9"/>
    </row>
    <row r="347" spans="1:40" hidden="1" outlineLevel="1">
      <c r="A347" s="12"/>
      <c r="I347" s="203" t="s">
        <v>439</v>
      </c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26"/>
      <c r="W347" s="73"/>
      <c r="X347" s="89"/>
      <c r="Y347" s="233"/>
      <c r="Z347" s="233"/>
      <c r="AA347" s="233"/>
      <c r="AB347" s="233"/>
      <c r="AC347" s="233"/>
      <c r="AD347" s="233"/>
      <c r="AE347" s="233"/>
      <c r="AF347" s="233"/>
      <c r="AG347" s="233"/>
      <c r="AH347" s="233"/>
      <c r="AI347" s="233"/>
      <c r="AJ347" s="233"/>
      <c r="AK347" s="226"/>
      <c r="AL347" s="73"/>
      <c r="AM347" s="14"/>
      <c r="AN347" s="9"/>
    </row>
    <row r="348" spans="1:40" hidden="1" outlineLevel="1">
      <c r="A348" s="12"/>
      <c r="I348" s="203" t="s">
        <v>440</v>
      </c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26"/>
      <c r="W348" s="73"/>
      <c r="X348" s="89"/>
      <c r="Y348" s="233"/>
      <c r="Z348" s="233"/>
      <c r="AA348" s="233"/>
      <c r="AB348" s="233"/>
      <c r="AC348" s="233"/>
      <c r="AD348" s="233"/>
      <c r="AE348" s="233"/>
      <c r="AF348" s="233"/>
      <c r="AG348" s="233"/>
      <c r="AH348" s="233"/>
      <c r="AI348" s="233"/>
      <c r="AJ348" s="233"/>
      <c r="AK348" s="226"/>
      <c r="AL348" s="73"/>
      <c r="AM348" s="14"/>
      <c r="AN348" s="9"/>
    </row>
    <row r="349" spans="1:40" hidden="1" outlineLevel="1">
      <c r="A349" s="12"/>
      <c r="I349" s="203" t="s">
        <v>441</v>
      </c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26"/>
      <c r="W349" s="73"/>
      <c r="X349" s="89"/>
      <c r="Y349" s="233"/>
      <c r="Z349" s="233"/>
      <c r="AA349" s="233"/>
      <c r="AB349" s="233"/>
      <c r="AC349" s="233"/>
      <c r="AD349" s="233"/>
      <c r="AE349" s="233"/>
      <c r="AF349" s="233"/>
      <c r="AG349" s="233"/>
      <c r="AH349" s="233"/>
      <c r="AI349" s="233"/>
      <c r="AJ349" s="233"/>
      <c r="AK349" s="226"/>
      <c r="AL349" s="73"/>
      <c r="AM349" s="14"/>
      <c r="AN349" s="9"/>
    </row>
    <row r="350" spans="1:40" ht="15.6">
      <c r="I350" s="150" t="s">
        <v>442</v>
      </c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>
        <f>+V288-V292-V319</f>
        <v>0</v>
      </c>
      <c r="W350" s="80" t="e">
        <f>V350/V$6</f>
        <v>#DIV/0!</v>
      </c>
      <c r="X350" s="89"/>
      <c r="Y350" s="151">
        <f t="shared" ref="Y350:AK350" si="71">+Y288-Y292-Y319</f>
        <v>-57322.2</v>
      </c>
      <c r="Z350" s="151">
        <f t="shared" si="71"/>
        <v>-56231.369999999995</v>
      </c>
      <c r="AA350" s="151">
        <f t="shared" si="71"/>
        <v>-61715.864999999998</v>
      </c>
      <c r="AB350" s="151">
        <f t="shared" si="71"/>
        <v>-58052.294999999998</v>
      </c>
      <c r="AC350" s="151">
        <f t="shared" si="71"/>
        <v>-66217.875</v>
      </c>
      <c r="AD350" s="151">
        <f t="shared" si="71"/>
        <v>-65202.224999999999</v>
      </c>
      <c r="AE350" s="151">
        <f t="shared" si="71"/>
        <v>-64233.614999999998</v>
      </c>
      <c r="AF350" s="151">
        <f t="shared" si="71"/>
        <v>-65094.345000000001</v>
      </c>
      <c r="AG350" s="151">
        <f t="shared" si="71"/>
        <v>-63673.799999999996</v>
      </c>
      <c r="AH350" s="151">
        <f t="shared" si="71"/>
        <v>-64643.46</v>
      </c>
      <c r="AI350" s="151">
        <f t="shared" si="71"/>
        <v>-62397.824999999997</v>
      </c>
      <c r="AJ350" s="151">
        <f t="shared" si="71"/>
        <v>-58880.1</v>
      </c>
      <c r="AK350" s="151">
        <f t="shared" si="71"/>
        <v>-743664.97499999986</v>
      </c>
      <c r="AL350" s="80" t="e">
        <f>AK350/AK$6</f>
        <v>#DIV/0!</v>
      </c>
      <c r="AM350" s="160">
        <f t="shared" si="59"/>
        <v>0</v>
      </c>
      <c r="AN350" s="9"/>
    </row>
    <row r="351" spans="1:40" ht="18.75" customHeight="1">
      <c r="W351" s="75"/>
      <c r="X351" s="89"/>
      <c r="AL351" s="75"/>
      <c r="AM351" s="13"/>
      <c r="AN351" s="9"/>
    </row>
    <row r="352" spans="1:40">
      <c r="A352" s="12" t="s">
        <v>443</v>
      </c>
      <c r="E352" s="7" t="s">
        <v>98</v>
      </c>
      <c r="I352" s="143" t="s">
        <v>296</v>
      </c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>
        <f>SUM(J352:U352)</f>
        <v>0</v>
      </c>
      <c r="W352" s="169" t="e">
        <f>V352/V$6</f>
        <v>#DIV/0!</v>
      </c>
      <c r="X352" s="89"/>
      <c r="Y352" s="233">
        <v>0</v>
      </c>
      <c r="Z352" s="233">
        <v>0</v>
      </c>
      <c r="AA352" s="233">
        <v>0</v>
      </c>
      <c r="AB352" s="233">
        <v>0</v>
      </c>
      <c r="AC352" s="233">
        <v>0</v>
      </c>
      <c r="AD352" s="233">
        <v>0</v>
      </c>
      <c r="AE352" s="233">
        <v>0</v>
      </c>
      <c r="AF352" s="233">
        <v>0</v>
      </c>
      <c r="AG352" s="233">
        <v>0</v>
      </c>
      <c r="AH352" s="233">
        <v>0</v>
      </c>
      <c r="AI352" s="233">
        <v>0</v>
      </c>
      <c r="AJ352" s="233">
        <v>0</v>
      </c>
      <c r="AK352" s="233">
        <f>SUM(Y352:AJ352)</f>
        <v>0</v>
      </c>
      <c r="AL352" s="169" t="e">
        <f>AK352/AK$6</f>
        <v>#DIV/0!</v>
      </c>
      <c r="AM352" s="10">
        <f t="shared" si="59"/>
        <v>0</v>
      </c>
      <c r="AN352" s="9"/>
    </row>
    <row r="353" spans="9:40" ht="15.6">
      <c r="I353" s="152" t="s">
        <v>444</v>
      </c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>
        <f>+V350-V352</f>
        <v>0</v>
      </c>
      <c r="W353" s="170" t="e">
        <f>V353/V$6</f>
        <v>#DIV/0!</v>
      </c>
      <c r="X353" s="89"/>
      <c r="Y353" s="153">
        <f>+Y350-Y352</f>
        <v>-57322.2</v>
      </c>
      <c r="Z353" s="153">
        <f>+Z350-Z352</f>
        <v>-56231.369999999995</v>
      </c>
      <c r="AA353" s="153">
        <f>+AA350-AA352</f>
        <v>-61715.864999999998</v>
      </c>
      <c r="AB353" s="153">
        <f>+AB350-AB352</f>
        <v>-58052.294999999998</v>
      </c>
      <c r="AC353" s="153">
        <f>+AC350-AC352</f>
        <v>-66217.875</v>
      </c>
      <c r="AD353" s="153">
        <f t="shared" ref="AD353:AK353" si="72">+AD350-AD352</f>
        <v>-65202.224999999999</v>
      </c>
      <c r="AE353" s="153">
        <f t="shared" si="72"/>
        <v>-64233.614999999998</v>
      </c>
      <c r="AF353" s="153">
        <f t="shared" si="72"/>
        <v>-65094.345000000001</v>
      </c>
      <c r="AG353" s="153">
        <f t="shared" si="72"/>
        <v>-63673.799999999996</v>
      </c>
      <c r="AH353" s="153">
        <f t="shared" si="72"/>
        <v>-64643.46</v>
      </c>
      <c r="AI353" s="153">
        <f t="shared" si="72"/>
        <v>-62397.824999999997</v>
      </c>
      <c r="AJ353" s="153">
        <f t="shared" si="72"/>
        <v>-58880.1</v>
      </c>
      <c r="AK353" s="153">
        <f t="shared" si="72"/>
        <v>-743664.97499999986</v>
      </c>
      <c r="AL353" s="170" t="e">
        <f>AK353/AK$6</f>
        <v>#DIV/0!</v>
      </c>
      <c r="AM353" s="161">
        <f t="shared" si="59"/>
        <v>0</v>
      </c>
      <c r="AN353" s="9"/>
    </row>
    <row r="354" spans="9:40">
      <c r="I354" s="141"/>
      <c r="J354" s="133"/>
      <c r="K354" s="133"/>
      <c r="L354" s="133"/>
      <c r="M354" s="133"/>
      <c r="N354" s="134"/>
      <c r="O354" s="134"/>
      <c r="P354" s="134"/>
      <c r="Q354" s="133"/>
      <c r="R354" s="134"/>
      <c r="S354" s="134"/>
      <c r="T354" s="134"/>
      <c r="U354" s="133"/>
      <c r="V354" s="133"/>
      <c r="W354" s="81"/>
      <c r="Y354" s="133"/>
      <c r="Z354" s="133"/>
      <c r="AA354" s="133"/>
      <c r="AB354" s="133"/>
      <c r="AC354" s="134"/>
      <c r="AD354" s="134"/>
      <c r="AE354" s="134"/>
      <c r="AF354" s="133"/>
      <c r="AG354" s="134"/>
      <c r="AH354" s="134"/>
      <c r="AI354" s="134"/>
      <c r="AJ354" s="133"/>
      <c r="AK354" s="133"/>
      <c r="AL354" s="81"/>
      <c r="AM354" s="162"/>
    </row>
    <row r="355" spans="9:40">
      <c r="J355" s="136"/>
      <c r="K355" s="136"/>
      <c r="L355" s="136"/>
      <c r="M355" s="136"/>
      <c r="N355" s="136"/>
      <c r="O355" s="136"/>
      <c r="P355" s="136"/>
      <c r="Q355" s="136"/>
      <c r="U355" s="136"/>
      <c r="V355" s="136"/>
      <c r="W355" s="82"/>
      <c r="X355" s="94"/>
      <c r="Y355" s="136"/>
      <c r="Z355" s="136"/>
      <c r="AA355" s="136"/>
      <c r="AB355" s="136"/>
      <c r="AC355" s="136"/>
      <c r="AD355" s="136"/>
      <c r="AE355" s="136"/>
      <c r="AF355" s="136"/>
      <c r="AJ355" s="136"/>
      <c r="AK355" s="136"/>
      <c r="AL355" s="82"/>
    </row>
  </sheetData>
  <mergeCells count="4">
    <mergeCell ref="J2:U2"/>
    <mergeCell ref="V2:W2"/>
    <mergeCell ref="Y2:AJ2"/>
    <mergeCell ref="AK2:AL2"/>
  </mergeCells>
  <conditionalFormatting sqref="R290:S290">
    <cfRule type="cellIs" dxfId="51" priority="23" operator="lessThan">
      <formula>0</formula>
    </cfRule>
  </conditionalFormatting>
  <conditionalFormatting sqref="Z290:AA290">
    <cfRule type="cellIs" dxfId="50" priority="21" operator="lessThan">
      <formula>0</formula>
    </cfRule>
  </conditionalFormatting>
  <conditionalFormatting sqref="AH290:AI290">
    <cfRule type="cellIs" dxfId="49" priority="19" operator="lessThan">
      <formula>0</formula>
    </cfRule>
  </conditionalFormatting>
  <conditionalFormatting sqref="AM1:AM45">
    <cfRule type="cellIs" dxfId="48" priority="30" operator="lessThan">
      <formula>0</formula>
    </cfRule>
  </conditionalFormatting>
  <conditionalFormatting sqref="AM47:AM259">
    <cfRule type="cellIs" dxfId="47" priority="28" operator="lessThan">
      <formula>0</formula>
    </cfRule>
  </conditionalFormatting>
  <conditionalFormatting sqref="AM262:AM263">
    <cfRule type="cellIs" dxfId="46" priority="46" operator="lessThan">
      <formula>0</formula>
    </cfRule>
  </conditionalFormatting>
  <conditionalFormatting sqref="AM265:AM289">
    <cfRule type="cellIs" dxfId="45" priority="27" operator="lessThan">
      <formula>0</formula>
    </cfRule>
  </conditionalFormatting>
  <conditionalFormatting sqref="AM291:AM1048576">
    <cfRule type="cellIs" dxfId="44" priority="52" operator="lessThan">
      <formula>0</formula>
    </cfRule>
  </conditionalFormatting>
  <conditionalFormatting sqref="AP290:AQ290">
    <cfRule type="cellIs" dxfId="43" priority="17" operator="lessThan">
      <formula>0</formula>
    </cfRule>
  </conditionalFormatting>
  <conditionalFormatting sqref="AX290:AY290">
    <cfRule type="cellIs" dxfId="42" priority="1" operator="lessThan">
      <formula>0</formula>
    </cfRule>
  </conditionalFormatting>
  <conditionalFormatting sqref="BF290:BG290">
    <cfRule type="cellIs" dxfId="41" priority="14" operator="lessThan">
      <formula>0</formula>
    </cfRule>
  </conditionalFormatting>
  <conditionalFormatting sqref="BN290:BO290">
    <cfRule type="cellIs" dxfId="40" priority="12" operator="lessThan">
      <formula>0</formula>
    </cfRule>
  </conditionalFormatting>
  <conditionalFormatting sqref="BV290:BW290">
    <cfRule type="cellIs" dxfId="39" priority="10" operator="lessThan">
      <formula>0</formula>
    </cfRule>
  </conditionalFormatting>
  <conditionalFormatting sqref="CD290:CE290">
    <cfRule type="cellIs" dxfId="38" priority="8" operator="lessThan">
      <formula>0</formula>
    </cfRule>
  </conditionalFormatting>
  <conditionalFormatting sqref="CL290:CM290">
    <cfRule type="cellIs" dxfId="37" priority="6" operator="lessThan">
      <formula>0</formula>
    </cfRule>
  </conditionalFormatting>
  <conditionalFormatting sqref="CT290:CU290">
    <cfRule type="cellIs" dxfId="36" priority="4" operator="lessThan">
      <formula>0</formula>
    </cfRule>
  </conditionalFormatting>
  <conditionalFormatting sqref="DB290:DC290">
    <cfRule type="cellIs" dxfId="35" priority="2" operator="lessThan">
      <formula>0</formula>
    </cfRule>
  </conditionalFormatting>
  <conditionalFormatting sqref="DJ290:DL290">
    <cfRule type="cellIs" dxfId="34" priority="25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9">
    <tabColor rgb="FF002060"/>
  </sheetPr>
  <dimension ref="A1"/>
  <sheetViews>
    <sheetView workbookViewId="0">
      <selection activeCell="E27" sqref="E27"/>
    </sheetView>
  </sheetViews>
  <sheetFormatPr defaultColWidth="11.5703125"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3056-246A-420D-959F-855ABDA45594}">
  <sheetPr>
    <tabColor rgb="FF00B0F0"/>
    <outlinePr summaryBelow="0" summaryRight="0"/>
  </sheetPr>
  <dimension ref="A1:AT481"/>
  <sheetViews>
    <sheetView showGridLines="0" zoomScale="60" zoomScaleNormal="60" workbookViewId="0">
      <pane xSplit="9" ySplit="3" topLeftCell="AC4" activePane="bottomRight" state="frozen"/>
      <selection pane="bottomRight" activeCell="AD47" sqref="AD47"/>
      <selection pane="bottomLeft" activeCell="XET148" sqref="XET148"/>
      <selection pane="topRight" activeCell="XET148" sqref="XET148"/>
    </sheetView>
  </sheetViews>
  <sheetFormatPr defaultColWidth="11.42578125" defaultRowHeight="15" customHeight="1" outlineLevelRow="1" outlineLevelCol="1"/>
  <cols>
    <col min="1" max="1" width="11.42578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1.42578125" style="180" customWidth="1"/>
    <col min="6" max="8" width="10.28515625" style="6" hidden="1" customWidth="1"/>
    <col min="9" max="9" width="49.5703125" style="5" customWidth="1" collapsed="1"/>
    <col min="10" max="11" width="19.140625" style="4" hidden="1" customWidth="1" outlineLevel="1"/>
    <col min="12" max="12" width="19.5703125" style="4" hidden="1" customWidth="1" outlineLevel="1"/>
    <col min="13" max="15" width="19.140625" style="3" hidden="1" customWidth="1" outlineLevel="1"/>
    <col min="16" max="16" width="19.5703125" style="3" hidden="1" customWidth="1" outlineLevel="1"/>
    <col min="17" max="17" width="19.140625" style="4" hidden="1" customWidth="1" outlineLevel="1"/>
    <col min="18" max="18" width="19.5703125" style="3" hidden="1" customWidth="1" outlineLevel="1"/>
    <col min="19" max="19" width="19.140625" style="3" hidden="1" customWidth="1" outlineLevel="1"/>
    <col min="20" max="20" width="18.7109375" style="3" hidden="1" customWidth="1" outlineLevel="1"/>
    <col min="21" max="21" width="19.5703125" style="4" hidden="1" customWidth="1" outlineLevel="1"/>
    <col min="22" max="22" width="14.7109375" style="4" bestFit="1" customWidth="1"/>
    <col min="23" max="23" width="11.42578125" style="83" customWidth="1"/>
    <col min="24" max="24" width="1.85546875" style="93" customWidth="1"/>
    <col min="25" max="25" width="19.5703125" style="4" customWidth="1" outlineLevel="1"/>
    <col min="26" max="27" width="17.7109375" style="4" customWidth="1" outlineLevel="1"/>
    <col min="28" max="28" width="18.7109375" style="3" customWidth="1" outlineLevel="1"/>
    <col min="29" max="29" width="19.5703125" style="3" customWidth="1" outlineLevel="1"/>
    <col min="30" max="30" width="19.140625" style="3" customWidth="1" outlineLevel="1"/>
    <col min="31" max="31" width="19.5703125" style="3" customWidth="1" outlineLevel="1"/>
    <col min="32" max="32" width="19.5703125" style="4" customWidth="1" outlineLevel="1"/>
    <col min="33" max="33" width="19.5703125" style="3" customWidth="1" outlineLevel="1"/>
    <col min="34" max="34" width="18.28515625" style="3" customWidth="1" outlineLevel="1"/>
    <col min="35" max="35" width="19.140625" style="3" customWidth="1" outlineLevel="1"/>
    <col min="36" max="36" width="19.140625" style="4" customWidth="1" outlineLevel="1"/>
    <col min="37" max="37" width="14.7109375" style="4" bestFit="1" customWidth="1"/>
    <col min="38" max="38" width="11.42578125" style="83" customWidth="1"/>
    <col min="39" max="39" width="11.42578125" style="2" customWidth="1"/>
    <col min="40" max="40" width="2.42578125" style="93" customWidth="1" collapsed="1"/>
    <col min="41" max="41" width="13.5703125" style="1" bestFit="1" customWidth="1"/>
    <col min="42" max="44" width="11.42578125" style="1" customWidth="1"/>
    <col min="45" max="45" width="16.140625" style="1" customWidth="1"/>
    <col min="46" max="48" width="11.42578125" style="1" customWidth="1"/>
    <col min="49" max="16384" width="11.42578125" style="1"/>
  </cols>
  <sheetData>
    <row r="1" spans="1:45" s="57" customFormat="1" ht="6.75" customHeight="1">
      <c r="A1" s="6"/>
      <c r="B1" s="8"/>
      <c r="C1" s="8"/>
      <c r="D1" s="6"/>
      <c r="E1" s="180"/>
      <c r="F1" s="6"/>
      <c r="G1" s="6"/>
      <c r="H1" s="6"/>
      <c r="I1" s="60" t="s">
        <v>222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v>3</v>
      </c>
      <c r="AA1" s="59">
        <v>4</v>
      </c>
      <c r="AB1" s="59">
        <v>5</v>
      </c>
      <c r="AC1" s="59">
        <v>6</v>
      </c>
      <c r="AD1" s="59">
        <v>7</v>
      </c>
      <c r="AE1" s="59">
        <v>8</v>
      </c>
      <c r="AF1" s="59">
        <v>9</v>
      </c>
      <c r="AG1" s="59">
        <v>10</v>
      </c>
      <c r="AH1" s="59">
        <v>11</v>
      </c>
      <c r="AI1" s="59">
        <v>12</v>
      </c>
      <c r="AJ1" s="59">
        <v>13</v>
      </c>
      <c r="AK1" s="59"/>
      <c r="AL1" s="68"/>
      <c r="AM1" s="58">
        <v>17</v>
      </c>
      <c r="AN1" s="84"/>
      <c r="AS1" s="59"/>
    </row>
    <row r="2" spans="1:45" s="52" customFormat="1" ht="18.75">
      <c r="A2" s="55"/>
      <c r="B2" s="55"/>
      <c r="C2" s="55"/>
      <c r="D2" s="55"/>
      <c r="E2" s="181"/>
      <c r="F2" s="55"/>
      <c r="G2" s="55"/>
      <c r="H2" s="55"/>
      <c r="I2" s="54"/>
      <c r="J2" s="309">
        <v>2025</v>
      </c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1"/>
      <c r="V2" s="312" t="s">
        <v>81</v>
      </c>
      <c r="W2" s="313"/>
      <c r="X2" s="85"/>
      <c r="Y2" s="309">
        <v>2026</v>
      </c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1"/>
      <c r="AK2" s="312" t="s">
        <v>445</v>
      </c>
      <c r="AL2" s="313"/>
      <c r="AM2" s="314"/>
      <c r="AN2" s="85"/>
      <c r="AS2" s="305" t="s">
        <v>445</v>
      </c>
    </row>
    <row r="3" spans="1:45" s="44" customFormat="1" ht="21">
      <c r="A3" s="50"/>
      <c r="B3" s="51"/>
      <c r="C3" s="51"/>
      <c r="D3" s="50"/>
      <c r="E3" s="182"/>
      <c r="F3" s="48"/>
      <c r="G3" s="48"/>
      <c r="H3" s="48"/>
      <c r="I3" s="47"/>
      <c r="J3" s="132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82</v>
      </c>
      <c r="X3" s="86"/>
      <c r="Y3" s="132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82</v>
      </c>
      <c r="AM3" s="45" t="s">
        <v>83</v>
      </c>
      <c r="AN3" s="86"/>
      <c r="AS3" s="46">
        <v>2026</v>
      </c>
    </row>
    <row r="4" spans="1:45">
      <c r="I4" s="43" t="s">
        <v>84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  <c r="AN4" s="87"/>
      <c r="AS4" s="9"/>
    </row>
    <row r="5" spans="1:45">
      <c r="A5" s="8"/>
      <c r="D5" s="8"/>
      <c r="E5" s="183"/>
      <c r="F5" s="8"/>
      <c r="G5" s="8"/>
      <c r="H5" s="8"/>
      <c r="I5" s="41"/>
      <c r="J5" s="222"/>
      <c r="K5" s="222"/>
      <c r="L5" s="222"/>
      <c r="M5" s="222"/>
      <c r="N5" s="222"/>
      <c r="O5" s="222"/>
      <c r="P5" s="1"/>
      <c r="Q5" s="222"/>
      <c r="R5" s="1"/>
      <c r="S5" s="1"/>
      <c r="T5" s="1"/>
      <c r="U5" s="244"/>
      <c r="V5" s="222"/>
      <c r="W5" s="223"/>
      <c r="X5" s="224"/>
      <c r="Y5" s="222"/>
      <c r="Z5" s="222"/>
      <c r="AA5" s="222"/>
      <c r="AB5" s="222"/>
      <c r="AC5" s="222"/>
      <c r="AD5" s="222"/>
      <c r="AE5" s="1"/>
      <c r="AF5" s="222"/>
      <c r="AG5" s="1"/>
      <c r="AH5" s="1"/>
      <c r="AI5" s="1"/>
      <c r="AJ5" s="222"/>
      <c r="AK5" s="222"/>
      <c r="AL5" s="223"/>
      <c r="AM5" s="40"/>
      <c r="AN5" s="224"/>
      <c r="AS5" s="222"/>
    </row>
    <row r="6" spans="1:45" collapsed="1">
      <c r="A6" s="12" t="s">
        <v>85</v>
      </c>
      <c r="B6" s="19"/>
      <c r="C6" s="19"/>
      <c r="D6" s="12"/>
      <c r="E6" s="180" t="s">
        <v>86</v>
      </c>
      <c r="I6" s="167" t="s">
        <v>87</v>
      </c>
      <c r="J6" s="15">
        <f>'TOTAL ESTACIONES'!J6</f>
        <v>69452870</v>
      </c>
      <c r="K6" s="15">
        <f>'TOTAL ESTACIONES'!K6</f>
        <v>68676679</v>
      </c>
      <c r="L6" s="15">
        <f>'TOTAL ESTACIONES'!L6</f>
        <v>74038427</v>
      </c>
      <c r="M6" s="15">
        <f>'TOTAL ESTACIONES'!M6</f>
        <v>69224559</v>
      </c>
      <c r="N6" s="15">
        <f>'TOTAL ESTACIONES'!N6</f>
        <v>77933808</v>
      </c>
      <c r="O6" s="15">
        <f>'TOTAL ESTACIONES'!O6</f>
        <v>77696456</v>
      </c>
      <c r="P6" s="15">
        <f>'TOTAL ESTACIONES'!P6</f>
        <v>76552162</v>
      </c>
      <c r="Q6" s="15">
        <f>'TOTAL ESTACIONES'!Q6</f>
        <v>70332214</v>
      </c>
      <c r="R6" s="15">
        <f>'TOTAL ESTACIONES'!R6</f>
        <v>71885191</v>
      </c>
      <c r="S6" s="15">
        <f>'TOTAL ESTACIONES'!S6</f>
        <v>79723068.137388021</v>
      </c>
      <c r="T6" s="15">
        <f>'TOTAL ESTACIONES'!T6</f>
        <v>81125621.857406527</v>
      </c>
      <c r="U6" s="15">
        <f>'TOTAL ESTACIONES'!U6</f>
        <v>79522835.227935821</v>
      </c>
      <c r="V6" s="15">
        <f>'TOTAL ESTACIONES'!V6</f>
        <v>896163891.22273028</v>
      </c>
      <c r="W6" s="72">
        <f>'TOTAL ESTACIONES'!W6</f>
        <v>1</v>
      </c>
      <c r="X6" s="89"/>
      <c r="Y6" s="15">
        <f>'TOTAL ESTACIONES'!Y6</f>
        <v>69733029.479999989</v>
      </c>
      <c r="Z6" s="15">
        <f>'TOTAL ESTACIONES'!Z6</f>
        <v>69139078.191288009</v>
      </c>
      <c r="AA6" s="15">
        <f>'TOTAL ESTACIONES'!AA6</f>
        <v>76712716.706637576</v>
      </c>
      <c r="AB6" s="15">
        <f>'TOTAL ESTACIONES'!AB6</f>
        <v>72969416.091157511</v>
      </c>
      <c r="AC6" s="15">
        <f>'TOTAL ESTACIONES'!AC6</f>
        <v>84041095.136656061</v>
      </c>
      <c r="AD6" s="15">
        <f>'TOTAL ESTACIONES'!AD6</f>
        <v>83841111.612472981</v>
      </c>
      <c r="AE6" s="15">
        <f>'TOTAL ESTACIONES'!AE6</f>
        <v>83649040.243588477</v>
      </c>
      <c r="AF6" s="15">
        <f>'TOTAL ESTACIONES'!AF6</f>
        <v>85393701.667022631</v>
      </c>
      <c r="AG6" s="15">
        <f>'TOTAL ESTACIONES'!AG6</f>
        <v>84667179.444870025</v>
      </c>
      <c r="AH6" s="15">
        <f>'TOTAL ESTACIONES'!AH6</f>
        <v>86983778.169820681</v>
      </c>
      <c r="AI6" s="15">
        <f>'TOTAL ESTACIONES'!AI6</f>
        <v>84957433.985583857</v>
      </c>
      <c r="AJ6" s="15">
        <f>'TOTAL ESTACIONES'!AJ6</f>
        <v>81090698.479772866</v>
      </c>
      <c r="AK6" s="15">
        <f>'TOTAL ESTACIONES'!AK6</f>
        <v>963178279.20887077</v>
      </c>
      <c r="AL6" s="72">
        <f>'TOTAL ESTACIONES'!AL6</f>
        <v>1</v>
      </c>
      <c r="AM6" s="10">
        <f>'TOTAL ESTACIONES'!AM6</f>
        <v>7.4779165554980986E-2</v>
      </c>
      <c r="AN6" s="89"/>
      <c r="AS6" s="15">
        <v>962847919.20887077</v>
      </c>
    </row>
    <row r="7" spans="1:45" ht="15" hidden="1" customHeight="1" outlineLevel="1">
      <c r="A7" s="12" t="s">
        <v>85</v>
      </c>
      <c r="B7" s="19" t="s">
        <v>88</v>
      </c>
      <c r="C7" s="19" t="s">
        <v>89</v>
      </c>
      <c r="D7" s="12" t="s">
        <v>90</v>
      </c>
      <c r="E7" s="184"/>
      <c r="F7" s="12"/>
      <c r="G7" s="12"/>
      <c r="H7" s="12"/>
      <c r="I7" s="117" t="s">
        <v>22</v>
      </c>
      <c r="J7" s="65">
        <f>'TOTAL ESTACIONES'!J7</f>
        <v>52024925</v>
      </c>
      <c r="K7" s="65">
        <f>'TOTAL ESTACIONES'!K7</f>
        <v>51666858</v>
      </c>
      <c r="L7" s="65">
        <f>'TOTAL ESTACIONES'!L7</f>
        <v>55424481</v>
      </c>
      <c r="M7" s="65">
        <f>'TOTAL ESTACIONES'!M7</f>
        <v>52126321</v>
      </c>
      <c r="N7" s="65">
        <f>'TOTAL ESTACIONES'!N7</f>
        <v>58611053</v>
      </c>
      <c r="O7" s="65">
        <f>'TOTAL ESTACIONES'!O7</f>
        <v>57223116</v>
      </c>
      <c r="P7" s="65">
        <f>'TOTAL ESTACIONES'!P7</f>
        <v>55837049</v>
      </c>
      <c r="Q7" s="65">
        <f>'TOTAL ESTACIONES'!Q7</f>
        <v>53402377</v>
      </c>
      <c r="R7" s="65">
        <f>'TOTAL ESTACIONES'!R7</f>
        <v>54015333</v>
      </c>
      <c r="S7" s="65">
        <f>'TOTAL ESTACIONES'!S7</f>
        <v>59219220.73719947</v>
      </c>
      <c r="T7" s="65">
        <f>'TOTAL ESTACIONES'!T7</f>
        <v>63748302.14508196</v>
      </c>
      <c r="U7" s="65">
        <f>'TOTAL ESTACIONES'!U7</f>
        <v>62663938.345174223</v>
      </c>
      <c r="V7" s="65">
        <f>'TOTAL ESTACIONES'!V7</f>
        <v>675962974.22745562</v>
      </c>
      <c r="W7" s="73">
        <f>'TOTAL ESTACIONES'!W7</f>
        <v>0.75428499278761219</v>
      </c>
      <c r="X7" s="89"/>
      <c r="Y7" s="65">
        <f>'TOTAL ESTACIONES'!Y7</f>
        <v>51376336.199999988</v>
      </c>
      <c r="Z7" s="65">
        <f>'TOTAL ESTACIONES'!Z7</f>
        <v>51093582.643440001</v>
      </c>
      <c r="AA7" s="65">
        <f>'TOTAL ESTACIONES'!AA7</f>
        <v>56927256.912454173</v>
      </c>
      <c r="AB7" s="65">
        <f>'TOTAL ESTACIONES'!AB7</f>
        <v>54191883.171600036</v>
      </c>
      <c r="AC7" s="65">
        <f>'TOTAL ESTACIONES'!AC7</f>
        <v>63090563.17294763</v>
      </c>
      <c r="AD7" s="65">
        <f>'TOTAL ESTACIONES'!AD7</f>
        <v>62100321.273764752</v>
      </c>
      <c r="AE7" s="65">
        <f>'TOTAL ESTACIONES'!AE7</f>
        <v>61646408.557971463</v>
      </c>
      <c r="AF7" s="65">
        <f>'TOTAL ESTACIONES'!AF7</f>
        <v>64583060.163786747</v>
      </c>
      <c r="AG7" s="65">
        <f>'TOTAL ESTACIONES'!AG7</f>
        <v>63257609.937570706</v>
      </c>
      <c r="AH7" s="65">
        <f>'TOTAL ESTACIONES'!AH7</f>
        <v>65125691.085454822</v>
      </c>
      <c r="AI7" s="65">
        <f>'TOTAL ESTACIONES'!AI7</f>
        <v>63526592.512250751</v>
      </c>
      <c r="AJ7" s="65">
        <f>'TOTAL ESTACIONES'!AJ7</f>
        <v>60670597.527093664</v>
      </c>
      <c r="AK7" s="65">
        <f>'TOTAL ESTACIONES'!AK7</f>
        <v>717589903.15833485</v>
      </c>
      <c r="AL7" s="73">
        <f>'TOTAL ESTACIONES'!AL7</f>
        <v>0.74502292944951398</v>
      </c>
      <c r="AM7" s="14">
        <f>'TOTAL ESTACIONES'!AM7</f>
        <v>6.1581670177207171E-2</v>
      </c>
      <c r="AN7" s="89"/>
      <c r="AS7" s="65">
        <v>717589903.15833485</v>
      </c>
    </row>
    <row r="8" spans="1:45" ht="15" hidden="1" customHeight="1" outlineLevel="1">
      <c r="A8" s="12" t="s">
        <v>85</v>
      </c>
      <c r="B8" s="19" t="s">
        <v>88</v>
      </c>
      <c r="C8" s="19" t="s">
        <v>91</v>
      </c>
      <c r="D8" s="12" t="s">
        <v>92</v>
      </c>
      <c r="E8" s="184"/>
      <c r="F8" s="12"/>
      <c r="G8" s="12"/>
      <c r="H8" s="12"/>
      <c r="I8" s="117" t="s">
        <v>23</v>
      </c>
      <c r="J8" s="65">
        <f>'TOTAL ESTACIONES'!J8</f>
        <v>5468366</v>
      </c>
      <c r="K8" s="65">
        <f>'TOTAL ESTACIONES'!K8</f>
        <v>5650927</v>
      </c>
      <c r="L8" s="65">
        <f>'TOTAL ESTACIONES'!L8</f>
        <v>6229300</v>
      </c>
      <c r="M8" s="65">
        <f>'TOTAL ESTACIONES'!M8</f>
        <v>5959245</v>
      </c>
      <c r="N8" s="65">
        <f>'TOTAL ESTACIONES'!N8</f>
        <v>6580767</v>
      </c>
      <c r="O8" s="65">
        <f>'TOTAL ESTACIONES'!O8</f>
        <v>6797460</v>
      </c>
      <c r="P8" s="65">
        <f>'TOTAL ESTACIONES'!P8</f>
        <v>6511011</v>
      </c>
      <c r="Q8" s="65">
        <f>'TOTAL ESTACIONES'!Q8</f>
        <v>4596705</v>
      </c>
      <c r="R8" s="65">
        <f>'TOTAL ESTACIONES'!R8</f>
        <v>5358201</v>
      </c>
      <c r="S8" s="65">
        <f>'TOTAL ESTACIONES'!S8</f>
        <v>6254403</v>
      </c>
      <c r="T8" s="65">
        <f>'TOTAL ESTACIONES'!T8</f>
        <v>6221519.3130164351</v>
      </c>
      <c r="U8" s="65">
        <f>'TOTAL ESTACIONES'!U8</f>
        <v>6115975.2687260583</v>
      </c>
      <c r="V8" s="65">
        <f>'TOTAL ESTACIONES'!V8</f>
        <v>71743879.581742495</v>
      </c>
      <c r="W8" s="73">
        <f>'TOTAL ESTACIONES'!W8</f>
        <v>8.0056650668947182E-2</v>
      </c>
      <c r="X8" s="89"/>
      <c r="Y8" s="65">
        <f>'TOTAL ESTACIONES'!Y8</f>
        <v>5360351.76</v>
      </c>
      <c r="Z8" s="65">
        <f>'TOTAL ESTACIONES'!Z8</f>
        <v>5553280.3513679998</v>
      </c>
      <c r="AA8" s="65">
        <f>'TOTAL ESTACIONES'!AA8</f>
        <v>6278391.050546593</v>
      </c>
      <c r="AB8" s="65">
        <f>'TOTAL ESTACIONES'!AB8</f>
        <v>5971144.2028230336</v>
      </c>
      <c r="AC8" s="65">
        <f>'TOTAL ESTACIONES'!AC8</f>
        <v>6969804.5066061942</v>
      </c>
      <c r="AD8" s="65">
        <f>'TOTAL ESTACIONES'!AD8</f>
        <v>7376823.9556597164</v>
      </c>
      <c r="AE8" s="65">
        <f>'TOTAL ESTACIONES'!AE8</f>
        <v>7096503.4488426708</v>
      </c>
      <c r="AF8" s="65">
        <f>'TOTAL ESTACIONES'!AF8</f>
        <v>7282731.014810143</v>
      </c>
      <c r="AG8" s="65">
        <f>'TOTAL ESTACIONES'!AG8</f>
        <v>7198787.3718169611</v>
      </c>
      <c r="AH8" s="65">
        <f>'TOTAL ESTACIONES'!AH8</f>
        <v>6883910.1351395687</v>
      </c>
      <c r="AI8" s="65">
        <f>'TOTAL ESTACIONES'!AI8</f>
        <v>6717463.7242335156</v>
      </c>
      <c r="AJ8" s="65">
        <f>'TOTAL ESTACIONES'!AJ8</f>
        <v>6418291.7646252885</v>
      </c>
      <c r="AK8" s="65">
        <f>'TOTAL ESTACIONES'!AK8</f>
        <v>79107483.286471695</v>
      </c>
      <c r="AL8" s="73">
        <f>'TOTAL ESTACIONES'!AL8</f>
        <v>8.2131714339995804E-2</v>
      </c>
      <c r="AM8" s="14">
        <f>'TOTAL ESTACIONES'!AM8</f>
        <v>0.10263737823571928</v>
      </c>
      <c r="AN8" s="89"/>
      <c r="AS8" s="65">
        <v>79107483.286471695</v>
      </c>
    </row>
    <row r="9" spans="1:45" ht="15" hidden="1" customHeight="1" outlineLevel="1">
      <c r="A9" s="12" t="s">
        <v>85</v>
      </c>
      <c r="B9" s="19" t="s">
        <v>88</v>
      </c>
      <c r="C9" s="19" t="s">
        <v>93</v>
      </c>
      <c r="D9" s="12" t="s">
        <v>94</v>
      </c>
      <c r="E9" s="184"/>
      <c r="F9" s="12"/>
      <c r="G9" s="12"/>
      <c r="H9" s="12"/>
      <c r="I9" s="117" t="s">
        <v>5</v>
      </c>
      <c r="J9" s="65">
        <f>'TOTAL ESTACIONES'!J9</f>
        <v>11903653</v>
      </c>
      <c r="K9" s="65">
        <f>'TOTAL ESTACIONES'!K9</f>
        <v>11298703</v>
      </c>
      <c r="L9" s="65">
        <f>'TOTAL ESTACIONES'!L9</f>
        <v>12326817</v>
      </c>
      <c r="M9" s="65">
        <f>'TOTAL ESTACIONES'!M9</f>
        <v>11076012</v>
      </c>
      <c r="N9" s="65">
        <f>'TOTAL ESTACIONES'!N9</f>
        <v>12676022</v>
      </c>
      <c r="O9" s="65">
        <f>'TOTAL ESTACIONES'!O9</f>
        <v>13611508</v>
      </c>
      <c r="P9" s="65">
        <f>'TOTAL ESTACIONES'!P9</f>
        <v>14146233</v>
      </c>
      <c r="Q9" s="65">
        <f>'TOTAL ESTACIONES'!Q9</f>
        <v>12274004</v>
      </c>
      <c r="R9" s="65">
        <f>'TOTAL ESTACIONES'!R9</f>
        <v>12458185</v>
      </c>
      <c r="S9" s="65">
        <f>'TOTAL ESTACIONES'!S9</f>
        <v>14188089.000188544</v>
      </c>
      <c r="T9" s="65">
        <f>'TOTAL ESTACIONES'!T9</f>
        <v>11089481.199308127</v>
      </c>
      <c r="U9" s="65">
        <f>'TOTAL ESTACIONES'!U9</f>
        <v>10676098.414035542</v>
      </c>
      <c r="V9" s="65">
        <f>'TOTAL ESTACIONES'!V9</f>
        <v>147724805.61353222</v>
      </c>
      <c r="W9" s="73">
        <f>'TOTAL ESTACIONES'!W9</f>
        <v>0.16484128300681228</v>
      </c>
      <c r="X9" s="89"/>
      <c r="Y9" s="65">
        <f>'TOTAL ESTACIONES'!Y9</f>
        <v>12921701.52</v>
      </c>
      <c r="Z9" s="65">
        <f>'TOTAL ESTACIONES'!Z9</f>
        <v>12420215.196480002</v>
      </c>
      <c r="AA9" s="65">
        <f>'TOTAL ESTACIONES'!AA9</f>
        <v>13411608.743636813</v>
      </c>
      <c r="AB9" s="65">
        <f>'TOTAL ESTACIONES'!AB9</f>
        <v>12736668.716734434</v>
      </c>
      <c r="AC9" s="65">
        <f>'TOTAL ESTACIONES'!AC9</f>
        <v>13904947.457102239</v>
      </c>
      <c r="AD9" s="65">
        <f>'TOTAL ESTACIONES'!AD9</f>
        <v>14292866.383048516</v>
      </c>
      <c r="AE9" s="65">
        <f>'TOTAL ESTACIONES'!AE9</f>
        <v>14834428.236774337</v>
      </c>
      <c r="AF9" s="65">
        <f>'TOTAL ESTACIONES'!AF9</f>
        <v>13459330.488425752</v>
      </c>
      <c r="AG9" s="65">
        <f>'TOTAL ESTACIONES'!AG9</f>
        <v>14141422.135482352</v>
      </c>
      <c r="AH9" s="65">
        <f>'TOTAL ESTACIONES'!AH9</f>
        <v>14897856.949226284</v>
      </c>
      <c r="AI9" s="65">
        <f>'TOTAL ESTACIONES'!AI9</f>
        <v>14634837.749099595</v>
      </c>
      <c r="AJ9" s="65">
        <f>'TOTAL ESTACIONES'!AJ9</f>
        <v>13925549.18805391</v>
      </c>
      <c r="AK9" s="65">
        <f>'TOTAL ESTACIONES'!AK9</f>
        <v>165581432.76406422</v>
      </c>
      <c r="AL9" s="73">
        <f>'TOTAL ESTACIONES'!AL9</f>
        <v>0.1719115104008247</v>
      </c>
      <c r="AM9" s="14">
        <f>'TOTAL ESTACIONES'!AM9</f>
        <v>0.12087764865467032</v>
      </c>
      <c r="AN9" s="89"/>
      <c r="AS9" s="65">
        <v>165581432.76406422</v>
      </c>
    </row>
    <row r="10" spans="1:45" ht="15" hidden="1" customHeight="1" outlineLevel="1">
      <c r="A10" s="12"/>
      <c r="B10" s="19"/>
      <c r="C10" s="19"/>
      <c r="D10" s="12"/>
      <c r="E10" s="184"/>
      <c r="F10" s="12"/>
      <c r="G10" s="12"/>
      <c r="H10" s="12"/>
      <c r="I10" s="117" t="s">
        <v>95</v>
      </c>
      <c r="J10" s="65">
        <f>'TOTAL ESTACIONES'!J10</f>
        <v>55926</v>
      </c>
      <c r="K10" s="65">
        <f>'TOTAL ESTACIONES'!K10</f>
        <v>60191</v>
      </c>
      <c r="L10" s="65">
        <f>'TOTAL ESTACIONES'!L10</f>
        <v>57829</v>
      </c>
      <c r="M10" s="65">
        <f>'TOTAL ESTACIONES'!M10</f>
        <v>62981</v>
      </c>
      <c r="N10" s="65">
        <f>'TOTAL ESTACIONES'!N10</f>
        <v>65966</v>
      </c>
      <c r="O10" s="65">
        <f>'TOTAL ESTACIONES'!O10</f>
        <v>64372</v>
      </c>
      <c r="P10" s="65">
        <f>'TOTAL ESTACIONES'!P10</f>
        <v>57869</v>
      </c>
      <c r="Q10" s="65">
        <f>'TOTAL ESTACIONES'!Q10</f>
        <v>59128</v>
      </c>
      <c r="R10" s="65">
        <f>'TOTAL ESTACIONES'!R10</f>
        <v>53472</v>
      </c>
      <c r="S10" s="65">
        <f>'TOTAL ESTACIONES'!S10</f>
        <v>61355.4</v>
      </c>
      <c r="T10" s="65">
        <f>'TOTAL ESTACIONES'!T10</f>
        <v>66319.199999999997</v>
      </c>
      <c r="U10" s="65">
        <f>'TOTAL ESTACIONES'!U10</f>
        <v>66823.199999999997</v>
      </c>
      <c r="V10" s="65">
        <f>'TOTAL ESTACIONES'!V10</f>
        <v>732231.79999999993</v>
      </c>
      <c r="W10" s="73">
        <f>'TOTAL ESTACIONES'!W10</f>
        <v>8.1707353662837203E-4</v>
      </c>
      <c r="X10" s="89"/>
      <c r="Y10" s="65">
        <f>'TOTAL ESTACIONES'!Y10</f>
        <v>74640</v>
      </c>
      <c r="Z10" s="65">
        <f>'TOTAL ESTACIONES'!Z10</f>
        <v>72000</v>
      </c>
      <c r="AA10" s="65">
        <f>'TOTAL ESTACIONES'!AA10</f>
        <v>95460</v>
      </c>
      <c r="AB10" s="65">
        <f>'TOTAL ESTACIONES'!AB10</f>
        <v>69720</v>
      </c>
      <c r="AC10" s="65">
        <f>'TOTAL ESTACIONES'!AC10</f>
        <v>75780</v>
      </c>
      <c r="AD10" s="65">
        <f>'TOTAL ESTACIONES'!AD10</f>
        <v>71100</v>
      </c>
      <c r="AE10" s="65">
        <f>'TOTAL ESTACIONES'!AE10</f>
        <v>71700</v>
      </c>
      <c r="AF10" s="65">
        <f>'TOTAL ESTACIONES'!AF10</f>
        <v>68580</v>
      </c>
      <c r="AG10" s="65">
        <f>'TOTAL ESTACIONES'!AG10</f>
        <v>69360</v>
      </c>
      <c r="AH10" s="65">
        <f>'TOTAL ESTACIONES'!AH10</f>
        <v>76320</v>
      </c>
      <c r="AI10" s="65">
        <f>'TOTAL ESTACIONES'!AI10</f>
        <v>78540</v>
      </c>
      <c r="AJ10" s="65">
        <f>'TOTAL ESTACIONES'!AJ10</f>
        <v>76260</v>
      </c>
      <c r="AK10" s="65">
        <f>'TOTAL ESTACIONES'!AK10</f>
        <v>899460</v>
      </c>
      <c r="AL10" s="73">
        <f>'TOTAL ESTACIONES'!AL10</f>
        <v>9.3384580966546791E-4</v>
      </c>
      <c r="AM10" s="14">
        <f>'TOTAL ESTACIONES'!AM10</f>
        <v>0.22838150432690862</v>
      </c>
      <c r="AN10" s="89"/>
      <c r="AS10" s="65">
        <v>569100</v>
      </c>
    </row>
    <row r="11" spans="1:45" ht="15" hidden="1" customHeight="1" outlineLevel="1">
      <c r="A11" s="12"/>
      <c r="B11" s="19"/>
      <c r="C11" s="19"/>
      <c r="D11" s="12"/>
      <c r="E11" s="184"/>
      <c r="F11" s="12"/>
      <c r="G11" s="12"/>
      <c r="H11" s="12"/>
      <c r="I11" s="214" t="s">
        <v>96</v>
      </c>
      <c r="J11" s="65">
        <f>'TOTAL ESTACIONES'!J11</f>
        <v>0</v>
      </c>
      <c r="K11" s="65">
        <f>'TOTAL ESTACIONES'!K11</f>
        <v>0</v>
      </c>
      <c r="L11" s="65">
        <f>'TOTAL ESTACIONES'!L11</f>
        <v>0</v>
      </c>
      <c r="M11" s="65">
        <f>'TOTAL ESTACIONES'!M11</f>
        <v>0</v>
      </c>
      <c r="N11" s="65">
        <f>'TOTAL ESTACIONES'!N11</f>
        <v>0</v>
      </c>
      <c r="O11" s="65">
        <f>'TOTAL ESTACIONES'!O11</f>
        <v>0</v>
      </c>
      <c r="P11" s="65">
        <f>'TOTAL ESTACIONES'!P11</f>
        <v>0</v>
      </c>
      <c r="Q11" s="65">
        <f>'TOTAL ESTACIONES'!Q11</f>
        <v>0</v>
      </c>
      <c r="R11" s="65">
        <f>'TOTAL ESTACIONES'!R11</f>
        <v>0</v>
      </c>
      <c r="S11" s="65">
        <f>'TOTAL ESTACIONES'!S11</f>
        <v>0</v>
      </c>
      <c r="T11" s="65">
        <f>'TOTAL ESTACIONES'!T11</f>
        <v>0</v>
      </c>
      <c r="U11" s="65">
        <f>'TOTAL ESTACIONES'!U11</f>
        <v>0</v>
      </c>
      <c r="V11" s="65">
        <f>'TOTAL ESTACIONES'!V11</f>
        <v>0</v>
      </c>
      <c r="W11" s="73">
        <f>'TOTAL ESTACIONES'!W11</f>
        <v>0</v>
      </c>
      <c r="X11" s="89"/>
      <c r="Y11" s="65">
        <f>'TOTAL ESTACIONES'!Y11</f>
        <v>0</v>
      </c>
      <c r="Z11" s="65">
        <f>'TOTAL ESTACIONES'!Z11</f>
        <v>0</v>
      </c>
      <c r="AA11" s="65">
        <f>'TOTAL ESTACIONES'!AA11</f>
        <v>0</v>
      </c>
      <c r="AB11" s="65">
        <f>'TOTAL ESTACIONES'!AB11</f>
        <v>0</v>
      </c>
      <c r="AC11" s="65">
        <f>'TOTAL ESTACIONES'!AC11</f>
        <v>0</v>
      </c>
      <c r="AD11" s="65">
        <f>'TOTAL ESTACIONES'!AD11</f>
        <v>0</v>
      </c>
      <c r="AE11" s="65">
        <f>'TOTAL ESTACIONES'!AE11</f>
        <v>0</v>
      </c>
      <c r="AF11" s="65">
        <f>'TOTAL ESTACIONES'!AF11</f>
        <v>0</v>
      </c>
      <c r="AG11" s="65">
        <f>'TOTAL ESTACIONES'!AG11</f>
        <v>0</v>
      </c>
      <c r="AH11" s="65">
        <f>'TOTAL ESTACIONES'!AH11</f>
        <v>0</v>
      </c>
      <c r="AI11" s="65">
        <f>'TOTAL ESTACIONES'!AI11</f>
        <v>0</v>
      </c>
      <c r="AJ11" s="65">
        <f>'TOTAL ESTACIONES'!AJ11</f>
        <v>0</v>
      </c>
      <c r="AK11" s="65">
        <f>'TOTAL ESTACIONES'!AK11</f>
        <v>0</v>
      </c>
      <c r="AL11" s="73">
        <f>'TOTAL ESTACIONES'!AL11</f>
        <v>0</v>
      </c>
      <c r="AM11" s="14">
        <f>'TOTAL ESTACIONES'!AM11</f>
        <v>0</v>
      </c>
      <c r="AN11" s="89"/>
      <c r="AS11" s="65">
        <v>0</v>
      </c>
    </row>
    <row r="12" spans="1:45" ht="15" hidden="1" customHeight="1" outlineLevel="1">
      <c r="A12" s="12"/>
      <c r="B12" s="19"/>
      <c r="C12" s="19"/>
      <c r="D12" s="12"/>
      <c r="E12" s="184"/>
      <c r="F12" s="12"/>
      <c r="G12" s="12"/>
      <c r="H12" s="12"/>
      <c r="I12" s="117"/>
      <c r="J12" s="65">
        <f>'TOTAL ESTACIONES'!J12</f>
        <v>0</v>
      </c>
      <c r="K12" s="65">
        <f>'TOTAL ESTACIONES'!K12</f>
        <v>0</v>
      </c>
      <c r="L12" s="65">
        <f>'TOTAL ESTACIONES'!L12</f>
        <v>0</v>
      </c>
      <c r="M12" s="65">
        <f>'TOTAL ESTACIONES'!M12</f>
        <v>0</v>
      </c>
      <c r="N12" s="65">
        <f>'TOTAL ESTACIONES'!N12</f>
        <v>0</v>
      </c>
      <c r="O12" s="65">
        <f>'TOTAL ESTACIONES'!O12</f>
        <v>0</v>
      </c>
      <c r="P12" s="65">
        <f>'TOTAL ESTACIONES'!P12</f>
        <v>0</v>
      </c>
      <c r="Q12" s="65">
        <f>'TOTAL ESTACIONES'!Q12</f>
        <v>0</v>
      </c>
      <c r="R12" s="65">
        <f>'TOTAL ESTACIONES'!R12</f>
        <v>0</v>
      </c>
      <c r="S12" s="65">
        <f>'TOTAL ESTACIONES'!S12</f>
        <v>0</v>
      </c>
      <c r="T12" s="65">
        <f>'TOTAL ESTACIONES'!T12</f>
        <v>0</v>
      </c>
      <c r="U12" s="65">
        <f>'TOTAL ESTACIONES'!U12</f>
        <v>0</v>
      </c>
      <c r="V12" s="65">
        <f>'TOTAL ESTACIONES'!V12</f>
        <v>0</v>
      </c>
      <c r="W12" s="73">
        <f>'TOTAL ESTACIONES'!W12</f>
        <v>0</v>
      </c>
      <c r="X12" s="89"/>
      <c r="Y12" s="65">
        <f>'TOTAL ESTACIONES'!Y12</f>
        <v>0</v>
      </c>
      <c r="Z12" s="65">
        <f>'TOTAL ESTACIONES'!Z12</f>
        <v>0</v>
      </c>
      <c r="AA12" s="65">
        <f>'TOTAL ESTACIONES'!AA12</f>
        <v>0</v>
      </c>
      <c r="AB12" s="65">
        <f>'TOTAL ESTACIONES'!AB12</f>
        <v>0</v>
      </c>
      <c r="AC12" s="65">
        <f>'TOTAL ESTACIONES'!AC12</f>
        <v>0</v>
      </c>
      <c r="AD12" s="65">
        <f>'TOTAL ESTACIONES'!AD12</f>
        <v>0</v>
      </c>
      <c r="AE12" s="65">
        <f>'TOTAL ESTACIONES'!AE12</f>
        <v>0</v>
      </c>
      <c r="AF12" s="65">
        <f>'TOTAL ESTACIONES'!AF12</f>
        <v>0</v>
      </c>
      <c r="AG12" s="65">
        <f>'TOTAL ESTACIONES'!AG12</f>
        <v>0</v>
      </c>
      <c r="AH12" s="65">
        <f>'TOTAL ESTACIONES'!AH12</f>
        <v>0</v>
      </c>
      <c r="AI12" s="65">
        <f>'TOTAL ESTACIONES'!AI12</f>
        <v>0</v>
      </c>
      <c r="AJ12" s="65">
        <f>'TOTAL ESTACIONES'!AJ12</f>
        <v>0</v>
      </c>
      <c r="AK12" s="65">
        <f>'TOTAL ESTACIONES'!AK12</f>
        <v>0</v>
      </c>
      <c r="AL12" s="73">
        <f>'TOTAL ESTACIONES'!AL12</f>
        <v>0</v>
      </c>
      <c r="AM12" s="14">
        <f>'TOTAL ESTACIONES'!AM12</f>
        <v>0</v>
      </c>
      <c r="AN12" s="89"/>
      <c r="AS12" s="65">
        <v>0</v>
      </c>
    </row>
    <row r="13" spans="1:45" collapsed="1">
      <c r="A13" s="12" t="s">
        <v>97</v>
      </c>
      <c r="B13" s="19"/>
      <c r="E13" s="180" t="s">
        <v>98</v>
      </c>
      <c r="I13" s="167" t="s">
        <v>99</v>
      </c>
      <c r="J13" s="15">
        <f>'TOTAL ESTACIONES'!J13</f>
        <v>59783497</v>
      </c>
      <c r="K13" s="15">
        <f>'TOTAL ESTACIONES'!K13</f>
        <v>58274255</v>
      </c>
      <c r="L13" s="15">
        <f>'TOTAL ESTACIONES'!L13</f>
        <v>63406479</v>
      </c>
      <c r="M13" s="15">
        <f>'TOTAL ESTACIONES'!M13</f>
        <v>59049480</v>
      </c>
      <c r="N13" s="15">
        <f>'TOTAL ESTACIONES'!N13</f>
        <v>65462131</v>
      </c>
      <c r="O13" s="15">
        <f>'TOTAL ESTACIONES'!O13</f>
        <v>66797081</v>
      </c>
      <c r="P13" s="15">
        <f>'TOTAL ESTACIONES'!P13</f>
        <v>66311059</v>
      </c>
      <c r="Q13" s="15">
        <f>'TOTAL ESTACIONES'!Q13</f>
        <v>61034025</v>
      </c>
      <c r="R13" s="15">
        <f>'TOTAL ESTACIONES'!R13</f>
        <v>62477554</v>
      </c>
      <c r="S13" s="15">
        <f>'TOTAL ESTACIONES'!S13</f>
        <v>67457807.417388022</v>
      </c>
      <c r="T13" s="15">
        <f>'TOTAL ESTACIONES'!T13</f>
        <v>69565854.767406508</v>
      </c>
      <c r="U13" s="15">
        <f>'TOTAL ESTACIONES'!U13</f>
        <v>68305764.897935823</v>
      </c>
      <c r="V13" s="15">
        <f>'TOTAL ESTACIONES'!V13</f>
        <v>767924988.08273041</v>
      </c>
      <c r="W13" s="72">
        <f>'TOTAL ESTACIONES'!W13</f>
        <v>0.85690239877325325</v>
      </c>
      <c r="X13" s="89"/>
      <c r="Y13" s="15">
        <f>'TOTAL ESTACIONES'!Y13</f>
        <v>60165791.109999999</v>
      </c>
      <c r="Z13" s="15">
        <f>'TOTAL ESTACIONES'!Z13</f>
        <v>59829241.151287995</v>
      </c>
      <c r="AA13" s="15">
        <f>'TOTAL ESTACIONES'!AA13</f>
        <v>66068704.436637588</v>
      </c>
      <c r="AB13" s="15">
        <f>'TOTAL ESTACIONES'!AB13</f>
        <v>63509117.341157496</v>
      </c>
      <c r="AC13" s="15">
        <f>'TOTAL ESTACIONES'!AC13</f>
        <v>72484085.346656069</v>
      </c>
      <c r="AD13" s="15">
        <f>'TOTAL ESTACIONES'!AD13</f>
        <v>73043996.622472972</v>
      </c>
      <c r="AE13" s="15">
        <f>'TOTAL ESTACIONES'!AE13</f>
        <v>72992851.263588473</v>
      </c>
      <c r="AF13" s="15">
        <f>'TOTAL ESTACIONES'!AF13</f>
        <v>74396670.107022643</v>
      </c>
      <c r="AG13" s="15">
        <f>'TOTAL ESTACIONES'!AG13</f>
        <v>74129574.874870017</v>
      </c>
      <c r="AH13" s="15">
        <f>'TOTAL ESTACIONES'!AH13</f>
        <v>76116786.719820678</v>
      </c>
      <c r="AI13" s="15">
        <f>'TOTAL ESTACIONES'!AI13</f>
        <v>74664445.605583861</v>
      </c>
      <c r="AJ13" s="15">
        <f>'TOTAL ESTACIONES'!AJ13</f>
        <v>71476883.539772868</v>
      </c>
      <c r="AK13" s="15">
        <f>'TOTAL ESTACIONES'!AK13</f>
        <v>838878148.11887074</v>
      </c>
      <c r="AL13" s="72">
        <f>'TOTAL ESTACIONES'!AL13</f>
        <v>0.87094795037103945</v>
      </c>
      <c r="AM13" s="10">
        <f>'TOTAL ESTACIONES'!AM13</f>
        <v>9.2395951606273785E-2</v>
      </c>
      <c r="AN13" s="89"/>
      <c r="AS13" s="15">
        <v>838597342.11887074</v>
      </c>
    </row>
    <row r="14" spans="1:45" ht="15" hidden="1" customHeight="1" outlineLevel="1">
      <c r="A14" s="37" t="s">
        <v>97</v>
      </c>
      <c r="B14" s="39"/>
      <c r="C14" s="39" t="s">
        <v>100</v>
      </c>
      <c r="D14" s="37" t="s">
        <v>101</v>
      </c>
      <c r="E14" s="184"/>
      <c r="F14" s="37"/>
      <c r="G14" s="37"/>
      <c r="H14" s="37"/>
      <c r="I14" s="171" t="s">
        <v>102</v>
      </c>
      <c r="J14" s="65">
        <f>'TOTAL ESTACIONES'!J14</f>
        <v>54037503</v>
      </c>
      <c r="K14" s="65">
        <f>'TOTAL ESTACIONES'!K14</f>
        <v>52988836</v>
      </c>
      <c r="L14" s="65">
        <f>'TOTAL ESTACIONES'!L14</f>
        <v>58109663</v>
      </c>
      <c r="M14" s="65">
        <f>'TOTAL ESTACIONES'!M14</f>
        <v>54182667</v>
      </c>
      <c r="N14" s="65">
        <f>'TOTAL ESTACIONES'!N14</f>
        <v>61241981</v>
      </c>
      <c r="O14" s="65">
        <f>'TOTAL ESTACIONES'!O14</f>
        <v>60864148</v>
      </c>
      <c r="P14" s="65">
        <f>'TOTAL ESTACIONES'!P14</f>
        <v>59642077</v>
      </c>
      <c r="Q14" s="65">
        <f>'TOTAL ESTACIONES'!Q14</f>
        <v>56951729</v>
      </c>
      <c r="R14" s="65">
        <f>'TOTAL ESTACIONES'!R14</f>
        <v>57368004</v>
      </c>
      <c r="S14" s="65">
        <f>'TOTAL ESTACIONES'!S14</f>
        <v>59555392.517199472</v>
      </c>
      <c r="T14" s="65">
        <f>'TOTAL ESTACIONES'!T14</f>
        <v>54321586.985081956</v>
      </c>
      <c r="U14" s="65">
        <f>'TOTAL ESTACIONES'!U14</f>
        <v>53503308.565174222</v>
      </c>
      <c r="V14" s="65">
        <f>'TOTAL ESTACIONES'!V14</f>
        <v>682766896.06745565</v>
      </c>
      <c r="W14" s="73">
        <f>'TOTAL ESTACIONES'!W14</f>
        <v>0.7618772668198952</v>
      </c>
      <c r="X14" s="89"/>
      <c r="Y14" s="65">
        <f>'TOTAL ESTACIONES'!Y14</f>
        <v>43965152.07</v>
      </c>
      <c r="Z14" s="65">
        <f>'TOTAL ESTACIONES'!Z14</f>
        <v>43858766.963439994</v>
      </c>
      <c r="AA14" s="65">
        <f>'TOTAL ESTACIONES'!AA14</f>
        <v>48610578.482454181</v>
      </c>
      <c r="AB14" s="65">
        <f>'TOTAL ESTACIONES'!AB14</f>
        <v>46833763.341600031</v>
      </c>
      <c r="AC14" s="65">
        <f>'TOTAL ESTACIONES'!AC14</f>
        <v>53940556.53294763</v>
      </c>
      <c r="AD14" s="65">
        <f>'TOTAL ESTACIONES'!AD14</f>
        <v>53743510.523764744</v>
      </c>
      <c r="AE14" s="65">
        <f>'TOTAL ESTACIONES'!AE14</f>
        <v>53413436.587971464</v>
      </c>
      <c r="AF14" s="65">
        <f>'TOTAL ESTACIONES'!AF14</f>
        <v>55867225.93378675</v>
      </c>
      <c r="AG14" s="65">
        <f>'TOTAL ESTACIONES'!AG14</f>
        <v>55039674.8575707</v>
      </c>
      <c r="AH14" s="65">
        <f>'TOTAL ESTACIONES'!AH14</f>
        <v>56595564.015454821</v>
      </c>
      <c r="AI14" s="65">
        <f>'TOTAL ESTACIONES'!AI14</f>
        <v>55478985.102250747</v>
      </c>
      <c r="AJ14" s="65">
        <f>'TOTAL ESTACIONES'!AJ14</f>
        <v>53142544.947093666</v>
      </c>
      <c r="AK14" s="65">
        <f>'TOTAL ESTACIONES'!AK14</f>
        <v>620489759.35833478</v>
      </c>
      <c r="AL14" s="73">
        <f>'TOTAL ESTACIONES'!AL14</f>
        <v>0.6442107061093495</v>
      </c>
      <c r="AM14" s="14">
        <f>'TOTAL ESTACIONES'!AM14</f>
        <v>-9.1212882563316389E-2</v>
      </c>
      <c r="AN14" s="89"/>
      <c r="AS14" s="65">
        <v>620489759.35833478</v>
      </c>
    </row>
    <row r="15" spans="1:45" ht="15" hidden="1" customHeight="1" outlineLevel="1">
      <c r="A15" s="37" t="s">
        <v>97</v>
      </c>
      <c r="B15" s="39"/>
      <c r="C15" s="39" t="s">
        <v>103</v>
      </c>
      <c r="D15" s="37" t="s">
        <v>104</v>
      </c>
      <c r="E15" s="184"/>
      <c r="F15" s="37"/>
      <c r="G15" s="37"/>
      <c r="H15" s="37"/>
      <c r="I15" s="172" t="s">
        <v>105</v>
      </c>
      <c r="J15" s="65">
        <f>'TOTAL ESTACIONES'!J15</f>
        <v>5319273</v>
      </c>
      <c r="K15" s="65">
        <f>'TOTAL ESTACIONES'!K15</f>
        <v>5477157</v>
      </c>
      <c r="L15" s="65">
        <f>'TOTAL ESTACIONES'!L15</f>
        <v>6024604</v>
      </c>
      <c r="M15" s="65">
        <f>'TOTAL ESTACIONES'!M15</f>
        <v>5759007</v>
      </c>
      <c r="N15" s="65">
        <f>'TOTAL ESTACIONES'!N15</f>
        <v>6417905</v>
      </c>
      <c r="O15" s="65">
        <f>'TOTAL ESTACIONES'!O15</f>
        <v>6709392</v>
      </c>
      <c r="P15" s="65">
        <f>'TOTAL ESTACIONES'!P15</f>
        <v>6539768</v>
      </c>
      <c r="Q15" s="65">
        <f>'TOTAL ESTACIONES'!Q15</f>
        <v>4716580</v>
      </c>
      <c r="R15" s="65">
        <f>'TOTAL ESTACIONES'!R15</f>
        <v>5503630</v>
      </c>
      <c r="S15" s="65">
        <f>'TOTAL ESTACIONES'!S15</f>
        <v>6336060</v>
      </c>
      <c r="T15" s="65">
        <f>'TOTAL ESTACIONES'!T15</f>
        <v>5363980.7730164351</v>
      </c>
      <c r="U15" s="65">
        <f>'TOTAL ESTACIONES'!U15</f>
        <v>5274244.5487260567</v>
      </c>
      <c r="V15" s="65">
        <f>'TOTAL ESTACIONES'!V15</f>
        <v>69441601.32174249</v>
      </c>
      <c r="W15" s="73">
        <f>'TOTAL ESTACIONES'!W15</f>
        <v>7.7487613595986382E-2</v>
      </c>
      <c r="X15" s="89"/>
      <c r="Y15" s="65">
        <f>'TOTAL ESTACIONES'!Y15</f>
        <v>4659126.84</v>
      </c>
      <c r="Z15" s="65">
        <f>'TOTAL ESTACIONES'!Z15</f>
        <v>4832868.1913680006</v>
      </c>
      <c r="AA15" s="65">
        <f>'TOTAL ESTACIONES'!AA15</f>
        <v>5459075.1605465924</v>
      </c>
      <c r="AB15" s="65">
        <f>'TOTAL ESTACIONES'!AB15</f>
        <v>5216593.8828230342</v>
      </c>
      <c r="AC15" s="65">
        <f>'TOTAL ESTACIONES'!AC15</f>
        <v>6098775.5566061949</v>
      </c>
      <c r="AD15" s="65">
        <f>'TOTAL ESTACIONES'!AD15</f>
        <v>6452141.9656597171</v>
      </c>
      <c r="AE15" s="65">
        <f>'TOTAL ESTACIONES'!AE15</f>
        <v>6245227.5888426714</v>
      </c>
      <c r="AF15" s="65">
        <f>'TOTAL ESTACIONES'!AF15</f>
        <v>6398892.3648101427</v>
      </c>
      <c r="AG15" s="65">
        <f>'TOTAL ESTACIONES'!AG15</f>
        <v>6347553.3418169618</v>
      </c>
      <c r="AH15" s="65">
        <f>'TOTAL ESTACIONES'!AH15</f>
        <v>6067245.9951395709</v>
      </c>
      <c r="AI15" s="65">
        <f>'TOTAL ESTACIONES'!AI15</f>
        <v>5940787.7542335168</v>
      </c>
      <c r="AJ15" s="65">
        <f>'TOTAL ESTACIONES'!AJ15</f>
        <v>5685605.9346252894</v>
      </c>
      <c r="AK15" s="65">
        <f>'TOTAL ESTACIONES'!AK15</f>
        <v>69403894.576471686</v>
      </c>
      <c r="AL15" s="73">
        <f>'TOTAL ESTACIONES'!AL15</f>
        <v>7.2057163325441903E-2</v>
      </c>
      <c r="AM15" s="14">
        <f>'TOTAL ESTACIONES'!AM15</f>
        <v>-5.4299936281854144E-4</v>
      </c>
      <c r="AN15" s="89"/>
      <c r="AS15" s="65">
        <v>69403894.576471686</v>
      </c>
    </row>
    <row r="16" spans="1:45" ht="15" hidden="1" customHeight="1" outlineLevel="1">
      <c r="A16" s="37" t="s">
        <v>97</v>
      </c>
      <c r="B16" s="39"/>
      <c r="C16" s="39" t="s">
        <v>106</v>
      </c>
      <c r="D16" s="37" t="s">
        <v>107</v>
      </c>
      <c r="E16" s="184"/>
      <c r="F16" s="37"/>
      <c r="G16" s="37"/>
      <c r="H16" s="37"/>
      <c r="I16" s="167" t="s">
        <v>5</v>
      </c>
      <c r="J16" s="65">
        <f>'TOTAL ESTACIONES'!J16</f>
        <v>10212607</v>
      </c>
      <c r="K16" s="65">
        <f>'TOTAL ESTACIONES'!K16</f>
        <v>10010596</v>
      </c>
      <c r="L16" s="65">
        <f>'TOTAL ESTACIONES'!L16</f>
        <v>10864455</v>
      </c>
      <c r="M16" s="65">
        <f>'TOTAL ESTACIONES'!M16</f>
        <v>9847047</v>
      </c>
      <c r="N16" s="65">
        <f>'TOTAL ESTACIONES'!N16</f>
        <v>11207696</v>
      </c>
      <c r="O16" s="65">
        <f>'TOTAL ESTACIONES'!O16</f>
        <v>12305498</v>
      </c>
      <c r="P16" s="65">
        <f>'TOTAL ESTACIONES'!P16</f>
        <v>12857250</v>
      </c>
      <c r="Q16" s="65">
        <f>'TOTAL ESTACIONES'!Q16</f>
        <v>10940446</v>
      </c>
      <c r="R16" s="65">
        <f>'TOTAL ESTACIONES'!R16</f>
        <v>11564167</v>
      </c>
      <c r="S16" s="65">
        <f>'TOTAL ESTACIONES'!S16</f>
        <v>12472838.360188544</v>
      </c>
      <c r="T16" s="65">
        <f>'TOTAL ESTACIONES'!T16</f>
        <v>9823915.6893081274</v>
      </c>
      <c r="U16" s="65">
        <f>'TOTAL ESTACIONES'!U16</f>
        <v>9471412.0640355423</v>
      </c>
      <c r="V16" s="65">
        <f>'TOTAL ESTACIONES'!V16</f>
        <v>131577928.11353222</v>
      </c>
      <c r="W16" s="73">
        <f>'TOTAL ESTACIONES'!W16</f>
        <v>0.14682351007694214</v>
      </c>
      <c r="X16" s="89"/>
      <c r="Y16" s="65">
        <f>'TOTAL ESTACIONES'!Y16</f>
        <v>11478068.200000001</v>
      </c>
      <c r="Z16" s="65">
        <f>'TOTAL ESTACIONES'!Z16</f>
        <v>11076405.996480001</v>
      </c>
      <c r="AA16" s="65">
        <f>'TOTAL ESTACIONES'!AA16</f>
        <v>11917909.793636814</v>
      </c>
      <c r="AB16" s="65">
        <f>'TOTAL ESTACIONES'!AB16</f>
        <v>11399498.116734434</v>
      </c>
      <c r="AC16" s="65">
        <f>'TOTAL ESTACIONES'!AC16</f>
        <v>12380340.257102238</v>
      </c>
      <c r="AD16" s="65">
        <f>'TOTAL ESTACIONES'!AD16</f>
        <v>12787909.133048516</v>
      </c>
      <c r="AE16" s="65">
        <f>'TOTAL ESTACIONES'!AE16</f>
        <v>13273242.086774338</v>
      </c>
      <c r="AF16" s="65">
        <f>'TOTAL ESTACIONES'!AF16</f>
        <v>12072258.808425754</v>
      </c>
      <c r="AG16" s="65">
        <f>'TOTAL ESTACIONES'!AG16</f>
        <v>12683390.675482353</v>
      </c>
      <c r="AH16" s="65">
        <f>'TOTAL ESTACIONES'!AH16</f>
        <v>13389104.709226284</v>
      </c>
      <c r="AI16" s="65">
        <f>'TOTAL ESTACIONES'!AI16</f>
        <v>13177913.749099597</v>
      </c>
      <c r="AJ16" s="65">
        <f>'TOTAL ESTACIONES'!AJ16</f>
        <v>12583911.65805391</v>
      </c>
      <c r="AK16" s="65">
        <f>'TOTAL ESTACIONES'!AK16</f>
        <v>148219953.18406424</v>
      </c>
      <c r="AL16" s="73">
        <f>'TOTAL ESTACIONES'!AL16</f>
        <v>0.15388631199803238</v>
      </c>
      <c r="AM16" s="14">
        <f>'TOTAL ESTACIONES'!AM16</f>
        <v>0.12648037029563519</v>
      </c>
      <c r="AN16" s="89"/>
      <c r="AS16" s="65">
        <v>148219953.18406424</v>
      </c>
    </row>
    <row r="17" spans="1:45" ht="15" hidden="1" customHeight="1" outlineLevel="1">
      <c r="A17" s="37" t="s">
        <v>97</v>
      </c>
      <c r="B17" s="39"/>
      <c r="C17" s="39" t="s">
        <v>108</v>
      </c>
      <c r="D17" s="37"/>
      <c r="E17" s="184"/>
      <c r="F17" s="37"/>
      <c r="G17" s="37"/>
      <c r="H17" s="37"/>
      <c r="I17" s="171" t="s">
        <v>109</v>
      </c>
      <c r="J17" s="65">
        <f>'TOTAL ESTACIONES'!J17</f>
        <v>667991</v>
      </c>
      <c r="K17" s="65">
        <f>'TOTAL ESTACIONES'!K17</f>
        <v>194258</v>
      </c>
      <c r="L17" s="65">
        <f>'TOTAL ESTACIONES'!L17</f>
        <v>95173</v>
      </c>
      <c r="M17" s="65">
        <f>'TOTAL ESTACIONES'!M17</f>
        <v>32472</v>
      </c>
      <c r="N17" s="65">
        <f>'TOTAL ESTACIONES'!N17</f>
        <v>0</v>
      </c>
      <c r="O17" s="65">
        <f>'TOTAL ESTACIONES'!O17</f>
        <v>0</v>
      </c>
      <c r="P17" s="65">
        <f>'TOTAL ESTACIONES'!P17</f>
        <v>0</v>
      </c>
      <c r="Q17" s="65">
        <f>'TOTAL ESTACIONES'!Q17</f>
        <v>0</v>
      </c>
      <c r="R17" s="65">
        <f>'TOTAL ESTACIONES'!R17</f>
        <v>0</v>
      </c>
      <c r="S17" s="65">
        <f>'TOTAL ESTACIONES'!S17</f>
        <v>0</v>
      </c>
      <c r="T17" s="65">
        <f>'TOTAL ESTACIONES'!T17</f>
        <v>0</v>
      </c>
      <c r="U17" s="65">
        <f>'TOTAL ESTACIONES'!U17</f>
        <v>0</v>
      </c>
      <c r="V17" s="65">
        <f>'TOTAL ESTACIONES'!V17</f>
        <v>989894</v>
      </c>
      <c r="W17" s="73">
        <f>'TOTAL ESTACIONES'!W17</f>
        <v>1.1045903653285828E-3</v>
      </c>
      <c r="X17" s="89"/>
      <c r="Y17" s="65">
        <f>'TOTAL ESTACIONES'!Y17</f>
        <v>0</v>
      </c>
      <c r="Z17" s="65">
        <f>'TOTAL ESTACIONES'!Z17</f>
        <v>0</v>
      </c>
      <c r="AA17" s="65">
        <f>'TOTAL ESTACIONES'!AA17</f>
        <v>0</v>
      </c>
      <c r="AB17" s="65">
        <f>'TOTAL ESTACIONES'!AB17</f>
        <v>0</v>
      </c>
      <c r="AC17" s="65">
        <f>'TOTAL ESTACIONES'!AC17</f>
        <v>0</v>
      </c>
      <c r="AD17" s="65">
        <f>'TOTAL ESTACIONES'!AD17</f>
        <v>0</v>
      </c>
      <c r="AE17" s="65">
        <f>'TOTAL ESTACIONES'!AE17</f>
        <v>0</v>
      </c>
      <c r="AF17" s="65">
        <f>'TOTAL ESTACIONES'!AF17</f>
        <v>0</v>
      </c>
      <c r="AG17" s="65">
        <f>'TOTAL ESTACIONES'!AG17</f>
        <v>0</v>
      </c>
      <c r="AH17" s="65">
        <f>'TOTAL ESTACIONES'!AH17</f>
        <v>0</v>
      </c>
      <c r="AI17" s="65">
        <f>'TOTAL ESTACIONES'!AI17</f>
        <v>0</v>
      </c>
      <c r="AJ17" s="65">
        <f>'TOTAL ESTACIONES'!AJ17</f>
        <v>0</v>
      </c>
      <c r="AK17" s="65">
        <f>'TOTAL ESTACIONES'!AK17</f>
        <v>0</v>
      </c>
      <c r="AL17" s="73">
        <f>'TOTAL ESTACIONES'!AL17</f>
        <v>0</v>
      </c>
      <c r="AM17" s="14">
        <f>'TOTAL ESTACIONES'!AM17</f>
        <v>-1</v>
      </c>
      <c r="AN17" s="89"/>
      <c r="AS17" s="65">
        <v>0</v>
      </c>
    </row>
    <row r="18" spans="1:45" ht="15" hidden="1" customHeight="1" outlineLevel="1">
      <c r="A18" s="37" t="s">
        <v>97</v>
      </c>
      <c r="B18" s="39"/>
      <c r="C18" s="39" t="s">
        <v>110</v>
      </c>
      <c r="D18" s="37"/>
      <c r="E18" s="184"/>
      <c r="F18" s="37"/>
      <c r="G18" s="37"/>
      <c r="H18" s="37"/>
      <c r="I18" s="172" t="s">
        <v>111</v>
      </c>
      <c r="J18" s="65">
        <f>'TOTAL ESTACIONES'!J18</f>
        <v>112597</v>
      </c>
      <c r="K18" s="65">
        <f>'TOTAL ESTACIONES'!K18</f>
        <v>32019</v>
      </c>
      <c r="L18" s="65">
        <f>'TOTAL ESTACIONES'!L18</f>
        <v>-1798</v>
      </c>
      <c r="M18" s="65">
        <f>'TOTAL ESTACIONES'!M18</f>
        <v>5421</v>
      </c>
      <c r="N18" s="65">
        <f>'TOTAL ESTACIONES'!N18</f>
        <v>1054</v>
      </c>
      <c r="O18" s="65">
        <f>'TOTAL ESTACIONES'!O18</f>
        <v>0</v>
      </c>
      <c r="P18" s="65">
        <f>'TOTAL ESTACIONES'!P18</f>
        <v>4980</v>
      </c>
      <c r="Q18" s="65">
        <f>'TOTAL ESTACIONES'!Q18</f>
        <v>0</v>
      </c>
      <c r="R18" s="65">
        <f>'TOTAL ESTACIONES'!R18</f>
        <v>10470</v>
      </c>
      <c r="S18" s="65">
        <f>'TOTAL ESTACIONES'!S18</f>
        <v>11452</v>
      </c>
      <c r="T18" s="65">
        <f>'TOTAL ESTACIONES'!T18</f>
        <v>0</v>
      </c>
      <c r="U18" s="65">
        <f>'TOTAL ESTACIONES'!U18</f>
        <v>0</v>
      </c>
      <c r="V18" s="65">
        <f>'TOTAL ESTACIONES'!V18</f>
        <v>176195</v>
      </c>
      <c r="W18" s="73">
        <f>'TOTAL ESTACIONES'!W18</f>
        <v>1.9661024253007862E-4</v>
      </c>
      <c r="X18" s="89"/>
      <c r="Y18" s="65">
        <f>'TOTAL ESTACIONES'!Y18</f>
        <v>0</v>
      </c>
      <c r="Z18" s="65">
        <f>'TOTAL ESTACIONES'!Z18</f>
        <v>0</v>
      </c>
      <c r="AA18" s="65">
        <f>'TOTAL ESTACIONES'!AA18</f>
        <v>0</v>
      </c>
      <c r="AB18" s="65">
        <f>'TOTAL ESTACIONES'!AB18</f>
        <v>0</v>
      </c>
      <c r="AC18" s="65">
        <f>'TOTAL ESTACIONES'!AC18</f>
        <v>0</v>
      </c>
      <c r="AD18" s="65">
        <f>'TOTAL ESTACIONES'!AD18</f>
        <v>0</v>
      </c>
      <c r="AE18" s="65">
        <f>'TOTAL ESTACIONES'!AE18</f>
        <v>0</v>
      </c>
      <c r="AF18" s="65">
        <f>'TOTAL ESTACIONES'!AF18</f>
        <v>0</v>
      </c>
      <c r="AG18" s="65">
        <f>'TOTAL ESTACIONES'!AG18</f>
        <v>0</v>
      </c>
      <c r="AH18" s="65">
        <f>'TOTAL ESTACIONES'!AH18</f>
        <v>0</v>
      </c>
      <c r="AI18" s="65">
        <f>'TOTAL ESTACIONES'!AI18</f>
        <v>0</v>
      </c>
      <c r="AJ18" s="65">
        <f>'TOTAL ESTACIONES'!AJ18</f>
        <v>0</v>
      </c>
      <c r="AK18" s="65">
        <f>'TOTAL ESTACIONES'!AK18</f>
        <v>0</v>
      </c>
      <c r="AL18" s="73">
        <f>'TOTAL ESTACIONES'!AL18</f>
        <v>0</v>
      </c>
      <c r="AM18" s="14">
        <f>'TOTAL ESTACIONES'!AM18</f>
        <v>-1</v>
      </c>
      <c r="AN18" s="89"/>
      <c r="AS18" s="65">
        <v>0</v>
      </c>
    </row>
    <row r="19" spans="1:45" ht="15" hidden="1" customHeight="1" outlineLevel="1">
      <c r="A19" s="37" t="s">
        <v>97</v>
      </c>
      <c r="B19" s="39"/>
      <c r="C19" s="39" t="s">
        <v>112</v>
      </c>
      <c r="D19" s="37"/>
      <c r="E19" s="184"/>
      <c r="F19" s="37"/>
      <c r="G19" s="37"/>
      <c r="H19" s="37"/>
      <c r="I19" s="167" t="s">
        <v>113</v>
      </c>
      <c r="J19" s="65">
        <f>'TOTAL ESTACIONES'!J19</f>
        <v>852</v>
      </c>
      <c r="K19" s="65">
        <f>'TOTAL ESTACIONES'!K19</f>
        <v>0</v>
      </c>
      <c r="L19" s="65">
        <f>'TOTAL ESTACIONES'!L19</f>
        <v>302</v>
      </c>
      <c r="M19" s="65">
        <f>'TOTAL ESTACIONES'!M19</f>
        <v>384</v>
      </c>
      <c r="N19" s="65">
        <f>'TOTAL ESTACIONES'!N19</f>
        <v>1771</v>
      </c>
      <c r="O19" s="65">
        <f>'TOTAL ESTACIONES'!O19</f>
        <v>0</v>
      </c>
      <c r="P19" s="65">
        <f>'TOTAL ESTACIONES'!P19</f>
        <v>0</v>
      </c>
      <c r="Q19" s="65">
        <f>'TOTAL ESTACIONES'!Q19</f>
        <v>9479</v>
      </c>
      <c r="R19" s="65">
        <f>'TOTAL ESTACIONES'!R19</f>
        <v>0</v>
      </c>
      <c r="S19" s="65">
        <f>'TOTAL ESTACIONES'!S19</f>
        <v>2184</v>
      </c>
      <c r="T19" s="65">
        <f>'TOTAL ESTACIONES'!T19</f>
        <v>0</v>
      </c>
      <c r="U19" s="65">
        <f>'TOTAL ESTACIONES'!U19</f>
        <v>0</v>
      </c>
      <c r="V19" s="65">
        <f>'TOTAL ESTACIONES'!V19</f>
        <v>14972</v>
      </c>
      <c r="W19" s="73">
        <f>'TOTAL ESTACIONES'!W19</f>
        <v>1.6706765522065537E-5</v>
      </c>
      <c r="X19" s="89"/>
      <c r="Y19" s="65">
        <f>'TOTAL ESTACIONES'!Y19</f>
        <v>0</v>
      </c>
      <c r="Z19" s="65">
        <f>'TOTAL ESTACIONES'!Z19</f>
        <v>0</v>
      </c>
      <c r="AA19" s="65">
        <f>'TOTAL ESTACIONES'!AA19</f>
        <v>0</v>
      </c>
      <c r="AB19" s="65">
        <f>'TOTAL ESTACIONES'!AB19</f>
        <v>0</v>
      </c>
      <c r="AC19" s="65">
        <f>'TOTAL ESTACIONES'!AC19</f>
        <v>0</v>
      </c>
      <c r="AD19" s="65">
        <f>'TOTAL ESTACIONES'!AD19</f>
        <v>0</v>
      </c>
      <c r="AE19" s="65">
        <f>'TOTAL ESTACIONES'!AE19</f>
        <v>0</v>
      </c>
      <c r="AF19" s="65">
        <f>'TOTAL ESTACIONES'!AF19</f>
        <v>0</v>
      </c>
      <c r="AG19" s="65">
        <f>'TOTAL ESTACIONES'!AG19</f>
        <v>0</v>
      </c>
      <c r="AH19" s="65">
        <f>'TOTAL ESTACIONES'!AH19</f>
        <v>0</v>
      </c>
      <c r="AI19" s="65">
        <f>'TOTAL ESTACIONES'!AI19</f>
        <v>0</v>
      </c>
      <c r="AJ19" s="65">
        <f>'TOTAL ESTACIONES'!AJ19</f>
        <v>0</v>
      </c>
      <c r="AK19" s="65">
        <f>'TOTAL ESTACIONES'!AK19</f>
        <v>0</v>
      </c>
      <c r="AL19" s="73">
        <f>'TOTAL ESTACIONES'!AL19</f>
        <v>0</v>
      </c>
      <c r="AM19" s="14">
        <f>'TOTAL ESTACIONES'!AM19</f>
        <v>-1</v>
      </c>
      <c r="AN19" s="89"/>
      <c r="AS19" s="65">
        <v>0</v>
      </c>
    </row>
    <row r="20" spans="1:45" ht="15" hidden="1" customHeight="1" outlineLevel="1">
      <c r="A20" s="37" t="s">
        <v>97</v>
      </c>
      <c r="B20" s="39"/>
      <c r="C20" s="39" t="s">
        <v>117</v>
      </c>
      <c r="D20" s="37" t="s">
        <v>118</v>
      </c>
      <c r="E20" s="184"/>
      <c r="F20" s="37"/>
      <c r="G20" s="37"/>
      <c r="H20" s="37"/>
      <c r="I20" s="167" t="s">
        <v>114</v>
      </c>
      <c r="J20" s="65">
        <f>'TOTAL ESTACIONES'!J20</f>
        <v>0</v>
      </c>
      <c r="K20" s="65">
        <f>'TOTAL ESTACIONES'!K20</f>
        <v>-29285</v>
      </c>
      <c r="L20" s="65">
        <f>'TOTAL ESTACIONES'!L20</f>
        <v>-144224</v>
      </c>
      <c r="M20" s="65">
        <f>'TOTAL ESTACIONES'!M20</f>
        <v>-252600</v>
      </c>
      <c r="N20" s="65">
        <f>'TOTAL ESTACIONES'!N20</f>
        <v>-542629</v>
      </c>
      <c r="O20" s="65">
        <f>'TOTAL ESTACIONES'!O20</f>
        <v>-772168</v>
      </c>
      <c r="P20" s="65">
        <f>'TOTAL ESTACIONES'!P20</f>
        <v>-628594</v>
      </c>
      <c r="Q20" s="65">
        <f>'TOTAL ESTACIONES'!Q20</f>
        <v>-417439</v>
      </c>
      <c r="R20" s="65">
        <f>'TOTAL ESTACIONES'!R20</f>
        <v>-568617</v>
      </c>
      <c r="S20" s="65">
        <f>'TOTAL ESTACIONES'!S20</f>
        <v>-462556</v>
      </c>
      <c r="T20" s="65">
        <f>'TOTAL ESTACIONES'!T20</f>
        <v>0</v>
      </c>
      <c r="U20" s="65">
        <f>'TOTAL ESTACIONES'!U20</f>
        <v>0</v>
      </c>
      <c r="V20" s="65">
        <f>'TOTAL ESTACIONES'!V20</f>
        <v>-3818112</v>
      </c>
      <c r="W20" s="73">
        <f>'TOTAL ESTACIONES'!W20</f>
        <v>-4.2605064066914703E-3</v>
      </c>
      <c r="X20" s="89"/>
      <c r="Y20" s="65">
        <f>'TOTAL ESTACIONES'!Y20</f>
        <v>0</v>
      </c>
      <c r="Z20" s="65">
        <f>'TOTAL ESTACIONES'!Z20</f>
        <v>0</v>
      </c>
      <c r="AA20" s="65">
        <f>'TOTAL ESTACIONES'!AA20</f>
        <v>0</v>
      </c>
      <c r="AB20" s="65">
        <f>'TOTAL ESTACIONES'!AB20</f>
        <v>0</v>
      </c>
      <c r="AC20" s="65">
        <f>'TOTAL ESTACIONES'!AC20</f>
        <v>0</v>
      </c>
      <c r="AD20" s="65">
        <f>'TOTAL ESTACIONES'!AD20</f>
        <v>0</v>
      </c>
      <c r="AE20" s="65">
        <f>'TOTAL ESTACIONES'!AE20</f>
        <v>0</v>
      </c>
      <c r="AF20" s="65">
        <f>'TOTAL ESTACIONES'!AF20</f>
        <v>0</v>
      </c>
      <c r="AG20" s="65">
        <f>'TOTAL ESTACIONES'!AG20</f>
        <v>0</v>
      </c>
      <c r="AH20" s="65">
        <f>'TOTAL ESTACIONES'!AH20</f>
        <v>0</v>
      </c>
      <c r="AI20" s="65">
        <f>'TOTAL ESTACIONES'!AI20</f>
        <v>0</v>
      </c>
      <c r="AJ20" s="65">
        <f>'TOTAL ESTACIONES'!AJ20</f>
        <v>0</v>
      </c>
      <c r="AK20" s="65">
        <f>'TOTAL ESTACIONES'!AK20</f>
        <v>0</v>
      </c>
      <c r="AL20" s="73">
        <f>'TOTAL ESTACIONES'!AL20</f>
        <v>0</v>
      </c>
      <c r="AM20" s="14">
        <f>'TOTAL ESTACIONES'!AM20</f>
        <v>-1</v>
      </c>
      <c r="AN20" s="89"/>
      <c r="AS20" s="65">
        <v>0</v>
      </c>
    </row>
    <row r="21" spans="1:45" ht="15" hidden="1" customHeight="1" outlineLevel="1">
      <c r="A21" s="37" t="s">
        <v>97</v>
      </c>
      <c r="B21" s="39"/>
      <c r="C21" s="39" t="s">
        <v>120</v>
      </c>
      <c r="D21" s="37"/>
      <c r="E21" s="184"/>
      <c r="F21" s="37"/>
      <c r="G21" s="37"/>
      <c r="H21" s="37"/>
      <c r="I21" s="167" t="s">
        <v>115</v>
      </c>
      <c r="J21" s="65">
        <f>'TOTAL ESTACIONES'!J21</f>
        <v>-11558</v>
      </c>
      <c r="K21" s="65">
        <f>'TOTAL ESTACIONES'!K21</f>
        <v>-10191</v>
      </c>
      <c r="L21" s="65">
        <f>'TOTAL ESTACIONES'!L21</f>
        <v>-23886</v>
      </c>
      <c r="M21" s="65">
        <f>'TOTAL ESTACIONES'!M21</f>
        <v>-25404</v>
      </c>
      <c r="N21" s="65">
        <f>'TOTAL ESTACIONES'!N21</f>
        <v>-70527</v>
      </c>
      <c r="O21" s="65">
        <f>'TOTAL ESTACIONES'!O21</f>
        <v>-88473</v>
      </c>
      <c r="P21" s="65">
        <f>'TOTAL ESTACIONES'!P21</f>
        <v>-75995</v>
      </c>
      <c r="Q21" s="65">
        <f>'TOTAL ESTACIONES'!Q21</f>
        <v>-29922</v>
      </c>
      <c r="R21" s="65">
        <f>'TOTAL ESTACIONES'!R21</f>
        <v>-40605</v>
      </c>
      <c r="S21" s="65">
        <f>'TOTAL ESTACIONES'!S21</f>
        <v>-35220</v>
      </c>
      <c r="T21" s="65">
        <f>'TOTAL ESTACIONES'!T21</f>
        <v>0</v>
      </c>
      <c r="U21" s="65">
        <f>'TOTAL ESTACIONES'!U21</f>
        <v>0</v>
      </c>
      <c r="V21" s="65">
        <f>'TOTAL ESTACIONES'!V21</f>
        <v>-411781</v>
      </c>
      <c r="W21" s="73">
        <f>'TOTAL ESTACIONES'!W21</f>
        <v>-4.594929610901462E-4</v>
      </c>
      <c r="X21" s="89"/>
      <c r="Y21" s="65">
        <f>'TOTAL ESTACIONES'!Y21</f>
        <v>0</v>
      </c>
      <c r="Z21" s="65">
        <f>'TOTAL ESTACIONES'!Z21</f>
        <v>0</v>
      </c>
      <c r="AA21" s="65">
        <f>'TOTAL ESTACIONES'!AA21</f>
        <v>0</v>
      </c>
      <c r="AB21" s="65">
        <f>'TOTAL ESTACIONES'!AB21</f>
        <v>0</v>
      </c>
      <c r="AC21" s="65">
        <f>'TOTAL ESTACIONES'!AC21</f>
        <v>0</v>
      </c>
      <c r="AD21" s="65">
        <f>'TOTAL ESTACIONES'!AD21</f>
        <v>0</v>
      </c>
      <c r="AE21" s="65">
        <f>'TOTAL ESTACIONES'!AE21</f>
        <v>0</v>
      </c>
      <c r="AF21" s="65">
        <f>'TOTAL ESTACIONES'!AF21</f>
        <v>0</v>
      </c>
      <c r="AG21" s="65">
        <f>'TOTAL ESTACIONES'!AG21</f>
        <v>0</v>
      </c>
      <c r="AH21" s="65">
        <f>'TOTAL ESTACIONES'!AH21</f>
        <v>0</v>
      </c>
      <c r="AI21" s="65">
        <f>'TOTAL ESTACIONES'!AI21</f>
        <v>0</v>
      </c>
      <c r="AJ21" s="65">
        <f>'TOTAL ESTACIONES'!AJ21</f>
        <v>0</v>
      </c>
      <c r="AK21" s="65">
        <f>'TOTAL ESTACIONES'!AK21</f>
        <v>0</v>
      </c>
      <c r="AL21" s="73">
        <f>'TOTAL ESTACIONES'!AL21</f>
        <v>0</v>
      </c>
      <c r="AM21" s="14">
        <f>'TOTAL ESTACIONES'!AM21</f>
        <v>-1</v>
      </c>
      <c r="AN21" s="89"/>
      <c r="AS21" s="65">
        <v>0</v>
      </c>
    </row>
    <row r="22" spans="1:45" ht="15" hidden="1" customHeight="1" outlineLevel="1">
      <c r="A22" s="37" t="s">
        <v>97</v>
      </c>
      <c r="B22" s="39"/>
      <c r="C22" s="39" t="s">
        <v>122</v>
      </c>
      <c r="D22" s="37"/>
      <c r="E22" s="184"/>
      <c r="F22" s="37"/>
      <c r="G22" s="37"/>
      <c r="H22" s="37"/>
      <c r="I22" s="167" t="s">
        <v>116</v>
      </c>
      <c r="J22" s="65">
        <f>'TOTAL ESTACIONES'!J22</f>
        <v>-59339</v>
      </c>
      <c r="K22" s="65">
        <f>'TOTAL ESTACIONES'!K22</f>
        <v>-93897</v>
      </c>
      <c r="L22" s="65">
        <f>'TOTAL ESTACIONES'!L22</f>
        <v>-118699</v>
      </c>
      <c r="M22" s="65">
        <f>'TOTAL ESTACIONES'!M22</f>
        <v>-121515</v>
      </c>
      <c r="N22" s="65">
        <f>'TOTAL ESTACIONES'!N22</f>
        <v>-185372</v>
      </c>
      <c r="O22" s="65">
        <f>'TOTAL ESTACIONES'!O22</f>
        <v>-209250</v>
      </c>
      <c r="P22" s="65">
        <f>'TOTAL ESTACIONES'!P22</f>
        <v>-242095</v>
      </c>
      <c r="Q22" s="65">
        <f>'TOTAL ESTACIONES'!Q22</f>
        <v>-81498</v>
      </c>
      <c r="R22" s="65">
        <f>'TOTAL ESTACIONES'!R22</f>
        <v>-262758</v>
      </c>
      <c r="S22" s="65">
        <f>'TOTAL ESTACIONES'!S22</f>
        <v>-141507</v>
      </c>
      <c r="T22" s="65">
        <f>'TOTAL ESTACIONES'!T22</f>
        <v>0</v>
      </c>
      <c r="U22" s="65">
        <f>'TOTAL ESTACIONES'!U22</f>
        <v>0</v>
      </c>
      <c r="V22" s="65">
        <f>'TOTAL ESTACIONES'!V22</f>
        <v>-1515930</v>
      </c>
      <c r="W22" s="73">
        <f>'TOTAL ESTACIONES'!W22</f>
        <v>-1.6915767471189426E-3</v>
      </c>
      <c r="X22" s="89"/>
      <c r="Y22" s="65">
        <f>'TOTAL ESTACIONES'!Y22</f>
        <v>0</v>
      </c>
      <c r="Z22" s="65">
        <f>'TOTAL ESTACIONES'!Z22</f>
        <v>0</v>
      </c>
      <c r="AA22" s="65">
        <f>'TOTAL ESTACIONES'!AA22</f>
        <v>0</v>
      </c>
      <c r="AB22" s="65">
        <f>'TOTAL ESTACIONES'!AB22</f>
        <v>0</v>
      </c>
      <c r="AC22" s="65">
        <f>'TOTAL ESTACIONES'!AC22</f>
        <v>0</v>
      </c>
      <c r="AD22" s="65">
        <f>'TOTAL ESTACIONES'!AD22</f>
        <v>0</v>
      </c>
      <c r="AE22" s="65">
        <f>'TOTAL ESTACIONES'!AE22</f>
        <v>0</v>
      </c>
      <c r="AF22" s="65">
        <f>'TOTAL ESTACIONES'!AF22</f>
        <v>0</v>
      </c>
      <c r="AG22" s="65">
        <f>'TOTAL ESTACIONES'!AG22</f>
        <v>0</v>
      </c>
      <c r="AH22" s="65">
        <f>'TOTAL ESTACIONES'!AH22</f>
        <v>0</v>
      </c>
      <c r="AI22" s="65">
        <f>'TOTAL ESTACIONES'!AI22</f>
        <v>0</v>
      </c>
      <c r="AJ22" s="65">
        <f>'TOTAL ESTACIONES'!AJ22</f>
        <v>0</v>
      </c>
      <c r="AK22" s="65">
        <f>'TOTAL ESTACIONES'!AK22</f>
        <v>0</v>
      </c>
      <c r="AL22" s="73">
        <f>'TOTAL ESTACIONES'!AL22</f>
        <v>0</v>
      </c>
      <c r="AM22" s="14">
        <f>'TOTAL ESTACIONES'!AM22</f>
        <v>-1</v>
      </c>
      <c r="AN22" s="89"/>
      <c r="AS22" s="65">
        <v>0</v>
      </c>
    </row>
    <row r="23" spans="1:45" ht="15" hidden="1" customHeight="1" outlineLevel="1">
      <c r="A23" s="37" t="s">
        <v>97</v>
      </c>
      <c r="B23" s="39"/>
      <c r="C23" s="39" t="s">
        <v>124</v>
      </c>
      <c r="D23" s="37"/>
      <c r="E23" s="184"/>
      <c r="F23" s="37"/>
      <c r="G23" s="37"/>
      <c r="H23" s="37"/>
      <c r="I23" s="171" t="s">
        <v>119</v>
      </c>
      <c r="J23" s="65">
        <f>'TOTAL ESTACIONES'!J23</f>
        <v>110309</v>
      </c>
      <c r="K23" s="65">
        <f>'TOTAL ESTACIONES'!K23</f>
        <v>183033</v>
      </c>
      <c r="L23" s="65">
        <f>'TOTAL ESTACIONES'!L23</f>
        <v>118902</v>
      </c>
      <c r="M23" s="65">
        <f>'TOTAL ESTACIONES'!M23</f>
        <v>491588</v>
      </c>
      <c r="N23" s="65">
        <f>'TOTAL ESTACIONES'!N23</f>
        <v>-240501</v>
      </c>
      <c r="O23" s="65">
        <f>'TOTAL ESTACIONES'!O23</f>
        <v>129867</v>
      </c>
      <c r="P23" s="65">
        <f>'TOTAL ESTACIONES'!P23</f>
        <v>132184</v>
      </c>
      <c r="Q23" s="65">
        <f>'TOTAL ESTACIONES'!Q23</f>
        <v>108896</v>
      </c>
      <c r="R23" s="65">
        <f>'TOTAL ESTACIONES'!R23</f>
        <v>132792</v>
      </c>
      <c r="S23" s="65">
        <f>'TOTAL ESTACIONES'!S23</f>
        <v>105932</v>
      </c>
      <c r="T23" s="65">
        <f>'TOTAL ESTACIONES'!T23</f>
        <v>0</v>
      </c>
      <c r="U23" s="65">
        <f>'TOTAL ESTACIONES'!U23</f>
        <v>0</v>
      </c>
      <c r="V23" s="65">
        <f>'TOTAL ESTACIONES'!V23</f>
        <v>1273002</v>
      </c>
      <c r="W23" s="73">
        <f>'TOTAL ESTACIONES'!W23</f>
        <v>1.4205013306919899E-3</v>
      </c>
      <c r="X23" s="89"/>
      <c r="Y23" s="65">
        <f>'TOTAL ESTACIONES'!Y23</f>
        <v>0</v>
      </c>
      <c r="Z23" s="65">
        <f>'TOTAL ESTACIONES'!Z23</f>
        <v>0</v>
      </c>
      <c r="AA23" s="65">
        <f>'TOTAL ESTACIONES'!AA23</f>
        <v>0</v>
      </c>
      <c r="AB23" s="65">
        <f>'TOTAL ESTACIONES'!AB23</f>
        <v>0</v>
      </c>
      <c r="AC23" s="65">
        <f>'TOTAL ESTACIONES'!AC23</f>
        <v>0</v>
      </c>
      <c r="AD23" s="65">
        <f>'TOTAL ESTACIONES'!AD23</f>
        <v>0</v>
      </c>
      <c r="AE23" s="65">
        <f>'TOTAL ESTACIONES'!AE23</f>
        <v>0</v>
      </c>
      <c r="AF23" s="65">
        <f>'TOTAL ESTACIONES'!AF23</f>
        <v>0</v>
      </c>
      <c r="AG23" s="65">
        <f>'TOTAL ESTACIONES'!AG23</f>
        <v>0</v>
      </c>
      <c r="AH23" s="65">
        <f>'TOTAL ESTACIONES'!AH23</f>
        <v>0</v>
      </c>
      <c r="AI23" s="65">
        <f>'TOTAL ESTACIONES'!AI23</f>
        <v>0</v>
      </c>
      <c r="AJ23" s="65">
        <f>'TOTAL ESTACIONES'!AJ23</f>
        <v>0</v>
      </c>
      <c r="AK23" s="65">
        <f>'TOTAL ESTACIONES'!AK23</f>
        <v>0</v>
      </c>
      <c r="AL23" s="73">
        <f>'TOTAL ESTACIONES'!AL23</f>
        <v>0</v>
      </c>
      <c r="AM23" s="14">
        <f>'TOTAL ESTACIONES'!AM23</f>
        <v>-1</v>
      </c>
      <c r="AN23" s="89"/>
      <c r="AS23" s="65">
        <v>0</v>
      </c>
    </row>
    <row r="24" spans="1:45" ht="15" hidden="1" customHeight="1" outlineLevel="1">
      <c r="A24" s="37" t="s">
        <v>97</v>
      </c>
      <c r="B24" s="39"/>
      <c r="C24" s="39" t="s">
        <v>126</v>
      </c>
      <c r="D24" s="37"/>
      <c r="E24" s="184"/>
      <c r="F24" s="37"/>
      <c r="G24" s="37"/>
      <c r="H24" s="37"/>
      <c r="I24" s="172" t="s">
        <v>121</v>
      </c>
      <c r="J24" s="65">
        <f>'TOTAL ESTACIONES'!J24</f>
        <v>10018</v>
      </c>
      <c r="K24" s="65">
        <f>'TOTAL ESTACIONES'!K24</f>
        <v>20216</v>
      </c>
      <c r="L24" s="65">
        <f>'TOTAL ESTACIONES'!L24</f>
        <v>12073</v>
      </c>
      <c r="M24" s="65">
        <f>'TOTAL ESTACIONES'!M24</f>
        <v>11105</v>
      </c>
      <c r="N24" s="65">
        <f>'TOTAL ESTACIONES'!N24</f>
        <v>12892</v>
      </c>
      <c r="O24" s="65">
        <f>'TOTAL ESTACIONES'!O24</f>
        <v>14241</v>
      </c>
      <c r="P24" s="65">
        <f>'TOTAL ESTACIONES'!P24</f>
        <v>14417</v>
      </c>
      <c r="Q24" s="65">
        <f>'TOTAL ESTACIONES'!Q24</f>
        <v>3951</v>
      </c>
      <c r="R24" s="65">
        <f>'TOTAL ESTACIONES'!R24</f>
        <v>15302</v>
      </c>
      <c r="S24" s="65">
        <f>'TOTAL ESTACIONES'!S24</f>
        <v>11726</v>
      </c>
      <c r="T24" s="65">
        <f>'TOTAL ESTACIONES'!T24</f>
        <v>0</v>
      </c>
      <c r="U24" s="65">
        <f>'TOTAL ESTACIONES'!U24</f>
        <v>0</v>
      </c>
      <c r="V24" s="65">
        <f>'TOTAL ESTACIONES'!V24</f>
        <v>125941</v>
      </c>
      <c r="W24" s="73">
        <f>'TOTAL ESTACIONES'!W24</f>
        <v>1.4053344620721718E-4</v>
      </c>
      <c r="X24" s="89"/>
      <c r="Y24" s="65">
        <f>'TOTAL ESTACIONES'!Y24</f>
        <v>0</v>
      </c>
      <c r="Z24" s="65">
        <f>'TOTAL ESTACIONES'!Z24</f>
        <v>0</v>
      </c>
      <c r="AA24" s="65">
        <f>'TOTAL ESTACIONES'!AA24</f>
        <v>0</v>
      </c>
      <c r="AB24" s="65">
        <f>'TOTAL ESTACIONES'!AB24</f>
        <v>0</v>
      </c>
      <c r="AC24" s="65">
        <f>'TOTAL ESTACIONES'!AC24</f>
        <v>0</v>
      </c>
      <c r="AD24" s="65">
        <f>'TOTAL ESTACIONES'!AD24</f>
        <v>0</v>
      </c>
      <c r="AE24" s="65">
        <f>'TOTAL ESTACIONES'!AE24</f>
        <v>0</v>
      </c>
      <c r="AF24" s="65">
        <f>'TOTAL ESTACIONES'!AF24</f>
        <v>0</v>
      </c>
      <c r="AG24" s="65">
        <f>'TOTAL ESTACIONES'!AG24</f>
        <v>0</v>
      </c>
      <c r="AH24" s="65">
        <f>'TOTAL ESTACIONES'!AH24</f>
        <v>0</v>
      </c>
      <c r="AI24" s="65">
        <f>'TOTAL ESTACIONES'!AI24</f>
        <v>0</v>
      </c>
      <c r="AJ24" s="65">
        <f>'TOTAL ESTACIONES'!AJ24</f>
        <v>0</v>
      </c>
      <c r="AK24" s="65">
        <f>'TOTAL ESTACIONES'!AK24</f>
        <v>0</v>
      </c>
      <c r="AL24" s="73">
        <f>'TOTAL ESTACIONES'!AL24</f>
        <v>0</v>
      </c>
      <c r="AM24" s="14">
        <f>'TOTAL ESTACIONES'!AM24</f>
        <v>-1</v>
      </c>
      <c r="AN24" s="89"/>
      <c r="AS24" s="65">
        <v>0</v>
      </c>
    </row>
    <row r="25" spans="1:45" ht="15" hidden="1" customHeight="1" outlineLevel="1">
      <c r="A25" s="37" t="s">
        <v>97</v>
      </c>
      <c r="B25" s="39"/>
      <c r="C25" s="39" t="s">
        <v>127</v>
      </c>
      <c r="D25" s="37" t="s">
        <v>90</v>
      </c>
      <c r="E25" s="184"/>
      <c r="F25" s="37"/>
      <c r="G25" s="37"/>
      <c r="H25" s="37"/>
      <c r="I25" s="171" t="s">
        <v>123</v>
      </c>
      <c r="J25" s="65">
        <f>'TOTAL ESTACIONES'!J25</f>
        <v>0</v>
      </c>
      <c r="K25" s="65">
        <f>'TOTAL ESTACIONES'!K25</f>
        <v>0</v>
      </c>
      <c r="L25" s="65">
        <f>'TOTAL ESTACIONES'!L25</f>
        <v>0</v>
      </c>
      <c r="M25" s="65">
        <f>'TOTAL ESTACIONES'!M25</f>
        <v>0</v>
      </c>
      <c r="N25" s="65">
        <f>'TOTAL ESTACIONES'!N25</f>
        <v>1841</v>
      </c>
      <c r="O25" s="65">
        <f>'TOTAL ESTACIONES'!O25</f>
        <v>0</v>
      </c>
      <c r="P25" s="65">
        <f>'TOTAL ESTACIONES'!P25</f>
        <v>0</v>
      </c>
      <c r="Q25" s="65">
        <f>'TOTAL ESTACIONES'!Q25</f>
        <v>916</v>
      </c>
      <c r="R25" s="65">
        <f>'TOTAL ESTACIONES'!R25</f>
        <v>0</v>
      </c>
      <c r="S25" s="65">
        <f>'TOTAL ESTACIONES'!S25</f>
        <v>0</v>
      </c>
      <c r="T25" s="65">
        <f>'TOTAL ESTACIONES'!T25</f>
        <v>0</v>
      </c>
      <c r="U25" s="65">
        <f>'TOTAL ESTACIONES'!U25</f>
        <v>0</v>
      </c>
      <c r="V25" s="65">
        <f>'TOTAL ESTACIONES'!V25</f>
        <v>2757</v>
      </c>
      <c r="W25" s="73">
        <f>'TOTAL ESTACIONES'!W25</f>
        <v>3.0764462025337087E-6</v>
      </c>
      <c r="X25" s="89"/>
      <c r="Y25" s="65">
        <f>'TOTAL ESTACIONES'!Y25</f>
        <v>0</v>
      </c>
      <c r="Z25" s="65">
        <f>'TOTAL ESTACIONES'!Z25</f>
        <v>0</v>
      </c>
      <c r="AA25" s="65">
        <f>'TOTAL ESTACIONES'!AA25</f>
        <v>0</v>
      </c>
      <c r="AB25" s="65">
        <f>'TOTAL ESTACIONES'!AB25</f>
        <v>0</v>
      </c>
      <c r="AC25" s="65">
        <f>'TOTAL ESTACIONES'!AC25</f>
        <v>0</v>
      </c>
      <c r="AD25" s="65">
        <f>'TOTAL ESTACIONES'!AD25</f>
        <v>0</v>
      </c>
      <c r="AE25" s="65">
        <f>'TOTAL ESTACIONES'!AE25</f>
        <v>0</v>
      </c>
      <c r="AF25" s="65">
        <f>'TOTAL ESTACIONES'!AF25</f>
        <v>0</v>
      </c>
      <c r="AG25" s="65">
        <f>'TOTAL ESTACIONES'!AG25</f>
        <v>0</v>
      </c>
      <c r="AH25" s="65">
        <f>'TOTAL ESTACIONES'!AH25</f>
        <v>0</v>
      </c>
      <c r="AI25" s="65">
        <f>'TOTAL ESTACIONES'!AI25</f>
        <v>0</v>
      </c>
      <c r="AJ25" s="65">
        <f>'TOTAL ESTACIONES'!AJ25</f>
        <v>0</v>
      </c>
      <c r="AK25" s="65">
        <f>'TOTAL ESTACIONES'!AK25</f>
        <v>0</v>
      </c>
      <c r="AL25" s="73">
        <f>'TOTAL ESTACIONES'!AL25</f>
        <v>0</v>
      </c>
      <c r="AM25" s="14">
        <f>'TOTAL ESTACIONES'!AM25</f>
        <v>-1</v>
      </c>
      <c r="AN25" s="89"/>
      <c r="AS25" s="65">
        <v>0</v>
      </c>
    </row>
    <row r="26" spans="1:45" ht="15" hidden="1" customHeight="1" outlineLevel="1">
      <c r="A26" s="37"/>
      <c r="B26" s="39"/>
      <c r="C26" s="39"/>
      <c r="D26" s="37"/>
      <c r="E26" s="184"/>
      <c r="F26" s="37"/>
      <c r="G26" s="37"/>
      <c r="H26" s="37"/>
      <c r="I26" s="172" t="s">
        <v>125</v>
      </c>
      <c r="J26" s="65">
        <f>'TOTAL ESTACIONES'!J26</f>
        <v>0</v>
      </c>
      <c r="K26" s="65">
        <f>'TOTAL ESTACIONES'!K26</f>
        <v>0</v>
      </c>
      <c r="L26" s="65">
        <f>'TOTAL ESTACIONES'!L26</f>
        <v>0</v>
      </c>
      <c r="M26" s="65">
        <f>'TOTAL ESTACIONES'!M26</f>
        <v>0</v>
      </c>
      <c r="N26" s="65">
        <f>'TOTAL ESTACIONES'!N26</f>
        <v>0</v>
      </c>
      <c r="O26" s="65">
        <f>'TOTAL ESTACIONES'!O26</f>
        <v>0</v>
      </c>
      <c r="P26" s="65">
        <f>'TOTAL ESTACIONES'!P26</f>
        <v>0</v>
      </c>
      <c r="Q26" s="65">
        <f>'TOTAL ESTACIONES'!Q26</f>
        <v>0</v>
      </c>
      <c r="R26" s="65">
        <f>'TOTAL ESTACIONES'!R26</f>
        <v>0</v>
      </c>
      <c r="S26" s="65">
        <f>'TOTAL ESTACIONES'!S26</f>
        <v>0</v>
      </c>
      <c r="T26" s="65">
        <f>'TOTAL ESTACIONES'!T26</f>
        <v>0</v>
      </c>
      <c r="U26" s="65">
        <f>'TOTAL ESTACIONES'!U26</f>
        <v>0</v>
      </c>
      <c r="V26" s="65">
        <f>'TOTAL ESTACIONES'!V26</f>
        <v>0</v>
      </c>
      <c r="W26" s="73">
        <f>'TOTAL ESTACIONES'!W26</f>
        <v>0</v>
      </c>
      <c r="X26" s="89"/>
      <c r="Y26" s="65">
        <f>'TOTAL ESTACIONES'!Y26</f>
        <v>0</v>
      </c>
      <c r="Z26" s="65">
        <f>'TOTAL ESTACIONES'!Z26</f>
        <v>0</v>
      </c>
      <c r="AA26" s="65">
        <f>'TOTAL ESTACIONES'!AA26</f>
        <v>0</v>
      </c>
      <c r="AB26" s="65">
        <f>'TOTAL ESTACIONES'!AB26</f>
        <v>0</v>
      </c>
      <c r="AC26" s="65">
        <f>'TOTAL ESTACIONES'!AC26</f>
        <v>0</v>
      </c>
      <c r="AD26" s="65">
        <f>'TOTAL ESTACIONES'!AD26</f>
        <v>0</v>
      </c>
      <c r="AE26" s="65">
        <f>'TOTAL ESTACIONES'!AE26</f>
        <v>0</v>
      </c>
      <c r="AF26" s="65">
        <f>'TOTAL ESTACIONES'!AF26</f>
        <v>0</v>
      </c>
      <c r="AG26" s="65">
        <f>'TOTAL ESTACIONES'!AG26</f>
        <v>0</v>
      </c>
      <c r="AH26" s="65">
        <f>'TOTAL ESTACIONES'!AH26</f>
        <v>0</v>
      </c>
      <c r="AI26" s="65">
        <f>'TOTAL ESTACIONES'!AI26</f>
        <v>0</v>
      </c>
      <c r="AJ26" s="65">
        <f>'TOTAL ESTACIONES'!AJ26</f>
        <v>0</v>
      </c>
      <c r="AK26" s="65">
        <f>'TOTAL ESTACIONES'!AK26</f>
        <v>0</v>
      </c>
      <c r="AL26" s="73">
        <f>'TOTAL ESTACIONES'!AL26</f>
        <v>0</v>
      </c>
      <c r="AM26" s="14">
        <f>'TOTAL ESTACIONES'!AM26</f>
        <v>0</v>
      </c>
      <c r="AN26" s="89"/>
      <c r="AS26" s="65">
        <v>0</v>
      </c>
    </row>
    <row r="27" spans="1:45" ht="15" hidden="1" customHeight="1" outlineLevel="1">
      <c r="A27" s="37"/>
      <c r="B27" s="39"/>
      <c r="C27" s="39"/>
      <c r="D27" s="37"/>
      <c r="E27" s="184"/>
      <c r="F27" s="37"/>
      <c r="G27" s="37"/>
      <c r="H27" s="37"/>
      <c r="I27" s="167" t="s">
        <v>126</v>
      </c>
      <c r="J27" s="65">
        <f>'TOTAL ESTACIONES'!J27</f>
        <v>0</v>
      </c>
      <c r="K27" s="65">
        <f>'TOTAL ESTACIONES'!K27</f>
        <v>0</v>
      </c>
      <c r="L27" s="65">
        <f>'TOTAL ESTACIONES'!L27</f>
        <v>0</v>
      </c>
      <c r="M27" s="65">
        <f>'TOTAL ESTACIONES'!M27</f>
        <v>0</v>
      </c>
      <c r="N27" s="65">
        <f>'TOTAL ESTACIONES'!N27</f>
        <v>0</v>
      </c>
      <c r="O27" s="65">
        <f>'TOTAL ESTACIONES'!O27</f>
        <v>0</v>
      </c>
      <c r="P27" s="65">
        <f>'TOTAL ESTACIONES'!P27</f>
        <v>0</v>
      </c>
      <c r="Q27" s="65">
        <f>'TOTAL ESTACIONES'!Q27</f>
        <v>0</v>
      </c>
      <c r="R27" s="65">
        <f>'TOTAL ESTACIONES'!R27</f>
        <v>0</v>
      </c>
      <c r="S27" s="65">
        <f>'TOTAL ESTACIONES'!S27</f>
        <v>0</v>
      </c>
      <c r="T27" s="65">
        <f>'TOTAL ESTACIONES'!T27</f>
        <v>0</v>
      </c>
      <c r="U27" s="65">
        <f>'TOTAL ESTACIONES'!U27</f>
        <v>0</v>
      </c>
      <c r="V27" s="65">
        <f>'TOTAL ESTACIONES'!V27</f>
        <v>0</v>
      </c>
      <c r="W27" s="73">
        <f>'TOTAL ESTACIONES'!W27</f>
        <v>0</v>
      </c>
      <c r="X27" s="89"/>
      <c r="Y27" s="65">
        <f>'TOTAL ESTACIONES'!Y27</f>
        <v>0</v>
      </c>
      <c r="Z27" s="65">
        <f>'TOTAL ESTACIONES'!Z27</f>
        <v>0</v>
      </c>
      <c r="AA27" s="65">
        <f>'TOTAL ESTACIONES'!AA27</f>
        <v>0</v>
      </c>
      <c r="AB27" s="65">
        <f>'TOTAL ESTACIONES'!AB27</f>
        <v>0</v>
      </c>
      <c r="AC27" s="65">
        <f>'TOTAL ESTACIONES'!AC27</f>
        <v>0</v>
      </c>
      <c r="AD27" s="65">
        <f>'TOTAL ESTACIONES'!AD27</f>
        <v>0</v>
      </c>
      <c r="AE27" s="65">
        <f>'TOTAL ESTACIONES'!AE27</f>
        <v>0</v>
      </c>
      <c r="AF27" s="65">
        <f>'TOTAL ESTACIONES'!AF27</f>
        <v>0</v>
      </c>
      <c r="AG27" s="65">
        <f>'TOTAL ESTACIONES'!AG27</f>
        <v>0</v>
      </c>
      <c r="AH27" s="65">
        <f>'TOTAL ESTACIONES'!AH27</f>
        <v>0</v>
      </c>
      <c r="AI27" s="65">
        <f>'TOTAL ESTACIONES'!AI27</f>
        <v>0</v>
      </c>
      <c r="AJ27" s="65">
        <f>'TOTAL ESTACIONES'!AJ27</f>
        <v>0</v>
      </c>
      <c r="AK27" s="65">
        <f>'TOTAL ESTACIONES'!AK27</f>
        <v>0</v>
      </c>
      <c r="AL27" s="73">
        <f>'TOTAL ESTACIONES'!AL27</f>
        <v>0</v>
      </c>
      <c r="AM27" s="14">
        <f>'TOTAL ESTACIONES'!AM27</f>
        <v>0</v>
      </c>
      <c r="AN27" s="89"/>
      <c r="AS27" s="65">
        <v>0</v>
      </c>
    </row>
    <row r="28" spans="1:45" hidden="1" outlineLevel="1">
      <c r="I28" s="171" t="s">
        <v>128</v>
      </c>
      <c r="J28" s="65">
        <f>'TOTAL ESTACIONES'!J28</f>
        <v>-9895352</v>
      </c>
      <c r="K28" s="65">
        <f>'TOTAL ESTACIONES'!K28</f>
        <v>-9741490</v>
      </c>
      <c r="L28" s="65">
        <f>'TOTAL ESTACIONES'!L28</f>
        <v>-10698216</v>
      </c>
      <c r="M28" s="65">
        <f>'TOTAL ESTACIONES'!M28</f>
        <v>-10091896</v>
      </c>
      <c r="N28" s="65">
        <f>'TOTAL ESTACIONES'!N28</f>
        <v>-11479619</v>
      </c>
      <c r="O28" s="65">
        <f>'TOTAL ESTACIONES'!O28</f>
        <v>-11206376</v>
      </c>
      <c r="P28" s="65">
        <f>'TOTAL ESTACIONES'!P28</f>
        <v>-11021279</v>
      </c>
      <c r="Q28" s="65">
        <f>'TOTAL ESTACIONES'!Q28</f>
        <v>-10539195</v>
      </c>
      <c r="R28" s="65">
        <f>'TOTAL ESTACIONES'!R28</f>
        <v>-10508948</v>
      </c>
      <c r="S28" s="65">
        <f>'TOTAL ESTACIONES'!S28</f>
        <v>-9535970</v>
      </c>
      <c r="T28" s="65">
        <f>'TOTAL ESTACIONES'!T28</f>
        <v>0</v>
      </c>
      <c r="U28" s="65">
        <f>'TOTAL ESTACIONES'!U28</f>
        <v>0</v>
      </c>
      <c r="V28" s="65">
        <f>'TOTAL ESTACIONES'!V28</f>
        <v>-104718341</v>
      </c>
      <c r="W28" s="73">
        <f>'TOTAL ESTACIONES'!W28</f>
        <v>-0.11685177457565468</v>
      </c>
      <c r="X28" s="89"/>
      <c r="Y28" s="65">
        <f>'TOTAL ESTACIONES'!Y28</f>
        <v>0</v>
      </c>
      <c r="Z28" s="65">
        <f>'TOTAL ESTACIONES'!Z28</f>
        <v>0</v>
      </c>
      <c r="AA28" s="65">
        <f>'TOTAL ESTACIONES'!AA28</f>
        <v>0</v>
      </c>
      <c r="AB28" s="65">
        <f>'TOTAL ESTACIONES'!AB28</f>
        <v>0</v>
      </c>
      <c r="AC28" s="65">
        <f>'TOTAL ESTACIONES'!AC28</f>
        <v>0</v>
      </c>
      <c r="AD28" s="65">
        <f>'TOTAL ESTACIONES'!AD28</f>
        <v>0</v>
      </c>
      <c r="AE28" s="65">
        <f>'TOTAL ESTACIONES'!AE28</f>
        <v>0</v>
      </c>
      <c r="AF28" s="65">
        <f>'TOTAL ESTACIONES'!AF28</f>
        <v>0</v>
      </c>
      <c r="AG28" s="65">
        <f>'TOTAL ESTACIONES'!AG28</f>
        <v>0</v>
      </c>
      <c r="AH28" s="65">
        <f>'TOTAL ESTACIONES'!AH28</f>
        <v>0</v>
      </c>
      <c r="AI28" s="65">
        <f>'TOTAL ESTACIONES'!AI28</f>
        <v>0</v>
      </c>
      <c r="AJ28" s="65">
        <f>'TOTAL ESTACIONES'!AJ28</f>
        <v>0</v>
      </c>
      <c r="AK28" s="65">
        <f>'TOTAL ESTACIONES'!AK28</f>
        <v>0</v>
      </c>
      <c r="AL28" s="73">
        <f>'TOTAL ESTACIONES'!AL28</f>
        <v>0</v>
      </c>
      <c r="AM28" s="14">
        <f>'TOTAL ESTACIONES'!AM28</f>
        <v>-1</v>
      </c>
      <c r="AN28" s="89"/>
      <c r="AS28" s="65">
        <v>0</v>
      </c>
    </row>
    <row r="29" spans="1:45" ht="15" hidden="1" customHeight="1" outlineLevel="1">
      <c r="I29" s="172" t="s">
        <v>130</v>
      </c>
      <c r="J29" s="65">
        <f>'TOTAL ESTACIONES'!J29</f>
        <v>-775258</v>
      </c>
      <c r="K29" s="65">
        <f>'TOTAL ESTACIONES'!K29</f>
        <v>-798009</v>
      </c>
      <c r="L29" s="65">
        <f>'TOTAL ESTACIONES'!L29</f>
        <v>-878327</v>
      </c>
      <c r="M29" s="65">
        <f>'TOTAL ESTACIONES'!M29</f>
        <v>-837300</v>
      </c>
      <c r="N29" s="65">
        <f>'TOTAL ESTACIONES'!N29</f>
        <v>-954984</v>
      </c>
      <c r="O29" s="65">
        <f>'TOTAL ESTACIONES'!O29</f>
        <v>-999309</v>
      </c>
      <c r="P29" s="65">
        <f>'TOTAL ESTACIONES'!P29</f>
        <v>-956207</v>
      </c>
      <c r="Q29" s="65">
        <f>'TOTAL ESTACIONES'!Q29</f>
        <v>-675074</v>
      </c>
      <c r="R29" s="65">
        <f>'TOTAL ESTACIONES'!R29</f>
        <v>-786834</v>
      </c>
      <c r="S29" s="65">
        <f>'TOTAL ESTACIONES'!S29</f>
        <v>-918388</v>
      </c>
      <c r="T29" s="65">
        <f>'TOTAL ESTACIONES'!T29</f>
        <v>0</v>
      </c>
      <c r="U29" s="65">
        <f>'TOTAL ESTACIONES'!U29</f>
        <v>0</v>
      </c>
      <c r="V29" s="65">
        <f>'TOTAL ESTACIONES'!V29</f>
        <v>-8579690</v>
      </c>
      <c r="W29" s="73">
        <f>'TOTAL ESTACIONES'!W29</f>
        <v>-9.573795690756776E-3</v>
      </c>
      <c r="X29" s="89"/>
      <c r="Y29" s="65">
        <f>'TOTAL ESTACIONES'!Y29</f>
        <v>0</v>
      </c>
      <c r="Z29" s="65">
        <f>'TOTAL ESTACIONES'!Z29</f>
        <v>0</v>
      </c>
      <c r="AA29" s="65">
        <f>'TOTAL ESTACIONES'!AA29</f>
        <v>0</v>
      </c>
      <c r="AB29" s="65">
        <f>'TOTAL ESTACIONES'!AB29</f>
        <v>0</v>
      </c>
      <c r="AC29" s="65">
        <f>'TOTAL ESTACIONES'!AC29</f>
        <v>0</v>
      </c>
      <c r="AD29" s="65">
        <f>'TOTAL ESTACIONES'!AD29</f>
        <v>0</v>
      </c>
      <c r="AE29" s="65">
        <f>'TOTAL ESTACIONES'!AE29</f>
        <v>0</v>
      </c>
      <c r="AF29" s="65">
        <f>'TOTAL ESTACIONES'!AF29</f>
        <v>0</v>
      </c>
      <c r="AG29" s="65">
        <f>'TOTAL ESTACIONES'!AG29</f>
        <v>0</v>
      </c>
      <c r="AH29" s="65">
        <f>'TOTAL ESTACIONES'!AH29</f>
        <v>0</v>
      </c>
      <c r="AI29" s="65">
        <f>'TOTAL ESTACIONES'!AI29</f>
        <v>0</v>
      </c>
      <c r="AJ29" s="65">
        <f>'TOTAL ESTACIONES'!AJ29</f>
        <v>0</v>
      </c>
      <c r="AK29" s="65">
        <f>'TOTAL ESTACIONES'!AK29</f>
        <v>0</v>
      </c>
      <c r="AL29" s="73">
        <f>'TOTAL ESTACIONES'!AL29</f>
        <v>0</v>
      </c>
      <c r="AM29" s="14">
        <f>'TOTAL ESTACIONES'!AM29</f>
        <v>-1</v>
      </c>
      <c r="AN29" s="90"/>
      <c r="AS29" s="65">
        <v>0</v>
      </c>
    </row>
    <row r="30" spans="1:45" ht="15" hidden="1" customHeight="1" outlineLevel="1">
      <c r="I30" s="172" t="s">
        <v>131</v>
      </c>
      <c r="J30" s="65">
        <f>'TOTAL ESTACIONES'!J30</f>
        <v>53854</v>
      </c>
      <c r="K30" s="65">
        <f>'TOTAL ESTACIONES'!K30</f>
        <v>41012</v>
      </c>
      <c r="L30" s="65">
        <f>'TOTAL ESTACIONES'!L30</f>
        <v>46457</v>
      </c>
      <c r="M30" s="65">
        <f>'TOTAL ESTACIONES'!M30</f>
        <v>48504</v>
      </c>
      <c r="N30" s="65">
        <f>'TOTAL ESTACIONES'!N30</f>
        <v>50623</v>
      </c>
      <c r="O30" s="65">
        <f>'TOTAL ESTACIONES'!O30</f>
        <v>49511</v>
      </c>
      <c r="P30" s="65">
        <f>'TOTAL ESTACIONES'!P30</f>
        <v>44553</v>
      </c>
      <c r="Q30" s="65">
        <f>'TOTAL ESTACIONES'!Q30</f>
        <v>45156</v>
      </c>
      <c r="R30" s="65">
        <f>'TOTAL ESTACIONES'!R30</f>
        <v>50951</v>
      </c>
      <c r="S30" s="65">
        <f>'TOTAL ESTACIONES'!S30</f>
        <v>55863.54</v>
      </c>
      <c r="T30" s="65">
        <f>'TOTAL ESTACIONES'!T30</f>
        <v>56371.32</v>
      </c>
      <c r="U30" s="65">
        <f>'TOTAL ESTACIONES'!U30</f>
        <v>56799.719999999994</v>
      </c>
      <c r="V30" s="65">
        <f>'TOTAL ESTACIONES'!V30</f>
        <v>599655.57999999996</v>
      </c>
      <c r="W30" s="73">
        <f>'TOTAL ESTACIONES'!W30</f>
        <v>6.691360652590309E-4</v>
      </c>
      <c r="X30" s="89"/>
      <c r="Y30" s="65">
        <f>'TOTAL ESTACIONES'!Y30</f>
        <v>63444</v>
      </c>
      <c r="Z30" s="65">
        <f>'TOTAL ESTACIONES'!Z30</f>
        <v>61200</v>
      </c>
      <c r="AA30" s="65">
        <f>'TOTAL ESTACIONES'!AA30</f>
        <v>81141</v>
      </c>
      <c r="AB30" s="65">
        <f>'TOTAL ESTACIONES'!AB30</f>
        <v>59262</v>
      </c>
      <c r="AC30" s="65">
        <f>'TOTAL ESTACIONES'!AC30</f>
        <v>64413</v>
      </c>
      <c r="AD30" s="65">
        <f>'TOTAL ESTACIONES'!AD30</f>
        <v>60435</v>
      </c>
      <c r="AE30" s="65">
        <f>'TOTAL ESTACIONES'!AE30</f>
        <v>60945</v>
      </c>
      <c r="AF30" s="65">
        <f>'TOTAL ESTACIONES'!AF30</f>
        <v>58293</v>
      </c>
      <c r="AG30" s="65">
        <f>'TOTAL ESTACIONES'!AG30</f>
        <v>58956</v>
      </c>
      <c r="AH30" s="65">
        <f>'TOTAL ESTACIONES'!AH30</f>
        <v>64872</v>
      </c>
      <c r="AI30" s="65">
        <f>'TOTAL ESTACIONES'!AI30</f>
        <v>66759</v>
      </c>
      <c r="AJ30" s="65">
        <f>'TOTAL ESTACIONES'!AJ30</f>
        <v>64821</v>
      </c>
      <c r="AK30" s="65">
        <f>'TOTAL ESTACIONES'!AK30</f>
        <v>764541</v>
      </c>
      <c r="AL30" s="73">
        <f>'TOTAL ESTACIONES'!AL30</f>
        <v>7.9376893821564768E-4</v>
      </c>
      <c r="AM30" s="14">
        <f>'TOTAL ESTACIONES'!AM30</f>
        <v>0.27496687348427584</v>
      </c>
      <c r="AN30" s="90"/>
      <c r="AS30" s="65">
        <v>483735</v>
      </c>
    </row>
    <row r="31" spans="1:45" ht="15" hidden="1" customHeight="1" outlineLevel="1">
      <c r="I31" s="172" t="s">
        <v>132</v>
      </c>
      <c r="J31" s="65">
        <f>'TOTAL ESTACIONES'!J31</f>
        <v>0</v>
      </c>
      <c r="K31" s="65">
        <f>'TOTAL ESTACIONES'!K31</f>
        <v>0</v>
      </c>
      <c r="L31" s="65">
        <f>'TOTAL ESTACIONES'!L31</f>
        <v>0</v>
      </c>
      <c r="M31" s="65">
        <f>'TOTAL ESTACIONES'!M31</f>
        <v>0</v>
      </c>
      <c r="N31" s="65">
        <f>'TOTAL ESTACIONES'!N31</f>
        <v>0</v>
      </c>
      <c r="O31" s="65">
        <f>'TOTAL ESTACIONES'!O31</f>
        <v>0</v>
      </c>
      <c r="P31" s="65">
        <f>'TOTAL ESTACIONES'!P31</f>
        <v>0</v>
      </c>
      <c r="Q31" s="65">
        <f>'TOTAL ESTACIONES'!Q31</f>
        <v>0</v>
      </c>
      <c r="R31" s="65">
        <f>'TOTAL ESTACIONES'!R31</f>
        <v>0</v>
      </c>
      <c r="S31" s="65">
        <f>'TOTAL ESTACIONES'!S31</f>
        <v>0</v>
      </c>
      <c r="T31" s="65">
        <f>'TOTAL ESTACIONES'!T31</f>
        <v>0</v>
      </c>
      <c r="U31" s="65">
        <f>'TOTAL ESTACIONES'!U31</f>
        <v>0</v>
      </c>
      <c r="V31" s="65">
        <f>'TOTAL ESTACIONES'!V31</f>
        <v>0</v>
      </c>
      <c r="W31" s="73">
        <f>'TOTAL ESTACIONES'!W31</f>
        <v>0</v>
      </c>
      <c r="X31" s="89"/>
      <c r="Y31" s="65">
        <f>'TOTAL ESTACIONES'!Y31</f>
        <v>0</v>
      </c>
      <c r="Z31" s="65">
        <f>'TOTAL ESTACIONES'!Z31</f>
        <v>0</v>
      </c>
      <c r="AA31" s="65">
        <f>'TOTAL ESTACIONES'!AA31</f>
        <v>0</v>
      </c>
      <c r="AB31" s="65">
        <f>'TOTAL ESTACIONES'!AB31</f>
        <v>0</v>
      </c>
      <c r="AC31" s="65">
        <f>'TOTAL ESTACIONES'!AC31</f>
        <v>0</v>
      </c>
      <c r="AD31" s="65">
        <f>'TOTAL ESTACIONES'!AD31</f>
        <v>0</v>
      </c>
      <c r="AE31" s="65">
        <f>'TOTAL ESTACIONES'!AE31</f>
        <v>0</v>
      </c>
      <c r="AF31" s="65">
        <f>'TOTAL ESTACIONES'!AF31</f>
        <v>0</v>
      </c>
      <c r="AG31" s="65">
        <f>'TOTAL ESTACIONES'!AG31</f>
        <v>0</v>
      </c>
      <c r="AH31" s="65">
        <f>'TOTAL ESTACIONES'!AH31</f>
        <v>0</v>
      </c>
      <c r="AI31" s="65">
        <f>'TOTAL ESTACIONES'!AI31</f>
        <v>0</v>
      </c>
      <c r="AJ31" s="65">
        <f>'TOTAL ESTACIONES'!AJ31</f>
        <v>0</v>
      </c>
      <c r="AK31" s="65">
        <f>'TOTAL ESTACIONES'!AK31</f>
        <v>0</v>
      </c>
      <c r="AL31" s="73">
        <f>'TOTAL ESTACIONES'!AL31</f>
        <v>0</v>
      </c>
      <c r="AM31" s="14">
        <f>'TOTAL ESTACIONES'!AM31</f>
        <v>0</v>
      </c>
      <c r="AN31" s="90"/>
      <c r="AS31" s="65">
        <v>0</v>
      </c>
    </row>
    <row r="32" spans="1:45" ht="15" hidden="1" customHeight="1" outlineLevel="1">
      <c r="I32" s="172" t="s">
        <v>133</v>
      </c>
      <c r="J32" s="65">
        <f>'TOTAL ESTACIONES'!J32</f>
        <v>0</v>
      </c>
      <c r="K32" s="65">
        <f>'TOTAL ESTACIONES'!K32</f>
        <v>0</v>
      </c>
      <c r="L32" s="65">
        <f>'TOTAL ESTACIONES'!L32</f>
        <v>0</v>
      </c>
      <c r="M32" s="65">
        <f>'TOTAL ESTACIONES'!M32</f>
        <v>0</v>
      </c>
      <c r="N32" s="65">
        <f>'TOTAL ESTACIONES'!N32</f>
        <v>0</v>
      </c>
      <c r="O32" s="65">
        <f>'TOTAL ESTACIONES'!O32</f>
        <v>0</v>
      </c>
      <c r="P32" s="65">
        <f>'TOTAL ESTACIONES'!P32</f>
        <v>0</v>
      </c>
      <c r="Q32" s="65">
        <f>'TOTAL ESTACIONES'!Q32</f>
        <v>0</v>
      </c>
      <c r="R32" s="65">
        <f>'TOTAL ESTACIONES'!R32</f>
        <v>0</v>
      </c>
      <c r="S32" s="65">
        <f>'TOTAL ESTACIONES'!S32</f>
        <v>0</v>
      </c>
      <c r="T32" s="65">
        <f>'TOTAL ESTACIONES'!T32</f>
        <v>0</v>
      </c>
      <c r="U32" s="65">
        <f>'TOTAL ESTACIONES'!U32</f>
        <v>0</v>
      </c>
      <c r="V32" s="65">
        <f>'TOTAL ESTACIONES'!V32</f>
        <v>0</v>
      </c>
      <c r="W32" s="73">
        <f>'TOTAL ESTACIONES'!W32</f>
        <v>0</v>
      </c>
      <c r="X32" s="89"/>
      <c r="Y32" s="65">
        <f>'TOTAL ESTACIONES'!Y32</f>
        <v>0</v>
      </c>
      <c r="Z32" s="65">
        <f>'TOTAL ESTACIONES'!Z32</f>
        <v>0</v>
      </c>
      <c r="AA32" s="65">
        <f>'TOTAL ESTACIONES'!AA32</f>
        <v>0</v>
      </c>
      <c r="AB32" s="65">
        <f>'TOTAL ESTACIONES'!AB32</f>
        <v>0</v>
      </c>
      <c r="AC32" s="65">
        <f>'TOTAL ESTACIONES'!AC32</f>
        <v>0</v>
      </c>
      <c r="AD32" s="65">
        <f>'TOTAL ESTACIONES'!AD32</f>
        <v>0</v>
      </c>
      <c r="AE32" s="65">
        <f>'TOTAL ESTACIONES'!AE32</f>
        <v>0</v>
      </c>
      <c r="AF32" s="65">
        <f>'TOTAL ESTACIONES'!AF32</f>
        <v>0</v>
      </c>
      <c r="AG32" s="65">
        <f>'TOTAL ESTACIONES'!AG32</f>
        <v>0</v>
      </c>
      <c r="AH32" s="65">
        <f>'TOTAL ESTACIONES'!AH32</f>
        <v>0</v>
      </c>
      <c r="AI32" s="65">
        <f>'TOTAL ESTACIONES'!AI32</f>
        <v>0</v>
      </c>
      <c r="AJ32" s="65">
        <f>'TOTAL ESTACIONES'!AJ32</f>
        <v>0</v>
      </c>
      <c r="AK32" s="65">
        <f>'TOTAL ESTACIONES'!AK32</f>
        <v>0</v>
      </c>
      <c r="AL32" s="73">
        <f>'TOTAL ESTACIONES'!AL32</f>
        <v>0</v>
      </c>
      <c r="AM32" s="14">
        <f>'TOTAL ESTACIONES'!AM32</f>
        <v>0</v>
      </c>
      <c r="AN32" s="90"/>
      <c r="AS32" s="65">
        <v>0</v>
      </c>
    </row>
    <row r="33" spans="1:45" hidden="1" outlineLevel="1">
      <c r="I33" s="172" t="s">
        <v>134</v>
      </c>
      <c r="J33" s="65">
        <f>'TOTAL ESTACIONES'!J33</f>
        <v>0</v>
      </c>
      <c r="K33" s="65">
        <f>'TOTAL ESTACIONES'!K33</f>
        <v>0</v>
      </c>
      <c r="L33" s="65">
        <f>'TOTAL ESTACIONES'!L33</f>
        <v>0</v>
      </c>
      <c r="M33" s="65">
        <f>'TOTAL ESTACIONES'!M33</f>
        <v>0</v>
      </c>
      <c r="N33" s="65">
        <f>'TOTAL ESTACIONES'!N33</f>
        <v>0</v>
      </c>
      <c r="O33" s="65">
        <f>'TOTAL ESTACIONES'!O33</f>
        <v>0</v>
      </c>
      <c r="P33" s="65">
        <f>'TOTAL ESTACIONES'!P33</f>
        <v>0</v>
      </c>
      <c r="Q33" s="65">
        <f>'TOTAL ESTACIONES'!Q33</f>
        <v>0</v>
      </c>
      <c r="R33" s="65">
        <f>'TOTAL ESTACIONES'!R33</f>
        <v>0</v>
      </c>
      <c r="S33" s="65">
        <f>'TOTAL ESTACIONES'!S33</f>
        <v>0</v>
      </c>
      <c r="T33" s="65">
        <f>'TOTAL ESTACIONES'!T33</f>
        <v>0</v>
      </c>
      <c r="U33" s="65">
        <f>'TOTAL ESTACIONES'!U33</f>
        <v>0</v>
      </c>
      <c r="V33" s="65">
        <f>'TOTAL ESTACIONES'!V33</f>
        <v>0</v>
      </c>
      <c r="W33" s="73">
        <f>'TOTAL ESTACIONES'!W33</f>
        <v>0</v>
      </c>
      <c r="X33" s="89"/>
      <c r="Y33" s="65">
        <f>'TOTAL ESTACIONES'!Y33</f>
        <v>0</v>
      </c>
      <c r="Z33" s="65">
        <f>'TOTAL ESTACIONES'!Z33</f>
        <v>0</v>
      </c>
      <c r="AA33" s="65">
        <f>'TOTAL ESTACIONES'!AA33</f>
        <v>0</v>
      </c>
      <c r="AB33" s="65">
        <f>'TOTAL ESTACIONES'!AB33</f>
        <v>0</v>
      </c>
      <c r="AC33" s="65">
        <f>'TOTAL ESTACIONES'!AC33</f>
        <v>0</v>
      </c>
      <c r="AD33" s="65">
        <f>'TOTAL ESTACIONES'!AD33</f>
        <v>0</v>
      </c>
      <c r="AE33" s="65">
        <f>'TOTAL ESTACIONES'!AE33</f>
        <v>0</v>
      </c>
      <c r="AF33" s="65">
        <f>'TOTAL ESTACIONES'!AF33</f>
        <v>0</v>
      </c>
      <c r="AG33" s="65">
        <f>'TOTAL ESTACIONES'!AG33</f>
        <v>0</v>
      </c>
      <c r="AH33" s="65">
        <f>'TOTAL ESTACIONES'!AH33</f>
        <v>0</v>
      </c>
      <c r="AI33" s="65">
        <f>'TOTAL ESTACIONES'!AI33</f>
        <v>0</v>
      </c>
      <c r="AJ33" s="65">
        <f>'TOTAL ESTACIONES'!AJ33</f>
        <v>0</v>
      </c>
      <c r="AK33" s="65">
        <f>'TOTAL ESTACIONES'!AK33</f>
        <v>0</v>
      </c>
      <c r="AL33" s="73">
        <f>'TOTAL ESTACIONES'!AL33</f>
        <v>0</v>
      </c>
      <c r="AM33" s="14">
        <f>'TOTAL ESTACIONES'!AM33</f>
        <v>0</v>
      </c>
      <c r="AN33" s="90"/>
      <c r="AS33" s="65">
        <v>0</v>
      </c>
    </row>
    <row r="34" spans="1:45" ht="15" customHeight="1" collapsed="1">
      <c r="I34" s="36" t="s">
        <v>135</v>
      </c>
      <c r="J34" s="35">
        <f>'TOTAL ESTACIONES'!J34</f>
        <v>9669373</v>
      </c>
      <c r="K34" s="35">
        <f>'TOTAL ESTACIONES'!K34</f>
        <v>10402424</v>
      </c>
      <c r="L34" s="35">
        <f>'TOTAL ESTACIONES'!L34</f>
        <v>10631948</v>
      </c>
      <c r="M34" s="35">
        <f>'TOTAL ESTACIONES'!M34</f>
        <v>10175079</v>
      </c>
      <c r="N34" s="35">
        <f>'TOTAL ESTACIONES'!N34</f>
        <v>12471677</v>
      </c>
      <c r="O34" s="35">
        <f>'TOTAL ESTACIONES'!O34</f>
        <v>10899375</v>
      </c>
      <c r="P34" s="35">
        <f>'TOTAL ESTACIONES'!P34</f>
        <v>10241103</v>
      </c>
      <c r="Q34" s="35">
        <f>'TOTAL ESTACIONES'!Q34</f>
        <v>9298189</v>
      </c>
      <c r="R34" s="35">
        <f>'TOTAL ESTACIONES'!R34</f>
        <v>10146221.666666666</v>
      </c>
      <c r="S34" s="35">
        <f>'TOTAL ESTACIONES'!S34</f>
        <v>9895170.222222222</v>
      </c>
      <c r="T34" s="35">
        <f>'TOTAL ESTACIONES'!T34</f>
        <v>9779860.6296296306</v>
      </c>
      <c r="U34" s="35">
        <f>'TOTAL ESTACIONES'!U34</f>
        <v>9940417.5061728414</v>
      </c>
      <c r="V34" s="35">
        <f>'TOTAL ESTACIONES'!V34</f>
        <v>123550831.02469137</v>
      </c>
      <c r="W34" s="73">
        <f>'TOTAL ESTACIONES'!W34</f>
        <v>0.13786633475727084</v>
      </c>
      <c r="X34" s="89"/>
      <c r="Y34" s="35">
        <f>'TOTAL ESTACIONES'!Y34</f>
        <v>9567238.3699999899</v>
      </c>
      <c r="Z34" s="35">
        <f>'TOTAL ESTACIONES'!Z34</f>
        <v>9309837.040000014</v>
      </c>
      <c r="AA34" s="35">
        <f>'TOTAL ESTACIONES'!AA34</f>
        <v>10644012.269999988</v>
      </c>
      <c r="AB34" s="35">
        <f>'TOTAL ESTACIONES'!AB34</f>
        <v>9460298.7500000149</v>
      </c>
      <c r="AC34" s="35">
        <f>'TOTAL ESTACIONES'!AC34</f>
        <v>11557009.789999992</v>
      </c>
      <c r="AD34" s="35">
        <f>'TOTAL ESTACIONES'!AD34</f>
        <v>10797114.99000001</v>
      </c>
      <c r="AE34" s="35">
        <f>'TOTAL ESTACIONES'!AE34</f>
        <v>10656188.980000004</v>
      </c>
      <c r="AF34" s="35">
        <f>'TOTAL ESTACIONES'!AF34</f>
        <v>10997031.559999987</v>
      </c>
      <c r="AG34" s="35">
        <f>'TOTAL ESTACIONES'!AG34</f>
        <v>10537604.570000008</v>
      </c>
      <c r="AH34" s="35">
        <f>'TOTAL ESTACIONES'!AH34</f>
        <v>10866991.450000003</v>
      </c>
      <c r="AI34" s="35">
        <f>'TOTAL ESTACIONES'!AI34</f>
        <v>10292988.379999995</v>
      </c>
      <c r="AJ34" s="35">
        <f>'TOTAL ESTACIONES'!AJ34</f>
        <v>9613814.9399999976</v>
      </c>
      <c r="AK34" s="35">
        <f>'TOTAL ESTACIONES'!AK34</f>
        <v>124300131.09000003</v>
      </c>
      <c r="AL34" s="73">
        <f>'TOTAL ESTACIONES'!AL34</f>
        <v>0.12905204962896058</v>
      </c>
      <c r="AM34" s="34">
        <f>'TOTAL ESTACIONES'!AM34</f>
        <v>6.0647108489211288E-3</v>
      </c>
      <c r="AN34" s="90"/>
      <c r="AS34" s="35">
        <v>124250577.09000003</v>
      </c>
    </row>
    <row r="35" spans="1:45" ht="15" hidden="1" customHeight="1" outlineLevel="1">
      <c r="I35" s="31" t="s">
        <v>136</v>
      </c>
      <c r="J35" s="30">
        <f>'TOTAL ESTACIONES'!J35</f>
        <v>7104474</v>
      </c>
      <c r="K35" s="30">
        <f>'TOTAL ESTACIONES'!K35</f>
        <v>8071504</v>
      </c>
      <c r="L35" s="30">
        <f>'TOTAL ESTACIONES'!L35</f>
        <v>7943183</v>
      </c>
      <c r="M35" s="30">
        <f>'TOTAL ESTACIONES'!M35</f>
        <v>7764090</v>
      </c>
      <c r="N35" s="30">
        <f>'TOTAL ESTACIONES'!N35</f>
        <v>9629979</v>
      </c>
      <c r="O35" s="30">
        <f>'TOTAL ESTACIONES'!O35</f>
        <v>8207647</v>
      </c>
      <c r="P35" s="30">
        <f>'TOTAL ESTACIONES'!P35</f>
        <v>7712661</v>
      </c>
      <c r="Q35" s="30">
        <f>'TOTAL ESTACIONES'!Q35</f>
        <v>7297471</v>
      </c>
      <c r="R35" s="30">
        <f>'TOTAL ESTACIONES'!R35</f>
        <v>7739259.666666667</v>
      </c>
      <c r="S35" s="30">
        <f>'TOTAL ESTACIONES'!S35</f>
        <v>7583130.555555556</v>
      </c>
      <c r="T35" s="30">
        <f>'TOTAL ESTACIONES'!T35</f>
        <v>7539953.7407407416</v>
      </c>
      <c r="U35" s="30">
        <f>'TOTAL ESTACIONES'!U35</f>
        <v>7620781.3209876558</v>
      </c>
      <c r="V35" s="30">
        <f>'TOTAL ESTACIONES'!V35</f>
        <v>94214134.283950627</v>
      </c>
      <c r="W35" s="73">
        <f>'TOTAL ESTACIONES'!W35</f>
        <v>1.9712255602389099</v>
      </c>
      <c r="X35" s="90"/>
      <c r="Y35" s="30">
        <f>'TOTAL ESTACIONES'!Y35</f>
        <v>7411184.129999999</v>
      </c>
      <c r="Z35" s="30">
        <f>'TOTAL ESTACIONES'!Z35</f>
        <v>7234815.6799999997</v>
      </c>
      <c r="AA35" s="30">
        <f>'TOTAL ESTACIONES'!AA35</f>
        <v>8316678.4299999997</v>
      </c>
      <c r="AB35" s="30">
        <f>'TOTAL ESTACIONES'!AB35</f>
        <v>7358119.8300000001</v>
      </c>
      <c r="AC35" s="30">
        <f>'TOTAL ESTACIONES'!AC35</f>
        <v>9150006.6399999987</v>
      </c>
      <c r="AD35" s="30">
        <f>'TOTAL ESTACIONES'!AD35</f>
        <v>8356810.75</v>
      </c>
      <c r="AE35" s="30">
        <f>'TOTAL ESTACIONES'!AE35</f>
        <v>8232971.9700000007</v>
      </c>
      <c r="AF35" s="30">
        <f>'TOTAL ESTACIONES'!AF35</f>
        <v>8715834.2300000004</v>
      </c>
      <c r="AG35" s="30">
        <f>'TOTAL ESTACIONES'!AG35</f>
        <v>8217935.080000001</v>
      </c>
      <c r="AH35" s="30">
        <f>'TOTAL ESTACIONES'!AH35</f>
        <v>8530127.0700000003</v>
      </c>
      <c r="AI35" s="30">
        <f>'TOTAL ESTACIONES'!AI35</f>
        <v>8047607.4100000001</v>
      </c>
      <c r="AJ35" s="30">
        <f>'TOTAL ESTACIONES'!AJ35</f>
        <v>7528052.580000001</v>
      </c>
      <c r="AK35" s="30">
        <f>'TOTAL ESTACIONES'!AK35</f>
        <v>97100143.799999997</v>
      </c>
      <c r="AL35" s="74">
        <f>'TOTAL ESTACIONES'!AL35</f>
        <v>1.9585461275757945</v>
      </c>
      <c r="AM35" s="29">
        <f>'TOTAL ESTACIONES'!AM35</f>
        <v>3.063244743459892E-2</v>
      </c>
      <c r="AN35" s="90"/>
      <c r="AS35" s="30">
        <v>97100143.799999997</v>
      </c>
    </row>
    <row r="36" spans="1:45" ht="15" hidden="1" customHeight="1" outlineLevel="1">
      <c r="I36" s="31" t="s">
        <v>137</v>
      </c>
      <c r="J36" s="30">
        <f>'TOTAL ESTACIONES'!J36</f>
        <v>813291</v>
      </c>
      <c r="K36" s="30">
        <f>'TOTAL ESTACIONES'!K36</f>
        <v>929738</v>
      </c>
      <c r="L36" s="30">
        <f>'TOTAL ESTACIONES'!L36</f>
        <v>1096634</v>
      </c>
      <c r="M36" s="30">
        <f>'TOTAL ESTACIONES'!M36</f>
        <v>1046417</v>
      </c>
      <c r="N36" s="30">
        <f>'TOTAL ESTACIONES'!N36</f>
        <v>1174426</v>
      </c>
      <c r="O36" s="30">
        <f>'TOTAL ESTACIONES'!O36</f>
        <v>1161608</v>
      </c>
      <c r="P36" s="30">
        <f>'TOTAL ESTACIONES'!P36</f>
        <v>984047</v>
      </c>
      <c r="Q36" s="30">
        <f>'TOTAL ESTACIONES'!Q36</f>
        <v>581170</v>
      </c>
      <c r="R36" s="30">
        <f>'TOTAL ESTACIONES'!R36</f>
        <v>908941.66666666663</v>
      </c>
      <c r="S36" s="30">
        <f>'TOTAL ESTACIONES'!S36</f>
        <v>824719.5555555555</v>
      </c>
      <c r="T36" s="30">
        <f>'TOTAL ESTACIONES'!T36</f>
        <v>771610.4074074073</v>
      </c>
      <c r="U36" s="30">
        <f>'TOTAL ESTACIONES'!U36</f>
        <v>835090.5432098764</v>
      </c>
      <c r="V36" s="30">
        <f>'TOTAL ESTACIONES'!V36</f>
        <v>11127693.172839506</v>
      </c>
      <c r="W36" s="73">
        <f>'TOTAL ESTACIONES'!W36</f>
        <v>0.23282274337613806</v>
      </c>
      <c r="X36" s="90"/>
      <c r="Y36" s="30">
        <f>'TOTAL ESTACIONES'!Y36</f>
        <v>701224.92</v>
      </c>
      <c r="Z36" s="30">
        <f>'TOTAL ESTACIONES'!Z36</f>
        <v>720412.16000000003</v>
      </c>
      <c r="AA36" s="30">
        <f>'TOTAL ESTACIONES'!AA36</f>
        <v>819315.8899999999</v>
      </c>
      <c r="AB36" s="30">
        <f>'TOTAL ESTACIONES'!AB36</f>
        <v>754550.32</v>
      </c>
      <c r="AC36" s="30">
        <f>'TOTAL ESTACIONES'!AC36</f>
        <v>871028.95</v>
      </c>
      <c r="AD36" s="30">
        <f>'TOTAL ESTACIONES'!AD36</f>
        <v>924681.99</v>
      </c>
      <c r="AE36" s="30">
        <f>'TOTAL ESTACIONES'!AE36</f>
        <v>851275.85999999987</v>
      </c>
      <c r="AF36" s="30">
        <f>'TOTAL ESTACIONES'!AF36</f>
        <v>883838.64999999991</v>
      </c>
      <c r="AG36" s="30">
        <f>'TOTAL ESTACIONES'!AG36</f>
        <v>851234.03</v>
      </c>
      <c r="AH36" s="30">
        <f>'TOTAL ESTACIONES'!AH36</f>
        <v>816664.1399999999</v>
      </c>
      <c r="AI36" s="30">
        <f>'TOTAL ESTACIONES'!AI36</f>
        <v>776675.96999999986</v>
      </c>
      <c r="AJ36" s="30">
        <f>'TOTAL ESTACIONES'!AJ36</f>
        <v>732685.83</v>
      </c>
      <c r="AK36" s="30">
        <f>'TOTAL ESTACIONES'!AK36</f>
        <v>9703588.7100000009</v>
      </c>
      <c r="AL36" s="74">
        <f>'TOTAL ESTACIONES'!AL36</f>
        <v>0.19572500459632378</v>
      </c>
      <c r="AM36" s="29">
        <f>'TOTAL ESTACIONES'!AM36</f>
        <v>-0.1279784085272464</v>
      </c>
      <c r="AN36" s="90"/>
      <c r="AS36" s="30">
        <v>9703588.7100000009</v>
      </c>
    </row>
    <row r="37" spans="1:45" hidden="1" outlineLevel="1">
      <c r="I37" s="31" t="s">
        <v>138</v>
      </c>
      <c r="J37" s="30">
        <f>'TOTAL ESTACIONES'!J37</f>
        <v>1749533</v>
      </c>
      <c r="K37" s="30">
        <f>'TOTAL ESTACIONES'!K37</f>
        <v>1382005</v>
      </c>
      <c r="L37" s="30">
        <f>'TOTAL ESTACIONES'!L37</f>
        <v>1580760</v>
      </c>
      <c r="M37" s="30">
        <f>'TOTAL ESTACIONES'!M37</f>
        <v>1350095</v>
      </c>
      <c r="N37" s="30">
        <f>'TOTAL ESTACIONES'!N37</f>
        <v>1651925</v>
      </c>
      <c r="O37" s="30">
        <f>'TOTAL ESTACIONES'!O37</f>
        <v>1515260</v>
      </c>
      <c r="P37" s="30">
        <f>'TOTAL ESTACIONES'!P37</f>
        <v>1531075</v>
      </c>
      <c r="Q37" s="30">
        <f>'TOTAL ESTACIONES'!Q37</f>
        <v>1405577</v>
      </c>
      <c r="R37" s="30">
        <f>'TOTAL ESTACIONES'!R37</f>
        <v>1483970.6666666667</v>
      </c>
      <c r="S37" s="30">
        <f>'TOTAL ESTACIONES'!S37</f>
        <v>1473540.888888889</v>
      </c>
      <c r="T37" s="30">
        <f>'TOTAL ESTACIONES'!T37</f>
        <v>1454362.8518518519</v>
      </c>
      <c r="U37" s="30">
        <f>'TOTAL ESTACIONES'!U37</f>
        <v>1470624.802469136</v>
      </c>
      <c r="V37" s="30">
        <f>'TOTAL ESTACIONES'!V37</f>
        <v>18048729.209876545</v>
      </c>
      <c r="W37" s="73">
        <f>'TOTAL ESTACIONES'!W37</f>
        <v>0.37763034834148024</v>
      </c>
      <c r="X37" s="90"/>
      <c r="Y37" s="30">
        <f>'TOTAL ESTACIONES'!Y37</f>
        <v>1443633.3199999998</v>
      </c>
      <c r="Z37" s="30">
        <f>'TOTAL ESTACIONES'!Z37</f>
        <v>1343809.2</v>
      </c>
      <c r="AA37" s="30">
        <f>'TOTAL ESTACIONES'!AA37</f>
        <v>1493698.95</v>
      </c>
      <c r="AB37" s="30">
        <f>'TOTAL ESTACIONES'!AB37</f>
        <v>1337170.5999999999</v>
      </c>
      <c r="AC37" s="30">
        <f>'TOTAL ESTACIONES'!AC37</f>
        <v>1524607.2</v>
      </c>
      <c r="AD37" s="30">
        <f>'TOTAL ESTACIONES'!AD37</f>
        <v>1504957.25</v>
      </c>
      <c r="AE37" s="30">
        <f>'TOTAL ESTACIONES'!AE37</f>
        <v>1561186.15</v>
      </c>
      <c r="AF37" s="30">
        <f>'TOTAL ESTACIONES'!AF37</f>
        <v>1387071.6800000002</v>
      </c>
      <c r="AG37" s="30">
        <f>'TOTAL ESTACIONES'!AG37</f>
        <v>1458031.4600000002</v>
      </c>
      <c r="AH37" s="30">
        <f>'TOTAL ESTACIONES'!AH37</f>
        <v>1508752.2399999998</v>
      </c>
      <c r="AI37" s="30">
        <f>'TOTAL ESTACIONES'!AI37</f>
        <v>1456924</v>
      </c>
      <c r="AJ37" s="30">
        <f>'TOTAL ESTACIONES'!AJ37</f>
        <v>1341637.53</v>
      </c>
      <c r="AK37" s="30">
        <f>'TOTAL ESTACIONES'!AK37</f>
        <v>17361479.580000002</v>
      </c>
      <c r="AL37" s="74">
        <f>'TOTAL ESTACIONES'!AL37</f>
        <v>0.3501875205296579</v>
      </c>
      <c r="AM37" s="29">
        <f>'TOTAL ESTACIONES'!AM37</f>
        <v>-3.8077452538900602E-2</v>
      </c>
      <c r="AN37" s="90"/>
      <c r="AS37" s="30">
        <v>17361479.580000002</v>
      </c>
    </row>
    <row r="38" spans="1:45" ht="15" hidden="1" customHeight="1" outlineLevel="1">
      <c r="I38" s="31" t="s">
        <v>139</v>
      </c>
      <c r="J38" s="30">
        <f>'TOTAL ESTACIONES'!J38</f>
        <v>2073</v>
      </c>
      <c r="K38" s="30">
        <f>'TOTAL ESTACIONES'!K38</f>
        <v>19180</v>
      </c>
      <c r="L38" s="30">
        <f>'TOTAL ESTACIONES'!L38</f>
        <v>11371</v>
      </c>
      <c r="M38" s="30">
        <f>'TOTAL ESTACIONES'!M38</f>
        <v>14475</v>
      </c>
      <c r="N38" s="30">
        <f>'TOTAL ESTACIONES'!N38</f>
        <v>15343</v>
      </c>
      <c r="O38" s="30">
        <f>'TOTAL ESTACIONES'!O38</f>
        <v>14861</v>
      </c>
      <c r="P38" s="30">
        <f>'TOTAL ESTACIONES'!P38</f>
        <v>13316</v>
      </c>
      <c r="Q38" s="30">
        <f>'TOTAL ESTACIONES'!Q38</f>
        <v>13972</v>
      </c>
      <c r="R38" s="30">
        <f>'TOTAL ESTACIONES'!R38</f>
        <v>14049.666666666666</v>
      </c>
      <c r="S38" s="30">
        <f>'TOTAL ESTACIONES'!S38</f>
        <v>13779.222222222221</v>
      </c>
      <c r="T38" s="30">
        <f>'TOTAL ESTACIONES'!T38</f>
        <v>13933.629629629628</v>
      </c>
      <c r="U38" s="30">
        <f>'TOTAL ESTACIONES'!U38</f>
        <v>13920.839506172837</v>
      </c>
      <c r="V38" s="30">
        <f>'TOTAL ESTACIONES'!V38</f>
        <v>160274.35802469138</v>
      </c>
      <c r="W38" s="73">
        <f>'TOTAL ESTACIONES'!W38</f>
        <v>3.353391861957317E-3</v>
      </c>
      <c r="X38" s="90"/>
      <c r="Y38" s="30">
        <f>'TOTAL ESTACIONES'!Y38</f>
        <v>11196</v>
      </c>
      <c r="Z38" s="30">
        <f>'TOTAL ESTACIONES'!Z38</f>
        <v>10800</v>
      </c>
      <c r="AA38" s="30">
        <f>'TOTAL ESTACIONES'!AA38</f>
        <v>14319</v>
      </c>
      <c r="AB38" s="30">
        <f>'TOTAL ESTACIONES'!AB38</f>
        <v>10458</v>
      </c>
      <c r="AC38" s="30">
        <f>'TOTAL ESTACIONES'!AC38</f>
        <v>11367</v>
      </c>
      <c r="AD38" s="30">
        <f>'TOTAL ESTACIONES'!AD38</f>
        <v>10665</v>
      </c>
      <c r="AE38" s="30">
        <f>'TOTAL ESTACIONES'!AE38</f>
        <v>10755</v>
      </c>
      <c r="AF38" s="30">
        <f>'TOTAL ESTACIONES'!AF38</f>
        <v>10287</v>
      </c>
      <c r="AG38" s="30">
        <f>'TOTAL ESTACIONES'!AG38</f>
        <v>10404</v>
      </c>
      <c r="AH38" s="30">
        <f>'TOTAL ESTACIONES'!AH38</f>
        <v>11448</v>
      </c>
      <c r="AI38" s="30">
        <f>'TOTAL ESTACIONES'!AI38</f>
        <v>11781</v>
      </c>
      <c r="AJ38" s="30">
        <f>'TOTAL ESTACIONES'!AJ38</f>
        <v>11439</v>
      </c>
      <c r="AK38" s="30">
        <f>'TOTAL ESTACIONES'!AK38</f>
        <v>134919</v>
      </c>
      <c r="AL38" s="74">
        <f>'TOTAL ESTACIONES'!AL38</f>
        <v>2.7213665669813211E-3</v>
      </c>
      <c r="AM38" s="29">
        <f>'TOTAL ESTACIONES'!AM38</f>
        <v>-0.15819971664328991</v>
      </c>
      <c r="AN38" s="90"/>
      <c r="AS38" s="30">
        <v>85365</v>
      </c>
    </row>
    <row r="39" spans="1:45" ht="15" customHeight="1" collapsed="1">
      <c r="I39" s="18" t="s">
        <v>140</v>
      </c>
      <c r="J39" s="33">
        <f>'TOTAL ESTACIONES'!J39</f>
        <v>3700569</v>
      </c>
      <c r="K39" s="33">
        <f>'TOTAL ESTACIONES'!K39</f>
        <v>3632738</v>
      </c>
      <c r="L39" s="33">
        <f>'TOTAL ESTACIONES'!L39</f>
        <v>3988189</v>
      </c>
      <c r="M39" s="33">
        <f>'TOTAL ESTACIONES'!M39</f>
        <v>3743720</v>
      </c>
      <c r="N39" s="33">
        <f>'TOTAL ESTACIONES'!N39</f>
        <v>4276090</v>
      </c>
      <c r="O39" s="33">
        <f>'TOTAL ESTACIONES'!O39</f>
        <v>4259792</v>
      </c>
      <c r="P39" s="33">
        <f>'TOTAL ESTACIONES'!P39</f>
        <v>4201852</v>
      </c>
      <c r="Q39" s="33">
        <f>'TOTAL ESTACIONES'!Q39</f>
        <v>3874166</v>
      </c>
      <c r="R39" s="33">
        <f>'TOTAL ESTACIONES'!R39</f>
        <v>3936481</v>
      </c>
      <c r="S39" s="33">
        <f>'TOTAL ESTACIONES'!S39</f>
        <v>4261827</v>
      </c>
      <c r="T39" s="33">
        <f>'TOTAL ESTACIONES'!T39</f>
        <v>4068566</v>
      </c>
      <c r="U39" s="33">
        <f>'TOTAL ESTACIONES'!U39</f>
        <v>3850710</v>
      </c>
      <c r="V39" s="33">
        <f>'TOTAL ESTACIONES'!V39</f>
        <v>47794700</v>
      </c>
      <c r="W39" s="73">
        <f>'TOTAL ESTACIONES'!W39</f>
        <v>1</v>
      </c>
      <c r="X39" s="90"/>
      <c r="Y39" s="33">
        <f>'TOTAL ESTACIONES'!Y39</f>
        <v>3821480</v>
      </c>
      <c r="Z39" s="33">
        <f>'TOTAL ESTACIONES'!Z39</f>
        <v>3748758</v>
      </c>
      <c r="AA39" s="33">
        <f>'TOTAL ESTACIONES'!AA39</f>
        <v>4114391</v>
      </c>
      <c r="AB39" s="33">
        <f>'TOTAL ESTACIONES'!AB39</f>
        <v>3870153</v>
      </c>
      <c r="AC39" s="33">
        <f>'TOTAL ESTACIONES'!AC39</f>
        <v>4414525</v>
      </c>
      <c r="AD39" s="33">
        <f>'TOTAL ESTACIONES'!AD39</f>
        <v>4346815</v>
      </c>
      <c r="AE39" s="33">
        <f>'TOTAL ESTACIONES'!AE39</f>
        <v>4282241</v>
      </c>
      <c r="AF39" s="33">
        <f>'TOTAL ESTACIONES'!AF39</f>
        <v>4339623</v>
      </c>
      <c r="AG39" s="33">
        <f>'TOTAL ESTACIONES'!AG39</f>
        <v>4244920</v>
      </c>
      <c r="AH39" s="33">
        <f>'TOTAL ESTACIONES'!AH39</f>
        <v>4309564</v>
      </c>
      <c r="AI39" s="33">
        <f>'TOTAL ESTACIONES'!AI39</f>
        <v>4159855</v>
      </c>
      <c r="AJ39" s="33">
        <f>'TOTAL ESTACIONES'!AJ39</f>
        <v>3925340</v>
      </c>
      <c r="AK39" s="33">
        <f>'TOTAL ESTACIONES'!AK39</f>
        <v>49577665</v>
      </c>
      <c r="AL39" s="74">
        <f>'TOTAL ESTACIONES'!AL39</f>
        <v>1</v>
      </c>
      <c r="AM39" s="16">
        <f>'TOTAL ESTACIONES'!AM39</f>
        <v>3.7304659303228238E-2</v>
      </c>
      <c r="AN39" s="90"/>
      <c r="AO39" s="254">
        <f>+AK39/12</f>
        <v>4131472.0833333335</v>
      </c>
      <c r="AS39" s="33">
        <v>49577665</v>
      </c>
    </row>
    <row r="40" spans="1:45" ht="15" hidden="1" customHeight="1" outlineLevel="1">
      <c r="I40" s="31" t="s">
        <v>141</v>
      </c>
      <c r="J40" s="30">
        <f>'TOTAL ESTACIONES'!J40</f>
        <v>2902809</v>
      </c>
      <c r="K40" s="30">
        <f>'TOTAL ESTACIONES'!K40</f>
        <v>2857785</v>
      </c>
      <c r="L40" s="30">
        <f>'TOTAL ESTACIONES'!L40</f>
        <v>3134970</v>
      </c>
      <c r="M40" s="30">
        <f>'TOTAL ESTACIONES'!M40</f>
        <v>2960554</v>
      </c>
      <c r="N40" s="30">
        <f>'TOTAL ESTACIONES'!N40</f>
        <v>3367706</v>
      </c>
      <c r="O40" s="30">
        <f>'TOTAL ESTACIONES'!O40</f>
        <v>3288023</v>
      </c>
      <c r="P40" s="30">
        <f>'TOTAL ESTACIONES'!P40</f>
        <v>3234223</v>
      </c>
      <c r="Q40" s="30">
        <f>'TOTAL ESTACIONES'!Q40</f>
        <v>3091988</v>
      </c>
      <c r="R40" s="30">
        <f>'TOTAL ESTACIONES'!R40</f>
        <v>3083493</v>
      </c>
      <c r="S40" s="30">
        <f>'TOTAL ESTACIONES'!S40</f>
        <v>3317420</v>
      </c>
      <c r="T40" s="30">
        <f>'TOTAL ESTACIONES'!T40</f>
        <v>3181610</v>
      </c>
      <c r="U40" s="30">
        <f>'TOTAL ESTACIONES'!U40</f>
        <v>3012428</v>
      </c>
      <c r="V40" s="30">
        <f>'TOTAL ESTACIONES'!V40</f>
        <v>37433009</v>
      </c>
      <c r="W40" s="73">
        <f>'TOTAL ESTACIONES'!W40</f>
        <v>0.78320418372748446</v>
      </c>
      <c r="X40" s="90"/>
      <c r="Y40" s="30">
        <f>'TOTAL ESTACIONES'!Y40</f>
        <v>2952663</v>
      </c>
      <c r="Z40" s="30">
        <f>'TOTAL ESTACIONES'!Z40</f>
        <v>2902741</v>
      </c>
      <c r="AA40" s="30">
        <f>'TOTAL ESTACIONES'!AA40</f>
        <v>3197079</v>
      </c>
      <c r="AB40" s="30">
        <f>'TOTAL ESTACIONES'!AB40</f>
        <v>3008559</v>
      </c>
      <c r="AC40" s="30">
        <f>'TOTAL ESTACIONES'!AC40</f>
        <v>3462421</v>
      </c>
      <c r="AD40" s="30">
        <f>'TOTAL ESTACIONES'!AD40</f>
        <v>3368996</v>
      </c>
      <c r="AE40" s="30">
        <f>'TOTAL ESTACIONES'!AE40</f>
        <v>3306021</v>
      </c>
      <c r="AF40" s="30">
        <f>'TOTAL ESTACIONES'!AF40</f>
        <v>3423794</v>
      </c>
      <c r="AG40" s="30">
        <f>'TOTAL ESTACIONES'!AG40</f>
        <v>3315072</v>
      </c>
      <c r="AH40" s="30">
        <f>'TOTAL ESTACIONES'!AH40</f>
        <v>3373834</v>
      </c>
      <c r="AI40" s="30">
        <f>'TOTAL ESTACIONES'!AI40</f>
        <v>3253255</v>
      </c>
      <c r="AJ40" s="30">
        <f>'TOTAL ESTACIONES'!AJ40</f>
        <v>3071369</v>
      </c>
      <c r="AK40" s="30">
        <f>'TOTAL ESTACIONES'!AK40</f>
        <v>38635804</v>
      </c>
      <c r="AL40" s="74">
        <f>'TOTAL ESTACIONES'!AL40</f>
        <v>0.77929858132689389</v>
      </c>
      <c r="AM40" s="29">
        <f>'TOTAL ESTACIONES'!AM40</f>
        <v>3.2131934678294227E-2</v>
      </c>
      <c r="AN40" s="90"/>
      <c r="AS40" s="30">
        <v>38635804</v>
      </c>
    </row>
    <row r="41" spans="1:45" hidden="1" outlineLevel="1">
      <c r="I41" s="31" t="s">
        <v>142</v>
      </c>
      <c r="J41" s="30">
        <f>'TOTAL ESTACIONES'!J41</f>
        <v>271069</v>
      </c>
      <c r="K41" s="30">
        <f>'TOTAL ESTACIONES'!K41</f>
        <v>279451</v>
      </c>
      <c r="L41" s="30">
        <f>'TOTAL ESTACIONES'!L41</f>
        <v>310795</v>
      </c>
      <c r="M41" s="30">
        <f>'TOTAL ESTACIONES'!M41</f>
        <v>292788</v>
      </c>
      <c r="N41" s="30">
        <f>'TOTAL ESTACIONES'!N41</f>
        <v>333910</v>
      </c>
      <c r="O41" s="30">
        <f>'TOTAL ESTACIONES'!O41</f>
        <v>349797</v>
      </c>
      <c r="P41" s="30">
        <f>'TOTAL ESTACIONES'!P41</f>
        <v>334339</v>
      </c>
      <c r="Q41" s="30">
        <f>'TOTAL ESTACIONES'!Q41</f>
        <v>236040</v>
      </c>
      <c r="R41" s="30">
        <f>'TOTAL ESTACIONES'!R41</f>
        <v>275117</v>
      </c>
      <c r="S41" s="30">
        <f>'TOTAL ESTACIONES'!S41</f>
        <v>321116</v>
      </c>
      <c r="T41" s="30">
        <f>'TOTAL ESTACIONES'!T41</f>
        <v>301876</v>
      </c>
      <c r="U41" s="30">
        <f>'TOTAL ESTACIONES'!U41</f>
        <v>286641</v>
      </c>
      <c r="V41" s="30">
        <f>'TOTAL ESTACIONES'!V41</f>
        <v>3592939</v>
      </c>
      <c r="W41" s="73">
        <f>'TOTAL ESTACIONES'!W41</f>
        <v>7.5174423105490773E-2</v>
      </c>
      <c r="X41" s="90"/>
      <c r="Y41" s="30">
        <f>'TOTAL ESTACIONES'!Y41</f>
        <v>277164</v>
      </c>
      <c r="Z41" s="30">
        <f>'TOTAL ESTACIONES'!Z41</f>
        <v>283847</v>
      </c>
      <c r="AA41" s="30">
        <f>'TOTAL ESTACIONES'!AA41</f>
        <v>317230</v>
      </c>
      <c r="AB41" s="30">
        <f>'TOTAL ESTACIONES'!AB41</f>
        <v>298246</v>
      </c>
      <c r="AC41" s="30">
        <f>'TOTAL ESTACIONES'!AC41</f>
        <v>344135</v>
      </c>
      <c r="AD41" s="30">
        <f>'TOTAL ESTACIONES'!AD41</f>
        <v>360055</v>
      </c>
      <c r="AE41" s="30">
        <f>'TOTAL ESTACIONES'!AE41</f>
        <v>342401</v>
      </c>
      <c r="AF41" s="30">
        <f>'TOTAL ESTACIONES'!AF41</f>
        <v>347357</v>
      </c>
      <c r="AG41" s="30">
        <f>'TOTAL ESTACIONES'!AG41</f>
        <v>339416</v>
      </c>
      <c r="AH41" s="30">
        <f>'TOTAL ESTACIONES'!AH41</f>
        <v>320848</v>
      </c>
      <c r="AI41" s="30">
        <f>'TOTAL ESTACIONES'!AI41</f>
        <v>309500</v>
      </c>
      <c r="AJ41" s="30">
        <f>'TOTAL ESTACIONES'!AJ41</f>
        <v>292325</v>
      </c>
      <c r="AK41" s="30">
        <f>'TOTAL ESTACIONES'!AK41</f>
        <v>3832524</v>
      </c>
      <c r="AL41" s="74">
        <f>'TOTAL ESTACIONES'!AL41</f>
        <v>7.7303438957845236E-2</v>
      </c>
      <c r="AM41" s="29">
        <f>'TOTAL ESTACIONES'!AM41</f>
        <v>6.6682178573028938E-2</v>
      </c>
      <c r="AN41" s="89"/>
      <c r="AS41" s="30">
        <v>3832524</v>
      </c>
    </row>
    <row r="42" spans="1:45" hidden="1" outlineLevel="1">
      <c r="A42" s="21"/>
      <c r="B42" s="21"/>
      <c r="C42" s="21"/>
      <c r="D42" s="21"/>
      <c r="E42" s="180" t="s">
        <v>98</v>
      </c>
      <c r="I42" s="31" t="s">
        <v>143</v>
      </c>
      <c r="J42" s="30">
        <f>'TOTAL ESTACIONES'!J42</f>
        <v>526691</v>
      </c>
      <c r="K42" s="30">
        <f>'TOTAL ESTACIONES'!K42</f>
        <v>495501</v>
      </c>
      <c r="L42" s="30">
        <f>'TOTAL ESTACIONES'!L42</f>
        <v>542424</v>
      </c>
      <c r="M42" s="30">
        <f>'TOTAL ESTACIONES'!M42</f>
        <v>490379</v>
      </c>
      <c r="N42" s="30">
        <f>'TOTAL ESTACIONES'!N42</f>
        <v>574474</v>
      </c>
      <c r="O42" s="30">
        <f>'TOTAL ESTACIONES'!O42</f>
        <v>621973</v>
      </c>
      <c r="P42" s="30">
        <f>'TOTAL ESTACIONES'!P42</f>
        <v>633290</v>
      </c>
      <c r="Q42" s="30">
        <f>'TOTAL ESTACIONES'!Q42</f>
        <v>546137</v>
      </c>
      <c r="R42" s="30">
        <f>'TOTAL ESTACIONES'!R42</f>
        <v>577870</v>
      </c>
      <c r="S42" s="30">
        <f>'TOTAL ESTACIONES'!S42</f>
        <v>623291</v>
      </c>
      <c r="T42" s="30">
        <f>'TOTAL ESTACIONES'!T42</f>
        <v>585080</v>
      </c>
      <c r="U42" s="30">
        <f>'TOTAL ESTACIONES'!U42</f>
        <v>551641</v>
      </c>
      <c r="V42" s="30">
        <f>'TOTAL ESTACIONES'!V42</f>
        <v>6768751</v>
      </c>
      <c r="W42" s="73">
        <f>'TOTAL ESTACIONES'!W42</f>
        <v>0.14162137224420282</v>
      </c>
      <c r="X42" s="90"/>
      <c r="Y42" s="30">
        <f>'TOTAL ESTACIONES'!Y42</f>
        <v>591653</v>
      </c>
      <c r="Z42" s="30">
        <f>'TOTAL ESTACIONES'!Z42</f>
        <v>562170</v>
      </c>
      <c r="AA42" s="30">
        <f>'TOTAL ESTACIONES'!AA42</f>
        <v>600082</v>
      </c>
      <c r="AB42" s="30">
        <f>'TOTAL ESTACIONES'!AB42</f>
        <v>563348</v>
      </c>
      <c r="AC42" s="30">
        <f>'TOTAL ESTACIONES'!AC42</f>
        <v>607969</v>
      </c>
      <c r="AD42" s="30">
        <f>'TOTAL ESTACIONES'!AD42</f>
        <v>617764</v>
      </c>
      <c r="AE42" s="30">
        <f>'TOTAL ESTACIONES'!AE42</f>
        <v>633819</v>
      </c>
      <c r="AF42" s="30">
        <f>'TOTAL ESTACIONES'!AF42</f>
        <v>568472</v>
      </c>
      <c r="AG42" s="30">
        <f>'TOTAL ESTACIONES'!AG42</f>
        <v>590432</v>
      </c>
      <c r="AH42" s="30">
        <f>'TOTAL ESTACIONES'!AH42</f>
        <v>614882</v>
      </c>
      <c r="AI42" s="30">
        <f>'TOTAL ESTACIONES'!AI42</f>
        <v>597100</v>
      </c>
      <c r="AJ42" s="30">
        <f>'TOTAL ESTACIONES'!AJ42</f>
        <v>561646</v>
      </c>
      <c r="AK42" s="30">
        <f>'TOTAL ESTACIONES'!AK42</f>
        <v>7109337</v>
      </c>
      <c r="AL42" s="74">
        <f>'TOTAL ESTACIONES'!AL42</f>
        <v>0.14339797971526089</v>
      </c>
      <c r="AM42" s="29">
        <f>'TOTAL ESTACIONES'!AM42</f>
        <v>5.0317407155322957E-2</v>
      </c>
      <c r="AN42" s="89"/>
      <c r="AS42" s="30">
        <v>7109337</v>
      </c>
    </row>
    <row r="43" spans="1:45">
      <c r="A43" s="21"/>
      <c r="B43" s="21"/>
      <c r="C43" s="21"/>
      <c r="D43" s="21"/>
      <c r="E43" s="185"/>
      <c r="F43" s="21"/>
      <c r="G43" s="21"/>
      <c r="H43" s="21"/>
      <c r="I43" s="18" t="s">
        <v>144</v>
      </c>
      <c r="J43" s="17">
        <f>'TOTAL ESTACIONES'!J43</f>
        <v>2.6129422259117447</v>
      </c>
      <c r="K43" s="17">
        <f>'TOTAL ESTACIONES'!K43</f>
        <v>2.8635216742853462</v>
      </c>
      <c r="L43" s="17">
        <f>'TOTAL ESTACIONES'!L43</f>
        <v>2.6658586140225551</v>
      </c>
      <c r="M43" s="17">
        <f>'TOTAL ESTACIONES'!M43</f>
        <v>2.717905986558824</v>
      </c>
      <c r="N43" s="17">
        <f>'TOTAL ESTACIONES'!N43</f>
        <v>2.916607695347853</v>
      </c>
      <c r="O43" s="17">
        <f>'TOTAL ESTACIONES'!O43</f>
        <v>2.5586636624511243</v>
      </c>
      <c r="P43" s="17">
        <f>'TOTAL ESTACIONES'!P43</f>
        <v>2.4372831313430363</v>
      </c>
      <c r="Q43" s="17">
        <f>'TOTAL ESTACIONES'!Q43</f>
        <v>2.4000491976853855</v>
      </c>
      <c r="R43" s="17">
        <f>'TOTAL ESTACIONES'!R43</f>
        <v>2.5774852378727768</v>
      </c>
      <c r="S43" s="17">
        <f>'TOTAL ESTACIONES'!S43</f>
        <v>2.32181414736502</v>
      </c>
      <c r="T43" s="17">
        <f>'TOTAL ESTACIONES'!T43</f>
        <v>2.40376108673907</v>
      </c>
      <c r="U43" s="17">
        <f>'TOTAL ESTACIONES'!U43</f>
        <v>2.5814505652653255</v>
      </c>
      <c r="V43" s="17">
        <f>'TOTAL ESTACIONES'!V43</f>
        <v>2.5850320438184857</v>
      </c>
      <c r="W43" s="73">
        <f>'TOTAL ESTACIONES'!W43</f>
        <v>5.4086165282311338E-8</v>
      </c>
      <c r="X43" s="90"/>
      <c r="Y43" s="17">
        <f>'TOTAL ESTACIONES'!Y43</f>
        <v>2.5035427033505315</v>
      </c>
      <c r="Z43" s="17">
        <f>'TOTAL ESTACIONES'!Z43</f>
        <v>2.4834457278917483</v>
      </c>
      <c r="AA43" s="17">
        <f>'TOTAL ESTACIONES'!AA43</f>
        <v>2.5870201130616874</v>
      </c>
      <c r="AB43" s="17">
        <f>'TOTAL ESTACIONES'!AB43</f>
        <v>2.4444250007687072</v>
      </c>
      <c r="AC43" s="17">
        <f>'TOTAL ESTACIONES'!AC43</f>
        <v>2.6179509211070253</v>
      </c>
      <c r="AD43" s="17">
        <f>'TOTAL ESTACIONES'!AD43</f>
        <v>2.4839140819197527</v>
      </c>
      <c r="AE43" s="17">
        <f>'TOTAL ESTACIONES'!AE43</f>
        <v>2.4884608269361777</v>
      </c>
      <c r="AF43" s="17">
        <f>'TOTAL ESTACIONES'!AF43</f>
        <v>2.5340983675310014</v>
      </c>
      <c r="AG43" s="17">
        <f>'TOTAL ESTACIONES'!AG43</f>
        <v>2.4824035717987636</v>
      </c>
      <c r="AH43" s="17">
        <f>'TOTAL ESTACIONES'!AH43</f>
        <v>2.521598809067461</v>
      </c>
      <c r="AI43" s="17">
        <f>'TOTAL ESTACIONES'!AI43</f>
        <v>2.4743622986858904</v>
      </c>
      <c r="AJ43" s="17">
        <f>'TOTAL ESTACIONES'!AJ43</f>
        <v>2.4491674453677894</v>
      </c>
      <c r="AK43" s="17">
        <f>'TOTAL ESTACIONES'!AK43</f>
        <v>2.5071800192687581</v>
      </c>
      <c r="AL43" s="74">
        <f>'TOTAL ESTACIONES'!AL43</f>
        <v>5.0570756393403319E-8</v>
      </c>
      <c r="AM43" s="16">
        <f>'TOTAL ESTACIONES'!AM43</f>
        <v>-3.011646402445689E-2</v>
      </c>
      <c r="AN43" s="89"/>
      <c r="AS43" s="17">
        <v>2.5061804966006371</v>
      </c>
    </row>
    <row r="44" spans="1:45" outlineLevel="1">
      <c r="A44" s="12" t="s">
        <v>146</v>
      </c>
      <c r="B44" s="19" t="s">
        <v>88</v>
      </c>
      <c r="I44" s="31" t="s">
        <v>141</v>
      </c>
      <c r="J44" s="30">
        <f>'TOTAL ESTACIONES'!J44</f>
        <v>2.4474479719471725</v>
      </c>
      <c r="K44" s="30">
        <f>'TOTAL ESTACIONES'!K44</f>
        <v>2.8141448709402561</v>
      </c>
      <c r="L44" s="30">
        <f>'TOTAL ESTACIONES'!L44</f>
        <v>2.4877300261246518</v>
      </c>
      <c r="M44" s="30">
        <f>'TOTAL ESTACIONES'!M44</f>
        <v>2.5371906744480932</v>
      </c>
      <c r="N44" s="30">
        <f>'TOTAL ESTACIONES'!N44</f>
        <v>2.698380143634866</v>
      </c>
      <c r="O44" s="30">
        <f>'TOTAL ESTACIONES'!O44</f>
        <v>2.2613822956834548</v>
      </c>
      <c r="P44" s="30">
        <f>'TOTAL ESTACIONES'!P44</f>
        <v>2.1903458728727117</v>
      </c>
      <c r="Q44" s="30">
        <f>'TOTAL ESTACIONES'!Q44</f>
        <v>2.225115686089338</v>
      </c>
      <c r="R44" s="30">
        <f>'TOTAL ESTACIONES'!R44</f>
        <v>2.5099001900334028</v>
      </c>
      <c r="S44" s="30">
        <f>'TOTAL ESTACIONES'!S44</f>
        <v>2.2858518232709621</v>
      </c>
      <c r="T44" s="30">
        <f>'TOTAL ESTACIONES'!T44</f>
        <v>2.3698548033042206</v>
      </c>
      <c r="U44" s="30">
        <f>'TOTAL ESTACIONES'!U44</f>
        <v>2.5297804033781572</v>
      </c>
      <c r="V44" s="30">
        <f>'TOTAL ESTACIONES'!V44</f>
        <v>2.5168731235031259</v>
      </c>
      <c r="W44" s="73">
        <f>'TOTAL ESTACIONES'!W44</f>
        <v>5.2660088325758421E-8</v>
      </c>
      <c r="X44" s="90"/>
      <c r="Y44" s="30">
        <f>'TOTAL ESTACIONES'!Y44</f>
        <v>2.5099999999999958</v>
      </c>
      <c r="Z44" s="30">
        <f>'TOTAL ESTACIONES'!Z44</f>
        <v>2.4924082720435639</v>
      </c>
      <c r="AA44" s="30">
        <f>'TOTAL ESTACIONES'!AA44</f>
        <v>2.601336541887139</v>
      </c>
      <c r="AB44" s="30">
        <f>'TOTAL ESTACIONES'!AB44</f>
        <v>2.445728945319007</v>
      </c>
      <c r="AC44" s="30">
        <f>'TOTAL ESTACIONES'!AC44</f>
        <v>2.6426614903271441</v>
      </c>
      <c r="AD44" s="30">
        <f>'TOTAL ESTACIONES'!AD44</f>
        <v>2.4805048002431609</v>
      </c>
      <c r="AE44" s="30">
        <f>'TOTAL ESTACIONES'!AE44</f>
        <v>2.4902963320559666</v>
      </c>
      <c r="AF44" s="30">
        <f>'TOTAL ESTACIONES'!AF44</f>
        <v>2.5456654898045841</v>
      </c>
      <c r="AG44" s="30">
        <f>'TOTAL ESTACIONES'!AG44</f>
        <v>2.4789612653963489</v>
      </c>
      <c r="AH44" s="30">
        <f>'TOTAL ESTACIONES'!AH44</f>
        <v>2.5283185450143666</v>
      </c>
      <c r="AI44" s="30">
        <f>'TOTAL ESTACIONES'!AI44</f>
        <v>2.47370938029758</v>
      </c>
      <c r="AJ44" s="30">
        <f>'TOTAL ESTACIONES'!AJ44</f>
        <v>2.4510414020588209</v>
      </c>
      <c r="AK44" s="30">
        <f>'TOTAL ESTACIONES'!AK44</f>
        <v>2.5132165956737951</v>
      </c>
      <c r="AL44" s="74">
        <f>'TOTAL ESTACIONES'!AL44</f>
        <v>5.0692516391681515E-8</v>
      </c>
      <c r="AM44" s="29">
        <f>'TOTAL ESTACIONES'!AM44</f>
        <v>-1.4528057831700858E-3</v>
      </c>
      <c r="AN44" s="89"/>
      <c r="AS44" s="30">
        <v>2.5132165956737951</v>
      </c>
    </row>
    <row r="45" spans="1:45" ht="15" customHeight="1" outlineLevel="1">
      <c r="A45" s="12" t="s">
        <v>146</v>
      </c>
      <c r="B45" s="8" t="s">
        <v>88</v>
      </c>
      <c r="C45" s="19" t="s">
        <v>148</v>
      </c>
      <c r="D45" s="12"/>
      <c r="E45" s="184"/>
      <c r="F45" s="12"/>
      <c r="G45" s="12"/>
      <c r="H45" s="12"/>
      <c r="I45" s="31" t="s">
        <v>142</v>
      </c>
      <c r="J45" s="30">
        <f>'TOTAL ESTACIONES'!J45</f>
        <v>2.9576823613175982</v>
      </c>
      <c r="K45" s="30">
        <f>'TOTAL ESTACIONES'!K45</f>
        <v>3.2905375182053382</v>
      </c>
      <c r="L45" s="30">
        <f>'TOTAL ESTACIONES'!L45</f>
        <v>3.4516256696536303</v>
      </c>
      <c r="M45" s="30">
        <f>'TOTAL ESTACIONES'!M45</f>
        <v>3.4872057597988988</v>
      </c>
      <c r="N45" s="30">
        <f>'TOTAL ESTACIONES'!N45</f>
        <v>3.305980653469498</v>
      </c>
      <c r="O45" s="30">
        <f>'TOTAL ESTACIONES'!O45</f>
        <v>3.0678822288355816</v>
      </c>
      <c r="P45" s="30">
        <f>'TOTAL ESTACIONES'!P45</f>
        <v>2.7159649337947411</v>
      </c>
      <c r="Q45" s="30">
        <f>'TOTAL ESTACIONES'!Q45</f>
        <v>2.3354007795288934</v>
      </c>
      <c r="R45" s="30">
        <f>'TOTAL ESTACIONES'!R45</f>
        <v>3.3038367918618863</v>
      </c>
      <c r="S45" s="30">
        <f>'TOTAL ESTACIONES'!S45</f>
        <v>2.5682916938288827</v>
      </c>
      <c r="T45" s="30">
        <f>'TOTAL ESTACIONES'!T45</f>
        <v>2.5560508533550443</v>
      </c>
      <c r="U45" s="30">
        <f>'TOTAL ESTACIONES'!U45</f>
        <v>2.9133673940918308</v>
      </c>
      <c r="V45" s="30">
        <f>'TOTAL ESTACIONES'!V45</f>
        <v>3.0971004998524898</v>
      </c>
      <c r="W45" s="73">
        <f>'TOTAL ESTACIONES'!W45</f>
        <v>6.4800082432832292E-8</v>
      </c>
      <c r="X45" s="90"/>
      <c r="Y45" s="30">
        <f>'TOTAL ESTACIONES'!Y45</f>
        <v>2.5299999999999998</v>
      </c>
      <c r="Z45" s="30">
        <f>'TOTAL ESTACIONES'!Z45</f>
        <v>2.5380298541115431</v>
      </c>
      <c r="AA45" s="30">
        <f>'TOTAL ESTACIONES'!AA45</f>
        <v>2.5827188160010106</v>
      </c>
      <c r="AB45" s="30">
        <f>'TOTAL ESTACIONES'!AB45</f>
        <v>2.5299595635817393</v>
      </c>
      <c r="AC45" s="30">
        <f>'TOTAL ESTACIONES'!AC45</f>
        <v>2.5310676042832005</v>
      </c>
      <c r="AD45" s="30">
        <f>'TOTAL ESTACIONES'!AD45</f>
        <v>2.5681687242226863</v>
      </c>
      <c r="AE45" s="30">
        <f>'TOTAL ESTACIONES'!AE45</f>
        <v>2.4861956010642476</v>
      </c>
      <c r="AF45" s="30">
        <f>'TOTAL ESTACIONES'!AF45</f>
        <v>2.5444676514364195</v>
      </c>
      <c r="AG45" s="30">
        <f>'TOTAL ESTACIONES'!AG45</f>
        <v>2.5079372510429661</v>
      </c>
      <c r="AH45" s="30">
        <f>'TOTAL ESTACIONES'!AH45</f>
        <v>2.5453303121727355</v>
      </c>
      <c r="AI45" s="30">
        <f>'TOTAL ESTACIONES'!AI45</f>
        <v>2.5094538610662318</v>
      </c>
      <c r="AJ45" s="30">
        <f>'TOTAL ESTACIONES'!AJ45</f>
        <v>2.506408381082696</v>
      </c>
      <c r="AK45" s="30">
        <f>'TOTAL ESTACIONES'!AK45</f>
        <v>2.5319055301414943</v>
      </c>
      <c r="AL45" s="74">
        <f>'TOTAL ESTACIONES'!AL45</f>
        <v>5.1069479172556721E-8</v>
      </c>
      <c r="AM45" s="29">
        <f>'TOTAL ESTACIONES'!AM45</f>
        <v>-0.1824916465377584</v>
      </c>
      <c r="AN45" s="89"/>
      <c r="AS45" s="30">
        <v>2.5319055301414943</v>
      </c>
    </row>
    <row r="46" spans="1:45" ht="15" customHeight="1" outlineLevel="1">
      <c r="A46" s="12" t="s">
        <v>146</v>
      </c>
      <c r="B46" s="8" t="s">
        <v>88</v>
      </c>
      <c r="I46" s="31" t="s">
        <v>143</v>
      </c>
      <c r="J46" s="30">
        <f>'TOTAL ESTACIONES'!J46</f>
        <v>3.209080846264698</v>
      </c>
      <c r="K46" s="30">
        <f>'TOTAL ESTACIONES'!K46</f>
        <v>2.5996052480216991</v>
      </c>
      <c r="L46" s="30">
        <f>'TOTAL ESTACIONES'!L46</f>
        <v>2.6954190817515449</v>
      </c>
      <c r="M46" s="30">
        <f>'TOTAL ESTACIONES'!M46</f>
        <v>2.505370336005416</v>
      </c>
      <c r="N46" s="30">
        <f>'TOTAL ESTACIONES'!N46</f>
        <v>2.5528657519748501</v>
      </c>
      <c r="O46" s="30">
        <f>'TOTAL ESTACIONES'!O46</f>
        <v>2.0997856820151357</v>
      </c>
      <c r="P46" s="30">
        <f>'TOTAL ESTACIONES'!P46</f>
        <v>2.0353755783290435</v>
      </c>
      <c r="Q46" s="30">
        <f>'TOTAL ESTACIONES'!Q46</f>
        <v>2.4244447821700414</v>
      </c>
      <c r="R46" s="30">
        <f>'TOTAL ESTACIONES'!R46</f>
        <v>2.5680008767831288</v>
      </c>
      <c r="S46" s="30">
        <f>'TOTAL ESTACIONES'!S46</f>
        <v>2.3641298990180974</v>
      </c>
      <c r="T46" s="30">
        <f>'TOTAL ESTACIONES'!T46</f>
        <v>2.4857504133654404</v>
      </c>
      <c r="U46" s="30">
        <f>'TOTAL ESTACIONES'!U46</f>
        <v>2.6659091736639153</v>
      </c>
      <c r="V46" s="30">
        <f>'TOTAL ESTACIONES'!V46</f>
        <v>2.6664785290338711</v>
      </c>
      <c r="W46" s="73">
        <f>'TOTAL ESTACIONES'!W46</f>
        <v>5.5790255593902065E-8</v>
      </c>
      <c r="X46" s="90"/>
      <c r="Y46" s="30">
        <f>'TOTAL ESTACIONES'!Y46</f>
        <v>2.4399999999999973</v>
      </c>
      <c r="Z46" s="30">
        <f>'TOTAL ESTACIONES'!Z46</f>
        <v>2.3903964992795794</v>
      </c>
      <c r="AA46" s="30">
        <f>'TOTAL ESTACIONES'!AA46</f>
        <v>2.4891580650644398</v>
      </c>
      <c r="AB46" s="30">
        <f>'TOTAL ESTACIONES'!AB46</f>
        <v>2.3736138230720614</v>
      </c>
      <c r="AC46" s="30">
        <f>'TOTAL ESTACIONES'!AC46</f>
        <v>2.507705491562894</v>
      </c>
      <c r="AD46" s="30">
        <f>'TOTAL ESTACIONES'!AD46</f>
        <v>2.436136210591747</v>
      </c>
      <c r="AE46" s="30">
        <f>'TOTAL ESTACIONES'!AE46</f>
        <v>2.4631419222206947</v>
      </c>
      <c r="AF46" s="30">
        <f>'TOTAL ESTACIONES'!AF46</f>
        <v>2.4399999999999964</v>
      </c>
      <c r="AG46" s="30">
        <f>'TOTAL ESTACIONES'!AG46</f>
        <v>2.4694316364966653</v>
      </c>
      <c r="AH46" s="30">
        <f>'TOTAL ESTACIONES'!AH46</f>
        <v>2.4537264710952673</v>
      </c>
      <c r="AI46" s="30">
        <f>'TOTAL ESTACIONES'!AI46</f>
        <v>2.4399999999999968</v>
      </c>
      <c r="AJ46" s="30">
        <f>'TOTAL ESTACIONES'!AJ46</f>
        <v>2.3887600552661272</v>
      </c>
      <c r="AK46" s="30">
        <f>'TOTAL ESTACIONES'!AK46</f>
        <v>2.4420673235774308</v>
      </c>
      <c r="AL46" s="74">
        <f>'TOTAL ESTACIONES'!AL46</f>
        <v>4.925740902838871E-8</v>
      </c>
      <c r="AM46" s="29">
        <f>'TOTAL ESTACIONES'!AM46</f>
        <v>-8.4160139679710699E-2</v>
      </c>
      <c r="AN46" s="89"/>
      <c r="AS46" s="30">
        <v>2.4420673235774308</v>
      </c>
    </row>
    <row r="47" spans="1:45" ht="15" customHeight="1">
      <c r="A47" s="12" t="s">
        <v>146</v>
      </c>
      <c r="B47" s="8" t="s">
        <v>88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89"/>
      <c r="AO47" s="129">
        <f>+AK6/AK39</f>
        <v>19.427665244195563</v>
      </c>
      <c r="AS47" s="3"/>
    </row>
    <row r="48" spans="1:45" ht="15" customHeight="1">
      <c r="A48" s="12" t="s">
        <v>146</v>
      </c>
      <c r="B48" s="8" t="s">
        <v>88</v>
      </c>
      <c r="I48" s="139" t="s">
        <v>145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89"/>
      <c r="AS48" s="3"/>
    </row>
    <row r="49" spans="1:45" ht="15" customHeight="1">
      <c r="A49" s="12" t="s">
        <v>146</v>
      </c>
      <c r="B49" s="8" t="s">
        <v>88</v>
      </c>
      <c r="C49" s="8" t="s">
        <v>155</v>
      </c>
      <c r="I49" s="139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89"/>
      <c r="AS49" s="3"/>
    </row>
    <row r="50" spans="1:45" ht="15" customHeight="1">
      <c r="A50" s="12" t="s">
        <v>146</v>
      </c>
      <c r="B50" s="8" t="s">
        <v>88</v>
      </c>
      <c r="I50" s="166" t="s">
        <v>147</v>
      </c>
      <c r="J50" s="15">
        <f>'TOTAL ESTACIONES'!J50</f>
        <v>2052258</v>
      </c>
      <c r="K50" s="15">
        <f>'TOTAL ESTACIONES'!K50</f>
        <v>1540749</v>
      </c>
      <c r="L50" s="15">
        <f>'TOTAL ESTACIONES'!L50</f>
        <v>1586455</v>
      </c>
      <c r="M50" s="15">
        <f>'TOTAL ESTACIONES'!M50</f>
        <v>1475793</v>
      </c>
      <c r="N50" s="15">
        <f>'TOTAL ESTACIONES'!N50</f>
        <v>1563436</v>
      </c>
      <c r="O50" s="15">
        <f>'TOTAL ESTACIONES'!O50</f>
        <v>1546044</v>
      </c>
      <c r="P50" s="15">
        <f>'TOTAL ESTACIONES'!P50</f>
        <v>1664258</v>
      </c>
      <c r="Q50" s="15">
        <f>'TOTAL ESTACIONES'!Q50</f>
        <v>1730204</v>
      </c>
      <c r="R50" s="15">
        <f>'TOTAL ESTACIONES'!R50</f>
        <v>1566448</v>
      </c>
      <c r="S50" s="15">
        <f>'TOTAL ESTACIONES'!S50</f>
        <v>1700871.1829333333</v>
      </c>
      <c r="T50" s="15">
        <f>'TOTAL ESTACIONES'!T50</f>
        <v>1860391.5609777779</v>
      </c>
      <c r="U50" s="15">
        <f>'TOTAL ESTACIONES'!U50</f>
        <v>1527728.2602370372</v>
      </c>
      <c r="V50" s="15">
        <f>'TOTAL ESTACIONES'!V50</f>
        <v>19814636.004148148</v>
      </c>
      <c r="W50" s="72">
        <f>'TOTAL ESTACIONES'!W50</f>
        <v>2.2110504784022222E-2</v>
      </c>
      <c r="X50" s="89"/>
      <c r="Y50" s="15">
        <f>'TOTAL ESTACIONES'!Y50</f>
        <v>1920544.5512462747</v>
      </c>
      <c r="Z50" s="15">
        <f>'TOTAL ESTACIONES'!Z50</f>
        <v>1580031.9311942752</v>
      </c>
      <c r="AA50" s="15">
        <f>'TOTAL ESTACIONES'!AA50</f>
        <v>2041213.2556892133</v>
      </c>
      <c r="AB50" s="15">
        <f>'TOTAL ESTACIONES'!AB50</f>
        <v>1599133.9044859037</v>
      </c>
      <c r="AC50" s="15">
        <f>'TOTAL ESTACIONES'!AC50</f>
        <v>1576904.8669049011</v>
      </c>
      <c r="AD50" s="15">
        <f>'TOTAL ESTACIONES'!AD50</f>
        <v>1685312.9454215625</v>
      </c>
      <c r="AE50" s="15">
        <f>'TOTAL ESTACIONES'!AE50</f>
        <v>1668523.6300030388</v>
      </c>
      <c r="AF50" s="15">
        <f>'TOTAL ESTACIONES'!AF50</f>
        <v>1770033.9887996707</v>
      </c>
      <c r="AG50" s="15">
        <f>'TOTAL ESTACIONES'!AG50</f>
        <v>1752888.6352396884</v>
      </c>
      <c r="AH50" s="15">
        <f>'TOTAL ESTACIONES'!AH50</f>
        <v>1942599.2663907532</v>
      </c>
      <c r="AI50" s="15">
        <f>'TOTAL ESTACIONES'!AI50</f>
        <v>1793573.6742512451</v>
      </c>
      <c r="AJ50" s="15">
        <f>'TOTAL ESTACIONES'!AJ50</f>
        <v>1678630.3115018648</v>
      </c>
      <c r="AK50" s="287">
        <f>'TOTAL ESTACIONES'!AK50</f>
        <v>21009390.961128391</v>
      </c>
      <c r="AL50" s="72">
        <f>'TOTAL ESTACIONES'!AL50</f>
        <v>2.1812567221080766E-2</v>
      </c>
      <c r="AM50" s="10">
        <f>'TOTAL ESTACIONES'!AM50</f>
        <v>6.0296588679707552E-2</v>
      </c>
      <c r="AN50" s="89"/>
      <c r="AS50" s="287">
        <v>21009390.961128391</v>
      </c>
    </row>
    <row r="51" spans="1:45" ht="15" customHeight="1" outlineLevel="1">
      <c r="A51" s="12" t="s">
        <v>146</v>
      </c>
      <c r="B51" s="8" t="s">
        <v>88</v>
      </c>
      <c r="I51" s="246" t="s">
        <v>149</v>
      </c>
      <c r="J51" s="65">
        <f>'TOTAL ESTACIONES'!J51</f>
        <v>260645</v>
      </c>
      <c r="K51" s="65">
        <f>'TOTAL ESTACIONES'!K51</f>
        <v>231021</v>
      </c>
      <c r="L51" s="65">
        <f>'TOTAL ESTACIONES'!L51</f>
        <v>337830</v>
      </c>
      <c r="M51" s="65">
        <f>'TOTAL ESTACIONES'!M51</f>
        <v>235718</v>
      </c>
      <c r="N51" s="65">
        <f>'TOTAL ESTACIONES'!N51</f>
        <v>275972</v>
      </c>
      <c r="O51" s="65">
        <f>'TOTAL ESTACIONES'!O51</f>
        <v>184532</v>
      </c>
      <c r="P51" s="65">
        <f>'TOTAL ESTACIONES'!P51</f>
        <v>231937</v>
      </c>
      <c r="Q51" s="65">
        <f>'TOTAL ESTACIONES'!Q51</f>
        <v>332077</v>
      </c>
      <c r="R51" s="65">
        <f>'TOTAL ESTACIONES'!R51</f>
        <v>243484</v>
      </c>
      <c r="S51" s="65">
        <f>'TOTAL ESTACIONES'!S51</f>
        <v>321243</v>
      </c>
      <c r="T51" s="65">
        <f>'TOTAL ESTACIONES'!T51</f>
        <v>298934.66666666669</v>
      </c>
      <c r="U51" s="65">
        <f>'TOTAL ESTACIONES'!U51</f>
        <v>287887.22222222225</v>
      </c>
      <c r="V51" s="294">
        <f>'TOTAL ESTACIONES'!V51</f>
        <v>3241280.888888889</v>
      </c>
      <c r="W51" s="73">
        <f>'TOTAL ESTACIONES'!W51</f>
        <v>3.6168394203726171E-3</v>
      </c>
      <c r="X51" s="89"/>
      <c r="Y51" s="65">
        <f>'TOTAL ESTACIONES'!Y51</f>
        <v>262450.4273044978</v>
      </c>
      <c r="Z51" s="65">
        <f>'TOTAL ESTACIONES'!Z51</f>
        <v>252088.36311472871</v>
      </c>
      <c r="AA51" s="65">
        <f>'TOTAL ESTACIONES'!AA51</f>
        <v>280138.01549066755</v>
      </c>
      <c r="AB51" s="65">
        <f>'TOTAL ESTACIONES'!AB51</f>
        <v>269811.60847422353</v>
      </c>
      <c r="AC51" s="65">
        <f>'TOTAL ESTACIONES'!AC51</f>
        <v>293266.45129522099</v>
      </c>
      <c r="AD51" s="65">
        <f>'TOTAL ESTACIONES'!AD51</f>
        <v>288475.29998788226</v>
      </c>
      <c r="AE51" s="65">
        <f>'TOTAL ESTACIONES'!AE51</f>
        <v>287748.2078853586</v>
      </c>
      <c r="AF51" s="65">
        <f>'TOTAL ESTACIONES'!AF51</f>
        <v>292873.60979799036</v>
      </c>
      <c r="AG51" s="65">
        <f>'TOTAL ESTACIONES'!AG51</f>
        <v>287048.35653200821</v>
      </c>
      <c r="AH51" s="65">
        <f>'TOTAL ESTACIONES'!AH51</f>
        <v>292225.46400640672</v>
      </c>
      <c r="AI51" s="65">
        <f>'TOTAL ESTACIONES'!AI51</f>
        <v>286407.9417673428</v>
      </c>
      <c r="AJ51" s="65">
        <f>'TOTAL ESTACIONES'!AJ51</f>
        <v>280903.83872322185</v>
      </c>
      <c r="AK51" s="294">
        <f>'TOTAL ESTACIONES'!AK51</f>
        <v>3373437.5843795496</v>
      </c>
      <c r="AL51" s="73">
        <f>'TOTAL ESTACIONES'!AL51</f>
        <v>3.502402054945012E-3</v>
      </c>
      <c r="AM51" s="14">
        <f>'TOTAL ESTACIONES'!AM51</f>
        <v>4.0772984514761967E-2</v>
      </c>
      <c r="AN51" s="89"/>
      <c r="AO51" s="254">
        <f>+AK51-V51</f>
        <v>132156.69549066061</v>
      </c>
      <c r="AS51" s="294">
        <v>3373437.5843795496</v>
      </c>
    </row>
    <row r="52" spans="1:45" ht="15" customHeight="1" outlineLevel="1">
      <c r="A52" s="12" t="s">
        <v>146</v>
      </c>
      <c r="B52" s="8" t="s">
        <v>88</v>
      </c>
      <c r="I52" s="288" t="s">
        <v>148</v>
      </c>
      <c r="J52" s="65">
        <f>'TOTAL ESTACIONES'!J52</f>
        <v>426209</v>
      </c>
      <c r="K52" s="65">
        <f>'TOTAL ESTACIONES'!K52</f>
        <v>426209</v>
      </c>
      <c r="L52" s="65">
        <f>'TOTAL ESTACIONES'!L52</f>
        <v>426209</v>
      </c>
      <c r="M52" s="65">
        <f>'TOTAL ESTACIONES'!M52</f>
        <v>426209</v>
      </c>
      <c r="N52" s="65">
        <f>'TOTAL ESTACIONES'!N52</f>
        <v>426209</v>
      </c>
      <c r="O52" s="65">
        <f>'TOTAL ESTACIONES'!O52</f>
        <v>426209</v>
      </c>
      <c r="P52" s="65">
        <f>'TOTAL ESTACIONES'!P52</f>
        <v>426209</v>
      </c>
      <c r="Q52" s="65">
        <f>'TOTAL ESTACIONES'!Q52</f>
        <v>426209</v>
      </c>
      <c r="R52" s="65">
        <f>'TOTAL ESTACIONES'!R52</f>
        <v>441378</v>
      </c>
      <c r="S52" s="65">
        <f>'TOTAL ESTACIONES'!S52</f>
        <v>441378</v>
      </c>
      <c r="T52" s="65">
        <f>'TOTAL ESTACIONES'!T52</f>
        <v>441378</v>
      </c>
      <c r="U52" s="65">
        <f>'TOTAL ESTACIONES'!U52</f>
        <v>441378</v>
      </c>
      <c r="V52" s="65">
        <f>'TOTAL ESTACIONES'!V52</f>
        <v>5175184</v>
      </c>
      <c r="W52" s="73">
        <f>'TOTAL ESTACIONES'!W52</f>
        <v>5.7748187030153093E-3</v>
      </c>
      <c r="X52" s="89"/>
      <c r="Y52" s="65">
        <f>'TOTAL ESTACIONES'!Y52</f>
        <v>451038</v>
      </c>
      <c r="Z52" s="65">
        <f>'TOTAL ESTACIONES'!Z52</f>
        <v>451038</v>
      </c>
      <c r="AA52" s="65">
        <f>'TOTAL ESTACIONES'!AA52</f>
        <v>451038</v>
      </c>
      <c r="AB52" s="65">
        <f>'TOTAL ESTACIONES'!AB52</f>
        <v>451038</v>
      </c>
      <c r="AC52" s="65">
        <f>'TOTAL ESTACIONES'!AC52</f>
        <v>451038</v>
      </c>
      <c r="AD52" s="65">
        <f>'TOTAL ESTACIONES'!AD52</f>
        <v>451038</v>
      </c>
      <c r="AE52" s="65">
        <f>'TOTAL ESTACIONES'!AE52</f>
        <v>451038</v>
      </c>
      <c r="AF52" s="65">
        <f>'TOTAL ESTACIONES'!AF52</f>
        <v>451038</v>
      </c>
      <c r="AG52" s="65">
        <f>'TOTAL ESTACIONES'!AG52</f>
        <v>468693.12000000011</v>
      </c>
      <c r="AH52" s="65">
        <f>'TOTAL ESTACIONES'!AH52</f>
        <v>468693.12000000011</v>
      </c>
      <c r="AI52" s="65">
        <f>'TOTAL ESTACIONES'!AI52</f>
        <v>468693.12000000011</v>
      </c>
      <c r="AJ52" s="65">
        <f>'TOTAL ESTACIONES'!AJ52</f>
        <v>468693.12000000011</v>
      </c>
      <c r="AK52" s="65">
        <f>'TOTAL ESTACIONES'!AK52</f>
        <v>5483076.4800000004</v>
      </c>
      <c r="AL52" s="73">
        <f>'TOTAL ESTACIONES'!AL52</f>
        <v>5.6926911646135283E-3</v>
      </c>
      <c r="AM52" s="14">
        <f>'TOTAL ESTACIONES'!AM52</f>
        <v>5.9494016058173171E-2</v>
      </c>
      <c r="AN52" s="89"/>
      <c r="AO52" s="254">
        <f t="shared" ref="AO52:AO91" si="0">+AK52-V52</f>
        <v>307892.48000000045</v>
      </c>
      <c r="AP52" s="254">
        <f>+V52*1.0375</f>
        <v>5369253.4000000004</v>
      </c>
      <c r="AQ52" s="254">
        <f>+AK52-AP52</f>
        <v>113823.08000000007</v>
      </c>
      <c r="AS52" s="65">
        <v>5483076.4800000004</v>
      </c>
    </row>
    <row r="53" spans="1:45" ht="15" customHeight="1" outlineLevel="1">
      <c r="A53" s="12" t="s">
        <v>146</v>
      </c>
      <c r="B53" s="8" t="s">
        <v>88</v>
      </c>
      <c r="I53" s="246" t="s">
        <v>152</v>
      </c>
      <c r="J53" s="65">
        <f>'TOTAL ESTACIONES'!J53</f>
        <v>0</v>
      </c>
      <c r="K53" s="65">
        <f>'TOTAL ESTACIONES'!K53</f>
        <v>0</v>
      </c>
      <c r="L53" s="65">
        <f>'TOTAL ESTACIONES'!L53</f>
        <v>0</v>
      </c>
      <c r="M53" s="65">
        <f>'TOTAL ESTACIONES'!M53</f>
        <v>0</v>
      </c>
      <c r="N53" s="65">
        <f>'TOTAL ESTACIONES'!N53</f>
        <v>0</v>
      </c>
      <c r="O53" s="65">
        <f>'TOTAL ESTACIONES'!O53</f>
        <v>0</v>
      </c>
      <c r="P53" s="65">
        <f>'TOTAL ESTACIONES'!P53</f>
        <v>0</v>
      </c>
      <c r="Q53" s="65">
        <f>'TOTAL ESTACIONES'!Q53</f>
        <v>0</v>
      </c>
      <c r="R53" s="65">
        <f>'TOTAL ESTACIONES'!R53</f>
        <v>0</v>
      </c>
      <c r="S53" s="65">
        <f>'TOTAL ESTACIONES'!S53</f>
        <v>0</v>
      </c>
      <c r="T53" s="65">
        <f>'TOTAL ESTACIONES'!T53</f>
        <v>0</v>
      </c>
      <c r="U53" s="65">
        <f>'TOTAL ESTACIONES'!U53</f>
        <v>0</v>
      </c>
      <c r="V53" s="65">
        <f>'TOTAL ESTACIONES'!V53</f>
        <v>0</v>
      </c>
      <c r="W53" s="73">
        <f>'TOTAL ESTACIONES'!W53</f>
        <v>0</v>
      </c>
      <c r="X53" s="89"/>
      <c r="Y53" s="65">
        <f>'TOTAL ESTACIONES'!Y53</f>
        <v>0</v>
      </c>
      <c r="Z53" s="65">
        <f>'TOTAL ESTACIONES'!Z53</f>
        <v>0</v>
      </c>
      <c r="AA53" s="65">
        <f>'TOTAL ESTACIONES'!AA53</f>
        <v>0</v>
      </c>
      <c r="AB53" s="65">
        <f>'TOTAL ESTACIONES'!AB53</f>
        <v>0</v>
      </c>
      <c r="AC53" s="65">
        <f>'TOTAL ESTACIONES'!AC53</f>
        <v>0</v>
      </c>
      <c r="AD53" s="65">
        <f>'TOTAL ESTACIONES'!AD53</f>
        <v>0</v>
      </c>
      <c r="AE53" s="65">
        <f>'TOTAL ESTACIONES'!AE53</f>
        <v>0</v>
      </c>
      <c r="AF53" s="65">
        <f>'TOTAL ESTACIONES'!AF53</f>
        <v>0</v>
      </c>
      <c r="AG53" s="65">
        <f>'TOTAL ESTACIONES'!AG53</f>
        <v>0</v>
      </c>
      <c r="AH53" s="65">
        <f>'TOTAL ESTACIONES'!AH53</f>
        <v>0</v>
      </c>
      <c r="AI53" s="65">
        <f>'TOTAL ESTACIONES'!AI53</f>
        <v>0</v>
      </c>
      <c r="AJ53" s="65">
        <f>'TOTAL ESTACIONES'!AJ53</f>
        <v>0</v>
      </c>
      <c r="AK53" s="65">
        <f>'TOTAL ESTACIONES'!AK53</f>
        <v>0</v>
      </c>
      <c r="AL53" s="73">
        <f>'TOTAL ESTACIONES'!AL53</f>
        <v>0</v>
      </c>
      <c r="AM53" s="14">
        <f>'TOTAL ESTACIONES'!AM53</f>
        <v>0</v>
      </c>
      <c r="AN53" s="89"/>
      <c r="AO53" s="254">
        <f t="shared" si="0"/>
        <v>0</v>
      </c>
      <c r="AS53" s="65">
        <v>0</v>
      </c>
    </row>
    <row r="54" spans="1:45" ht="15" customHeight="1" outlineLevel="1">
      <c r="A54" s="12"/>
      <c r="I54" s="246" t="s">
        <v>153</v>
      </c>
      <c r="J54" s="65">
        <f>'TOTAL ESTACIONES'!J54</f>
        <v>0</v>
      </c>
      <c r="K54" s="65">
        <f>'TOTAL ESTACIONES'!K54</f>
        <v>0</v>
      </c>
      <c r="L54" s="65">
        <f>'TOTAL ESTACIONES'!L54</f>
        <v>0</v>
      </c>
      <c r="M54" s="65">
        <f>'TOTAL ESTACIONES'!M54</f>
        <v>0</v>
      </c>
      <c r="N54" s="65">
        <f>'TOTAL ESTACIONES'!N54</f>
        <v>0</v>
      </c>
      <c r="O54" s="65">
        <f>'TOTAL ESTACIONES'!O54</f>
        <v>0</v>
      </c>
      <c r="P54" s="65">
        <f>'TOTAL ESTACIONES'!P54</f>
        <v>1160</v>
      </c>
      <c r="Q54" s="65">
        <f>'TOTAL ESTACIONES'!Q54</f>
        <v>0</v>
      </c>
      <c r="R54" s="65">
        <f>'TOTAL ESTACIONES'!R54</f>
        <v>0</v>
      </c>
      <c r="S54" s="65">
        <f>'TOTAL ESTACIONES'!S54</f>
        <v>0</v>
      </c>
      <c r="T54" s="65">
        <f>'TOTAL ESTACIONES'!T54</f>
        <v>0</v>
      </c>
      <c r="U54" s="65">
        <f>'TOTAL ESTACIONES'!U54</f>
        <v>0</v>
      </c>
      <c r="V54" s="65">
        <f>'TOTAL ESTACIONES'!V54</f>
        <v>1160</v>
      </c>
      <c r="W54" s="73">
        <f>'TOTAL ESTACIONES'!W54</f>
        <v>1.2944060917443243E-6</v>
      </c>
      <c r="X54" s="89"/>
      <c r="Y54" s="65">
        <f>'TOTAL ESTACIONES'!Y54</f>
        <v>0</v>
      </c>
      <c r="Z54" s="65">
        <f>'TOTAL ESTACIONES'!Z54</f>
        <v>0</v>
      </c>
      <c r="AA54" s="65">
        <f>'TOTAL ESTACIONES'!AA54</f>
        <v>0</v>
      </c>
      <c r="AB54" s="65">
        <f>'TOTAL ESTACIONES'!AB54</f>
        <v>0</v>
      </c>
      <c r="AC54" s="65">
        <f>'TOTAL ESTACIONES'!AC54</f>
        <v>0</v>
      </c>
      <c r="AD54" s="65">
        <f>'TOTAL ESTACIONES'!AD54</f>
        <v>0</v>
      </c>
      <c r="AE54" s="65">
        <f>'TOTAL ESTACIONES'!AE54</f>
        <v>0</v>
      </c>
      <c r="AF54" s="65">
        <f>'TOTAL ESTACIONES'!AF54</f>
        <v>0</v>
      </c>
      <c r="AG54" s="65">
        <f>'TOTAL ESTACIONES'!AG54</f>
        <v>0</v>
      </c>
      <c r="AH54" s="65">
        <f>'TOTAL ESTACIONES'!AH54</f>
        <v>0</v>
      </c>
      <c r="AI54" s="65">
        <f>'TOTAL ESTACIONES'!AI54</f>
        <v>0</v>
      </c>
      <c r="AJ54" s="65">
        <f>'TOTAL ESTACIONES'!AJ54</f>
        <v>8694.84</v>
      </c>
      <c r="AK54" s="65">
        <f>'TOTAL ESTACIONES'!AK54</f>
        <v>8694.84</v>
      </c>
      <c r="AL54" s="73">
        <f>'TOTAL ESTACIONES'!AL54</f>
        <v>9.027238453863092E-6</v>
      </c>
      <c r="AM54" s="14">
        <f>'TOTAL ESTACIONES'!AM54</f>
        <v>6.4955517241379308</v>
      </c>
      <c r="AN54" s="89"/>
      <c r="AO54" s="254">
        <f t="shared" si="0"/>
        <v>7534.84</v>
      </c>
      <c r="AS54" s="65">
        <v>8694.84</v>
      </c>
    </row>
    <row r="55" spans="1:45" ht="15" customHeight="1" outlineLevel="1">
      <c r="A55" s="12"/>
      <c r="I55" s="246" t="s">
        <v>156</v>
      </c>
      <c r="J55" s="65">
        <f>'TOTAL ESTACIONES'!J55</f>
        <v>0</v>
      </c>
      <c r="K55" s="65">
        <f>'TOTAL ESTACIONES'!K55</f>
        <v>0</v>
      </c>
      <c r="L55" s="65">
        <f>'TOTAL ESTACIONES'!L55</f>
        <v>0</v>
      </c>
      <c r="M55" s="65">
        <f>'TOTAL ESTACIONES'!M55</f>
        <v>0</v>
      </c>
      <c r="N55" s="65">
        <f>'TOTAL ESTACIONES'!N55</f>
        <v>0</v>
      </c>
      <c r="O55" s="65">
        <f>'TOTAL ESTACIONES'!O55</f>
        <v>0</v>
      </c>
      <c r="P55" s="65">
        <f>'TOTAL ESTACIONES'!P55</f>
        <v>0</v>
      </c>
      <c r="Q55" s="65">
        <f>'TOTAL ESTACIONES'!Q55</f>
        <v>0</v>
      </c>
      <c r="R55" s="65">
        <f>'TOTAL ESTACIONES'!R55</f>
        <v>0</v>
      </c>
      <c r="S55" s="65">
        <f>'TOTAL ESTACIONES'!S55</f>
        <v>0</v>
      </c>
      <c r="T55" s="65">
        <f>'TOTAL ESTACIONES'!T55</f>
        <v>0</v>
      </c>
      <c r="U55" s="65">
        <f>'TOTAL ESTACIONES'!U55</f>
        <v>0</v>
      </c>
      <c r="V55" s="65">
        <f>'TOTAL ESTACIONES'!V55</f>
        <v>0</v>
      </c>
      <c r="W55" s="73">
        <f>'TOTAL ESTACIONES'!W55</f>
        <v>0</v>
      </c>
      <c r="X55" s="89"/>
      <c r="Y55" s="65">
        <f>'TOTAL ESTACIONES'!Y55</f>
        <v>15505.797999999999</v>
      </c>
      <c r="Z55" s="65">
        <f>'TOTAL ESTACIONES'!Z55</f>
        <v>0</v>
      </c>
      <c r="AA55" s="65">
        <f>'TOTAL ESTACIONES'!AA55</f>
        <v>358383.70809999993</v>
      </c>
      <c r="AB55" s="65">
        <f>'TOTAL ESTACIONES'!AB55</f>
        <v>0</v>
      </c>
      <c r="AC55" s="65">
        <f>'TOTAL ESTACIONES'!AC55</f>
        <v>15505.797999999999</v>
      </c>
      <c r="AD55" s="65">
        <f>'TOTAL ESTACIONES'!AD55</f>
        <v>0</v>
      </c>
      <c r="AE55" s="65">
        <f>'TOTAL ESTACIONES'!AE55</f>
        <v>0</v>
      </c>
      <c r="AF55" s="65">
        <f>'TOTAL ESTACIONES'!AF55</f>
        <v>0</v>
      </c>
      <c r="AG55" s="65">
        <f>'TOTAL ESTACIONES'!AG55</f>
        <v>0</v>
      </c>
      <c r="AH55" s="65">
        <f>'TOTAL ESTACIONES'!AH55</f>
        <v>0</v>
      </c>
      <c r="AI55" s="65">
        <f>'TOTAL ESTACIONES'!AI55</f>
        <v>0</v>
      </c>
      <c r="AJ55" s="65">
        <f>'TOTAL ESTACIONES'!AJ55</f>
        <v>0</v>
      </c>
      <c r="AK55" s="65">
        <f>'TOTAL ESTACIONES'!AK55</f>
        <v>389395.30409999995</v>
      </c>
      <c r="AL55" s="73">
        <f>'TOTAL ESTACIONES'!AL55</f>
        <v>4.0428165014252498E-4</v>
      </c>
      <c r="AM55" s="14">
        <f>'TOTAL ESTACIONES'!AM55</f>
        <v>0</v>
      </c>
      <c r="AN55" s="89"/>
      <c r="AO55" s="254">
        <f t="shared" si="0"/>
        <v>389395.30409999995</v>
      </c>
      <c r="AP55" s="1" t="s">
        <v>446</v>
      </c>
      <c r="AS55" s="65">
        <v>389395.30409999989</v>
      </c>
    </row>
    <row r="56" spans="1:45" ht="15" customHeight="1" outlineLevel="1">
      <c r="A56" s="12"/>
      <c r="I56" s="246" t="s">
        <v>158</v>
      </c>
      <c r="J56" s="65">
        <f>'TOTAL ESTACIONES'!J56</f>
        <v>13379</v>
      </c>
      <c r="K56" s="65">
        <f>'TOTAL ESTACIONES'!K56</f>
        <v>22956</v>
      </c>
      <c r="L56" s="65">
        <f>'TOTAL ESTACIONES'!L56</f>
        <v>20639</v>
      </c>
      <c r="M56" s="65">
        <f>'TOTAL ESTACIONES'!M56</f>
        <v>20334</v>
      </c>
      <c r="N56" s="65">
        <f>'TOTAL ESTACIONES'!N56</f>
        <v>21736</v>
      </c>
      <c r="O56" s="65">
        <f>'TOTAL ESTACIONES'!O56</f>
        <v>22160</v>
      </c>
      <c r="P56" s="65">
        <f>'TOTAL ESTACIONES'!P56</f>
        <v>17121</v>
      </c>
      <c r="Q56" s="65">
        <f>'TOTAL ESTACIONES'!Q56</f>
        <v>19114</v>
      </c>
      <c r="R56" s="65">
        <f>'TOTAL ESTACIONES'!R56</f>
        <v>25362</v>
      </c>
      <c r="S56" s="65">
        <f>'TOTAL ESTACIONES'!S56</f>
        <v>29803.666666666668</v>
      </c>
      <c r="T56" s="65">
        <f>'TOTAL ESTACIONES'!T56</f>
        <v>24759.888888888891</v>
      </c>
      <c r="U56" s="65">
        <f>'TOTAL ESTACIONES'!U56</f>
        <v>26641.851851851854</v>
      </c>
      <c r="V56" s="65">
        <f>'TOTAL ESTACIONES'!V56</f>
        <v>264006.40740740742</v>
      </c>
      <c r="W56" s="73">
        <f>'TOTAL ESTACIONES'!W56</f>
        <v>2.9459612242041554E-4</v>
      </c>
      <c r="X56" s="89"/>
      <c r="Y56" s="65">
        <f>'TOTAL ESTACIONES'!Y56</f>
        <v>22888.1312</v>
      </c>
      <c r="Z56" s="65">
        <f>'TOTAL ESTACIONES'!Z56</f>
        <v>22888.1312</v>
      </c>
      <c r="AA56" s="65">
        <f>'TOTAL ESTACIONES'!AA56</f>
        <v>22888.1312</v>
      </c>
      <c r="AB56" s="65">
        <f>'TOTAL ESTACIONES'!AB56</f>
        <v>22888.1312</v>
      </c>
      <c r="AC56" s="65">
        <f>'TOTAL ESTACIONES'!AC56</f>
        <v>22888.1312</v>
      </c>
      <c r="AD56" s="65">
        <f>'TOTAL ESTACIONES'!AD56</f>
        <v>22888.1312</v>
      </c>
      <c r="AE56" s="65">
        <f>'TOTAL ESTACIONES'!AE56</f>
        <v>22888.1312</v>
      </c>
      <c r="AF56" s="65">
        <f>'TOTAL ESTACIONES'!AF56</f>
        <v>22888.1312</v>
      </c>
      <c r="AG56" s="65">
        <f>'TOTAL ESTACIONES'!AG56</f>
        <v>22888.1312</v>
      </c>
      <c r="AH56" s="65">
        <f>'TOTAL ESTACIONES'!AH56</f>
        <v>22888.1312</v>
      </c>
      <c r="AI56" s="65">
        <f>'TOTAL ESTACIONES'!AI56</f>
        <v>22888.1312</v>
      </c>
      <c r="AJ56" s="65">
        <f>'TOTAL ESTACIONES'!AJ56</f>
        <v>22888.1312</v>
      </c>
      <c r="AK56" s="65">
        <f>'TOTAL ESTACIONES'!AK56</f>
        <v>274657.57439999998</v>
      </c>
      <c r="AL56" s="73">
        <f>'TOTAL ESTACIONES'!AL56</f>
        <v>2.8515756670260099E-4</v>
      </c>
      <c r="AM56" s="14">
        <f>'TOTAL ESTACIONES'!AM56</f>
        <v>4.0344350340542956E-2</v>
      </c>
      <c r="AN56" s="89"/>
      <c r="AO56" s="254">
        <f t="shared" si="0"/>
        <v>10651.166992592567</v>
      </c>
      <c r="AS56" s="65">
        <v>274657.57439999998</v>
      </c>
    </row>
    <row r="57" spans="1:45" ht="15" customHeight="1" outlineLevel="1">
      <c r="A57" s="12"/>
      <c r="I57" s="246" t="s">
        <v>159</v>
      </c>
      <c r="J57" s="65">
        <f>'TOTAL ESTACIONES'!J57</f>
        <v>27502</v>
      </c>
      <c r="K57" s="65">
        <f>'TOTAL ESTACIONES'!K57</f>
        <v>78424</v>
      </c>
      <c r="L57" s="65">
        <f>'TOTAL ESTACIONES'!L57</f>
        <v>57419</v>
      </c>
      <c r="M57" s="65">
        <f>'TOTAL ESTACIONES'!M57</f>
        <v>76267</v>
      </c>
      <c r="N57" s="65">
        <f>'TOTAL ESTACIONES'!N57</f>
        <v>123704</v>
      </c>
      <c r="O57" s="65">
        <f>'TOTAL ESTACIONES'!O57</f>
        <v>55712</v>
      </c>
      <c r="P57" s="65">
        <f>'TOTAL ESTACIONES'!P57</f>
        <v>176653</v>
      </c>
      <c r="Q57" s="65">
        <f>'TOTAL ESTACIONES'!Q57</f>
        <v>80915</v>
      </c>
      <c r="R57" s="65">
        <f>'TOTAL ESTACIONES'!R57</f>
        <v>66430</v>
      </c>
      <c r="S57" s="65">
        <f>'TOTAL ESTACIONES'!S57</f>
        <v>7344.6</v>
      </c>
      <c r="T57" s="65">
        <f>'TOTAL ESTACIONES'!T57</f>
        <v>0</v>
      </c>
      <c r="U57" s="65">
        <f>'TOTAL ESTACIONES'!U57</f>
        <v>0</v>
      </c>
      <c r="V57" s="65">
        <f>'TOTAL ESTACIONES'!V57</f>
        <v>750370.6</v>
      </c>
      <c r="W57" s="73">
        <f>'TOTAL ESTACIONES'!W57</f>
        <v>8.3731403078089967E-4</v>
      </c>
      <c r="X57" s="89"/>
      <c r="Y57" s="65">
        <f>'TOTAL ESTACIONES'!Y57</f>
        <v>49063.74</v>
      </c>
      <c r="Z57" s="65">
        <f>'TOTAL ESTACIONES'!Z57</f>
        <v>10868.55</v>
      </c>
      <c r="AA57" s="65">
        <f>'TOTAL ESTACIONES'!AA57</f>
        <v>135204.76199999999</v>
      </c>
      <c r="AB57" s="65">
        <f>'TOTAL ESTACIONES'!AB57</f>
        <v>56516.459999999992</v>
      </c>
      <c r="AC57" s="65">
        <f>'TOTAL ESTACIONES'!AC57</f>
        <v>13042.26</v>
      </c>
      <c r="AD57" s="65">
        <f>'TOTAL ESTACIONES'!AD57</f>
        <v>65625.34</v>
      </c>
      <c r="AE57" s="65">
        <f>'TOTAL ESTACIONES'!AE57</f>
        <v>44322.981999999996</v>
      </c>
      <c r="AF57" s="65">
        <f>'TOTAL ESTACIONES'!AF57</f>
        <v>59621.759999999995</v>
      </c>
      <c r="AG57" s="65">
        <f>'TOTAL ESTACIONES'!AG57</f>
        <v>17389.68</v>
      </c>
      <c r="AH57" s="65">
        <f>'TOTAL ESTACIONES'!AH57</f>
        <v>198842.70999999996</v>
      </c>
      <c r="AI57" s="65">
        <f>'TOTAL ESTACIONES'!AI57</f>
        <v>57158.221999999994</v>
      </c>
      <c r="AJ57" s="65">
        <f>'TOTAL ESTACIONES'!AJ57</f>
        <v>61588.44999999999</v>
      </c>
      <c r="AK57" s="65">
        <f>'TOTAL ESTACIONES'!AK57</f>
        <v>769244.91599999985</v>
      </c>
      <c r="AL57" s="73">
        <f>'TOTAL ESTACIONES'!AL57</f>
        <v>7.9865268206820168E-4</v>
      </c>
      <c r="AM57" s="14">
        <f>'TOTAL ESTACIONES'!AM57</f>
        <v>2.5153325570058227E-2</v>
      </c>
      <c r="AN57" s="89"/>
      <c r="AO57" s="254">
        <f t="shared" si="0"/>
        <v>18874.315999999875</v>
      </c>
      <c r="AS57" s="65">
        <v>769244.91599999985</v>
      </c>
    </row>
    <row r="58" spans="1:45" ht="15" customHeight="1" outlineLevel="1">
      <c r="A58" s="12"/>
      <c r="I58" s="246" t="s">
        <v>160</v>
      </c>
      <c r="J58" s="65">
        <f>'TOTAL ESTACIONES'!J58</f>
        <v>0</v>
      </c>
      <c r="K58" s="65">
        <f>'TOTAL ESTACIONES'!K58</f>
        <v>0</v>
      </c>
      <c r="L58" s="65">
        <f>'TOTAL ESTACIONES'!L58</f>
        <v>0</v>
      </c>
      <c r="M58" s="65">
        <f>'TOTAL ESTACIONES'!M58</f>
        <v>0</v>
      </c>
      <c r="N58" s="65">
        <f>'TOTAL ESTACIONES'!N58</f>
        <v>0</v>
      </c>
      <c r="O58" s="65">
        <f>'TOTAL ESTACIONES'!O58</f>
        <v>0</v>
      </c>
      <c r="P58" s="65">
        <f>'TOTAL ESTACIONES'!P58</f>
        <v>0</v>
      </c>
      <c r="Q58" s="65">
        <f>'TOTAL ESTACIONES'!Q58</f>
        <v>0</v>
      </c>
      <c r="R58" s="65">
        <f>'TOTAL ESTACIONES'!R58</f>
        <v>0</v>
      </c>
      <c r="S58" s="65">
        <f>'TOTAL ESTACIONES'!S58</f>
        <v>0</v>
      </c>
      <c r="T58" s="65">
        <f>'TOTAL ESTACIONES'!T58</f>
        <v>9100</v>
      </c>
      <c r="U58" s="65">
        <f>'TOTAL ESTACIONES'!U58</f>
        <v>0</v>
      </c>
      <c r="V58" s="292">
        <f>'TOTAL ESTACIONES'!V58</f>
        <v>9100</v>
      </c>
      <c r="W58" s="73">
        <f>'TOTAL ESTACIONES'!W58</f>
        <v>1.0154392616270129E-5</v>
      </c>
      <c r="X58" s="89"/>
      <c r="Y58" s="65">
        <f>'TOTAL ESTACIONES'!Y58</f>
        <v>6033.936298076922</v>
      </c>
      <c r="Z58" s="65">
        <f>'TOTAL ESTACIONES'!Z58</f>
        <v>19308.596153846152</v>
      </c>
      <c r="AA58" s="65">
        <f>'TOTAL ESTACIONES'!AA58</f>
        <v>3620.3617788461534</v>
      </c>
      <c r="AB58" s="65">
        <f>'TOTAL ESTACIONES'!AB58</f>
        <v>0</v>
      </c>
      <c r="AC58" s="65">
        <f>'TOTAL ESTACIONES'!AC58</f>
        <v>0</v>
      </c>
      <c r="AD58" s="65">
        <f>'TOTAL ESTACIONES'!AD58</f>
        <v>0</v>
      </c>
      <c r="AE58" s="65">
        <f>'TOTAL ESTACIONES'!AE58</f>
        <v>0</v>
      </c>
      <c r="AF58" s="65">
        <f>'TOTAL ESTACIONES'!AF58</f>
        <v>0</v>
      </c>
      <c r="AG58" s="65">
        <f>'TOTAL ESTACIONES'!AG58</f>
        <v>0</v>
      </c>
      <c r="AH58" s="65">
        <f>'TOTAL ESTACIONES'!AH58</f>
        <v>0</v>
      </c>
      <c r="AI58" s="65">
        <f>'TOTAL ESTACIONES'!AI58</f>
        <v>0</v>
      </c>
      <c r="AJ58" s="65">
        <f>'TOTAL ESTACIONES'!AJ58</f>
        <v>0</v>
      </c>
      <c r="AK58" s="292">
        <f>'TOTAL ESTACIONES'!AK58</f>
        <v>28962.894230769227</v>
      </c>
      <c r="AL58" s="73">
        <f>'TOTAL ESTACIONES'!AL58</f>
        <v>3.0070128091508234E-5</v>
      </c>
      <c r="AM58" s="14">
        <f>'TOTAL ESTACIONES'!AM58</f>
        <v>2.1827356297548599</v>
      </c>
      <c r="AN58" s="89"/>
      <c r="AO58" s="254">
        <f t="shared" si="0"/>
        <v>19862.894230769227</v>
      </c>
      <c r="AS58" s="292">
        <v>28962.894230769227</v>
      </c>
    </row>
    <row r="59" spans="1:45" ht="15" customHeight="1" outlineLevel="1">
      <c r="A59" s="12"/>
      <c r="I59" s="246" t="s">
        <v>161</v>
      </c>
      <c r="J59" s="65">
        <f>'TOTAL ESTACIONES'!J59</f>
        <v>0</v>
      </c>
      <c r="K59" s="65">
        <f>'TOTAL ESTACIONES'!K59</f>
        <v>0</v>
      </c>
      <c r="L59" s="65">
        <f>'TOTAL ESTACIONES'!L59</f>
        <v>0</v>
      </c>
      <c r="M59" s="65">
        <f>'TOTAL ESTACIONES'!M59</f>
        <v>0</v>
      </c>
      <c r="N59" s="65">
        <f>'TOTAL ESTACIONES'!N59</f>
        <v>0</v>
      </c>
      <c r="O59" s="65">
        <f>'TOTAL ESTACIONES'!O59</f>
        <v>0</v>
      </c>
      <c r="P59" s="65">
        <f>'TOTAL ESTACIONES'!P59</f>
        <v>0</v>
      </c>
      <c r="Q59" s="65">
        <f>'TOTAL ESTACIONES'!Q59</f>
        <v>0</v>
      </c>
      <c r="R59" s="65">
        <f>'TOTAL ESTACIONES'!R59</f>
        <v>0</v>
      </c>
      <c r="S59" s="65">
        <f>'TOTAL ESTACIONES'!S59</f>
        <v>0</v>
      </c>
      <c r="T59" s="65">
        <f>'TOTAL ESTACIONES'!T59</f>
        <v>0</v>
      </c>
      <c r="U59" s="65">
        <f>'TOTAL ESTACIONES'!U59</f>
        <v>0</v>
      </c>
      <c r="V59" s="65">
        <f>'TOTAL ESTACIONES'!V59</f>
        <v>0</v>
      </c>
      <c r="W59" s="73">
        <f>'TOTAL ESTACIONES'!W59</f>
        <v>0</v>
      </c>
      <c r="X59" s="89"/>
      <c r="Y59" s="65">
        <f>'TOTAL ESTACIONES'!Y59</f>
        <v>0</v>
      </c>
      <c r="Z59" s="65">
        <f>'TOTAL ESTACIONES'!Z59</f>
        <v>0</v>
      </c>
      <c r="AA59" s="65">
        <f>'TOTAL ESTACIONES'!AA59</f>
        <v>0</v>
      </c>
      <c r="AB59" s="65">
        <f>'TOTAL ESTACIONES'!AB59</f>
        <v>0</v>
      </c>
      <c r="AC59" s="65">
        <f>'TOTAL ESTACIONES'!AC59</f>
        <v>0</v>
      </c>
      <c r="AD59" s="65">
        <f>'TOTAL ESTACIONES'!AD59</f>
        <v>0</v>
      </c>
      <c r="AE59" s="65">
        <f>'TOTAL ESTACIONES'!AE59</f>
        <v>0</v>
      </c>
      <c r="AF59" s="65">
        <f>'TOTAL ESTACIONES'!AF59</f>
        <v>0</v>
      </c>
      <c r="AG59" s="65">
        <f>'TOTAL ESTACIONES'!AG59</f>
        <v>0</v>
      </c>
      <c r="AH59" s="65">
        <f>'TOTAL ESTACIONES'!AH59</f>
        <v>0</v>
      </c>
      <c r="AI59" s="65">
        <f>'TOTAL ESTACIONES'!AI59</f>
        <v>0</v>
      </c>
      <c r="AJ59" s="65">
        <f>'TOTAL ESTACIONES'!AJ59</f>
        <v>0</v>
      </c>
      <c r="AK59" s="65">
        <f>'TOTAL ESTACIONES'!AK59</f>
        <v>0</v>
      </c>
      <c r="AL59" s="73">
        <f>'TOTAL ESTACIONES'!AL59</f>
        <v>0</v>
      </c>
      <c r="AM59" s="14">
        <f>'TOTAL ESTACIONES'!AM59</f>
        <v>0</v>
      </c>
      <c r="AN59" s="89"/>
      <c r="AO59" s="254">
        <f t="shared" si="0"/>
        <v>0</v>
      </c>
      <c r="AS59" s="65">
        <v>0</v>
      </c>
    </row>
    <row r="60" spans="1:45" ht="15" customHeight="1" outlineLevel="1">
      <c r="A60" s="12"/>
      <c r="I60" s="246" t="s">
        <v>162</v>
      </c>
      <c r="J60" s="65">
        <f>'TOTAL ESTACIONES'!J60</f>
        <v>35000</v>
      </c>
      <c r="K60" s="65">
        <f>'TOTAL ESTACIONES'!K60</f>
        <v>0</v>
      </c>
      <c r="L60" s="65">
        <f>'TOTAL ESTACIONES'!L60</f>
        <v>0</v>
      </c>
      <c r="M60" s="65">
        <f>'TOTAL ESTACIONES'!M60</f>
        <v>14250</v>
      </c>
      <c r="N60" s="65">
        <f>'TOTAL ESTACIONES'!N60</f>
        <v>0</v>
      </c>
      <c r="O60" s="65">
        <f>'TOTAL ESTACIONES'!O60</f>
        <v>104998</v>
      </c>
      <c r="P60" s="65">
        <f>'TOTAL ESTACIONES'!P60</f>
        <v>84960</v>
      </c>
      <c r="Q60" s="65">
        <f>'TOTAL ESTACIONES'!Q60</f>
        <v>132000</v>
      </c>
      <c r="R60" s="65">
        <f>'TOTAL ESTACIONES'!R60</f>
        <v>60000</v>
      </c>
      <c r="S60" s="65">
        <f>'TOTAL ESTACIONES'!S60</f>
        <v>60000</v>
      </c>
      <c r="T60" s="65">
        <f>'TOTAL ESTACIONES'!T60</f>
        <v>60000</v>
      </c>
      <c r="U60" s="65">
        <f>'TOTAL ESTACIONES'!U60</f>
        <v>60000</v>
      </c>
      <c r="V60" s="65">
        <f>'TOTAL ESTACIONES'!V60</f>
        <v>611208</v>
      </c>
      <c r="W60" s="73">
        <f>'TOTAL ESTACIONES'!W60</f>
        <v>6.8202703320936634E-4</v>
      </c>
      <c r="X60" s="89"/>
      <c r="Y60" s="65">
        <f>'TOTAL ESTACIONES'!Y60</f>
        <v>36312.5</v>
      </c>
      <c r="Z60" s="65">
        <f>'TOTAL ESTACIONES'!Z60</f>
        <v>0</v>
      </c>
      <c r="AA60" s="65">
        <f>'TOTAL ESTACIONES'!AA60</f>
        <v>0</v>
      </c>
      <c r="AB60" s="65">
        <f>'TOTAL ESTACIONES'!AB60</f>
        <v>14784.375000000002</v>
      </c>
      <c r="AC60" s="65">
        <f>'TOTAL ESTACIONES'!AC60</f>
        <v>0</v>
      </c>
      <c r="AD60" s="65">
        <f>'TOTAL ESTACIONES'!AD60</f>
        <v>108935.42500000002</v>
      </c>
      <c r="AE60" s="65">
        <f>'TOTAL ESTACIONES'!AE60</f>
        <v>88146</v>
      </c>
      <c r="AF60" s="65">
        <f>'TOTAL ESTACIONES'!AF60</f>
        <v>136950</v>
      </c>
      <c r="AG60" s="65">
        <f>'TOTAL ESTACIONES'!AG60</f>
        <v>62250.000000000007</v>
      </c>
      <c r="AH60" s="65">
        <f>'TOTAL ESTACIONES'!AH60</f>
        <v>62250.000000000007</v>
      </c>
      <c r="AI60" s="65">
        <f>'TOTAL ESTACIONES'!AI60</f>
        <v>62250.000000000007</v>
      </c>
      <c r="AJ60" s="65">
        <f>'TOTAL ESTACIONES'!AJ60</f>
        <v>62250.000000000007</v>
      </c>
      <c r="AK60" s="65">
        <f>'TOTAL ESTACIONES'!AK60</f>
        <v>634128.30000000005</v>
      </c>
      <c r="AL60" s="73">
        <f>'TOTAL ESTACIONES'!AL60</f>
        <v>6.5837063987869032E-4</v>
      </c>
      <c r="AM60" s="14">
        <f>'TOTAL ESTACIONES'!AM60</f>
        <v>3.7500000000000089E-2</v>
      </c>
      <c r="AN60" s="89"/>
      <c r="AO60" s="254">
        <f t="shared" si="0"/>
        <v>22920.300000000047</v>
      </c>
      <c r="AP60" s="295" t="s">
        <v>447</v>
      </c>
      <c r="AS60" s="65">
        <v>634128.30000000005</v>
      </c>
    </row>
    <row r="61" spans="1:45" ht="15" customHeight="1" outlineLevel="1">
      <c r="A61" s="12" t="s">
        <v>146</v>
      </c>
      <c r="B61" s="8" t="s">
        <v>88</v>
      </c>
      <c r="I61" s="289" t="s">
        <v>278</v>
      </c>
      <c r="J61" s="65">
        <f>'TOTAL ESTACIONES'!J61</f>
        <v>7125</v>
      </c>
      <c r="K61" s="65">
        <f>'TOTAL ESTACIONES'!K61</f>
        <v>7125</v>
      </c>
      <c r="L61" s="65">
        <f>'TOTAL ESTACIONES'!L61</f>
        <v>0</v>
      </c>
      <c r="M61" s="65">
        <f>'TOTAL ESTACIONES'!M61</f>
        <v>0</v>
      </c>
      <c r="N61" s="65">
        <f>'TOTAL ESTACIONES'!N61</f>
        <v>0</v>
      </c>
      <c r="O61" s="65">
        <f>'TOTAL ESTACIONES'!O61</f>
        <v>0</v>
      </c>
      <c r="P61" s="65">
        <f>'TOTAL ESTACIONES'!P61</f>
        <v>7125</v>
      </c>
      <c r="Q61" s="65">
        <f>'TOTAL ESTACIONES'!Q61</f>
        <v>0</v>
      </c>
      <c r="R61" s="65">
        <f>'TOTAL ESTACIONES'!R61</f>
        <v>0</v>
      </c>
      <c r="S61" s="65">
        <f>'TOTAL ESTACIONES'!S61</f>
        <v>0</v>
      </c>
      <c r="T61" s="65">
        <f>'TOTAL ESTACIONES'!T61</f>
        <v>0</v>
      </c>
      <c r="U61" s="65">
        <f>'TOTAL ESTACIONES'!U61</f>
        <v>0</v>
      </c>
      <c r="V61" s="65">
        <f>'TOTAL ESTACIONES'!V61</f>
        <v>21375</v>
      </c>
      <c r="W61" s="73">
        <f>'TOTAL ESTACIONES'!W61</f>
        <v>2.3851663975030111E-5</v>
      </c>
      <c r="X61" s="89"/>
      <c r="Y61" s="65">
        <f>'TOTAL ESTACIONES'!Y61</f>
        <v>7392.1875000000009</v>
      </c>
      <c r="Z61" s="65">
        <f>'TOTAL ESTACIONES'!Z61</f>
        <v>7392.1875000000009</v>
      </c>
      <c r="AA61" s="65">
        <f>'TOTAL ESTACIONES'!AA61</f>
        <v>0</v>
      </c>
      <c r="AB61" s="65">
        <f>'TOTAL ESTACIONES'!AB61</f>
        <v>0</v>
      </c>
      <c r="AC61" s="65">
        <f>'TOTAL ESTACIONES'!AC61</f>
        <v>0</v>
      </c>
      <c r="AD61" s="65">
        <f>'TOTAL ESTACIONES'!AD61</f>
        <v>0</v>
      </c>
      <c r="AE61" s="65">
        <f>'TOTAL ESTACIONES'!AE61</f>
        <v>7392.1875000000009</v>
      </c>
      <c r="AF61" s="65">
        <f>'TOTAL ESTACIONES'!AF61</f>
        <v>0</v>
      </c>
      <c r="AG61" s="65">
        <f>'TOTAL ESTACIONES'!AG61</f>
        <v>0</v>
      </c>
      <c r="AH61" s="65">
        <f>'TOTAL ESTACIONES'!AH61</f>
        <v>0</v>
      </c>
      <c r="AI61" s="65">
        <f>'TOTAL ESTACIONES'!AI61</f>
        <v>0</v>
      </c>
      <c r="AJ61" s="65">
        <f>'TOTAL ESTACIONES'!AJ61</f>
        <v>0</v>
      </c>
      <c r="AK61" s="65">
        <f>'TOTAL ESTACIONES'!AK61</f>
        <v>22176.562500000004</v>
      </c>
      <c r="AL61" s="73">
        <f>'TOTAL ESTACIONES'!AL61</f>
        <v>2.3024359019199693E-5</v>
      </c>
      <c r="AM61" s="14">
        <f>'TOTAL ESTACIONES'!AM61</f>
        <v>3.7500000000000089E-2</v>
      </c>
      <c r="AN61" s="89"/>
      <c r="AO61" s="254">
        <f t="shared" si="0"/>
        <v>801.56250000000364</v>
      </c>
      <c r="AP61" s="295" t="s">
        <v>447</v>
      </c>
      <c r="AS61" s="65">
        <v>22176.562500000004</v>
      </c>
    </row>
    <row r="62" spans="1:45" ht="15" customHeight="1" outlineLevel="1">
      <c r="A62" s="12" t="s">
        <v>146</v>
      </c>
      <c r="B62" s="8" t="s">
        <v>88</v>
      </c>
      <c r="I62" s="246" t="s">
        <v>163</v>
      </c>
      <c r="J62" s="65">
        <f>'TOTAL ESTACIONES'!J62</f>
        <v>0</v>
      </c>
      <c r="K62" s="65">
        <f>'TOTAL ESTACIONES'!K62</f>
        <v>0</v>
      </c>
      <c r="L62" s="65">
        <f>'TOTAL ESTACIONES'!L62</f>
        <v>0</v>
      </c>
      <c r="M62" s="65">
        <f>'TOTAL ESTACIONES'!M62</f>
        <v>0</v>
      </c>
      <c r="N62" s="65">
        <f>'TOTAL ESTACIONES'!N62</f>
        <v>2390</v>
      </c>
      <c r="O62" s="65">
        <f>'TOTAL ESTACIONES'!O62</f>
        <v>0</v>
      </c>
      <c r="P62" s="65">
        <f>'TOTAL ESTACIONES'!P62</f>
        <v>0</v>
      </c>
      <c r="Q62" s="65">
        <f>'TOTAL ESTACIONES'!Q62</f>
        <v>0</v>
      </c>
      <c r="R62" s="65">
        <f>'TOTAL ESTACIONES'!R62</f>
        <v>0</v>
      </c>
      <c r="S62" s="65">
        <f>'TOTAL ESTACIONES'!S62</f>
        <v>0</v>
      </c>
      <c r="T62" s="65">
        <f>'TOTAL ESTACIONES'!T62</f>
        <v>0</v>
      </c>
      <c r="U62" s="65">
        <f>'TOTAL ESTACIONES'!U62</f>
        <v>0</v>
      </c>
      <c r="V62" s="65">
        <f>'TOTAL ESTACIONES'!V62</f>
        <v>2390</v>
      </c>
      <c r="W62" s="73">
        <f>'TOTAL ESTACIONES'!W62</f>
        <v>2.6669228959214956E-6</v>
      </c>
      <c r="X62" s="89"/>
      <c r="Y62" s="65">
        <f>'TOTAL ESTACIONES'!Y62</f>
        <v>0</v>
      </c>
      <c r="Z62" s="65">
        <f>'TOTAL ESTACIONES'!Z62</f>
        <v>0</v>
      </c>
      <c r="AA62" s="65">
        <f>'TOTAL ESTACIONES'!AA62</f>
        <v>0</v>
      </c>
      <c r="AB62" s="65">
        <f>'TOTAL ESTACIONES'!AB62</f>
        <v>0</v>
      </c>
      <c r="AC62" s="65">
        <f>'TOTAL ESTACIONES'!AC62</f>
        <v>2479.625</v>
      </c>
      <c r="AD62" s="65">
        <f>'TOTAL ESTACIONES'!AD62</f>
        <v>0</v>
      </c>
      <c r="AE62" s="65">
        <f>'TOTAL ESTACIONES'!AE62</f>
        <v>0</v>
      </c>
      <c r="AF62" s="65">
        <f>'TOTAL ESTACIONES'!AF62</f>
        <v>0</v>
      </c>
      <c r="AG62" s="65">
        <f>'TOTAL ESTACIONES'!AG62</f>
        <v>0</v>
      </c>
      <c r="AH62" s="65">
        <f>'TOTAL ESTACIONES'!AH62</f>
        <v>0</v>
      </c>
      <c r="AI62" s="65">
        <f>'TOTAL ESTACIONES'!AI62</f>
        <v>0</v>
      </c>
      <c r="AJ62" s="65">
        <f>'TOTAL ESTACIONES'!AJ62</f>
        <v>0</v>
      </c>
      <c r="AK62" s="65">
        <f>'TOTAL ESTACIONES'!AK62</f>
        <v>2479.625</v>
      </c>
      <c r="AL62" s="73">
        <f>'TOTAL ESTACIONES'!AL62</f>
        <v>2.5744195581701641E-6</v>
      </c>
      <c r="AM62" s="14">
        <f>'TOTAL ESTACIONES'!AM62</f>
        <v>3.7500000000000089E-2</v>
      </c>
      <c r="AN62" s="89"/>
      <c r="AO62" s="254">
        <f t="shared" si="0"/>
        <v>89.625</v>
      </c>
      <c r="AP62" s="295" t="s">
        <v>447</v>
      </c>
      <c r="AS62" s="65">
        <v>2479.625</v>
      </c>
    </row>
    <row r="63" spans="1:45" ht="15" customHeight="1" outlineLevel="1">
      <c r="A63" s="12" t="s">
        <v>146</v>
      </c>
      <c r="B63" s="8" t="s">
        <v>88</v>
      </c>
      <c r="I63" s="246" t="s">
        <v>164</v>
      </c>
      <c r="J63" s="65">
        <f>'TOTAL ESTACIONES'!J63</f>
        <v>4090</v>
      </c>
      <c r="K63" s="65">
        <f>'TOTAL ESTACIONES'!K63</f>
        <v>-3499</v>
      </c>
      <c r="L63" s="65">
        <f>'TOTAL ESTACIONES'!L63</f>
        <v>2988</v>
      </c>
      <c r="M63" s="65">
        <f>'TOTAL ESTACIONES'!M63</f>
        <v>216</v>
      </c>
      <c r="N63" s="65">
        <f>'TOTAL ESTACIONES'!N63</f>
        <v>781</v>
      </c>
      <c r="O63" s="65">
        <f>'TOTAL ESTACIONES'!O63</f>
        <v>122</v>
      </c>
      <c r="P63" s="65">
        <f>'TOTAL ESTACIONES'!P63</f>
        <v>186</v>
      </c>
      <c r="Q63" s="65">
        <f>'TOTAL ESTACIONES'!Q63</f>
        <v>163</v>
      </c>
      <c r="R63" s="65">
        <f>'TOTAL ESTACIONES'!R63</f>
        <v>383</v>
      </c>
      <c r="S63" s="65">
        <f>'TOTAL ESTACIONES'!S63</f>
        <v>2</v>
      </c>
      <c r="T63" s="65">
        <f>'TOTAL ESTACIONES'!T63</f>
        <v>0</v>
      </c>
      <c r="U63" s="65">
        <f>'TOTAL ESTACIONES'!U63</f>
        <v>0</v>
      </c>
      <c r="V63" s="65">
        <f>'TOTAL ESTACIONES'!V63</f>
        <v>5432</v>
      </c>
      <c r="W63" s="73">
        <f>'TOTAL ESTACIONES'!W63</f>
        <v>6.0613912847889386E-6</v>
      </c>
      <c r="X63" s="89"/>
      <c r="Y63" s="65">
        <f>'TOTAL ESTACIONES'!Y63</f>
        <v>0</v>
      </c>
      <c r="Z63" s="65">
        <f>'TOTAL ESTACIONES'!Z63</f>
        <v>0</v>
      </c>
      <c r="AA63" s="65">
        <f>'TOTAL ESTACIONES'!AA63</f>
        <v>0</v>
      </c>
      <c r="AB63" s="65">
        <f>'TOTAL ESTACIONES'!AB63</f>
        <v>0</v>
      </c>
      <c r="AC63" s="65">
        <f>'TOTAL ESTACIONES'!AC63</f>
        <v>0</v>
      </c>
      <c r="AD63" s="65">
        <f>'TOTAL ESTACIONES'!AD63</f>
        <v>0</v>
      </c>
      <c r="AE63" s="65">
        <f>'TOTAL ESTACIONES'!AE63</f>
        <v>0</v>
      </c>
      <c r="AF63" s="65">
        <f>'TOTAL ESTACIONES'!AF63</f>
        <v>0</v>
      </c>
      <c r="AG63" s="65">
        <f>'TOTAL ESTACIONES'!AG63</f>
        <v>0</v>
      </c>
      <c r="AH63" s="65">
        <f>'TOTAL ESTACIONES'!AH63</f>
        <v>0</v>
      </c>
      <c r="AI63" s="65">
        <f>'TOTAL ESTACIONES'!AI63</f>
        <v>0</v>
      </c>
      <c r="AJ63" s="65">
        <f>'TOTAL ESTACIONES'!AJ63</f>
        <v>0</v>
      </c>
      <c r="AK63" s="65">
        <f>'TOTAL ESTACIONES'!AK63</f>
        <v>0</v>
      </c>
      <c r="AL63" s="73">
        <f>'TOTAL ESTACIONES'!AL63</f>
        <v>0</v>
      </c>
      <c r="AM63" s="14">
        <f>'TOTAL ESTACIONES'!AM63</f>
        <v>-1</v>
      </c>
      <c r="AN63" s="89"/>
      <c r="AO63" s="254">
        <f t="shared" si="0"/>
        <v>-5432</v>
      </c>
      <c r="AS63" s="65">
        <v>0</v>
      </c>
    </row>
    <row r="64" spans="1:45" ht="15" customHeight="1" outlineLevel="1">
      <c r="A64" s="12" t="s">
        <v>146</v>
      </c>
      <c r="B64" s="8" t="s">
        <v>88</v>
      </c>
      <c r="I64" s="246" t="s">
        <v>165</v>
      </c>
      <c r="J64" s="65">
        <f>'TOTAL ESTACIONES'!J64</f>
        <v>4633</v>
      </c>
      <c r="K64" s="65">
        <f>'TOTAL ESTACIONES'!K64</f>
        <v>5751</v>
      </c>
      <c r="L64" s="65">
        <f>'TOTAL ESTACIONES'!L64</f>
        <v>7472</v>
      </c>
      <c r="M64" s="65">
        <f>'TOTAL ESTACIONES'!M64</f>
        <v>9066</v>
      </c>
      <c r="N64" s="65">
        <f>'TOTAL ESTACIONES'!N64</f>
        <v>6060</v>
      </c>
      <c r="O64" s="65">
        <f>'TOTAL ESTACIONES'!O64</f>
        <v>6638</v>
      </c>
      <c r="P64" s="65">
        <f>'TOTAL ESTACIONES'!P64</f>
        <v>1363</v>
      </c>
      <c r="Q64" s="65">
        <f>'TOTAL ESTACIONES'!Q64</f>
        <v>11196</v>
      </c>
      <c r="R64" s="65">
        <f>'TOTAL ESTACIONES'!R64</f>
        <v>7871</v>
      </c>
      <c r="S64" s="65">
        <f>'TOTAL ESTACIONES'!S64</f>
        <v>7506.666666666667</v>
      </c>
      <c r="T64" s="65">
        <f>'TOTAL ESTACIONES'!T64</f>
        <v>8857.8888888888887</v>
      </c>
      <c r="U64" s="65">
        <f>'TOTAL ESTACIONES'!U64</f>
        <v>8078.5185185185182</v>
      </c>
      <c r="V64" s="292">
        <f>'TOTAL ESTACIONES'!V64</f>
        <v>84493.074074074073</v>
      </c>
      <c r="W64" s="73">
        <f>'TOTAL ESTACIONES'!W64</f>
        <v>9.4283060165246474E-5</v>
      </c>
      <c r="X64" s="89"/>
      <c r="Y64" s="65">
        <f>'TOTAL ESTACIONES'!Y64</f>
        <v>8298.3966999999993</v>
      </c>
      <c r="Z64" s="65">
        <f>'TOTAL ESTACIONES'!Z64</f>
        <v>8298.3966999999993</v>
      </c>
      <c r="AA64" s="65">
        <f>'TOTAL ESTACIONES'!AA64</f>
        <v>8298.3966999999993</v>
      </c>
      <c r="AB64" s="65">
        <f>'TOTAL ESTACIONES'!AB64</f>
        <v>8298.3966999999993</v>
      </c>
      <c r="AC64" s="65">
        <f>'TOTAL ESTACIONES'!AC64</f>
        <v>8298.3966999999993</v>
      </c>
      <c r="AD64" s="65">
        <f>'TOTAL ESTACIONES'!AD64</f>
        <v>8298.3966999999993</v>
      </c>
      <c r="AE64" s="65">
        <f>'TOTAL ESTACIONES'!AE64</f>
        <v>8298.3966999999993</v>
      </c>
      <c r="AF64" s="65">
        <f>'TOTAL ESTACIONES'!AF64</f>
        <v>8298.3966999999993</v>
      </c>
      <c r="AG64" s="65">
        <f>'TOTAL ESTACIONES'!AG64</f>
        <v>8298.3966999999993</v>
      </c>
      <c r="AH64" s="65">
        <f>'TOTAL ESTACIONES'!AH64</f>
        <v>8298.3966999999993</v>
      </c>
      <c r="AI64" s="65">
        <f>'TOTAL ESTACIONES'!AI64</f>
        <v>8298.3966999999993</v>
      </c>
      <c r="AJ64" s="65">
        <f>'TOTAL ESTACIONES'!AJ64</f>
        <v>8298.3966999999993</v>
      </c>
      <c r="AK64" s="292">
        <f>'TOTAL ESTACIONES'!AK64</f>
        <v>99580.760399999985</v>
      </c>
      <c r="AL64" s="73">
        <f>'TOTAL ESTACIONES'!AL64</f>
        <v>1.0338767240660056E-4</v>
      </c>
      <c r="AM64" s="14">
        <f>'TOTAL ESTACIONES'!AM64</f>
        <v>0.17856713690756143</v>
      </c>
      <c r="AN64" s="89"/>
      <c r="AO64" s="254">
        <f t="shared" si="0"/>
        <v>15087.686325925912</v>
      </c>
      <c r="AS64" s="292">
        <v>99580.760399999985</v>
      </c>
    </row>
    <row r="65" spans="1:45" ht="15" customHeight="1" outlineLevel="1">
      <c r="A65" s="12" t="s">
        <v>146</v>
      </c>
      <c r="B65" s="8" t="s">
        <v>88</v>
      </c>
      <c r="I65" s="252" t="s">
        <v>167</v>
      </c>
      <c r="J65" s="65">
        <f>'TOTAL ESTACIONES'!J65</f>
        <v>0</v>
      </c>
      <c r="K65" s="65">
        <f>'TOTAL ESTACIONES'!K65</f>
        <v>0</v>
      </c>
      <c r="L65" s="65">
        <f>'TOTAL ESTACIONES'!L65</f>
        <v>0</v>
      </c>
      <c r="M65" s="65">
        <f>'TOTAL ESTACIONES'!M65</f>
        <v>0</v>
      </c>
      <c r="N65" s="65">
        <f>'TOTAL ESTACIONES'!N65</f>
        <v>0</v>
      </c>
      <c r="O65" s="65">
        <f>'TOTAL ESTACIONES'!O65</f>
        <v>0</v>
      </c>
      <c r="P65" s="65">
        <f>'TOTAL ESTACIONES'!P65</f>
        <v>0</v>
      </c>
      <c r="Q65" s="65">
        <f>'TOTAL ESTACIONES'!Q65</f>
        <v>0</v>
      </c>
      <c r="R65" s="65">
        <f>'TOTAL ESTACIONES'!R65</f>
        <v>0</v>
      </c>
      <c r="S65" s="65">
        <f>'TOTAL ESTACIONES'!S65</f>
        <v>0</v>
      </c>
      <c r="T65" s="65">
        <f>'TOTAL ESTACIONES'!T65</f>
        <v>0</v>
      </c>
      <c r="U65" s="65">
        <f>'TOTAL ESTACIONES'!U65</f>
        <v>0</v>
      </c>
      <c r="V65" s="65">
        <f>'TOTAL ESTACIONES'!V65</f>
        <v>0</v>
      </c>
      <c r="W65" s="73">
        <f>'TOTAL ESTACIONES'!W65</f>
        <v>0</v>
      </c>
      <c r="X65" s="89"/>
      <c r="Y65" s="65">
        <f>'TOTAL ESTACIONES'!Y65</f>
        <v>0</v>
      </c>
      <c r="Z65" s="65">
        <f>'TOTAL ESTACIONES'!Z65</f>
        <v>0</v>
      </c>
      <c r="AA65" s="65">
        <f>'TOTAL ESTACIONES'!AA65</f>
        <v>0</v>
      </c>
      <c r="AB65" s="65">
        <f>'TOTAL ESTACIONES'!AB65</f>
        <v>0</v>
      </c>
      <c r="AC65" s="65">
        <f>'TOTAL ESTACIONES'!AC65</f>
        <v>0</v>
      </c>
      <c r="AD65" s="65">
        <f>'TOTAL ESTACIONES'!AD65</f>
        <v>0</v>
      </c>
      <c r="AE65" s="65">
        <f>'TOTAL ESTACIONES'!AE65</f>
        <v>0</v>
      </c>
      <c r="AF65" s="65">
        <f>'TOTAL ESTACIONES'!AF65</f>
        <v>0</v>
      </c>
      <c r="AG65" s="65">
        <f>'TOTAL ESTACIONES'!AG65</f>
        <v>0</v>
      </c>
      <c r="AH65" s="65">
        <f>'TOTAL ESTACIONES'!AH65</f>
        <v>0</v>
      </c>
      <c r="AI65" s="65">
        <f>'TOTAL ESTACIONES'!AI65</f>
        <v>0</v>
      </c>
      <c r="AJ65" s="65">
        <f>'TOTAL ESTACIONES'!AJ65</f>
        <v>0</v>
      </c>
      <c r="AK65" s="65">
        <f>'TOTAL ESTACIONES'!AK65</f>
        <v>0</v>
      </c>
      <c r="AL65" s="73">
        <f>'TOTAL ESTACIONES'!AL65</f>
        <v>0</v>
      </c>
      <c r="AM65" s="14">
        <f>'TOTAL ESTACIONES'!AM65</f>
        <v>0</v>
      </c>
      <c r="AN65" s="89"/>
      <c r="AO65" s="254">
        <f t="shared" si="0"/>
        <v>0</v>
      </c>
      <c r="AS65" s="65">
        <v>0</v>
      </c>
    </row>
    <row r="66" spans="1:45" ht="15" customHeight="1" outlineLevel="1">
      <c r="A66" s="12" t="s">
        <v>146</v>
      </c>
      <c r="B66" s="8" t="s">
        <v>88</v>
      </c>
      <c r="I66" s="246" t="s">
        <v>168</v>
      </c>
      <c r="J66" s="65">
        <f>'TOTAL ESTACIONES'!J66</f>
        <v>8219</v>
      </c>
      <c r="K66" s="65">
        <f>'TOTAL ESTACIONES'!K66</f>
        <v>0</v>
      </c>
      <c r="L66" s="65">
        <f>'TOTAL ESTACIONES'!L66</f>
        <v>0</v>
      </c>
      <c r="M66" s="65">
        <f>'TOTAL ESTACIONES'!M66</f>
        <v>24988</v>
      </c>
      <c r="N66" s="65">
        <f>'TOTAL ESTACIONES'!N66</f>
        <v>0</v>
      </c>
      <c r="O66" s="65">
        <f>'TOTAL ESTACIONES'!O66</f>
        <v>0</v>
      </c>
      <c r="P66" s="65">
        <f>'TOTAL ESTACIONES'!P66</f>
        <v>0</v>
      </c>
      <c r="Q66" s="65">
        <f>'TOTAL ESTACIONES'!Q66</f>
        <v>7411</v>
      </c>
      <c r="R66" s="65">
        <f>'TOTAL ESTACIONES'!R66</f>
        <v>12981</v>
      </c>
      <c r="S66" s="65">
        <f>'TOTAL ESTACIONES'!S66</f>
        <v>1185.6000000000001</v>
      </c>
      <c r="T66" s="65">
        <f>'TOTAL ESTACIONES'!T66</f>
        <v>0</v>
      </c>
      <c r="U66" s="65">
        <f>'TOTAL ESTACIONES'!U66</f>
        <v>0</v>
      </c>
      <c r="V66" s="65">
        <f>'TOTAL ESTACIONES'!V66</f>
        <v>54784.6</v>
      </c>
      <c r="W66" s="73">
        <f>'TOTAL ESTACIONES'!W66</f>
        <v>6.1132344804979392E-5</v>
      </c>
      <c r="X66" s="89"/>
      <c r="Y66" s="65">
        <f>'TOTAL ESTACIONES'!Y66</f>
        <v>0</v>
      </c>
      <c r="Z66" s="65">
        <f>'TOTAL ESTACIONES'!Z66</f>
        <v>15458.183399999998</v>
      </c>
      <c r="AA66" s="65">
        <f>'TOTAL ESTACIONES'!AA66</f>
        <v>0</v>
      </c>
      <c r="AB66" s="65">
        <f>'TOTAL ESTACIONES'!AB66</f>
        <v>24925.207999999995</v>
      </c>
      <c r="AC66" s="65">
        <f>'TOTAL ESTACIONES'!AC66</f>
        <v>0</v>
      </c>
      <c r="AD66" s="65">
        <f>'TOTAL ESTACIONES'!AD66</f>
        <v>0</v>
      </c>
      <c r="AE66" s="65">
        <f>'TOTAL ESTACIONES'!AE66</f>
        <v>15898.100899999998</v>
      </c>
      <c r="AF66" s="65">
        <f>'TOTAL ESTACIONES'!AF66</f>
        <v>15288.426999999998</v>
      </c>
      <c r="AG66" s="65">
        <f>'TOTAL ESTACIONES'!AG66</f>
        <v>0</v>
      </c>
      <c r="AH66" s="65">
        <f>'TOTAL ESTACIONES'!AH66</f>
        <v>0</v>
      </c>
      <c r="AI66" s="65">
        <f>'TOTAL ESTACIONES'!AI66</f>
        <v>0</v>
      </c>
      <c r="AJ66" s="65">
        <f>'TOTAL ESTACIONES'!AJ66</f>
        <v>0</v>
      </c>
      <c r="AK66" s="65">
        <f>'TOTAL ESTACIONES'!AK66</f>
        <v>71569.919299999994</v>
      </c>
      <c r="AL66" s="73">
        <f>'TOTAL ESTACIONES'!AL66</f>
        <v>7.4305993858982824E-5</v>
      </c>
      <c r="AM66" s="14">
        <f>'TOTAL ESTACIONES'!AM66</f>
        <v>0.3063875486906904</v>
      </c>
      <c r="AN66" s="89"/>
      <c r="AO66" s="254">
        <f t="shared" si="0"/>
        <v>16785.319299999996</v>
      </c>
      <c r="AS66" s="65">
        <v>71569.919299999994</v>
      </c>
    </row>
    <row r="67" spans="1:45" ht="15" customHeight="1" outlineLevel="1">
      <c r="A67" s="12" t="s">
        <v>146</v>
      </c>
      <c r="B67" s="8" t="s">
        <v>88</v>
      </c>
      <c r="I67" s="246" t="s">
        <v>170</v>
      </c>
      <c r="J67" s="65">
        <f>'TOTAL ESTACIONES'!J67</f>
        <v>23086</v>
      </c>
      <c r="K67" s="65">
        <f>'TOTAL ESTACIONES'!K67</f>
        <v>23086</v>
      </c>
      <c r="L67" s="65">
        <f>'TOTAL ESTACIONES'!L67</f>
        <v>23086</v>
      </c>
      <c r="M67" s="65">
        <f>'TOTAL ESTACIONES'!M67</f>
        <v>23086</v>
      </c>
      <c r="N67" s="65">
        <f>'TOTAL ESTACIONES'!N67</f>
        <v>23086</v>
      </c>
      <c r="O67" s="65">
        <f>'TOTAL ESTACIONES'!O67</f>
        <v>23086</v>
      </c>
      <c r="P67" s="65">
        <f>'TOTAL ESTACIONES'!P67</f>
        <v>23086</v>
      </c>
      <c r="Q67" s="65">
        <f>'TOTAL ESTACIONES'!Q67</f>
        <v>23086</v>
      </c>
      <c r="R67" s="65">
        <f>'TOTAL ESTACIONES'!R67</f>
        <v>23086</v>
      </c>
      <c r="S67" s="65">
        <f>'TOTAL ESTACIONES'!S67</f>
        <v>23086</v>
      </c>
      <c r="T67" s="65">
        <f>'TOTAL ESTACIONES'!T67</f>
        <v>23086</v>
      </c>
      <c r="U67" s="65">
        <f>'TOTAL ESTACIONES'!U67</f>
        <v>23086</v>
      </c>
      <c r="V67" s="292">
        <f>'TOTAL ESTACIONES'!V67</f>
        <v>277032</v>
      </c>
      <c r="W67" s="73">
        <f>'TOTAL ESTACIONES'!W67</f>
        <v>3.0913095552423587E-4</v>
      </c>
      <c r="X67" s="89"/>
      <c r="Y67" s="65">
        <f>'TOTAL ESTACIONES'!Y67</f>
        <v>34598.217499999999</v>
      </c>
      <c r="Z67" s="65">
        <f>'TOTAL ESTACIONES'!Z67</f>
        <v>34598.217499999999</v>
      </c>
      <c r="AA67" s="65">
        <f>'TOTAL ESTACIONES'!AA67</f>
        <v>34598.217499999999</v>
      </c>
      <c r="AB67" s="65">
        <f>'TOTAL ESTACIONES'!AB67</f>
        <v>34598.217499999999</v>
      </c>
      <c r="AC67" s="65">
        <f>'TOTAL ESTACIONES'!AC67</f>
        <v>34598.217499999999</v>
      </c>
      <c r="AD67" s="65">
        <f>'TOTAL ESTACIONES'!AD67</f>
        <v>34598.217499999999</v>
      </c>
      <c r="AE67" s="65">
        <f>'TOTAL ESTACIONES'!AE67</f>
        <v>34598.217499999999</v>
      </c>
      <c r="AF67" s="65">
        <f>'TOTAL ESTACIONES'!AF67</f>
        <v>34598.217499999999</v>
      </c>
      <c r="AG67" s="65">
        <f>'TOTAL ESTACIONES'!AG67</f>
        <v>34598.217499999999</v>
      </c>
      <c r="AH67" s="65">
        <f>'TOTAL ESTACIONES'!AH67</f>
        <v>34598.217499999999</v>
      </c>
      <c r="AI67" s="65">
        <f>'TOTAL ESTACIONES'!AI67</f>
        <v>34598.217499999999</v>
      </c>
      <c r="AJ67" s="65">
        <f>'TOTAL ESTACIONES'!AJ67</f>
        <v>34598.217499999999</v>
      </c>
      <c r="AK67" s="292">
        <f>'TOTAL ESTACIONES'!AK67</f>
        <v>415178.6100000001</v>
      </c>
      <c r="AL67" s="73">
        <f>'TOTAL ESTACIONES'!AL67</f>
        <v>4.3105063617196275E-4</v>
      </c>
      <c r="AM67" s="14">
        <f>'TOTAL ESTACIONES'!AM67</f>
        <v>0.49866661613098895</v>
      </c>
      <c r="AN67" s="89"/>
      <c r="AO67" s="254">
        <f t="shared" si="0"/>
        <v>138146.6100000001</v>
      </c>
      <c r="AP67" s="1" t="s">
        <v>448</v>
      </c>
      <c r="AS67" s="292">
        <v>415178.6100000001</v>
      </c>
    </row>
    <row r="68" spans="1:45" ht="15" customHeight="1" outlineLevel="1">
      <c r="A68" s="12" t="s">
        <v>146</v>
      </c>
      <c r="B68" s="8" t="s">
        <v>88</v>
      </c>
      <c r="I68" s="246" t="s">
        <v>171</v>
      </c>
      <c r="J68" s="65">
        <f>'TOTAL ESTACIONES'!J68</f>
        <v>0</v>
      </c>
      <c r="K68" s="65">
        <f>'TOTAL ESTACIONES'!K68</f>
        <v>0</v>
      </c>
      <c r="L68" s="65">
        <f>'TOTAL ESTACIONES'!L68</f>
        <v>0</v>
      </c>
      <c r="M68" s="65">
        <f>'TOTAL ESTACIONES'!M68</f>
        <v>0</v>
      </c>
      <c r="N68" s="65">
        <f>'TOTAL ESTACIONES'!N68</f>
        <v>0</v>
      </c>
      <c r="O68" s="65">
        <f>'TOTAL ESTACIONES'!O68</f>
        <v>0</v>
      </c>
      <c r="P68" s="65">
        <f>'TOTAL ESTACIONES'!P68</f>
        <v>0</v>
      </c>
      <c r="Q68" s="65">
        <f>'TOTAL ESTACIONES'!Q68</f>
        <v>0</v>
      </c>
      <c r="R68" s="65">
        <f>'TOTAL ESTACIONES'!R68</f>
        <v>0</v>
      </c>
      <c r="S68" s="65">
        <f>'TOTAL ESTACIONES'!S68</f>
        <v>0</v>
      </c>
      <c r="T68" s="65">
        <f>'TOTAL ESTACIONES'!T68</f>
        <v>0</v>
      </c>
      <c r="U68" s="65">
        <f>'TOTAL ESTACIONES'!U68</f>
        <v>0</v>
      </c>
      <c r="V68" s="65">
        <f>'TOTAL ESTACIONES'!V68</f>
        <v>0</v>
      </c>
      <c r="W68" s="73">
        <f>'TOTAL ESTACIONES'!W68</f>
        <v>0</v>
      </c>
      <c r="X68" s="89"/>
      <c r="Y68" s="65">
        <f>'TOTAL ESTACIONES'!Y68</f>
        <v>0</v>
      </c>
      <c r="Z68" s="65">
        <f>'TOTAL ESTACIONES'!Z68</f>
        <v>0</v>
      </c>
      <c r="AA68" s="65">
        <f>'TOTAL ESTACIONES'!AA68</f>
        <v>0</v>
      </c>
      <c r="AB68" s="65">
        <f>'TOTAL ESTACIONES'!AB68</f>
        <v>0</v>
      </c>
      <c r="AC68" s="65">
        <f>'TOTAL ESTACIONES'!AC68</f>
        <v>0</v>
      </c>
      <c r="AD68" s="65">
        <f>'TOTAL ESTACIONES'!AD68</f>
        <v>0</v>
      </c>
      <c r="AE68" s="65">
        <f>'TOTAL ESTACIONES'!AE68</f>
        <v>0</v>
      </c>
      <c r="AF68" s="65">
        <f>'TOTAL ESTACIONES'!AF68</f>
        <v>0</v>
      </c>
      <c r="AG68" s="65">
        <f>'TOTAL ESTACIONES'!AG68</f>
        <v>0</v>
      </c>
      <c r="AH68" s="65">
        <f>'TOTAL ESTACIONES'!AH68</f>
        <v>0</v>
      </c>
      <c r="AI68" s="65">
        <f>'TOTAL ESTACIONES'!AI68</f>
        <v>0</v>
      </c>
      <c r="AJ68" s="65">
        <f>'TOTAL ESTACIONES'!AJ68</f>
        <v>0</v>
      </c>
      <c r="AK68" s="65">
        <f>'TOTAL ESTACIONES'!AK68</f>
        <v>0</v>
      </c>
      <c r="AL68" s="73">
        <f>'TOTAL ESTACIONES'!AL68</f>
        <v>0</v>
      </c>
      <c r="AM68" s="14">
        <f>'TOTAL ESTACIONES'!AM68</f>
        <v>0</v>
      </c>
      <c r="AN68" s="89"/>
      <c r="AO68" s="254">
        <f t="shared" si="0"/>
        <v>0</v>
      </c>
      <c r="AS68" s="65">
        <v>0</v>
      </c>
    </row>
    <row r="69" spans="1:45" ht="15" customHeight="1" outlineLevel="1">
      <c r="A69" s="12" t="s">
        <v>146</v>
      </c>
      <c r="B69" s="8" t="s">
        <v>88</v>
      </c>
      <c r="I69" s="246" t="s">
        <v>172</v>
      </c>
      <c r="J69" s="65">
        <f>'TOTAL ESTACIONES'!J69</f>
        <v>0</v>
      </c>
      <c r="K69" s="65">
        <f>'TOTAL ESTACIONES'!K69</f>
        <v>0</v>
      </c>
      <c r="L69" s="65">
        <f>'TOTAL ESTACIONES'!L69</f>
        <v>0</v>
      </c>
      <c r="M69" s="65">
        <f>'TOTAL ESTACIONES'!M69</f>
        <v>0</v>
      </c>
      <c r="N69" s="65">
        <f>'TOTAL ESTACIONES'!N69</f>
        <v>662</v>
      </c>
      <c r="O69" s="65">
        <f>'TOTAL ESTACIONES'!O69</f>
        <v>0</v>
      </c>
      <c r="P69" s="65">
        <f>'TOTAL ESTACIONES'!P69</f>
        <v>0</v>
      </c>
      <c r="Q69" s="65">
        <f>'TOTAL ESTACIONES'!Q69</f>
        <v>0</v>
      </c>
      <c r="R69" s="65">
        <f>'TOTAL ESTACIONES'!R69</f>
        <v>0</v>
      </c>
      <c r="S69" s="65">
        <f>'TOTAL ESTACIONES'!S69</f>
        <v>183</v>
      </c>
      <c r="T69" s="65">
        <f>'TOTAL ESTACIONES'!T69</f>
        <v>0</v>
      </c>
      <c r="U69" s="65">
        <f>'TOTAL ESTACIONES'!U69</f>
        <v>0</v>
      </c>
      <c r="V69" s="65">
        <f>'TOTAL ESTACIONES'!V69</f>
        <v>845</v>
      </c>
      <c r="W69" s="73">
        <f>'TOTAL ESTACIONES'!W69</f>
        <v>9.4290788579651201E-7</v>
      </c>
      <c r="X69" s="89"/>
      <c r="Y69" s="65">
        <f>'TOTAL ESTACIONES'!Y69</f>
        <v>0</v>
      </c>
      <c r="Z69" s="65">
        <f>'TOTAL ESTACIONES'!Z69</f>
        <v>0</v>
      </c>
      <c r="AA69" s="65">
        <f>'TOTAL ESTACIONES'!AA69</f>
        <v>0</v>
      </c>
      <c r="AB69" s="65">
        <f>'TOTAL ESTACIONES'!AB69</f>
        <v>0</v>
      </c>
      <c r="AC69" s="65">
        <f>'TOTAL ESTACIONES'!AC69</f>
        <v>0</v>
      </c>
      <c r="AD69" s="65">
        <f>'TOTAL ESTACIONES'!AD69</f>
        <v>0</v>
      </c>
      <c r="AE69" s="65">
        <f>'TOTAL ESTACIONES'!AE69</f>
        <v>0</v>
      </c>
      <c r="AF69" s="65">
        <f>'TOTAL ESTACIONES'!AF69</f>
        <v>0</v>
      </c>
      <c r="AG69" s="65">
        <f>'TOTAL ESTACIONES'!AG69</f>
        <v>0</v>
      </c>
      <c r="AH69" s="65">
        <f>'TOTAL ESTACIONES'!AH69</f>
        <v>0</v>
      </c>
      <c r="AI69" s="65">
        <f>'TOTAL ESTACIONES'!AI69</f>
        <v>0</v>
      </c>
      <c r="AJ69" s="65">
        <f>'TOTAL ESTACIONES'!AJ69</f>
        <v>0</v>
      </c>
      <c r="AK69" s="65">
        <f>'TOTAL ESTACIONES'!AK69</f>
        <v>0</v>
      </c>
      <c r="AL69" s="73">
        <f>'TOTAL ESTACIONES'!AL69</f>
        <v>0</v>
      </c>
      <c r="AM69" s="14">
        <f>'TOTAL ESTACIONES'!AM69</f>
        <v>-1</v>
      </c>
      <c r="AN69" s="89"/>
      <c r="AO69" s="254">
        <f t="shared" si="0"/>
        <v>-845</v>
      </c>
      <c r="AS69" s="65">
        <v>0</v>
      </c>
    </row>
    <row r="70" spans="1:45" ht="14.45" customHeight="1" outlineLevel="1">
      <c r="A70" s="12" t="s">
        <v>146</v>
      </c>
      <c r="B70" s="8" t="s">
        <v>88</v>
      </c>
      <c r="I70" s="246" t="s">
        <v>173</v>
      </c>
      <c r="J70" s="65">
        <f>'TOTAL ESTACIONES'!J70</f>
        <v>15144</v>
      </c>
      <c r="K70" s="65">
        <f>'TOTAL ESTACIONES'!K70</f>
        <v>21968</v>
      </c>
      <c r="L70" s="65">
        <f>'TOTAL ESTACIONES'!L70</f>
        <v>12968</v>
      </c>
      <c r="M70" s="65">
        <f>'TOTAL ESTACIONES'!M70</f>
        <v>0</v>
      </c>
      <c r="N70" s="65">
        <f>'TOTAL ESTACIONES'!N70</f>
        <v>9800</v>
      </c>
      <c r="O70" s="65">
        <f>'TOTAL ESTACIONES'!O70</f>
        <v>17450</v>
      </c>
      <c r="P70" s="65">
        <f>'TOTAL ESTACIONES'!P70</f>
        <v>9800</v>
      </c>
      <c r="Q70" s="65">
        <f>'TOTAL ESTACIONES'!Q70</f>
        <v>9800</v>
      </c>
      <c r="R70" s="65">
        <f>'TOTAL ESTACIONES'!R70</f>
        <v>9800</v>
      </c>
      <c r="S70" s="65">
        <f>'TOTAL ESTACIONES'!S70</f>
        <v>11600</v>
      </c>
      <c r="T70" s="65">
        <f>'TOTAL ESTACIONES'!T70</f>
        <v>10400</v>
      </c>
      <c r="U70" s="65">
        <f>'TOTAL ESTACIONES'!U70</f>
        <v>10600</v>
      </c>
      <c r="V70" s="292">
        <f>'TOTAL ESTACIONES'!V70</f>
        <v>139330</v>
      </c>
      <c r="W70" s="73">
        <f>'TOTAL ESTACIONES'!W70</f>
        <v>1.554737937609799E-4</v>
      </c>
      <c r="X70" s="89"/>
      <c r="Y70" s="65">
        <f>'TOTAL ESTACIONES'!Y70</f>
        <v>10500</v>
      </c>
      <c r="Z70" s="65">
        <f>'TOTAL ESTACIONES'!Z70</f>
        <v>10500</v>
      </c>
      <c r="AA70" s="65">
        <f>'TOTAL ESTACIONES'!AA70</f>
        <v>10500</v>
      </c>
      <c r="AB70" s="65">
        <f>'TOTAL ESTACIONES'!AB70</f>
        <v>10500</v>
      </c>
      <c r="AC70" s="65">
        <f>'TOTAL ESTACIONES'!AC70</f>
        <v>10500</v>
      </c>
      <c r="AD70" s="65">
        <f>'TOTAL ESTACIONES'!AD70</f>
        <v>10500</v>
      </c>
      <c r="AE70" s="65">
        <f>'TOTAL ESTACIONES'!AE70</f>
        <v>10500</v>
      </c>
      <c r="AF70" s="65">
        <f>'TOTAL ESTACIONES'!AF70</f>
        <v>10500</v>
      </c>
      <c r="AG70" s="65">
        <f>'TOTAL ESTACIONES'!AG70</f>
        <v>10500</v>
      </c>
      <c r="AH70" s="65">
        <f>'TOTAL ESTACIONES'!AH70</f>
        <v>10500</v>
      </c>
      <c r="AI70" s="65">
        <f>'TOTAL ESTACIONES'!AI70</f>
        <v>10500</v>
      </c>
      <c r="AJ70" s="65">
        <f>'TOTAL ESTACIONES'!AJ70</f>
        <v>10500</v>
      </c>
      <c r="AK70" s="292">
        <f>'TOTAL ESTACIONES'!AK70</f>
        <v>126000</v>
      </c>
      <c r="AL70" s="73">
        <f>'TOTAL ESTACIONES'!AL70</f>
        <v>1.3081690349526267E-4</v>
      </c>
      <c r="AM70" s="14">
        <f>'TOTAL ESTACIONES'!AM70</f>
        <v>-9.5672145266633146E-2</v>
      </c>
      <c r="AN70" s="89"/>
      <c r="AO70" s="254">
        <f t="shared" si="0"/>
        <v>-13330</v>
      </c>
      <c r="AS70" s="292">
        <v>126000</v>
      </c>
    </row>
    <row r="71" spans="1:45" ht="15" customHeight="1" outlineLevel="1">
      <c r="A71" s="12" t="s">
        <v>146</v>
      </c>
      <c r="B71" s="8" t="s">
        <v>88</v>
      </c>
      <c r="I71" s="246" t="s">
        <v>174</v>
      </c>
      <c r="J71" s="65">
        <f>'TOTAL ESTACIONES'!J71</f>
        <v>0</v>
      </c>
      <c r="K71" s="65">
        <f>'TOTAL ESTACIONES'!K71</f>
        <v>0</v>
      </c>
      <c r="L71" s="65">
        <f>'TOTAL ESTACIONES'!L71</f>
        <v>0</v>
      </c>
      <c r="M71" s="65">
        <f>'TOTAL ESTACIONES'!M71</f>
        <v>0</v>
      </c>
      <c r="N71" s="65">
        <f>'TOTAL ESTACIONES'!N71</f>
        <v>0</v>
      </c>
      <c r="O71" s="65">
        <f>'TOTAL ESTACIONES'!O71</f>
        <v>0</v>
      </c>
      <c r="P71" s="65">
        <f>'TOTAL ESTACIONES'!P71</f>
        <v>0</v>
      </c>
      <c r="Q71" s="65">
        <f>'TOTAL ESTACIONES'!Q71</f>
        <v>0</v>
      </c>
      <c r="R71" s="65">
        <f>'TOTAL ESTACIONES'!R71</f>
        <v>0</v>
      </c>
      <c r="S71" s="65">
        <f>'TOTAL ESTACIONES'!S71</f>
        <v>0</v>
      </c>
      <c r="T71" s="65">
        <f>'TOTAL ESTACIONES'!T71</f>
        <v>0</v>
      </c>
      <c r="U71" s="65">
        <f>'TOTAL ESTACIONES'!U71</f>
        <v>0</v>
      </c>
      <c r="V71" s="65">
        <f>'TOTAL ESTACIONES'!V71</f>
        <v>0</v>
      </c>
      <c r="W71" s="73">
        <f>'TOTAL ESTACIONES'!W71</f>
        <v>0</v>
      </c>
      <c r="X71" s="89"/>
      <c r="Y71" s="65">
        <f>'TOTAL ESTACIONES'!Y71</f>
        <v>0</v>
      </c>
      <c r="Z71" s="65">
        <f>'TOTAL ESTACIONES'!Z71</f>
        <v>0</v>
      </c>
      <c r="AA71" s="65">
        <f>'TOTAL ESTACIONES'!AA71</f>
        <v>0</v>
      </c>
      <c r="AB71" s="65">
        <f>'TOTAL ESTACIONES'!AB71</f>
        <v>0</v>
      </c>
      <c r="AC71" s="65">
        <f>'TOTAL ESTACIONES'!AC71</f>
        <v>0</v>
      </c>
      <c r="AD71" s="65">
        <f>'TOTAL ESTACIONES'!AD71</f>
        <v>0</v>
      </c>
      <c r="AE71" s="65">
        <f>'TOTAL ESTACIONES'!AE71</f>
        <v>0</v>
      </c>
      <c r="AF71" s="65">
        <f>'TOTAL ESTACIONES'!AF71</f>
        <v>0</v>
      </c>
      <c r="AG71" s="65">
        <f>'TOTAL ESTACIONES'!AG71</f>
        <v>0</v>
      </c>
      <c r="AH71" s="65">
        <f>'TOTAL ESTACIONES'!AH71</f>
        <v>0</v>
      </c>
      <c r="AI71" s="65">
        <f>'TOTAL ESTACIONES'!AI71</f>
        <v>0</v>
      </c>
      <c r="AJ71" s="65">
        <f>'TOTAL ESTACIONES'!AJ71</f>
        <v>0</v>
      </c>
      <c r="AK71" s="65">
        <f>'TOTAL ESTACIONES'!AK71</f>
        <v>0</v>
      </c>
      <c r="AL71" s="73">
        <f>'TOTAL ESTACIONES'!AL71</f>
        <v>0</v>
      </c>
      <c r="AM71" s="14">
        <f>'TOTAL ESTACIONES'!AM71</f>
        <v>0</v>
      </c>
      <c r="AN71" s="89"/>
      <c r="AO71" s="254">
        <f t="shared" si="0"/>
        <v>0</v>
      </c>
      <c r="AS71" s="65">
        <v>0</v>
      </c>
    </row>
    <row r="72" spans="1:45" ht="15" customHeight="1" outlineLevel="1">
      <c r="A72" s="12" t="s">
        <v>146</v>
      </c>
      <c r="B72" s="8" t="s">
        <v>88</v>
      </c>
      <c r="I72" s="246" t="s">
        <v>175</v>
      </c>
      <c r="J72" s="65">
        <f>'TOTAL ESTACIONES'!J72</f>
        <v>6314</v>
      </c>
      <c r="K72" s="65">
        <f>'TOTAL ESTACIONES'!K72</f>
        <v>6314</v>
      </c>
      <c r="L72" s="65">
        <f>'TOTAL ESTACIONES'!L72</f>
        <v>6314</v>
      </c>
      <c r="M72" s="65">
        <f>'TOTAL ESTACIONES'!M72</f>
        <v>6314</v>
      </c>
      <c r="N72" s="65">
        <f>'TOTAL ESTACIONES'!N72</f>
        <v>6314</v>
      </c>
      <c r="O72" s="65">
        <f>'TOTAL ESTACIONES'!O72</f>
        <v>6314</v>
      </c>
      <c r="P72" s="65">
        <f>'TOTAL ESTACIONES'!P72</f>
        <v>6314</v>
      </c>
      <c r="Q72" s="65">
        <f>'TOTAL ESTACIONES'!Q72</f>
        <v>6314</v>
      </c>
      <c r="R72" s="65">
        <f>'TOTAL ESTACIONES'!R72</f>
        <v>6314</v>
      </c>
      <c r="S72" s="65">
        <f>'TOTAL ESTACIONES'!S72</f>
        <v>6314</v>
      </c>
      <c r="T72" s="65">
        <f>'TOTAL ESTACIONES'!T72</f>
        <v>6314</v>
      </c>
      <c r="U72" s="65">
        <f>'TOTAL ESTACIONES'!U72</f>
        <v>6314</v>
      </c>
      <c r="V72" s="65">
        <f>'TOTAL ESTACIONES'!V72</f>
        <v>75768</v>
      </c>
      <c r="W72" s="73">
        <f>'TOTAL ESTACIONES'!W72</f>
        <v>8.4547035137313756E-5</v>
      </c>
      <c r="X72" s="89"/>
      <c r="Y72" s="65">
        <f>'TOTAL ESTACIONES'!Y72</f>
        <v>6550.7749999999996</v>
      </c>
      <c r="Z72" s="65">
        <f>'TOTAL ESTACIONES'!Z72</f>
        <v>6550.7749999999996</v>
      </c>
      <c r="AA72" s="65">
        <f>'TOTAL ESTACIONES'!AA72</f>
        <v>6550.7749999999996</v>
      </c>
      <c r="AB72" s="65">
        <f>'TOTAL ESTACIONES'!AB72</f>
        <v>6550.7749999999996</v>
      </c>
      <c r="AC72" s="65">
        <f>'TOTAL ESTACIONES'!AC72</f>
        <v>6550.7749999999996</v>
      </c>
      <c r="AD72" s="65">
        <f>'TOTAL ESTACIONES'!AD72</f>
        <v>6550.7749999999996</v>
      </c>
      <c r="AE72" s="65">
        <f>'TOTAL ESTACIONES'!AE72</f>
        <v>6550.7749999999996</v>
      </c>
      <c r="AF72" s="65">
        <f>'TOTAL ESTACIONES'!AF72</f>
        <v>6550.7749999999996</v>
      </c>
      <c r="AG72" s="65">
        <f>'TOTAL ESTACIONES'!AG72</f>
        <v>6550.7749999999996</v>
      </c>
      <c r="AH72" s="65">
        <f>'TOTAL ESTACIONES'!AH72</f>
        <v>6550.7749999999996</v>
      </c>
      <c r="AI72" s="65">
        <f>'TOTAL ESTACIONES'!AI72</f>
        <v>6550.7749999999996</v>
      </c>
      <c r="AJ72" s="65">
        <f>'TOTAL ESTACIONES'!AJ72</f>
        <v>6550.7749999999996</v>
      </c>
      <c r="AK72" s="65">
        <f>'TOTAL ESTACIONES'!AK72</f>
        <v>78609.3</v>
      </c>
      <c r="AL72" s="73">
        <f>'TOTAL ESTACIONES'!AL72</f>
        <v>8.161448580896945E-5</v>
      </c>
      <c r="AM72" s="14">
        <f>'TOTAL ESTACIONES'!AM72</f>
        <v>3.7500000000000089E-2</v>
      </c>
      <c r="AN72" s="89"/>
      <c r="AO72" s="254">
        <f t="shared" si="0"/>
        <v>2841.3000000000029</v>
      </c>
      <c r="AS72" s="65">
        <v>78609.3</v>
      </c>
    </row>
    <row r="73" spans="1:45" ht="15" customHeight="1" outlineLevel="1">
      <c r="A73" s="12" t="s">
        <v>146</v>
      </c>
      <c r="B73" s="8" t="s">
        <v>88</v>
      </c>
      <c r="I73" s="246" t="s">
        <v>176</v>
      </c>
      <c r="J73" s="65">
        <f>'TOTAL ESTACIONES'!J73</f>
        <v>0</v>
      </c>
      <c r="K73" s="65">
        <f>'TOTAL ESTACIONES'!K73</f>
        <v>0</v>
      </c>
      <c r="L73" s="65">
        <f>'TOTAL ESTACIONES'!L73</f>
        <v>0</v>
      </c>
      <c r="M73" s="65">
        <f>'TOTAL ESTACIONES'!M73</f>
        <v>0</v>
      </c>
      <c r="N73" s="65">
        <f>'TOTAL ESTACIONES'!N73</f>
        <v>0</v>
      </c>
      <c r="O73" s="65">
        <f>'TOTAL ESTACIONES'!O73</f>
        <v>22400</v>
      </c>
      <c r="P73" s="65">
        <f>'TOTAL ESTACIONES'!P73</f>
        <v>0</v>
      </c>
      <c r="Q73" s="65">
        <f>'TOTAL ESTACIONES'!Q73</f>
        <v>0</v>
      </c>
      <c r="R73" s="65">
        <f>'TOTAL ESTACIONES'!R73</f>
        <v>0</v>
      </c>
      <c r="S73" s="65">
        <f>'TOTAL ESTACIONES'!S73</f>
        <v>0</v>
      </c>
      <c r="T73" s="65">
        <f>'TOTAL ESTACIONES'!T73</f>
        <v>0</v>
      </c>
      <c r="U73" s="65">
        <f>'TOTAL ESTACIONES'!U73</f>
        <v>0</v>
      </c>
      <c r="V73" s="65">
        <f>'TOTAL ESTACIONES'!V73</f>
        <v>22400</v>
      </c>
      <c r="W73" s="73">
        <f>'TOTAL ESTACIONES'!W73</f>
        <v>2.4995427978511087E-5</v>
      </c>
      <c r="X73" s="89"/>
      <c r="Y73" s="65">
        <f>'TOTAL ESTACIONES'!Y73</f>
        <v>0</v>
      </c>
      <c r="Z73" s="65">
        <f>'TOTAL ESTACIONES'!Z73</f>
        <v>0</v>
      </c>
      <c r="AA73" s="65">
        <f>'TOTAL ESTACIONES'!AA73</f>
        <v>0</v>
      </c>
      <c r="AB73" s="65">
        <f>'TOTAL ESTACIONES'!AB73</f>
        <v>0</v>
      </c>
      <c r="AC73" s="65">
        <f>'TOTAL ESTACIONES'!AC73</f>
        <v>0</v>
      </c>
      <c r="AD73" s="65">
        <f>'TOTAL ESTACIONES'!AD73</f>
        <v>0</v>
      </c>
      <c r="AE73" s="65">
        <f>'TOTAL ESTACIONES'!AE73</f>
        <v>0</v>
      </c>
      <c r="AF73" s="65">
        <f>'TOTAL ESTACIONES'!AF73</f>
        <v>0</v>
      </c>
      <c r="AG73" s="65">
        <f>'TOTAL ESTACIONES'!AG73</f>
        <v>0</v>
      </c>
      <c r="AH73" s="65">
        <f>'TOTAL ESTACIONES'!AH73</f>
        <v>0</v>
      </c>
      <c r="AI73" s="65">
        <f>'TOTAL ESTACIONES'!AI73</f>
        <v>0</v>
      </c>
      <c r="AJ73" s="65">
        <f>'TOTAL ESTACIONES'!AJ73</f>
        <v>0</v>
      </c>
      <c r="AK73" s="65">
        <f>'TOTAL ESTACIONES'!AK73</f>
        <v>0</v>
      </c>
      <c r="AL73" s="73">
        <f>'TOTAL ESTACIONES'!AL73</f>
        <v>0</v>
      </c>
      <c r="AM73" s="14">
        <f>'TOTAL ESTACIONES'!AM73</f>
        <v>-1</v>
      </c>
      <c r="AN73" s="89"/>
      <c r="AO73" s="254">
        <f t="shared" si="0"/>
        <v>-22400</v>
      </c>
      <c r="AS73" s="65">
        <v>0</v>
      </c>
    </row>
    <row r="74" spans="1:45" ht="15" customHeight="1" outlineLevel="1">
      <c r="A74" s="12" t="s">
        <v>146</v>
      </c>
      <c r="B74" s="8" t="s">
        <v>88</v>
      </c>
      <c r="I74" s="251" t="s">
        <v>177</v>
      </c>
      <c r="J74" s="65">
        <f>'TOTAL ESTACIONES'!J74</f>
        <v>9100</v>
      </c>
      <c r="K74" s="65">
        <f>'TOTAL ESTACIONES'!K74</f>
        <v>9100</v>
      </c>
      <c r="L74" s="65">
        <f>'TOTAL ESTACIONES'!L74</f>
        <v>25900</v>
      </c>
      <c r="M74" s="65">
        <f>'TOTAL ESTACIONES'!M74</f>
        <v>9100</v>
      </c>
      <c r="N74" s="65">
        <f>'TOTAL ESTACIONES'!N74</f>
        <v>9100</v>
      </c>
      <c r="O74" s="65">
        <f>'TOTAL ESTACIONES'!O74</f>
        <v>9100</v>
      </c>
      <c r="P74" s="65">
        <f>'TOTAL ESTACIONES'!P74</f>
        <v>9100</v>
      </c>
      <c r="Q74" s="65">
        <f>'TOTAL ESTACIONES'!Q74</f>
        <v>9100</v>
      </c>
      <c r="R74" s="65">
        <f>'TOTAL ESTACIONES'!R74</f>
        <v>9100</v>
      </c>
      <c r="S74" s="65">
        <f>'TOTAL ESTACIONES'!S74</f>
        <v>9100</v>
      </c>
      <c r="T74" s="65">
        <f>'TOTAL ESTACIONES'!T74</f>
        <v>9100</v>
      </c>
      <c r="U74" s="65">
        <f>'TOTAL ESTACIONES'!U74</f>
        <v>9100</v>
      </c>
      <c r="V74" s="65">
        <f>'TOTAL ESTACIONES'!V74</f>
        <v>126000</v>
      </c>
      <c r="W74" s="73">
        <f>'TOTAL ESTACIONES'!W74</f>
        <v>1.4059928237912487E-4</v>
      </c>
      <c r="X74" s="89"/>
      <c r="Y74" s="65">
        <f>'TOTAL ESTACIONES'!Y74</f>
        <v>9441.2500000000018</v>
      </c>
      <c r="Z74" s="65">
        <f>'TOTAL ESTACIONES'!Z74</f>
        <v>9441.2500000000018</v>
      </c>
      <c r="AA74" s="65">
        <f>'TOTAL ESTACIONES'!AA74</f>
        <v>26871.25</v>
      </c>
      <c r="AB74" s="65">
        <f>'TOTAL ESTACIONES'!AB74</f>
        <v>9441.2500000000018</v>
      </c>
      <c r="AC74" s="65">
        <f>'TOTAL ESTACIONES'!AC74</f>
        <v>9441.2500000000018</v>
      </c>
      <c r="AD74" s="65">
        <f>'TOTAL ESTACIONES'!AD74</f>
        <v>9441.2500000000018</v>
      </c>
      <c r="AE74" s="65">
        <f>'TOTAL ESTACIONES'!AE74</f>
        <v>9441.2500000000018</v>
      </c>
      <c r="AF74" s="65">
        <f>'TOTAL ESTACIONES'!AF74</f>
        <v>9441.2500000000018</v>
      </c>
      <c r="AG74" s="65">
        <f>'TOTAL ESTACIONES'!AG74</f>
        <v>9441.2500000000018</v>
      </c>
      <c r="AH74" s="65">
        <f>'TOTAL ESTACIONES'!AH74</f>
        <v>9441.2500000000018</v>
      </c>
      <c r="AI74" s="65">
        <f>'TOTAL ESTACIONES'!AI74</f>
        <v>9441.2500000000018</v>
      </c>
      <c r="AJ74" s="65">
        <f>'TOTAL ESTACIONES'!AJ74</f>
        <v>9441.2500000000018</v>
      </c>
      <c r="AK74" s="65">
        <f>'TOTAL ESTACIONES'!AK74</f>
        <v>130725</v>
      </c>
      <c r="AL74" s="73">
        <f>'TOTAL ESTACIONES'!AL74</f>
        <v>1.3572253737633501E-4</v>
      </c>
      <c r="AM74" s="14">
        <f>'TOTAL ESTACIONES'!AM74</f>
        <v>3.7500000000000089E-2</v>
      </c>
      <c r="AN74" s="89"/>
      <c r="AO74" s="254">
        <f t="shared" si="0"/>
        <v>4725</v>
      </c>
      <c r="AP74" s="295" t="s">
        <v>447</v>
      </c>
      <c r="AS74" s="65">
        <v>130725</v>
      </c>
    </row>
    <row r="75" spans="1:45" ht="15" customHeight="1" outlineLevel="1">
      <c r="A75" s="12" t="s">
        <v>146</v>
      </c>
      <c r="B75" s="8" t="s">
        <v>88</v>
      </c>
      <c r="I75" s="246" t="s">
        <v>178</v>
      </c>
      <c r="J75" s="65">
        <f>'TOTAL ESTACIONES'!J75</f>
        <v>0</v>
      </c>
      <c r="K75" s="65">
        <f>'TOTAL ESTACIONES'!K75</f>
        <v>0</v>
      </c>
      <c r="L75" s="65">
        <f>'TOTAL ESTACIONES'!L75</f>
        <v>0</v>
      </c>
      <c r="M75" s="65">
        <f>'TOTAL ESTACIONES'!M75</f>
        <v>0</v>
      </c>
      <c r="N75" s="65">
        <f>'TOTAL ESTACIONES'!N75</f>
        <v>0</v>
      </c>
      <c r="O75" s="65">
        <f>'TOTAL ESTACIONES'!O75</f>
        <v>0</v>
      </c>
      <c r="P75" s="65">
        <f>'TOTAL ESTACIONES'!P75</f>
        <v>0</v>
      </c>
      <c r="Q75" s="65">
        <f>'TOTAL ESTACIONES'!Q75</f>
        <v>0</v>
      </c>
      <c r="R75" s="65">
        <f>'TOTAL ESTACIONES'!R75</f>
        <v>0</v>
      </c>
      <c r="S75" s="65">
        <f>'TOTAL ESTACIONES'!S75</f>
        <v>0</v>
      </c>
      <c r="T75" s="65">
        <f>'TOTAL ESTACIONES'!T75</f>
        <v>0</v>
      </c>
      <c r="U75" s="65">
        <f>'TOTAL ESTACIONES'!U75</f>
        <v>0</v>
      </c>
      <c r="V75" s="65">
        <f>'TOTAL ESTACIONES'!V75</f>
        <v>0</v>
      </c>
      <c r="W75" s="73">
        <f>'TOTAL ESTACIONES'!W75</f>
        <v>0</v>
      </c>
      <c r="X75" s="89"/>
      <c r="Y75" s="65">
        <f>'TOTAL ESTACIONES'!Y75</f>
        <v>0</v>
      </c>
      <c r="Z75" s="65">
        <f>'TOTAL ESTACIONES'!Z75</f>
        <v>0</v>
      </c>
      <c r="AA75" s="65">
        <f>'TOTAL ESTACIONES'!AA75</f>
        <v>0</v>
      </c>
      <c r="AB75" s="65">
        <f>'TOTAL ESTACIONES'!AB75</f>
        <v>0</v>
      </c>
      <c r="AC75" s="65">
        <f>'TOTAL ESTACIONES'!AC75</f>
        <v>0</v>
      </c>
      <c r="AD75" s="65">
        <f>'TOTAL ESTACIONES'!AD75</f>
        <v>0</v>
      </c>
      <c r="AE75" s="65">
        <f>'TOTAL ESTACIONES'!AE75</f>
        <v>0</v>
      </c>
      <c r="AF75" s="65">
        <f>'TOTAL ESTACIONES'!AF75</f>
        <v>0</v>
      </c>
      <c r="AG75" s="65">
        <f>'TOTAL ESTACIONES'!AG75</f>
        <v>0</v>
      </c>
      <c r="AH75" s="65">
        <f>'TOTAL ESTACIONES'!AH75</f>
        <v>0</v>
      </c>
      <c r="AI75" s="65">
        <f>'TOTAL ESTACIONES'!AI75</f>
        <v>0</v>
      </c>
      <c r="AJ75" s="65">
        <f>'TOTAL ESTACIONES'!AJ75</f>
        <v>0</v>
      </c>
      <c r="AK75" s="65">
        <f>'TOTAL ESTACIONES'!AK75</f>
        <v>0</v>
      </c>
      <c r="AL75" s="73">
        <f>'TOTAL ESTACIONES'!AL75</f>
        <v>0</v>
      </c>
      <c r="AM75" s="14">
        <f>'TOTAL ESTACIONES'!AM75</f>
        <v>0</v>
      </c>
      <c r="AN75" s="89"/>
      <c r="AO75" s="254">
        <f t="shared" si="0"/>
        <v>0</v>
      </c>
      <c r="AS75" s="65">
        <v>0</v>
      </c>
    </row>
    <row r="76" spans="1:45" ht="15" customHeight="1" outlineLevel="1">
      <c r="A76" s="12" t="s">
        <v>146</v>
      </c>
      <c r="B76" s="8" t="s">
        <v>88</v>
      </c>
      <c r="I76" s="246" t="s">
        <v>179</v>
      </c>
      <c r="J76" s="65">
        <f>'TOTAL ESTACIONES'!J76</f>
        <v>7032</v>
      </c>
      <c r="K76" s="65">
        <f>'TOTAL ESTACIONES'!K76</f>
        <v>6170</v>
      </c>
      <c r="L76" s="65">
        <f>'TOTAL ESTACIONES'!L76</f>
        <v>6043</v>
      </c>
      <c r="M76" s="65">
        <f>'TOTAL ESTACIONES'!M76</f>
        <v>6026</v>
      </c>
      <c r="N76" s="65">
        <f>'TOTAL ESTACIONES'!N76</f>
        <v>5614</v>
      </c>
      <c r="O76" s="65">
        <f>'TOTAL ESTACIONES'!O76</f>
        <v>6375</v>
      </c>
      <c r="P76" s="65">
        <f>'TOTAL ESTACIONES'!P76</f>
        <v>6423</v>
      </c>
      <c r="Q76" s="65">
        <f>'TOTAL ESTACIONES'!Q76</f>
        <v>6222</v>
      </c>
      <c r="R76" s="65">
        <f>'TOTAL ESTACIONES'!R76</f>
        <v>6008</v>
      </c>
      <c r="S76" s="65">
        <f>'TOTAL ESTACIONES'!S76</f>
        <v>6611.3333333333339</v>
      </c>
      <c r="T76" s="65">
        <f>'TOTAL ESTACIONES'!T76</f>
        <v>6280.4444444444443</v>
      </c>
      <c r="U76" s="65">
        <f>'TOTAL ESTACIONES'!U76</f>
        <v>6299.9259259259252</v>
      </c>
      <c r="V76" s="292">
        <f>'TOTAL ESTACIONES'!V76</f>
        <v>75104.703703703708</v>
      </c>
      <c r="W76" s="73">
        <f>'TOTAL ESTACIONES'!W76</f>
        <v>8.3806884476488432E-5</v>
      </c>
      <c r="X76" s="89"/>
      <c r="Y76" s="65">
        <f>'TOTAL ESTACIONES'!Y76</f>
        <v>6883.415</v>
      </c>
      <c r="Z76" s="65">
        <f>'TOTAL ESTACIONES'!Z76</f>
        <v>6883.415</v>
      </c>
      <c r="AA76" s="65">
        <f>'TOTAL ESTACIONES'!AA76</f>
        <v>6883.415</v>
      </c>
      <c r="AB76" s="65">
        <f>'TOTAL ESTACIONES'!AB76</f>
        <v>6883.415</v>
      </c>
      <c r="AC76" s="65">
        <f>'TOTAL ESTACIONES'!AC76</f>
        <v>6883.415</v>
      </c>
      <c r="AD76" s="65">
        <f>'TOTAL ESTACIONES'!AD76</f>
        <v>6883.415</v>
      </c>
      <c r="AE76" s="65">
        <f>'TOTAL ESTACIONES'!AE76</f>
        <v>6883.415</v>
      </c>
      <c r="AF76" s="65">
        <f>'TOTAL ESTACIONES'!AF76</f>
        <v>6883.415</v>
      </c>
      <c r="AG76" s="65">
        <f>'TOTAL ESTACIONES'!AG76</f>
        <v>6883.415</v>
      </c>
      <c r="AH76" s="65">
        <f>'TOTAL ESTACIONES'!AH76</f>
        <v>6883.415</v>
      </c>
      <c r="AI76" s="65">
        <f>'TOTAL ESTACIONES'!AI76</f>
        <v>6883.415</v>
      </c>
      <c r="AJ76" s="65">
        <f>'TOTAL ESTACIONES'!AJ76</f>
        <v>6883.415</v>
      </c>
      <c r="AK76" s="292">
        <f>'TOTAL ESTACIONES'!AK76</f>
        <v>82600.979999999981</v>
      </c>
      <c r="AL76" s="73">
        <f>'TOTAL ESTACIONES'!AL76</f>
        <v>8.575876531169935E-5</v>
      </c>
      <c r="AM76" s="14">
        <f>'TOTAL ESTACIONES'!AM76</f>
        <v>9.9811009519056304E-2</v>
      </c>
      <c r="AN76" s="89"/>
      <c r="AO76" s="254">
        <f t="shared" si="0"/>
        <v>7496.2762962962734</v>
      </c>
      <c r="AP76" s="295"/>
      <c r="AS76" s="292">
        <v>82600.979999999981</v>
      </c>
    </row>
    <row r="77" spans="1:45" ht="15" customHeight="1" outlineLevel="1">
      <c r="A77" s="12"/>
      <c r="I77" s="246" t="s">
        <v>180</v>
      </c>
      <c r="J77" s="65">
        <f>'TOTAL ESTACIONES'!J77</f>
        <v>3787</v>
      </c>
      <c r="K77" s="65">
        <f>'TOTAL ESTACIONES'!K77</f>
        <v>3608</v>
      </c>
      <c r="L77" s="65">
        <f>'TOTAL ESTACIONES'!L77</f>
        <v>3675</v>
      </c>
      <c r="M77" s="65">
        <f>'TOTAL ESTACIONES'!M77</f>
        <v>3984</v>
      </c>
      <c r="N77" s="65">
        <f>'TOTAL ESTACIONES'!N77</f>
        <v>3884</v>
      </c>
      <c r="O77" s="65">
        <f>'TOTAL ESTACIONES'!O77</f>
        <v>4109</v>
      </c>
      <c r="P77" s="65">
        <f>'TOTAL ESTACIONES'!P77</f>
        <v>3912</v>
      </c>
      <c r="Q77" s="65">
        <f>'TOTAL ESTACIONES'!Q77</f>
        <v>4420</v>
      </c>
      <c r="R77" s="65">
        <f>'TOTAL ESTACIONES'!R77</f>
        <v>3645</v>
      </c>
      <c r="S77" s="65">
        <f>'TOTAL ESTACIONES'!S77</f>
        <v>3760.6666666666665</v>
      </c>
      <c r="T77" s="65">
        <f>'TOTAL ESTACIONES'!T77</f>
        <v>3941.8888888888891</v>
      </c>
      <c r="U77" s="65">
        <f>'TOTAL ESTACIONES'!U77</f>
        <v>3782.5185185185192</v>
      </c>
      <c r="V77" s="65">
        <f>'TOTAL ESTACIONES'!V77</f>
        <v>46509.074074074073</v>
      </c>
      <c r="W77" s="73">
        <f>'TOTAL ESTACIONES'!W77</f>
        <v>5.189795586454267E-5</v>
      </c>
      <c r="X77" s="89"/>
      <c r="Y77" s="65">
        <f>'TOTAL ESTACIONES'!Y77</f>
        <v>3929.0125000000007</v>
      </c>
      <c r="Z77" s="65">
        <f>'TOTAL ESTACIONES'!Z77</f>
        <v>3743.3000000000006</v>
      </c>
      <c r="AA77" s="65">
        <f>'TOTAL ESTACIONES'!AA77</f>
        <v>3812.8125</v>
      </c>
      <c r="AB77" s="65">
        <f>'TOTAL ESTACIONES'!AB77</f>
        <v>4133.3999999999996</v>
      </c>
      <c r="AC77" s="65">
        <f>'TOTAL ESTACIONES'!AC77</f>
        <v>4029.65</v>
      </c>
      <c r="AD77" s="65">
        <f>'TOTAL ESTACIONES'!AD77</f>
        <v>4263.0874999999996</v>
      </c>
      <c r="AE77" s="65">
        <f>'TOTAL ESTACIONES'!AE77</f>
        <v>4058.7</v>
      </c>
      <c r="AF77" s="65">
        <f>'TOTAL ESTACIONES'!AF77</f>
        <v>4585.75</v>
      </c>
      <c r="AG77" s="65">
        <f>'TOTAL ESTACIONES'!AG77</f>
        <v>3781.6875000000005</v>
      </c>
      <c r="AH77" s="65">
        <f>'TOTAL ESTACIONES'!AH77</f>
        <v>3901.6916666666671</v>
      </c>
      <c r="AI77" s="65">
        <f>'TOTAL ESTACIONES'!AI77</f>
        <v>4089.7097222222228</v>
      </c>
      <c r="AJ77" s="65">
        <f>'TOTAL ESTACIONES'!AJ77</f>
        <v>3924.3629629629631</v>
      </c>
      <c r="AK77" s="65">
        <f>'TOTAL ESTACIONES'!AK77</f>
        <v>48253.164351851861</v>
      </c>
      <c r="AL77" s="73">
        <f>'TOTAL ESTACIONES'!AL77</f>
        <v>5.0097853526644868E-5</v>
      </c>
      <c r="AM77" s="14">
        <f>'TOTAL ESTACIONES'!AM77</f>
        <v>3.7500000000000311E-2</v>
      </c>
      <c r="AN77" s="89"/>
      <c r="AO77" s="254">
        <f t="shared" si="0"/>
        <v>1744.0902777777883</v>
      </c>
      <c r="AS77" s="65">
        <v>48253.164351851861</v>
      </c>
    </row>
    <row r="78" spans="1:45" ht="15" customHeight="1" outlineLevel="1">
      <c r="A78" s="12"/>
      <c r="I78" s="246" t="s">
        <v>181</v>
      </c>
      <c r="J78" s="65">
        <f>'TOTAL ESTACIONES'!J78</f>
        <v>0</v>
      </c>
      <c r="K78" s="65">
        <f>'TOTAL ESTACIONES'!K78</f>
        <v>0</v>
      </c>
      <c r="L78" s="65">
        <f>'TOTAL ESTACIONES'!L78</f>
        <v>0</v>
      </c>
      <c r="M78" s="65">
        <f>'TOTAL ESTACIONES'!M78</f>
        <v>0</v>
      </c>
      <c r="N78" s="65">
        <f>'TOTAL ESTACIONES'!N78</f>
        <v>0</v>
      </c>
      <c r="O78" s="65">
        <f>'TOTAL ESTACIONES'!O78</f>
        <v>0</v>
      </c>
      <c r="P78" s="65">
        <f>'TOTAL ESTACIONES'!P78</f>
        <v>0</v>
      </c>
      <c r="Q78" s="65">
        <f>'TOTAL ESTACIONES'!Q78</f>
        <v>0</v>
      </c>
      <c r="R78" s="65">
        <f>'TOTAL ESTACIONES'!R78</f>
        <v>0</v>
      </c>
      <c r="S78" s="65">
        <f>'TOTAL ESTACIONES'!S78</f>
        <v>0</v>
      </c>
      <c r="T78" s="65">
        <f>'TOTAL ESTACIONES'!T78</f>
        <v>0</v>
      </c>
      <c r="U78" s="65">
        <f>'TOTAL ESTACIONES'!U78</f>
        <v>0</v>
      </c>
      <c r="V78" s="65">
        <f>'TOTAL ESTACIONES'!V78</f>
        <v>0</v>
      </c>
      <c r="W78" s="73">
        <f>'TOTAL ESTACIONES'!W78</f>
        <v>0</v>
      </c>
      <c r="X78" s="89"/>
      <c r="Y78" s="65">
        <f>'TOTAL ESTACIONES'!Y78</f>
        <v>0</v>
      </c>
      <c r="Z78" s="65">
        <f>'TOTAL ESTACIONES'!Z78</f>
        <v>0</v>
      </c>
      <c r="AA78" s="65">
        <f>'TOTAL ESTACIONES'!AA78</f>
        <v>0</v>
      </c>
      <c r="AB78" s="65">
        <f>'TOTAL ESTACIONES'!AB78</f>
        <v>0</v>
      </c>
      <c r="AC78" s="65">
        <f>'TOTAL ESTACIONES'!AC78</f>
        <v>0</v>
      </c>
      <c r="AD78" s="65">
        <f>'TOTAL ESTACIONES'!AD78</f>
        <v>0</v>
      </c>
      <c r="AE78" s="65">
        <f>'TOTAL ESTACIONES'!AE78</f>
        <v>0</v>
      </c>
      <c r="AF78" s="65">
        <f>'TOTAL ESTACIONES'!AF78</f>
        <v>0</v>
      </c>
      <c r="AG78" s="65">
        <f>'TOTAL ESTACIONES'!AG78</f>
        <v>0</v>
      </c>
      <c r="AH78" s="65">
        <f>'TOTAL ESTACIONES'!AH78</f>
        <v>0</v>
      </c>
      <c r="AI78" s="65">
        <f>'TOTAL ESTACIONES'!AI78</f>
        <v>0</v>
      </c>
      <c r="AJ78" s="65">
        <f>'TOTAL ESTACIONES'!AJ78</f>
        <v>0</v>
      </c>
      <c r="AK78" s="65">
        <f>'TOTAL ESTACIONES'!AK78</f>
        <v>0</v>
      </c>
      <c r="AL78" s="73">
        <f>'TOTAL ESTACIONES'!AL78</f>
        <v>0</v>
      </c>
      <c r="AM78" s="14">
        <f>'TOTAL ESTACIONES'!AM78</f>
        <v>0</v>
      </c>
      <c r="AN78" s="89"/>
      <c r="AO78" s="254">
        <f t="shared" si="0"/>
        <v>0</v>
      </c>
      <c r="AS78" s="65">
        <v>0</v>
      </c>
    </row>
    <row r="79" spans="1:45" ht="15" customHeight="1" outlineLevel="1">
      <c r="A79" s="12"/>
      <c r="I79" s="246" t="s">
        <v>182</v>
      </c>
      <c r="J79" s="65">
        <f>'TOTAL ESTACIONES'!J79</f>
        <v>23656</v>
      </c>
      <c r="K79" s="65">
        <f>'TOTAL ESTACIONES'!K79</f>
        <v>90215</v>
      </c>
      <c r="L79" s="65">
        <f>'TOTAL ESTACIONES'!L79</f>
        <v>56390</v>
      </c>
      <c r="M79" s="65">
        <f>'TOTAL ESTACIONES'!M79</f>
        <v>29112</v>
      </c>
      <c r="N79" s="65">
        <f>'TOTAL ESTACIONES'!N79</f>
        <v>47011</v>
      </c>
      <c r="O79" s="65">
        <f>'TOTAL ESTACIONES'!O79</f>
        <v>51226</v>
      </c>
      <c r="P79" s="65">
        <f>'TOTAL ESTACIONES'!P79</f>
        <v>43481</v>
      </c>
      <c r="Q79" s="65">
        <f>'TOTAL ESTACIONES'!Q79</f>
        <v>37842</v>
      </c>
      <c r="R79" s="65">
        <f>'TOTAL ESTACIONES'!R79</f>
        <v>37172</v>
      </c>
      <c r="S79" s="65">
        <f>'TOTAL ESTACIONES'!S79</f>
        <v>23819.809599999997</v>
      </c>
      <c r="T79" s="65">
        <f>'TOTAL ESTACIONES'!T79</f>
        <v>217578.48319999999</v>
      </c>
      <c r="U79" s="65">
        <f>'TOTAL ESTACIONES'!U79</f>
        <v>37500.403200000001</v>
      </c>
      <c r="V79" s="292">
        <f>'TOTAL ESTACIONES'!V79</f>
        <v>695003.696</v>
      </c>
      <c r="W79" s="73">
        <f>'TOTAL ESTACIONES'!W79</f>
        <v>7.7553191197174171E-4</v>
      </c>
      <c r="X79" s="89"/>
      <c r="Y79" s="65">
        <f>'TOTAL ESTACIONES'!Y79</f>
        <v>58039.906723699991</v>
      </c>
      <c r="Z79" s="65">
        <f>'TOTAL ESTACIONES'!Z79</f>
        <v>53966.291375699991</v>
      </c>
      <c r="AA79" s="65">
        <f>'TOTAL ESTACIONES'!AA79</f>
        <v>62546.173169699992</v>
      </c>
      <c r="AB79" s="65">
        <f>'TOTAL ESTACIONES'!AB79</f>
        <v>49076.923861679999</v>
      </c>
      <c r="AC79" s="65">
        <f>'TOTAL ESTACIONES'!AC79</f>
        <v>51936.88445967999</v>
      </c>
      <c r="AD79" s="65">
        <f>'TOTAL ESTACIONES'!AD79</f>
        <v>17617.357283679998</v>
      </c>
      <c r="AE79" s="65">
        <f>'TOTAL ESTACIONES'!AE79</f>
        <v>40497.042067680006</v>
      </c>
      <c r="AF79" s="65">
        <f>'TOTAL ESTACIONES'!AF79</f>
        <v>63376.726851679996</v>
      </c>
      <c r="AG79" s="65">
        <f>'TOTAL ESTACIONES'!AG79</f>
        <v>54796.845057679995</v>
      </c>
      <c r="AH79" s="65">
        <f>'TOTAL ESTACIONES'!AH79</f>
        <v>179997.46906768001</v>
      </c>
      <c r="AI79" s="65">
        <f>'TOTAL ESTACIONES'!AI79</f>
        <v>70852.84011167998</v>
      </c>
      <c r="AJ79" s="65">
        <f>'TOTAL ESTACIONES'!AJ79</f>
        <v>63919.264165679997</v>
      </c>
      <c r="AK79" s="292">
        <f>'TOTAL ESTACIONES'!AK79</f>
        <v>766623.72419621993</v>
      </c>
      <c r="AL79" s="73">
        <f>'TOTAL ESTACIONES'!AL79</f>
        <v>7.9593128369329969E-4</v>
      </c>
      <c r="AM79" s="14">
        <f>'TOTAL ESTACIONES'!AM79</f>
        <v>0.1030498522646992</v>
      </c>
      <c r="AN79" s="89"/>
      <c r="AO79" s="254">
        <f t="shared" si="0"/>
        <v>71620.028196219937</v>
      </c>
      <c r="AP79" s="1" t="s">
        <v>449</v>
      </c>
      <c r="AS79" s="292">
        <v>766623.72419621993</v>
      </c>
    </row>
    <row r="80" spans="1:45" ht="15" customHeight="1" outlineLevel="1">
      <c r="A80" s="12"/>
      <c r="I80" s="246" t="s">
        <v>183</v>
      </c>
      <c r="J80" s="65">
        <f>'TOTAL ESTACIONES'!J80</f>
        <v>0</v>
      </c>
      <c r="K80" s="65">
        <f>'TOTAL ESTACIONES'!K80</f>
        <v>0</v>
      </c>
      <c r="L80" s="65">
        <f>'TOTAL ESTACIONES'!L80</f>
        <v>0</v>
      </c>
      <c r="M80" s="65">
        <f>'TOTAL ESTACIONES'!M80</f>
        <v>0</v>
      </c>
      <c r="N80" s="65">
        <f>'TOTAL ESTACIONES'!N80</f>
        <v>730</v>
      </c>
      <c r="O80" s="65">
        <f>'TOTAL ESTACIONES'!O80</f>
        <v>1460</v>
      </c>
      <c r="P80" s="65">
        <f>'TOTAL ESTACIONES'!P80</f>
        <v>730</v>
      </c>
      <c r="Q80" s="65">
        <f>'TOTAL ESTACIONES'!Q80</f>
        <v>730</v>
      </c>
      <c r="R80" s="65">
        <f>'TOTAL ESTACIONES'!R80</f>
        <v>0</v>
      </c>
      <c r="S80" s="65">
        <f>'TOTAL ESTACIONES'!S80</f>
        <v>500.24</v>
      </c>
      <c r="T80" s="65">
        <f>'TOTAL ESTACIONES'!T80</f>
        <v>1750.84</v>
      </c>
      <c r="U80" s="65">
        <f>'TOTAL ESTACIONES'!U80</f>
        <v>750.36</v>
      </c>
      <c r="V80" s="65">
        <f>'TOTAL ESTACIONES'!V80</f>
        <v>6651.44</v>
      </c>
      <c r="W80" s="73">
        <f>'TOTAL ESTACIONES'!W80</f>
        <v>7.4221245300619548E-6</v>
      </c>
      <c r="X80" s="89"/>
      <c r="Y80" s="65">
        <f>'TOTAL ESTACIONES'!Y80</f>
        <v>978.16949999999997</v>
      </c>
      <c r="Z80" s="65">
        <f>'TOTAL ESTACIONES'!Z80</f>
        <v>4042.0654999999997</v>
      </c>
      <c r="AA80" s="65">
        <f>'TOTAL ESTACIONES'!AA80</f>
        <v>1552.65</v>
      </c>
      <c r="AB80" s="65">
        <f>'TOTAL ESTACIONES'!AB80</f>
        <v>1361.1565000000001</v>
      </c>
      <c r="AC80" s="65">
        <f>'TOTAL ESTACIONES'!AC80</f>
        <v>1552.6499999999999</v>
      </c>
      <c r="AD80" s="65">
        <f>'TOTAL ESTACIONES'!AD80</f>
        <v>3296.7934999999998</v>
      </c>
      <c r="AE80" s="65">
        <f>'TOTAL ESTACIONES'!AE80</f>
        <v>1935.6369999999999</v>
      </c>
      <c r="AF80" s="65">
        <f>'TOTAL ESTACIONES'!AF80</f>
        <v>1744.1435000000001</v>
      </c>
      <c r="AG80" s="65">
        <f>'TOTAL ESTACIONES'!AG80</f>
        <v>1744.1434999999999</v>
      </c>
      <c r="AH80" s="65">
        <f>'TOTAL ESTACIONES'!AH80</f>
        <v>1169.663</v>
      </c>
      <c r="AI80" s="65">
        <f>'TOTAL ESTACIONES'!AI80</f>
        <v>1169.663</v>
      </c>
      <c r="AJ80" s="65">
        <f>'TOTAL ESTACIONES'!AJ80</f>
        <v>1169.663</v>
      </c>
      <c r="AK80" s="65">
        <f>'TOTAL ESTACIONES'!AK80</f>
        <v>21716.398000000001</v>
      </c>
      <c r="AL80" s="73">
        <f>'TOTAL ESTACIONES'!AL80</f>
        <v>2.2546602709767579E-5</v>
      </c>
      <c r="AM80" s="14">
        <f>'TOTAL ESTACIONES'!AM80</f>
        <v>2.2649167699024577</v>
      </c>
      <c r="AN80" s="89"/>
      <c r="AO80" s="254">
        <f t="shared" si="0"/>
        <v>15064.958000000002</v>
      </c>
      <c r="AS80" s="65">
        <v>21716.398000000001</v>
      </c>
    </row>
    <row r="81" spans="1:46" ht="15" customHeight="1" outlineLevel="1">
      <c r="A81" s="12"/>
      <c r="I81" s="246" t="s">
        <v>184</v>
      </c>
      <c r="J81" s="65">
        <f>'TOTAL ESTACIONES'!J81</f>
        <v>0</v>
      </c>
      <c r="K81" s="65">
        <f>'TOTAL ESTACIONES'!K81</f>
        <v>2659</v>
      </c>
      <c r="L81" s="65">
        <f>'TOTAL ESTACIONES'!L81</f>
        <v>0</v>
      </c>
      <c r="M81" s="65">
        <f>'TOTAL ESTACIONES'!M81</f>
        <v>0</v>
      </c>
      <c r="N81" s="65">
        <f>'TOTAL ESTACIONES'!N81</f>
        <v>0</v>
      </c>
      <c r="O81" s="65">
        <f>'TOTAL ESTACIONES'!O81</f>
        <v>0</v>
      </c>
      <c r="P81" s="65">
        <f>'TOTAL ESTACIONES'!P81</f>
        <v>11560</v>
      </c>
      <c r="Q81" s="65">
        <f>'TOTAL ESTACIONES'!Q81</f>
        <v>0</v>
      </c>
      <c r="R81" s="65">
        <f>'TOTAL ESTACIONES'!R81</f>
        <v>0</v>
      </c>
      <c r="S81" s="65">
        <f>'TOTAL ESTACIONES'!S81</f>
        <v>0</v>
      </c>
      <c r="T81" s="65">
        <f>'TOTAL ESTACIONES'!T81</f>
        <v>0</v>
      </c>
      <c r="U81" s="65">
        <f>'TOTAL ESTACIONES'!U81</f>
        <v>0</v>
      </c>
      <c r="V81" s="65">
        <f>'TOTAL ESTACIONES'!V81</f>
        <v>14219</v>
      </c>
      <c r="W81" s="73">
        <f>'TOTAL ESTACIONES'!W81</f>
        <v>1.5866517429752196E-5</v>
      </c>
      <c r="X81" s="89"/>
      <c r="Y81" s="65">
        <f>'TOTAL ESTACIONES'!Y81</f>
        <v>0</v>
      </c>
      <c r="Z81" s="65">
        <f>'TOTAL ESTACIONES'!Z81</f>
        <v>0</v>
      </c>
      <c r="AA81" s="65">
        <f>'TOTAL ESTACIONES'!AA81</f>
        <v>0</v>
      </c>
      <c r="AB81" s="65">
        <f>'TOTAL ESTACIONES'!AB81</f>
        <v>0</v>
      </c>
      <c r="AC81" s="65">
        <f>'TOTAL ESTACIONES'!AC81</f>
        <v>0</v>
      </c>
      <c r="AD81" s="65">
        <f>'TOTAL ESTACIONES'!AD81</f>
        <v>0</v>
      </c>
      <c r="AE81" s="65">
        <f>'TOTAL ESTACIONES'!AE81</f>
        <v>0</v>
      </c>
      <c r="AF81" s="65">
        <f>'TOTAL ESTACIONES'!AF81</f>
        <v>0</v>
      </c>
      <c r="AG81" s="65">
        <f>'TOTAL ESTACIONES'!AG81</f>
        <v>0</v>
      </c>
      <c r="AH81" s="65">
        <f>'TOTAL ESTACIONES'!AH81</f>
        <v>0</v>
      </c>
      <c r="AI81" s="65">
        <f>'TOTAL ESTACIONES'!AI81</f>
        <v>0</v>
      </c>
      <c r="AJ81" s="65">
        <f>'TOTAL ESTACIONES'!AJ81</f>
        <v>0</v>
      </c>
      <c r="AK81" s="65">
        <f>'TOTAL ESTACIONES'!AK81</f>
        <v>0</v>
      </c>
      <c r="AL81" s="73">
        <f>'TOTAL ESTACIONES'!AL81</f>
        <v>0</v>
      </c>
      <c r="AM81" s="14">
        <f>'TOTAL ESTACIONES'!AM81</f>
        <v>-1</v>
      </c>
      <c r="AN81" s="89"/>
      <c r="AO81" s="254">
        <f t="shared" si="0"/>
        <v>-14219</v>
      </c>
      <c r="AS81" s="65">
        <v>0</v>
      </c>
    </row>
    <row r="82" spans="1:46" outlineLevel="1">
      <c r="A82" s="12" t="s">
        <v>195</v>
      </c>
      <c r="B82" s="8" t="s">
        <v>88</v>
      </c>
      <c r="E82" s="1"/>
      <c r="I82" s="246" t="s">
        <v>185</v>
      </c>
      <c r="J82" s="65">
        <f>'TOTAL ESTACIONES'!J82</f>
        <v>21806</v>
      </c>
      <c r="K82" s="65">
        <f>'TOTAL ESTACIONES'!K82</f>
        <v>18801</v>
      </c>
      <c r="L82" s="65">
        <f>'TOTAL ESTACIONES'!L82</f>
        <v>18801</v>
      </c>
      <c r="M82" s="65">
        <f>'TOTAL ESTACIONES'!M82</f>
        <v>18801</v>
      </c>
      <c r="N82" s="65">
        <f>'TOTAL ESTACIONES'!N82</f>
        <v>18801</v>
      </c>
      <c r="O82" s="65">
        <f>'TOTAL ESTACIONES'!O82</f>
        <v>18801</v>
      </c>
      <c r="P82" s="65">
        <f>'TOTAL ESTACIONES'!P82</f>
        <v>18801</v>
      </c>
      <c r="Q82" s="65">
        <f>'TOTAL ESTACIONES'!Q82</f>
        <v>41113</v>
      </c>
      <c r="R82" s="65">
        <f>'TOTAL ESTACIONES'!R82</f>
        <v>41113</v>
      </c>
      <c r="S82" s="65">
        <f>'TOTAL ESTACIONES'!S82</f>
        <v>41113</v>
      </c>
      <c r="T82" s="65">
        <f>'TOTAL ESTACIONES'!T82</f>
        <v>41113</v>
      </c>
      <c r="U82" s="65">
        <f>'TOTAL ESTACIONES'!U82</f>
        <v>41113</v>
      </c>
      <c r="V82" s="65">
        <f>'TOTAL ESTACIONES'!V82</f>
        <v>340177</v>
      </c>
      <c r="W82" s="73">
        <f>'TOTAL ESTACIONES'!W82</f>
        <v>3.7959239747526634E-4</v>
      </c>
      <c r="X82" s="89"/>
      <c r="Y82" s="65">
        <f>'TOTAL ESTACIONES'!Y82</f>
        <v>41935.260000000009</v>
      </c>
      <c r="Z82" s="65">
        <f>'TOTAL ESTACIONES'!Z82</f>
        <v>41935.260000000009</v>
      </c>
      <c r="AA82" s="65">
        <f>'TOTAL ESTACIONES'!AA82</f>
        <v>41935.260000000009</v>
      </c>
      <c r="AB82" s="65">
        <f>'TOTAL ESTACIONES'!AB82</f>
        <v>41935.260000000009</v>
      </c>
      <c r="AC82" s="65">
        <f>'TOTAL ESTACIONES'!AC82</f>
        <v>41935.260000000009</v>
      </c>
      <c r="AD82" s="65">
        <f>'TOTAL ESTACIONES'!AD82</f>
        <v>41935.260000000009</v>
      </c>
      <c r="AE82" s="65">
        <f>'TOTAL ESTACIONES'!AE82</f>
        <v>41935.260000000009</v>
      </c>
      <c r="AF82" s="65">
        <f>'TOTAL ESTACIONES'!AF82</f>
        <v>41935.260000000009</v>
      </c>
      <c r="AG82" s="65">
        <f>'TOTAL ESTACIONES'!AG82</f>
        <v>41935.260000000009</v>
      </c>
      <c r="AH82" s="65">
        <f>'TOTAL ESTACIONES'!AH82</f>
        <v>41935.260000000009</v>
      </c>
      <c r="AI82" s="65">
        <f>'TOTAL ESTACIONES'!AI82</f>
        <v>41935.260000000009</v>
      </c>
      <c r="AJ82" s="65">
        <f>'TOTAL ESTACIONES'!AJ82</f>
        <v>41935.260000000009</v>
      </c>
      <c r="AK82" s="65">
        <f>'TOTAL ESTACIONES'!AK82</f>
        <v>503223.12000000011</v>
      </c>
      <c r="AL82" s="73">
        <f>'TOTAL ESTACIONES'!AL82</f>
        <v>5.2246103433035713E-4</v>
      </c>
      <c r="AM82" s="14">
        <f>'TOTAL ESTACIONES'!AM82</f>
        <v>0.47929789491940999</v>
      </c>
      <c r="AN82" s="89"/>
      <c r="AO82" s="254">
        <f>+AK82-V82</f>
        <v>163046.12000000011</v>
      </c>
      <c r="AP82" s="254" t="s">
        <v>450</v>
      </c>
      <c r="AS82" s="65">
        <v>503223.12000000011</v>
      </c>
    </row>
    <row r="83" spans="1:46" ht="15" customHeight="1" outlineLevel="1">
      <c r="A83" s="12" t="s">
        <v>195</v>
      </c>
      <c r="B83" s="8" t="s">
        <v>88</v>
      </c>
      <c r="E83" s="1"/>
      <c r="I83" s="246" t="s">
        <v>186</v>
      </c>
      <c r="J83" s="65">
        <f>'TOTAL ESTACIONES'!J83</f>
        <v>0</v>
      </c>
      <c r="K83" s="65">
        <f>'TOTAL ESTACIONES'!K83</f>
        <v>0</v>
      </c>
      <c r="L83" s="65">
        <f>'TOTAL ESTACIONES'!L83</f>
        <v>0</v>
      </c>
      <c r="M83" s="65">
        <f>'TOTAL ESTACIONES'!M83</f>
        <v>0</v>
      </c>
      <c r="N83" s="65">
        <f>'TOTAL ESTACIONES'!N83</f>
        <v>0</v>
      </c>
      <c r="O83" s="65">
        <f>'TOTAL ESTACIONES'!O83</f>
        <v>0</v>
      </c>
      <c r="P83" s="65">
        <f>'TOTAL ESTACIONES'!P83</f>
        <v>0</v>
      </c>
      <c r="Q83" s="65">
        <f>'TOTAL ESTACIONES'!Q83</f>
        <v>0</v>
      </c>
      <c r="R83" s="65">
        <f>'TOTAL ESTACIONES'!R83</f>
        <v>0</v>
      </c>
      <c r="S83" s="65">
        <f>'TOTAL ESTACIONES'!S83</f>
        <v>0</v>
      </c>
      <c r="T83" s="65">
        <f>'TOTAL ESTACIONES'!T83</f>
        <v>0</v>
      </c>
      <c r="U83" s="65">
        <f>'TOTAL ESTACIONES'!U83</f>
        <v>0</v>
      </c>
      <c r="V83" s="65">
        <f>'TOTAL ESTACIONES'!V83</f>
        <v>0</v>
      </c>
      <c r="W83" s="73">
        <f>'TOTAL ESTACIONES'!W83</f>
        <v>0</v>
      </c>
      <c r="X83" s="89"/>
      <c r="Y83" s="65">
        <f>'TOTAL ESTACIONES'!Y83</f>
        <v>0</v>
      </c>
      <c r="Z83" s="65">
        <f>'TOTAL ESTACIONES'!Z83</f>
        <v>0</v>
      </c>
      <c r="AA83" s="65">
        <f>'TOTAL ESTACIONES'!AA83</f>
        <v>0</v>
      </c>
      <c r="AB83" s="65">
        <f>'TOTAL ESTACIONES'!AB83</f>
        <v>0</v>
      </c>
      <c r="AC83" s="65">
        <f>'TOTAL ESTACIONES'!AC83</f>
        <v>0</v>
      </c>
      <c r="AD83" s="65">
        <f>'TOTAL ESTACIONES'!AD83</f>
        <v>0</v>
      </c>
      <c r="AE83" s="65">
        <f>'TOTAL ESTACIONES'!AE83</f>
        <v>0</v>
      </c>
      <c r="AF83" s="65">
        <f>'TOTAL ESTACIONES'!AF83</f>
        <v>0</v>
      </c>
      <c r="AG83" s="65">
        <f>'TOTAL ESTACIONES'!AG83</f>
        <v>0</v>
      </c>
      <c r="AH83" s="65">
        <f>'TOTAL ESTACIONES'!AH83</f>
        <v>0</v>
      </c>
      <c r="AI83" s="65">
        <f>'TOTAL ESTACIONES'!AI83</f>
        <v>0</v>
      </c>
      <c r="AJ83" s="65">
        <f>'TOTAL ESTACIONES'!AJ83</f>
        <v>0</v>
      </c>
      <c r="AK83" s="65">
        <f>'TOTAL ESTACIONES'!AK83</f>
        <v>0</v>
      </c>
      <c r="AL83" s="73">
        <f>'TOTAL ESTACIONES'!AL83</f>
        <v>0</v>
      </c>
      <c r="AM83" s="14">
        <f>'TOTAL ESTACIONES'!AM83</f>
        <v>0</v>
      </c>
      <c r="AN83" s="89"/>
      <c r="AO83" s="254">
        <f t="shared" si="0"/>
        <v>0</v>
      </c>
      <c r="AS83" s="65">
        <v>0</v>
      </c>
    </row>
    <row r="84" spans="1:46" ht="15" customHeight="1" outlineLevel="1">
      <c r="A84" s="12" t="s">
        <v>195</v>
      </c>
      <c r="B84" s="8" t="s">
        <v>88</v>
      </c>
      <c r="E84" s="1"/>
      <c r="I84" s="246" t="s">
        <v>187</v>
      </c>
      <c r="J84" s="65">
        <f>'TOTAL ESTACIONES'!J84</f>
        <v>0</v>
      </c>
      <c r="K84" s="65">
        <f>'TOTAL ESTACIONES'!K84</f>
        <v>0</v>
      </c>
      <c r="L84" s="65">
        <f>'TOTAL ESTACIONES'!L84</f>
        <v>0</v>
      </c>
      <c r="M84" s="65">
        <f>'TOTAL ESTACIONES'!M84</f>
        <v>0</v>
      </c>
      <c r="N84" s="65">
        <f>'TOTAL ESTACIONES'!N84</f>
        <v>0</v>
      </c>
      <c r="O84" s="65">
        <f>'TOTAL ESTACIONES'!O84</f>
        <v>0</v>
      </c>
      <c r="P84" s="65">
        <f>'TOTAL ESTACIONES'!P84</f>
        <v>0</v>
      </c>
      <c r="Q84" s="65">
        <f>'TOTAL ESTACIONES'!Q84</f>
        <v>0</v>
      </c>
      <c r="R84" s="65">
        <f>'TOTAL ESTACIONES'!R84</f>
        <v>0</v>
      </c>
      <c r="S84" s="65">
        <f>'TOTAL ESTACIONES'!S84</f>
        <v>0</v>
      </c>
      <c r="T84" s="65">
        <f>'TOTAL ESTACIONES'!T84</f>
        <v>0</v>
      </c>
      <c r="U84" s="65">
        <f>'TOTAL ESTACIONES'!U84</f>
        <v>0</v>
      </c>
      <c r="V84" s="65">
        <f>'TOTAL ESTACIONES'!V84</f>
        <v>0</v>
      </c>
      <c r="W84" s="73">
        <f>'TOTAL ESTACIONES'!W84</f>
        <v>0</v>
      </c>
      <c r="X84" s="89"/>
      <c r="Y84" s="65">
        <f>'TOTAL ESTACIONES'!Y84</f>
        <v>0</v>
      </c>
      <c r="Z84" s="65">
        <f>'TOTAL ESTACIONES'!Z84</f>
        <v>0</v>
      </c>
      <c r="AA84" s="65">
        <f>'TOTAL ESTACIONES'!AA84</f>
        <v>0</v>
      </c>
      <c r="AB84" s="65">
        <f>'TOTAL ESTACIONES'!AB84</f>
        <v>0</v>
      </c>
      <c r="AC84" s="65">
        <f>'TOTAL ESTACIONES'!AC84</f>
        <v>0</v>
      </c>
      <c r="AD84" s="65">
        <f>'TOTAL ESTACIONES'!AD84</f>
        <v>0</v>
      </c>
      <c r="AE84" s="65">
        <f>'TOTAL ESTACIONES'!AE84</f>
        <v>0</v>
      </c>
      <c r="AF84" s="65">
        <f>'TOTAL ESTACIONES'!AF84</f>
        <v>0</v>
      </c>
      <c r="AG84" s="65">
        <f>'TOTAL ESTACIONES'!AG84</f>
        <v>0</v>
      </c>
      <c r="AH84" s="65">
        <f>'TOTAL ESTACIONES'!AH84</f>
        <v>0</v>
      </c>
      <c r="AI84" s="65">
        <f>'TOTAL ESTACIONES'!AI84</f>
        <v>0</v>
      </c>
      <c r="AJ84" s="65">
        <f>'TOTAL ESTACIONES'!AJ84</f>
        <v>0</v>
      </c>
      <c r="AK84" s="65">
        <f>'TOTAL ESTACIONES'!AK84</f>
        <v>0</v>
      </c>
      <c r="AL84" s="73">
        <f>'TOTAL ESTACIONES'!AL84</f>
        <v>0</v>
      </c>
      <c r="AM84" s="14">
        <f>'TOTAL ESTACIONES'!AM84</f>
        <v>0</v>
      </c>
      <c r="AN84" s="89"/>
      <c r="AO84" s="254">
        <f t="shared" si="0"/>
        <v>0</v>
      </c>
      <c r="AS84" s="65">
        <v>0</v>
      </c>
    </row>
    <row r="85" spans="1:46" ht="15" customHeight="1" outlineLevel="1">
      <c r="A85" s="12" t="s">
        <v>195</v>
      </c>
      <c r="B85" s="8" t="s">
        <v>88</v>
      </c>
      <c r="E85" s="1"/>
      <c r="I85" s="246" t="s">
        <v>188</v>
      </c>
      <c r="J85" s="65">
        <f>'TOTAL ESTACIONES'!J85</f>
        <v>0</v>
      </c>
      <c r="K85" s="65">
        <f>'TOTAL ESTACIONES'!K85</f>
        <v>0</v>
      </c>
      <c r="L85" s="65">
        <f>'TOTAL ESTACIONES'!L85</f>
        <v>7125</v>
      </c>
      <c r="M85" s="65">
        <f>'TOTAL ESTACIONES'!M85</f>
        <v>7125</v>
      </c>
      <c r="N85" s="65">
        <f>'TOTAL ESTACIONES'!N85</f>
        <v>7125</v>
      </c>
      <c r="O85" s="65">
        <f>'TOTAL ESTACIONES'!O85</f>
        <v>7125</v>
      </c>
      <c r="P85" s="65">
        <f>'TOTAL ESTACIONES'!P85</f>
        <v>0</v>
      </c>
      <c r="Q85" s="65">
        <f>'TOTAL ESTACIONES'!Q85</f>
        <v>7125</v>
      </c>
      <c r="R85" s="65">
        <f>'TOTAL ESTACIONES'!R85</f>
        <v>7125</v>
      </c>
      <c r="S85" s="65">
        <f>'TOTAL ESTACIONES'!S85</f>
        <v>5700</v>
      </c>
      <c r="T85" s="65">
        <f>'TOTAL ESTACIONES'!T85</f>
        <v>0</v>
      </c>
      <c r="U85" s="65">
        <f>'TOTAL ESTACIONES'!U85</f>
        <v>0</v>
      </c>
      <c r="V85" s="65">
        <f>'TOTAL ESTACIONES'!V85</f>
        <v>48450</v>
      </c>
      <c r="W85" s="73">
        <f>'TOTAL ESTACIONES'!W85</f>
        <v>5.4063771676734923E-5</v>
      </c>
      <c r="X85" s="89"/>
      <c r="Y85" s="65">
        <f>'TOTAL ESTACIONES'!Y85</f>
        <v>0</v>
      </c>
      <c r="Z85" s="65">
        <f>'TOTAL ESTACIONES'!Z85</f>
        <v>0</v>
      </c>
      <c r="AA85" s="65">
        <f>'TOTAL ESTACIONES'!AA85</f>
        <v>0</v>
      </c>
      <c r="AB85" s="65">
        <f>'TOTAL ESTACIONES'!AB85</f>
        <v>0</v>
      </c>
      <c r="AC85" s="65">
        <f>'TOTAL ESTACIONES'!AC85</f>
        <v>0</v>
      </c>
      <c r="AD85" s="65">
        <f>'TOTAL ESTACIONES'!AD85</f>
        <v>0</v>
      </c>
      <c r="AE85" s="65">
        <f>'TOTAL ESTACIONES'!AE85</f>
        <v>0</v>
      </c>
      <c r="AF85" s="65">
        <f>'TOTAL ESTACIONES'!AF85</f>
        <v>0</v>
      </c>
      <c r="AG85" s="65">
        <f>'TOTAL ESTACIONES'!AG85</f>
        <v>0</v>
      </c>
      <c r="AH85" s="65">
        <f>'TOTAL ESTACIONES'!AH85</f>
        <v>0</v>
      </c>
      <c r="AI85" s="65">
        <f>'TOTAL ESTACIONES'!AI85</f>
        <v>0</v>
      </c>
      <c r="AJ85" s="65">
        <f>'TOTAL ESTACIONES'!AJ85</f>
        <v>0</v>
      </c>
      <c r="AK85" s="65">
        <f>'TOTAL ESTACIONES'!AK85</f>
        <v>0</v>
      </c>
      <c r="AL85" s="73">
        <f>'TOTAL ESTACIONES'!AL85</f>
        <v>0</v>
      </c>
      <c r="AM85" s="14">
        <f>'TOTAL ESTACIONES'!AM85</f>
        <v>-1</v>
      </c>
      <c r="AN85" s="89"/>
      <c r="AO85" s="254">
        <f t="shared" si="0"/>
        <v>-48450</v>
      </c>
      <c r="AP85" s="295" t="s">
        <v>451</v>
      </c>
      <c r="AS85" s="65">
        <v>0</v>
      </c>
    </row>
    <row r="86" spans="1:46" ht="15" customHeight="1" outlineLevel="1">
      <c r="A86" s="12" t="s">
        <v>195</v>
      </c>
      <c r="B86" s="8" t="s">
        <v>88</v>
      </c>
      <c r="E86" s="1"/>
      <c r="I86" s="253" t="s">
        <v>189</v>
      </c>
      <c r="J86" s="65">
        <f>'TOTAL ESTACIONES'!J86</f>
        <v>0</v>
      </c>
      <c r="K86" s="65">
        <f>'TOTAL ESTACIONES'!K86</f>
        <v>0</v>
      </c>
      <c r="L86" s="65">
        <f>'TOTAL ESTACIONES'!L86</f>
        <v>8400</v>
      </c>
      <c r="M86" s="65">
        <f>'TOTAL ESTACIONES'!M86</f>
        <v>0</v>
      </c>
      <c r="N86" s="65">
        <f>'TOTAL ESTACIONES'!N86</f>
        <v>0</v>
      </c>
      <c r="O86" s="65">
        <f>'TOTAL ESTACIONES'!O86</f>
        <v>0</v>
      </c>
      <c r="P86" s="65">
        <f>'TOTAL ESTACIONES'!P86</f>
        <v>1640</v>
      </c>
      <c r="Q86" s="65">
        <f>'TOTAL ESTACIONES'!Q86</f>
        <v>0</v>
      </c>
      <c r="R86" s="65">
        <f>'TOTAL ESTACIONES'!R86</f>
        <v>0</v>
      </c>
      <c r="S86" s="65">
        <f>'TOTAL ESTACIONES'!S86</f>
        <v>0</v>
      </c>
      <c r="T86" s="65">
        <f>'TOTAL ESTACIONES'!T86</f>
        <v>0</v>
      </c>
      <c r="U86" s="65">
        <f>'TOTAL ESTACIONES'!U86</f>
        <v>0</v>
      </c>
      <c r="V86" s="292">
        <f>'TOTAL ESTACIONES'!V86</f>
        <v>10040</v>
      </c>
      <c r="W86" s="73">
        <f>'TOTAL ESTACIONES'!W86</f>
        <v>1.1203307897511219E-5</v>
      </c>
      <c r="X86" s="89"/>
      <c r="Y86" s="65">
        <f>'TOTAL ESTACIONES'!Y86</f>
        <v>0</v>
      </c>
      <c r="Z86" s="65">
        <f>'TOTAL ESTACIONES'!Z86</f>
        <v>0</v>
      </c>
      <c r="AA86" s="65">
        <f>'TOTAL ESTACIONES'!AA86</f>
        <v>0</v>
      </c>
      <c r="AB86" s="65">
        <f>'TOTAL ESTACIONES'!AB86</f>
        <v>0</v>
      </c>
      <c r="AC86" s="65">
        <f>'TOTAL ESTACIONES'!AC86</f>
        <v>0</v>
      </c>
      <c r="AD86" s="65">
        <f>'TOTAL ESTACIONES'!AD86</f>
        <v>0</v>
      </c>
      <c r="AE86" s="65">
        <f>'TOTAL ESTACIONES'!AE86</f>
        <v>0</v>
      </c>
      <c r="AF86" s="65">
        <f>'TOTAL ESTACIONES'!AF86</f>
        <v>0</v>
      </c>
      <c r="AG86" s="65">
        <f>'TOTAL ESTACIONES'!AG86</f>
        <v>0</v>
      </c>
      <c r="AH86" s="65">
        <f>'TOTAL ESTACIONES'!AH86</f>
        <v>0</v>
      </c>
      <c r="AI86" s="65">
        <f>'TOTAL ESTACIONES'!AI86</f>
        <v>0</v>
      </c>
      <c r="AJ86" s="65">
        <f>'TOTAL ESTACIONES'!AJ86</f>
        <v>0</v>
      </c>
      <c r="AK86" s="292">
        <f>'TOTAL ESTACIONES'!AK86</f>
        <v>0</v>
      </c>
      <c r="AL86" s="73">
        <f>'TOTAL ESTACIONES'!AL86</f>
        <v>0</v>
      </c>
      <c r="AM86" s="14">
        <f>'TOTAL ESTACIONES'!AM86</f>
        <v>-1</v>
      </c>
      <c r="AN86" s="89"/>
      <c r="AO86" s="254">
        <f t="shared" si="0"/>
        <v>-10040</v>
      </c>
      <c r="AS86" s="292">
        <v>0</v>
      </c>
    </row>
    <row r="87" spans="1:46" ht="15" customHeight="1" outlineLevel="1">
      <c r="A87" s="12" t="s">
        <v>195</v>
      </c>
      <c r="B87" s="8" t="s">
        <v>88</v>
      </c>
      <c r="I87" s="246" t="s">
        <v>190</v>
      </c>
      <c r="J87" s="65">
        <f>'TOTAL ESTACIONES'!J87</f>
        <v>0</v>
      </c>
      <c r="K87" s="65">
        <f>'TOTAL ESTACIONES'!K87</f>
        <v>0</v>
      </c>
      <c r="L87" s="65">
        <f>'TOTAL ESTACIONES'!L87</f>
        <v>0</v>
      </c>
      <c r="M87" s="65">
        <f>'TOTAL ESTACIONES'!M87</f>
        <v>0</v>
      </c>
      <c r="N87" s="65">
        <f>'TOTAL ESTACIONES'!N87</f>
        <v>0</v>
      </c>
      <c r="O87" s="65">
        <f>'TOTAL ESTACIONES'!O87</f>
        <v>0</v>
      </c>
      <c r="P87" s="65">
        <f>'TOTAL ESTACIONES'!P87</f>
        <v>0</v>
      </c>
      <c r="Q87" s="65">
        <f>'TOTAL ESTACIONES'!Q87</f>
        <v>0</v>
      </c>
      <c r="R87" s="65">
        <f>'TOTAL ESTACIONES'!R87</f>
        <v>0</v>
      </c>
      <c r="S87" s="65">
        <f>'TOTAL ESTACIONES'!S87</f>
        <v>0</v>
      </c>
      <c r="T87" s="65">
        <f>'TOTAL ESTACIONES'!T87</f>
        <v>0</v>
      </c>
      <c r="U87" s="65">
        <f>'TOTAL ESTACIONES'!U87</f>
        <v>0</v>
      </c>
      <c r="V87" s="65">
        <f>'TOTAL ESTACIONES'!V87</f>
        <v>0</v>
      </c>
      <c r="W87" s="73">
        <f>'TOTAL ESTACIONES'!W87</f>
        <v>0</v>
      </c>
      <c r="X87" s="89"/>
      <c r="Y87" s="65">
        <f>'TOTAL ESTACIONES'!Y87</f>
        <v>0</v>
      </c>
      <c r="Z87" s="65">
        <f>'TOTAL ESTACIONES'!Z87</f>
        <v>0</v>
      </c>
      <c r="AA87" s="65">
        <f>'TOTAL ESTACIONES'!AA87</f>
        <v>0</v>
      </c>
      <c r="AB87" s="65">
        <f>'TOTAL ESTACIONES'!AB87</f>
        <v>0</v>
      </c>
      <c r="AC87" s="65">
        <f>'TOTAL ESTACIONES'!AC87</f>
        <v>0</v>
      </c>
      <c r="AD87" s="65">
        <f>'TOTAL ESTACIONES'!AD87</f>
        <v>0</v>
      </c>
      <c r="AE87" s="65">
        <f>'TOTAL ESTACIONES'!AE87</f>
        <v>0</v>
      </c>
      <c r="AF87" s="65">
        <f>'TOTAL ESTACIONES'!AF87</f>
        <v>0</v>
      </c>
      <c r="AG87" s="65">
        <f>'TOTAL ESTACIONES'!AG87</f>
        <v>0</v>
      </c>
      <c r="AH87" s="65">
        <f>'TOTAL ESTACIONES'!AH87</f>
        <v>0</v>
      </c>
      <c r="AI87" s="65">
        <f>'TOTAL ESTACIONES'!AI87</f>
        <v>0</v>
      </c>
      <c r="AJ87" s="65">
        <f>'TOTAL ESTACIONES'!AJ87</f>
        <v>0</v>
      </c>
      <c r="AK87" s="65">
        <f>'TOTAL ESTACIONES'!AK87</f>
        <v>0</v>
      </c>
      <c r="AL87" s="73">
        <f>'TOTAL ESTACIONES'!AL87</f>
        <v>0</v>
      </c>
      <c r="AM87" s="14">
        <f>'TOTAL ESTACIONES'!AM87</f>
        <v>0</v>
      </c>
      <c r="AN87" s="89"/>
      <c r="AO87" s="254">
        <f t="shared" si="0"/>
        <v>0</v>
      </c>
      <c r="AS87" s="65">
        <v>0</v>
      </c>
    </row>
    <row r="88" spans="1:46" ht="15" customHeight="1" outlineLevel="1">
      <c r="A88" s="12" t="s">
        <v>195</v>
      </c>
      <c r="B88" s="8" t="s">
        <v>88</v>
      </c>
      <c r="I88" s="251" t="s">
        <v>191</v>
      </c>
      <c r="J88" s="65">
        <f>'TOTAL ESTACIONES'!J88</f>
        <v>0</v>
      </c>
      <c r="K88" s="65">
        <f>'TOTAL ESTACIONES'!K88</f>
        <v>0</v>
      </c>
      <c r="L88" s="65">
        <f>'TOTAL ESTACIONES'!L88</f>
        <v>0</v>
      </c>
      <c r="M88" s="65">
        <f>'TOTAL ESTACIONES'!M88</f>
        <v>0</v>
      </c>
      <c r="N88" s="65">
        <f>'TOTAL ESTACIONES'!N88</f>
        <v>0</v>
      </c>
      <c r="O88" s="65">
        <f>'TOTAL ESTACIONES'!O88</f>
        <v>0</v>
      </c>
      <c r="P88" s="65">
        <f>'TOTAL ESTACIONES'!P88</f>
        <v>17500</v>
      </c>
      <c r="Q88" s="65">
        <f>'TOTAL ESTACIONES'!Q88</f>
        <v>0</v>
      </c>
      <c r="R88" s="65">
        <f>'TOTAL ESTACIONES'!R88</f>
        <v>0</v>
      </c>
      <c r="S88" s="65">
        <f>'TOTAL ESTACIONES'!S88</f>
        <v>134680</v>
      </c>
      <c r="T88" s="65">
        <f>'TOTAL ESTACIONES'!T88</f>
        <v>0</v>
      </c>
      <c r="U88" s="65">
        <f>'TOTAL ESTACIONES'!U88</f>
        <v>0</v>
      </c>
      <c r="V88" s="65">
        <f>'TOTAL ESTACIONES'!V88</f>
        <v>152180</v>
      </c>
      <c r="W88" s="73">
        <f>'TOTAL ESTACIONES'!W88</f>
        <v>1.6981268882900971E-4</v>
      </c>
      <c r="X88" s="89"/>
      <c r="Y88" s="65">
        <f>'TOTAL ESTACIONES'!Y88</f>
        <v>0</v>
      </c>
      <c r="Z88" s="65">
        <f>'TOTAL ESTACIONES'!Z88</f>
        <v>0</v>
      </c>
      <c r="AA88" s="65">
        <f>'TOTAL ESTACIONES'!AA88</f>
        <v>0</v>
      </c>
      <c r="AB88" s="65">
        <f>'TOTAL ESTACIONES'!AB88</f>
        <v>0</v>
      </c>
      <c r="AC88" s="65">
        <f>'TOTAL ESTACIONES'!AC88</f>
        <v>0</v>
      </c>
      <c r="AD88" s="65">
        <f>'TOTAL ESTACIONES'!AD88</f>
        <v>0</v>
      </c>
      <c r="AE88" s="65">
        <f>'TOTAL ESTACIONES'!AE88</f>
        <v>0</v>
      </c>
      <c r="AF88" s="65">
        <f>'TOTAL ESTACIONES'!AF88</f>
        <v>0</v>
      </c>
      <c r="AG88" s="65">
        <f>'TOTAL ESTACIONES'!AG88</f>
        <v>129698.02999999997</v>
      </c>
      <c r="AH88" s="65">
        <f>'TOTAL ESTACIONES'!AH88</f>
        <v>0</v>
      </c>
      <c r="AI88" s="65">
        <f>'TOTAL ESTACIONES'!AI88</f>
        <v>0</v>
      </c>
      <c r="AJ88" s="65">
        <f>'TOTAL ESTACIONES'!AJ88</f>
        <v>0</v>
      </c>
      <c r="AK88" s="65">
        <f>'TOTAL ESTACIONES'!AK88</f>
        <v>129698.02999999997</v>
      </c>
      <c r="AL88" s="73">
        <f>'TOTAL ESTACIONES'!AL88</f>
        <v>1.3465630693679109E-4</v>
      </c>
      <c r="AM88" s="14">
        <f>'TOTAL ESTACIONES'!AM88</f>
        <v>-0.1477327506899726</v>
      </c>
      <c r="AN88" s="89"/>
      <c r="AO88" s="254">
        <f t="shared" si="0"/>
        <v>-22481.97000000003</v>
      </c>
      <c r="AS88" s="65">
        <v>129698.02999999997</v>
      </c>
    </row>
    <row r="89" spans="1:46" ht="15" customHeight="1" outlineLevel="1">
      <c r="A89" s="12" t="s">
        <v>195</v>
      </c>
      <c r="B89" s="8" t="s">
        <v>88</v>
      </c>
      <c r="I89" s="246" t="s">
        <v>192</v>
      </c>
      <c r="J89" s="65">
        <f>'TOTAL ESTACIONES'!J89</f>
        <v>0</v>
      </c>
      <c r="K89" s="65">
        <f>'TOTAL ESTACIONES'!K89</f>
        <v>25645</v>
      </c>
      <c r="L89" s="65">
        <f>'TOTAL ESTACIONES'!L89</f>
        <v>0</v>
      </c>
      <c r="M89" s="65">
        <f>'TOTAL ESTACIONES'!M89</f>
        <v>0</v>
      </c>
      <c r="N89" s="65">
        <f>'TOTAL ESTACIONES'!N89</f>
        <v>9260</v>
      </c>
      <c r="O89" s="65">
        <f>'TOTAL ESTACIONES'!O89</f>
        <v>13030</v>
      </c>
      <c r="P89" s="65">
        <f>'TOTAL ESTACIONES'!P89</f>
        <v>0</v>
      </c>
      <c r="Q89" s="65">
        <f>'TOTAL ESTACIONES'!Q89</f>
        <v>10170</v>
      </c>
      <c r="R89" s="65">
        <f>'TOTAL ESTACIONES'!R89</f>
        <v>0</v>
      </c>
      <c r="S89" s="65">
        <f>'TOTAL ESTACIONES'!S89</f>
        <v>743.6</v>
      </c>
      <c r="T89" s="65">
        <f>'TOTAL ESTACIONES'!T89</f>
        <v>132600</v>
      </c>
      <c r="U89" s="65">
        <f>'TOTAL ESTACIONES'!U89</f>
        <v>0</v>
      </c>
      <c r="V89" s="292">
        <f>'TOTAL ESTACIONES'!V89</f>
        <v>191448.6</v>
      </c>
      <c r="W89" s="73">
        <f>'TOTAL ESTACIONES'!W89</f>
        <v>2.1363123628958831E-4</v>
      </c>
      <c r="X89" s="89"/>
      <c r="Y89" s="65">
        <f>'TOTAL ESTACIONES'!Y89</f>
        <v>0</v>
      </c>
      <c r="Z89" s="65">
        <f>'TOTAL ESTACIONES'!Z89</f>
        <v>34639.621500000001</v>
      </c>
      <c r="AA89" s="65">
        <f>'TOTAL ESTACIONES'!AA89</f>
        <v>0</v>
      </c>
      <c r="AB89" s="65">
        <f>'TOTAL ESTACIONES'!AB89</f>
        <v>0</v>
      </c>
      <c r="AC89" s="65">
        <f>'TOTAL ESTACIONES'!AC89</f>
        <v>16566.7755</v>
      </c>
      <c r="AD89" s="65">
        <f>'TOTAL ESTACIONES'!AD89</f>
        <v>18574.869499999997</v>
      </c>
      <c r="AE89" s="65">
        <f>'TOTAL ESTACIONES'!AE89</f>
        <v>0</v>
      </c>
      <c r="AF89" s="65">
        <f>'TOTAL ESTACIONES'!AF89</f>
        <v>17068.798999999999</v>
      </c>
      <c r="AG89" s="65">
        <f>'TOTAL ESTACIONES'!AG89</f>
        <v>0</v>
      </c>
      <c r="AH89" s="65">
        <f>'TOTAL ESTACIONES'!AH89</f>
        <v>8032.3759999999993</v>
      </c>
      <c r="AI89" s="65">
        <f>'TOTAL ESTACIONES'!AI89</f>
        <v>115465.40499999998</v>
      </c>
      <c r="AJ89" s="65">
        <f>'TOTAL ESTACIONES'!AJ89</f>
        <v>0</v>
      </c>
      <c r="AK89" s="292">
        <f>'TOTAL ESTACIONES'!AK89</f>
        <v>210347.84649999999</v>
      </c>
      <c r="AL89" s="73">
        <f>'TOTAL ESTACIONES'!AL89</f>
        <v>2.1838931695259382E-4</v>
      </c>
      <c r="AM89" s="14">
        <f>'TOTAL ESTACIONES'!AM89</f>
        <v>9.8717078631026745E-2</v>
      </c>
      <c r="AN89" s="89"/>
      <c r="AO89" s="254">
        <f>+AK89-V89+AO209</f>
        <v>18899.246499999979</v>
      </c>
      <c r="AQ89" s="254">
        <f>+AK89+AK209</f>
        <v>210347.84649999999</v>
      </c>
      <c r="AR89" s="9">
        <f>+V89+V209</f>
        <v>191448.6</v>
      </c>
      <c r="AS89" s="292">
        <v>210347.84649999999</v>
      </c>
      <c r="AT89" s="293">
        <f>+AQ89/AR89-1</f>
        <v>9.8717078631026745E-2</v>
      </c>
    </row>
    <row r="90" spans="1:46" ht="15" customHeight="1" outlineLevel="1">
      <c r="A90" s="12" t="s">
        <v>195</v>
      </c>
      <c r="B90" s="8" t="s">
        <v>88</v>
      </c>
      <c r="I90" s="288" t="s">
        <v>193</v>
      </c>
      <c r="J90" s="65">
        <f>'TOTAL ESTACIONES'!J90</f>
        <v>565196</v>
      </c>
      <c r="K90" s="65">
        <f>'TOTAL ESTACIONES'!K90</f>
        <v>565196</v>
      </c>
      <c r="L90" s="65">
        <f>'TOTAL ESTACIONES'!L90</f>
        <v>565196</v>
      </c>
      <c r="M90" s="65">
        <f>'TOTAL ESTACIONES'!M90</f>
        <v>565197</v>
      </c>
      <c r="N90" s="65">
        <f>'TOTAL ESTACIONES'!N90</f>
        <v>565197</v>
      </c>
      <c r="O90" s="65">
        <f>'TOTAL ESTACIONES'!O90</f>
        <v>565197</v>
      </c>
      <c r="P90" s="65">
        <f>'TOTAL ESTACIONES'!P90</f>
        <v>565197</v>
      </c>
      <c r="Q90" s="65">
        <f>'TOTAL ESTACIONES'!Q90</f>
        <v>565197</v>
      </c>
      <c r="R90" s="65">
        <f>'TOTAL ESTACIONES'!R90</f>
        <v>565196</v>
      </c>
      <c r="S90" s="65">
        <f>'TOTAL ESTACIONES'!S90</f>
        <v>565196</v>
      </c>
      <c r="T90" s="65">
        <f>'TOTAL ESTACIONES'!T90</f>
        <v>565196.46</v>
      </c>
      <c r="U90" s="65">
        <f>'TOTAL ESTACIONES'!U90</f>
        <v>565196.46</v>
      </c>
      <c r="V90" s="65">
        <f>'TOTAL ESTACIONES'!V90</f>
        <v>6782357.9199999999</v>
      </c>
      <c r="W90" s="73">
        <f>'TOTAL ESTACIONES'!W90</f>
        <v>7.5682115586537622E-3</v>
      </c>
      <c r="X90" s="89"/>
      <c r="Y90" s="65">
        <f>'TOTAL ESTACIONES'!Y90</f>
        <v>586391.32725000009</v>
      </c>
      <c r="Z90" s="65">
        <f>'TOTAL ESTACIONES'!Z90</f>
        <v>586391.32725000009</v>
      </c>
      <c r="AA90" s="65">
        <f>'TOTAL ESTACIONES'!AA90</f>
        <v>586391.32725000009</v>
      </c>
      <c r="AB90" s="65">
        <f>'TOTAL ESTACIONES'!AB90</f>
        <v>586391.32725000009</v>
      </c>
      <c r="AC90" s="65">
        <f>'TOTAL ESTACIONES'!AC90</f>
        <v>586391.32725000009</v>
      </c>
      <c r="AD90" s="65">
        <f>'TOTAL ESTACIONES'!AD90</f>
        <v>586391.32725000009</v>
      </c>
      <c r="AE90" s="65">
        <f>'TOTAL ESTACIONES'!AE90</f>
        <v>586391.32725000009</v>
      </c>
      <c r="AF90" s="65">
        <f>'TOTAL ESTACIONES'!AF90</f>
        <v>586391.32725000009</v>
      </c>
      <c r="AG90" s="65">
        <f>'TOTAL ESTACIONES'!AG90</f>
        <v>586391.32725000009</v>
      </c>
      <c r="AH90" s="65">
        <f>'TOTAL ESTACIONES'!AH90</f>
        <v>586391.32725000009</v>
      </c>
      <c r="AI90" s="65">
        <f>'TOTAL ESTACIONES'!AI90</f>
        <v>586391.32725000009</v>
      </c>
      <c r="AJ90" s="65">
        <f>'TOTAL ESTACIONES'!AJ90</f>
        <v>586391.32725000009</v>
      </c>
      <c r="AK90" s="65">
        <f>'TOTAL ESTACIONES'!AK90</f>
        <v>7036695.9270000011</v>
      </c>
      <c r="AL90" s="73">
        <f>'TOTAL ESTACIONES'!AL90</f>
        <v>7.3057045397449758E-3</v>
      </c>
      <c r="AM90" s="14">
        <f>'TOTAL ESTACIONES'!AM90</f>
        <v>3.7499938811840439E-2</v>
      </c>
      <c r="AN90" s="89"/>
      <c r="AO90" s="254">
        <f t="shared" si="0"/>
        <v>254338.00700000115</v>
      </c>
      <c r="AS90" s="65">
        <v>7036695.9270000011</v>
      </c>
    </row>
    <row r="91" spans="1:46" ht="15" customHeight="1" outlineLevel="1">
      <c r="A91" s="12" t="s">
        <v>195</v>
      </c>
      <c r="B91" s="8" t="s">
        <v>88</v>
      </c>
      <c r="I91" s="251" t="s">
        <v>194</v>
      </c>
      <c r="J91" s="65">
        <f>'TOTAL ESTACIONES'!J91</f>
        <v>590335</v>
      </c>
      <c r="K91" s="65">
        <f>'TOTAL ESTACIONES'!K91</f>
        <v>0</v>
      </c>
      <c r="L91" s="65">
        <f>'TOTAL ESTACIONES'!L91</f>
        <v>0</v>
      </c>
      <c r="M91" s="65">
        <f>'TOTAL ESTACIONES'!M91</f>
        <v>0</v>
      </c>
      <c r="N91" s="65">
        <f>'TOTAL ESTACIONES'!N91</f>
        <v>0</v>
      </c>
      <c r="O91" s="65">
        <f>'TOTAL ESTACIONES'!O91</f>
        <v>0</v>
      </c>
      <c r="P91" s="65">
        <f>'TOTAL ESTACIONES'!P91</f>
        <v>0</v>
      </c>
      <c r="Q91" s="65">
        <f>'TOTAL ESTACIONES'!Q91</f>
        <v>0</v>
      </c>
      <c r="R91" s="65">
        <f>'TOTAL ESTACIONES'!R91</f>
        <v>0</v>
      </c>
      <c r="S91" s="65">
        <f>'TOTAL ESTACIONES'!S91</f>
        <v>0</v>
      </c>
      <c r="T91" s="65">
        <f>'TOTAL ESTACIONES'!T91</f>
        <v>0</v>
      </c>
      <c r="U91" s="65">
        <f>'TOTAL ESTACIONES'!U91</f>
        <v>0</v>
      </c>
      <c r="V91" s="292">
        <f>'TOTAL ESTACIONES'!V91</f>
        <v>590335</v>
      </c>
      <c r="W91" s="73">
        <f>'TOTAL ESTACIONES'!W91</f>
        <v>6.5873553462921181E-4</v>
      </c>
      <c r="X91" s="89"/>
      <c r="Y91" s="65">
        <f>'TOTAL ESTACIONES'!Y91</f>
        <v>302314.10076999996</v>
      </c>
      <c r="Z91" s="65">
        <f>'TOTAL ESTACIONES'!Z91</f>
        <v>0</v>
      </c>
      <c r="AA91" s="65">
        <f>'TOTAL ESTACIONES'!AA91</f>
        <v>0</v>
      </c>
      <c r="AB91" s="65">
        <f>'TOTAL ESTACIONES'!AB91</f>
        <v>0</v>
      </c>
      <c r="AC91" s="65">
        <f>'TOTAL ESTACIONES'!AC91</f>
        <v>0</v>
      </c>
      <c r="AD91" s="65">
        <f>'TOTAL ESTACIONES'!AD91</f>
        <v>0</v>
      </c>
      <c r="AE91" s="65">
        <f>'TOTAL ESTACIONES'!AE91</f>
        <v>0</v>
      </c>
      <c r="AF91" s="65">
        <f>'TOTAL ESTACIONES'!AF91</f>
        <v>0</v>
      </c>
      <c r="AG91" s="65">
        <f>'TOTAL ESTACIONES'!AG91</f>
        <v>0</v>
      </c>
      <c r="AH91" s="65">
        <f>'TOTAL ESTACIONES'!AH91</f>
        <v>0</v>
      </c>
      <c r="AI91" s="65">
        <f>'TOTAL ESTACIONES'!AI91</f>
        <v>0</v>
      </c>
      <c r="AJ91" s="65">
        <f>'TOTAL ESTACIONES'!AJ91</f>
        <v>0</v>
      </c>
      <c r="AK91" s="292">
        <f>'TOTAL ESTACIONES'!AK91</f>
        <v>302314.10076999996</v>
      </c>
      <c r="AL91" s="73">
        <f>'TOTAL ESTACIONES'!AL91</f>
        <v>3.138713852832238E-4</v>
      </c>
      <c r="AM91" s="14">
        <f>'TOTAL ESTACIONES'!AM91</f>
        <v>-0.48789399108980502</v>
      </c>
      <c r="AN91" s="89"/>
      <c r="AO91" s="254">
        <f t="shared" si="0"/>
        <v>-288020.89923000004</v>
      </c>
      <c r="AP91" s="295" t="s">
        <v>451</v>
      </c>
      <c r="AS91" s="292">
        <v>302314.10077000002</v>
      </c>
    </row>
    <row r="92" spans="1:46" ht="15" customHeight="1" collapsed="1">
      <c r="A92" s="12" t="s">
        <v>195</v>
      </c>
      <c r="B92" s="8" t="s">
        <v>88</v>
      </c>
      <c r="I92" s="167" t="s">
        <v>196</v>
      </c>
      <c r="J92" s="15">
        <f>'TOTAL ESTACIONES'!J92</f>
        <v>1463896</v>
      </c>
      <c r="K92" s="15">
        <f>'TOTAL ESTACIONES'!K92</f>
        <v>1498654</v>
      </c>
      <c r="L92" s="15">
        <f>'TOTAL ESTACIONES'!L92</f>
        <v>1863063</v>
      </c>
      <c r="M92" s="15">
        <f>'TOTAL ESTACIONES'!M92</f>
        <v>1705996</v>
      </c>
      <c r="N92" s="15">
        <f>'TOTAL ESTACIONES'!N92</f>
        <v>1712950</v>
      </c>
      <c r="O92" s="15">
        <f>'TOTAL ESTACIONES'!O92</f>
        <v>1674814</v>
      </c>
      <c r="P92" s="15">
        <f>'TOTAL ESTACIONES'!P92</f>
        <v>1697282</v>
      </c>
      <c r="Q92" s="15">
        <f>'TOTAL ESTACIONES'!Q92</f>
        <v>1709776</v>
      </c>
      <c r="R92" s="15">
        <f>'TOTAL ESTACIONES'!R92</f>
        <v>1669176</v>
      </c>
      <c r="S92" s="15">
        <f>'TOTAL ESTACIONES'!S92</f>
        <v>1691256.6666666667</v>
      </c>
      <c r="T92" s="15">
        <f>'TOTAL ESTACIONES'!T92</f>
        <v>1699228.2222222222</v>
      </c>
      <c r="U92" s="15">
        <f>'TOTAL ESTACIONES'!U92</f>
        <v>1695712.2962962962</v>
      </c>
      <c r="V92" s="15">
        <f>'TOTAL ESTACIONES'!V92</f>
        <v>20081804.185185183</v>
      </c>
      <c r="W92" s="72">
        <f>'TOTAL ESTACIONES'!W92</f>
        <v>2.2408629026310661E-2</v>
      </c>
      <c r="X92" s="89"/>
      <c r="Y92" s="15">
        <f>'TOTAL ESTACIONES'!Y92</f>
        <v>1838596.9533569997</v>
      </c>
      <c r="Z92" s="15">
        <f>'TOTAL ESTACIONES'!Z92</f>
        <v>1679780.5886159998</v>
      </c>
      <c r="AA92" s="15">
        <f>'TOTAL ESTACIONES'!AA92</f>
        <v>1838596.9533569997</v>
      </c>
      <c r="AB92" s="15">
        <f>'TOTAL ESTACIONES'!AB92</f>
        <v>1734272.88741</v>
      </c>
      <c r="AC92" s="15">
        <f>'TOTAL ESTACIONES'!AC92</f>
        <v>1838596.9533569997</v>
      </c>
      <c r="AD92" s="15">
        <f>'TOTAL ESTACIONES'!AD92</f>
        <v>1734272.88741</v>
      </c>
      <c r="AE92" s="15">
        <f>'TOTAL ESTACIONES'!AE92</f>
        <v>1787211.6756569997</v>
      </c>
      <c r="AF92" s="15">
        <f>'TOTAL ESTACIONES'!AF92</f>
        <v>1787211.6756569997</v>
      </c>
      <c r="AG92" s="15">
        <f>'TOTAL ESTACIONES'!AG92</f>
        <v>1785658.1651099999</v>
      </c>
      <c r="AH92" s="15">
        <f>'TOTAL ESTACIONES'!AH92</f>
        <v>1787211.6756569997</v>
      </c>
      <c r="AI92" s="15">
        <f>'TOTAL ESTACIONES'!AI92</f>
        <v>1785658.1651099999</v>
      </c>
      <c r="AJ92" s="15">
        <f>'TOTAL ESTACIONES'!AJ92</f>
        <v>1838596.9533569997</v>
      </c>
      <c r="AK92" s="15">
        <f>'TOTAL ESTACIONES'!AK92</f>
        <v>21435665.534054995</v>
      </c>
      <c r="AL92" s="72">
        <f>'TOTAL ESTACIONES'!AL92</f>
        <v>2.2255138012104762E-2</v>
      </c>
      <c r="AM92" s="10">
        <f>'TOTAL ESTACIONES'!AM92</f>
        <v>6.7417316511261927E-2</v>
      </c>
      <c r="AN92" s="89"/>
      <c r="AO92" s="254">
        <f>+AK92-V92</f>
        <v>1353861.3488698117</v>
      </c>
      <c r="AS92" s="15">
        <v>21435665.534054995</v>
      </c>
    </row>
    <row r="93" spans="1:46" ht="15" hidden="1" customHeight="1" outlineLevel="1">
      <c r="A93" s="12" t="s">
        <v>195</v>
      </c>
      <c r="B93" s="8" t="s">
        <v>88</v>
      </c>
      <c r="I93" s="246" t="s">
        <v>197</v>
      </c>
      <c r="J93" s="65">
        <f>'TOTAL ESTACIONES'!J93</f>
        <v>45887</v>
      </c>
      <c r="K93" s="65">
        <f>'TOTAL ESTACIONES'!K93</f>
        <v>45117</v>
      </c>
      <c r="L93" s="65">
        <f>'TOTAL ESTACIONES'!L93</f>
        <v>53778</v>
      </c>
      <c r="M93" s="65">
        <f>'TOTAL ESTACIONES'!M93</f>
        <v>50409</v>
      </c>
      <c r="N93" s="65">
        <f>'TOTAL ESTACIONES'!N93</f>
        <v>51511</v>
      </c>
      <c r="O93" s="65">
        <f>'TOTAL ESTACIONES'!O93</f>
        <v>49905</v>
      </c>
      <c r="P93" s="65">
        <f>'TOTAL ESTACIONES'!P93</f>
        <v>52895</v>
      </c>
      <c r="Q93" s="65">
        <f>'TOTAL ESTACIONES'!Q93</f>
        <v>53050</v>
      </c>
      <c r="R93" s="65">
        <f>'TOTAL ESTACIONES'!R93</f>
        <v>50624</v>
      </c>
      <c r="S93" s="65">
        <f>'TOTAL ESTACIONES'!S93</f>
        <v>51794</v>
      </c>
      <c r="T93" s="65">
        <f>'TOTAL ESTACIONES'!T93</f>
        <v>51822.666666666657</v>
      </c>
      <c r="U93" s="65">
        <f>'TOTAL ESTACIONES'!U93</f>
        <v>51413.555555555555</v>
      </c>
      <c r="V93" s="65">
        <f>'TOTAL ESTACIONES'!V93</f>
        <v>608206.22222222213</v>
      </c>
      <c r="W93" s="73">
        <f>'TOTAL ESTACIONES'!W93</f>
        <v>6.7867744748383323E-4</v>
      </c>
      <c r="X93" s="89"/>
      <c r="Y93" s="65">
        <f>'TOTAL ESTACIONES'!Y93</f>
        <v>54552.863311643836</v>
      </c>
      <c r="Z93" s="65">
        <f>'TOTAL ESTACIONES'!Z93</f>
        <v>49273.553958904107</v>
      </c>
      <c r="AA93" s="65">
        <f>'TOTAL ESTACIONES'!AA93</f>
        <v>54552.863311643836</v>
      </c>
      <c r="AB93" s="65">
        <f>'TOTAL ESTACIONES'!AB93</f>
        <v>52793.093527397257</v>
      </c>
      <c r="AC93" s="65">
        <f>'TOTAL ESTACIONES'!AC93</f>
        <v>54552.863311643836</v>
      </c>
      <c r="AD93" s="65">
        <f>'TOTAL ESTACIONES'!AD93</f>
        <v>52793.093527397257</v>
      </c>
      <c r="AE93" s="65">
        <f>'TOTAL ESTACIONES'!AE93</f>
        <v>54552.863311643836</v>
      </c>
      <c r="AF93" s="65">
        <f>'TOTAL ESTACIONES'!AF93</f>
        <v>54552.863311643836</v>
      </c>
      <c r="AG93" s="65">
        <f>'TOTAL ESTACIONES'!AG93</f>
        <v>52793.093527397257</v>
      </c>
      <c r="AH93" s="65">
        <f>'TOTAL ESTACIONES'!AH93</f>
        <v>54552.863311643836</v>
      </c>
      <c r="AI93" s="65">
        <f>'TOTAL ESTACIONES'!AI93</f>
        <v>52793.093527397257</v>
      </c>
      <c r="AJ93" s="65">
        <f>'TOTAL ESTACIONES'!AJ93</f>
        <v>54552.863311643836</v>
      </c>
      <c r="AK93" s="65">
        <f>'TOTAL ESTACIONES'!AK93</f>
        <v>642315.97124999994</v>
      </c>
      <c r="AL93" s="73">
        <f>'TOTAL ESTACIONES'!AL93</f>
        <v>6.6687132082918373E-4</v>
      </c>
      <c r="AM93" s="14">
        <f>'TOTAL ESTACIONES'!AM93</f>
        <v>5.6082538753303046E-2</v>
      </c>
      <c r="AN93" s="89"/>
      <c r="AO93" s="254">
        <f>+AK93-V93</f>
        <v>34109.749027777812</v>
      </c>
      <c r="AS93" s="65">
        <v>642315.97124999994</v>
      </c>
    </row>
    <row r="94" spans="1:46" ht="15" hidden="1" customHeight="1" outlineLevel="1">
      <c r="A94" s="12" t="s">
        <v>195</v>
      </c>
      <c r="B94" s="8" t="s">
        <v>88</v>
      </c>
      <c r="I94" s="246" t="s">
        <v>198</v>
      </c>
      <c r="J94" s="65">
        <f>'TOTAL ESTACIONES'!J94</f>
        <v>114728</v>
      </c>
      <c r="K94" s="65">
        <f>'TOTAL ESTACIONES'!K94</f>
        <v>101673</v>
      </c>
      <c r="L94" s="65">
        <f>'TOTAL ESTACIONES'!L94</f>
        <v>124487</v>
      </c>
      <c r="M94" s="65">
        <f>'TOTAL ESTACIONES'!M94</f>
        <v>210934</v>
      </c>
      <c r="N94" s="65">
        <f>'TOTAL ESTACIONES'!N94</f>
        <v>154002</v>
      </c>
      <c r="O94" s="65">
        <f>'TOTAL ESTACIONES'!O94</f>
        <v>185659</v>
      </c>
      <c r="P94" s="65">
        <f>'TOTAL ESTACIONES'!P94</f>
        <v>151601</v>
      </c>
      <c r="Q94" s="65">
        <f>'TOTAL ESTACIONES'!Q94</f>
        <v>129491</v>
      </c>
      <c r="R94" s="65">
        <f>'TOTAL ESTACIONES'!R94</f>
        <v>127650</v>
      </c>
      <c r="S94" s="65">
        <f>'TOTAL ESTACIONES'!S94</f>
        <v>150960</v>
      </c>
      <c r="T94" s="65">
        <f>'TOTAL ESTACIONES'!T94</f>
        <v>136033.66666666666</v>
      </c>
      <c r="U94" s="65">
        <f>'TOTAL ESTACIONES'!U94</f>
        <v>138214.55555555556</v>
      </c>
      <c r="V94" s="292">
        <f>'TOTAL ESTACIONES'!V94</f>
        <v>1725433.2222222222</v>
      </c>
      <c r="W94" s="73">
        <f>'TOTAL ESTACIONES'!W94</f>
        <v>1.9253545463297265E-3</v>
      </c>
      <c r="X94" s="89"/>
      <c r="Y94" s="65">
        <f>'TOTAL ESTACIONES'!Y94</f>
        <v>146109.24</v>
      </c>
      <c r="Z94" s="65">
        <f>'TOTAL ESTACIONES'!Z94</f>
        <v>146109.24</v>
      </c>
      <c r="AA94" s="65">
        <f>'TOTAL ESTACIONES'!AA94</f>
        <v>146109.24</v>
      </c>
      <c r="AB94" s="65">
        <f>'TOTAL ESTACIONES'!AB94</f>
        <v>146109.24</v>
      </c>
      <c r="AC94" s="65">
        <f>'TOTAL ESTACIONES'!AC94</f>
        <v>146109.24</v>
      </c>
      <c r="AD94" s="65">
        <f>'TOTAL ESTACIONES'!AD94</f>
        <v>146109.24</v>
      </c>
      <c r="AE94" s="65">
        <f>'TOTAL ESTACIONES'!AE94</f>
        <v>146109.24</v>
      </c>
      <c r="AF94" s="65">
        <f>'TOTAL ESTACIONES'!AF94</f>
        <v>146109.24</v>
      </c>
      <c r="AG94" s="65">
        <f>'TOTAL ESTACIONES'!AG94</f>
        <v>146109.24</v>
      </c>
      <c r="AH94" s="65">
        <f>'TOTAL ESTACIONES'!AH94</f>
        <v>146109.24</v>
      </c>
      <c r="AI94" s="65">
        <f>'TOTAL ESTACIONES'!AI94</f>
        <v>146109.24</v>
      </c>
      <c r="AJ94" s="65">
        <f>'TOTAL ESTACIONES'!AJ94</f>
        <v>146109.24</v>
      </c>
      <c r="AK94" s="292">
        <f>'TOTAL ESTACIONES'!AK94</f>
        <v>1753310.88</v>
      </c>
      <c r="AL94" s="73">
        <f>'TOTAL ESTACIONES'!AL94</f>
        <v>1.8203388903663019E-3</v>
      </c>
      <c r="AM94" s="14">
        <f>'TOTAL ESTACIONES'!AM94</f>
        <v>1.6156903332296801E-2</v>
      </c>
      <c r="AN94" s="89"/>
      <c r="AO94" s="254">
        <f>+AK94-V94</f>
        <v>27877.65777777764</v>
      </c>
      <c r="AS94" s="292">
        <v>1753310.88</v>
      </c>
    </row>
    <row r="95" spans="1:46" ht="15" hidden="1" customHeight="1" outlineLevel="1">
      <c r="A95" s="12" t="s">
        <v>195</v>
      </c>
      <c r="B95" s="8" t="s">
        <v>88</v>
      </c>
      <c r="I95" s="246" t="s">
        <v>199</v>
      </c>
      <c r="J95" s="65">
        <f>'TOTAL ESTACIONES'!J95</f>
        <v>40603</v>
      </c>
      <c r="K95" s="65">
        <f>'TOTAL ESTACIONES'!K95</f>
        <v>50455</v>
      </c>
      <c r="L95" s="65">
        <f>'TOTAL ESTACIONES'!L95</f>
        <v>60338</v>
      </c>
      <c r="M95" s="65">
        <f>'TOTAL ESTACIONES'!M95</f>
        <v>0</v>
      </c>
      <c r="N95" s="65">
        <f>'TOTAL ESTACIONES'!N95</f>
        <v>62612</v>
      </c>
      <c r="O95" s="65">
        <f>'TOTAL ESTACIONES'!O95</f>
        <v>0</v>
      </c>
      <c r="P95" s="65">
        <f>'TOTAL ESTACIONES'!P95</f>
        <v>0</v>
      </c>
      <c r="Q95" s="65">
        <f>'TOTAL ESTACIONES'!Q95</f>
        <v>0</v>
      </c>
      <c r="R95" s="65">
        <f>'TOTAL ESTACIONES'!R95</f>
        <v>60335</v>
      </c>
      <c r="S95" s="65">
        <f>'TOTAL ESTACIONES'!S95</f>
        <v>3227.6666666666665</v>
      </c>
      <c r="T95" s="65">
        <f>'TOTAL ESTACIONES'!T95</f>
        <v>21187.555555555555</v>
      </c>
      <c r="U95" s="65">
        <f>'TOTAL ESTACIONES'!U95</f>
        <v>28250.07407407408</v>
      </c>
      <c r="V95" s="65">
        <f>'TOTAL ESTACIONES'!V95</f>
        <v>327008.29629629635</v>
      </c>
      <c r="W95" s="73">
        <f>'TOTAL ESTACIONES'!W95</f>
        <v>3.6489787135936117E-4</v>
      </c>
      <c r="X95" s="89"/>
      <c r="Y95" s="65">
        <f>'TOTAL ESTACIONES'!Y95</f>
        <v>51385.277699999991</v>
      </c>
      <c r="Z95" s="65">
        <f>'TOTAL ESTACIONES'!Z95</f>
        <v>51385.277699999991</v>
      </c>
      <c r="AA95" s="65">
        <f>'TOTAL ESTACIONES'!AA95</f>
        <v>51385.277699999991</v>
      </c>
      <c r="AB95" s="65">
        <f>'TOTAL ESTACIONES'!AB95</f>
        <v>0</v>
      </c>
      <c r="AC95" s="65">
        <f>'TOTAL ESTACIONES'!AC95</f>
        <v>51385.277699999991</v>
      </c>
      <c r="AD95" s="65">
        <f>'TOTAL ESTACIONES'!AD95</f>
        <v>0</v>
      </c>
      <c r="AE95" s="65">
        <f>'TOTAL ESTACIONES'!AE95</f>
        <v>0</v>
      </c>
      <c r="AF95" s="65">
        <f>'TOTAL ESTACIONES'!AF95</f>
        <v>0</v>
      </c>
      <c r="AG95" s="65">
        <f>'TOTAL ESTACIONES'!AG95</f>
        <v>51385.277699999991</v>
      </c>
      <c r="AH95" s="65">
        <f>'TOTAL ESTACIONES'!AH95</f>
        <v>0</v>
      </c>
      <c r="AI95" s="65">
        <f>'TOTAL ESTACIONES'!AI95</f>
        <v>51385.277699999991</v>
      </c>
      <c r="AJ95" s="65">
        <f>'TOTAL ESTACIONES'!AJ95</f>
        <v>51385.277699999991</v>
      </c>
      <c r="AK95" s="65">
        <f>'TOTAL ESTACIONES'!AK95</f>
        <v>359696.9438999999</v>
      </c>
      <c r="AL95" s="73">
        <f>'TOTAL ESTACIONES'!AL95</f>
        <v>3.7344793966434281E-4</v>
      </c>
      <c r="AM95" s="14">
        <f>'TOTAL ESTACIONES'!AM95</f>
        <v>9.9962747043227829E-2</v>
      </c>
      <c r="AN95" s="89"/>
      <c r="AO95" s="254">
        <f>+AK95-V95</f>
        <v>32688.647603703546</v>
      </c>
      <c r="AS95" s="65">
        <v>359696.9438999999</v>
      </c>
    </row>
    <row r="96" spans="1:46" ht="15" hidden="1" customHeight="1" outlineLevel="1">
      <c r="A96" s="12" t="s">
        <v>195</v>
      </c>
      <c r="B96" s="8" t="s">
        <v>88</v>
      </c>
      <c r="I96" s="246" t="s">
        <v>200</v>
      </c>
      <c r="J96" s="65">
        <f>'TOTAL ESTACIONES'!J96</f>
        <v>59080</v>
      </c>
      <c r="K96" s="65">
        <f>'TOTAL ESTACIONES'!K96</f>
        <v>60666</v>
      </c>
      <c r="L96" s="65">
        <f>'TOTAL ESTACIONES'!L96</f>
        <v>72868</v>
      </c>
      <c r="M96" s="65">
        <f>'TOTAL ESTACIONES'!M96</f>
        <v>65732</v>
      </c>
      <c r="N96" s="65">
        <f>'TOTAL ESTACIONES'!N96</f>
        <v>67100</v>
      </c>
      <c r="O96" s="65">
        <f>'TOTAL ESTACIONES'!O96</f>
        <v>67500</v>
      </c>
      <c r="P96" s="65">
        <f>'TOTAL ESTACIONES'!P96</f>
        <v>68858</v>
      </c>
      <c r="Q96" s="65">
        <f>'TOTAL ESTACIONES'!Q96</f>
        <v>71162</v>
      </c>
      <c r="R96" s="65">
        <f>'TOTAL ESTACIONES'!R96</f>
        <v>66479</v>
      </c>
      <c r="S96" s="65">
        <f>'TOTAL ESTACIONES'!S96</f>
        <v>68873.333333333343</v>
      </c>
      <c r="T96" s="65">
        <f>'TOTAL ESTACIONES'!T96</f>
        <v>68838.111111111109</v>
      </c>
      <c r="U96" s="65">
        <f>'TOTAL ESTACIONES'!U96</f>
        <v>68063.481481481489</v>
      </c>
      <c r="V96" s="65">
        <f>'TOTAL ESTACIONES'!V96</f>
        <v>805219.92592592596</v>
      </c>
      <c r="W96" s="73">
        <f>'TOTAL ESTACIONES'!W96</f>
        <v>8.9851860113140697E-4</v>
      </c>
      <c r="X96" s="89"/>
      <c r="Y96" s="65">
        <f>'TOTAL ESTACIONES'!Y96</f>
        <v>71682.462391499997</v>
      </c>
      <c r="Z96" s="65">
        <f>'TOTAL ESTACIONES'!Z96</f>
        <v>64745.449901999978</v>
      </c>
      <c r="AA96" s="65">
        <f>'TOTAL ESTACIONES'!AA96</f>
        <v>71682.462391499997</v>
      </c>
      <c r="AB96" s="65">
        <f>'TOTAL ESTACIONES'!AB96</f>
        <v>69370.124894999986</v>
      </c>
      <c r="AC96" s="65">
        <f>'TOTAL ESTACIONES'!AC96</f>
        <v>71682.462391499997</v>
      </c>
      <c r="AD96" s="65">
        <f>'TOTAL ESTACIONES'!AD96</f>
        <v>69370.124894999986</v>
      </c>
      <c r="AE96" s="65">
        <f>'TOTAL ESTACIONES'!AE96</f>
        <v>71682.462391499997</v>
      </c>
      <c r="AF96" s="65">
        <f>'TOTAL ESTACIONES'!AF96</f>
        <v>71682.462391499997</v>
      </c>
      <c r="AG96" s="65">
        <f>'TOTAL ESTACIONES'!AG96</f>
        <v>69370.124894999986</v>
      </c>
      <c r="AH96" s="65">
        <f>'TOTAL ESTACIONES'!AH96</f>
        <v>71682.462391499997</v>
      </c>
      <c r="AI96" s="65">
        <f>'TOTAL ESTACIONES'!AI96</f>
        <v>69370.124894999986</v>
      </c>
      <c r="AJ96" s="65">
        <f>'TOTAL ESTACIONES'!AJ96</f>
        <v>71682.462391499997</v>
      </c>
      <c r="AK96" s="65">
        <f>'TOTAL ESTACIONES'!AK96</f>
        <v>844003.18622250005</v>
      </c>
      <c r="AL96" s="73">
        <f>'TOTAL ESTACIONES'!AL96</f>
        <v>8.7626891556954751E-4</v>
      </c>
      <c r="AM96" s="14">
        <f>'TOTAL ESTACIONES'!AM96</f>
        <v>4.8164804481181989E-2</v>
      </c>
      <c r="AN96" s="89"/>
      <c r="AO96" s="254">
        <f>+AK96-V96</f>
        <v>38783.260296574095</v>
      </c>
      <c r="AS96" s="65">
        <v>844003.18622250005</v>
      </c>
    </row>
    <row r="97" spans="1:45" ht="15" hidden="1" customHeight="1" outlineLevel="1">
      <c r="A97" s="12" t="s">
        <v>195</v>
      </c>
      <c r="B97" s="8" t="s">
        <v>88</v>
      </c>
      <c r="I97" s="246" t="s">
        <v>201</v>
      </c>
      <c r="J97" s="65">
        <f>'TOTAL ESTACIONES'!J97</f>
        <v>0</v>
      </c>
      <c r="K97" s="65">
        <f>'TOTAL ESTACIONES'!K97</f>
        <v>0</v>
      </c>
      <c r="L97" s="65">
        <f>'TOTAL ESTACIONES'!L97</f>
        <v>0</v>
      </c>
      <c r="M97" s="65">
        <f>'TOTAL ESTACIONES'!M97</f>
        <v>0</v>
      </c>
      <c r="N97" s="65">
        <f>'TOTAL ESTACIONES'!N97</f>
        <v>0</v>
      </c>
      <c r="O97" s="65">
        <f>'TOTAL ESTACIONES'!O97</f>
        <v>0</v>
      </c>
      <c r="P97" s="65">
        <f>'TOTAL ESTACIONES'!P97</f>
        <v>0</v>
      </c>
      <c r="Q97" s="65">
        <f>'TOTAL ESTACIONES'!Q97</f>
        <v>13738</v>
      </c>
      <c r="R97" s="65">
        <f>'TOTAL ESTACIONES'!R97</f>
        <v>0</v>
      </c>
      <c r="S97" s="65">
        <f>'TOTAL ESTACIONES'!S97</f>
        <v>0</v>
      </c>
      <c r="T97" s="65">
        <f>'TOTAL ESTACIONES'!T97</f>
        <v>13738</v>
      </c>
      <c r="U97" s="65">
        <f>'TOTAL ESTACIONES'!U97</f>
        <v>13738</v>
      </c>
      <c r="V97" s="292">
        <f>'TOTAL ESTACIONES'!V97</f>
        <v>41214</v>
      </c>
      <c r="W97" s="73">
        <f>'TOTAL ESTACIONES'!W97</f>
        <v>4.5989355745819463E-5</v>
      </c>
      <c r="X97" s="89"/>
      <c r="Y97" s="65">
        <f>'TOTAL ESTACIONES'!Y97</f>
        <v>0</v>
      </c>
      <c r="Z97" s="65">
        <f>'TOTAL ESTACIONES'!Z97</f>
        <v>0</v>
      </c>
      <c r="AA97" s="65">
        <f>'TOTAL ESTACIONES'!AA97</f>
        <v>0</v>
      </c>
      <c r="AB97" s="65">
        <f>'TOTAL ESTACIONES'!AB97</f>
        <v>0</v>
      </c>
      <c r="AC97" s="65">
        <f>'TOTAL ESTACIONES'!AC97</f>
        <v>0</v>
      </c>
      <c r="AD97" s="65">
        <f>'TOTAL ESTACIONES'!AD97</f>
        <v>0</v>
      </c>
      <c r="AE97" s="65">
        <f>'TOTAL ESTACIONES'!AE97</f>
        <v>0</v>
      </c>
      <c r="AF97" s="65">
        <f>'TOTAL ESTACIONES'!AF97</f>
        <v>0</v>
      </c>
      <c r="AG97" s="65">
        <f>'TOTAL ESTACIONES'!AG97</f>
        <v>0</v>
      </c>
      <c r="AH97" s="65">
        <f>'TOTAL ESTACIONES'!AH97</f>
        <v>0</v>
      </c>
      <c r="AI97" s="65">
        <f>'TOTAL ESTACIONES'!AI97</f>
        <v>0</v>
      </c>
      <c r="AJ97" s="65">
        <f>'TOTAL ESTACIONES'!AJ97</f>
        <v>0</v>
      </c>
      <c r="AK97" s="292">
        <f>'TOTAL ESTACIONES'!AK97</f>
        <v>0</v>
      </c>
      <c r="AL97" s="73">
        <f>'TOTAL ESTACIONES'!AL97</f>
        <v>0</v>
      </c>
      <c r="AM97" s="14">
        <f>'TOTAL ESTACIONES'!AM97</f>
        <v>-1</v>
      </c>
      <c r="AN97" s="89"/>
      <c r="AO97" s="254">
        <f>+AK97-V97</f>
        <v>-41214</v>
      </c>
      <c r="AS97" s="292">
        <v>0</v>
      </c>
    </row>
    <row r="98" spans="1:45" hidden="1" outlineLevel="1">
      <c r="A98" s="12" t="s">
        <v>215</v>
      </c>
      <c r="B98" s="8" t="s">
        <v>88</v>
      </c>
      <c r="I98" s="246" t="s">
        <v>202</v>
      </c>
      <c r="J98" s="65">
        <f>'TOTAL ESTACIONES'!J98</f>
        <v>76734</v>
      </c>
      <c r="K98" s="65">
        <f>'TOTAL ESTACIONES'!K98</f>
        <v>83523</v>
      </c>
      <c r="L98" s="65">
        <f>'TOTAL ESTACIONES'!L98</f>
        <v>96835</v>
      </c>
      <c r="M98" s="65">
        <f>'TOTAL ESTACIONES'!M98</f>
        <v>81785</v>
      </c>
      <c r="N98" s="65">
        <f>'TOTAL ESTACIONES'!N98</f>
        <v>93568</v>
      </c>
      <c r="O98" s="65">
        <f>'TOTAL ESTACIONES'!O98</f>
        <v>87175</v>
      </c>
      <c r="P98" s="65">
        <f>'TOTAL ESTACIONES'!P98</f>
        <v>92086</v>
      </c>
      <c r="Q98" s="65">
        <f>'TOTAL ESTACIONES'!Q98</f>
        <v>96275</v>
      </c>
      <c r="R98" s="65">
        <f>'TOTAL ESTACIONES'!R98</f>
        <v>92659</v>
      </c>
      <c r="S98" s="65">
        <f>'TOTAL ESTACIONES'!S98</f>
        <v>90411.666666666657</v>
      </c>
      <c r="T98" s="65">
        <f>'TOTAL ESTACIONES'!T98</f>
        <v>93115.222222222219</v>
      </c>
      <c r="U98" s="65">
        <f>'TOTAL ESTACIONES'!U98</f>
        <v>92061.962962962949</v>
      </c>
      <c r="V98" s="65">
        <f>'TOTAL ESTACIONES'!V98</f>
        <v>1076228.8518518519</v>
      </c>
      <c r="W98" s="73">
        <f>'TOTAL ESTACIONES'!W98</f>
        <v>1.2009286051276181E-3</v>
      </c>
      <c r="X98" s="89"/>
      <c r="Y98" s="65">
        <f>'TOTAL ESTACIONES'!Y98</f>
        <v>94196.296199999997</v>
      </c>
      <c r="Z98" s="65">
        <f>'TOTAL ESTACIONES'!Z98</f>
        <v>85080.525599999994</v>
      </c>
      <c r="AA98" s="65">
        <f>'TOTAL ESTACIONES'!AA98</f>
        <v>94196.296199999997</v>
      </c>
      <c r="AB98" s="65">
        <f>'TOTAL ESTACIONES'!AB98</f>
        <v>91157.705999999991</v>
      </c>
      <c r="AC98" s="65">
        <f>'TOTAL ESTACIONES'!AC98</f>
        <v>94196.296199999997</v>
      </c>
      <c r="AD98" s="65">
        <f>'TOTAL ESTACIONES'!AD98</f>
        <v>91157.705999999991</v>
      </c>
      <c r="AE98" s="65">
        <f>'TOTAL ESTACIONES'!AE98</f>
        <v>94196.296199999997</v>
      </c>
      <c r="AF98" s="65">
        <f>'TOTAL ESTACIONES'!AF98</f>
        <v>94196.296199999997</v>
      </c>
      <c r="AG98" s="65">
        <f>'TOTAL ESTACIONES'!AG98</f>
        <v>91157.705999999991</v>
      </c>
      <c r="AH98" s="65">
        <f>'TOTAL ESTACIONES'!AH98</f>
        <v>94196.296199999997</v>
      </c>
      <c r="AI98" s="65">
        <f>'TOTAL ESTACIONES'!AI98</f>
        <v>91157.705999999991</v>
      </c>
      <c r="AJ98" s="65">
        <f>'TOTAL ESTACIONES'!AJ98</f>
        <v>94196.296199999997</v>
      </c>
      <c r="AK98" s="65">
        <f>'TOTAL ESTACIONES'!AK98</f>
        <v>1109085.423</v>
      </c>
      <c r="AL98" s="73">
        <f>'TOTAL ESTACIONES'!AL98</f>
        <v>1.1514850853062981E-3</v>
      </c>
      <c r="AM98" s="14">
        <f>'TOTAL ESTACIONES'!AM98</f>
        <v>3.0529353577180451E-2</v>
      </c>
      <c r="AN98" s="89"/>
      <c r="AO98" s="254">
        <f>+AK98-V98</f>
        <v>32856.571148148039</v>
      </c>
      <c r="AS98" s="65">
        <v>1109085.423</v>
      </c>
    </row>
    <row r="99" spans="1:45" ht="15" hidden="1" customHeight="1" outlineLevel="1">
      <c r="A99" s="12" t="s">
        <v>215</v>
      </c>
      <c r="B99" s="8" t="s">
        <v>88</v>
      </c>
      <c r="I99" s="246" t="s">
        <v>203</v>
      </c>
      <c r="J99" s="65">
        <f>'TOTAL ESTACIONES'!J99</f>
        <v>32983</v>
      </c>
      <c r="K99" s="65">
        <f>'TOTAL ESTACIONES'!K99</f>
        <v>42398</v>
      </c>
      <c r="L99" s="65">
        <f>'TOTAL ESTACIONES'!L99</f>
        <v>46319</v>
      </c>
      <c r="M99" s="65">
        <f>'TOTAL ESTACIONES'!M99</f>
        <v>38333</v>
      </c>
      <c r="N99" s="65">
        <f>'TOTAL ESTACIONES'!N99</f>
        <v>43745</v>
      </c>
      <c r="O99" s="65">
        <f>'TOTAL ESTACIONES'!O99</f>
        <v>43847</v>
      </c>
      <c r="P99" s="65">
        <f>'TOTAL ESTACIONES'!P99</f>
        <v>43882</v>
      </c>
      <c r="Q99" s="65">
        <f>'TOTAL ESTACIONES'!Q99</f>
        <v>50900</v>
      </c>
      <c r="R99" s="65">
        <f>'TOTAL ESTACIONES'!R99</f>
        <v>44430</v>
      </c>
      <c r="S99" s="65">
        <f>'TOTAL ESTACIONES'!S99</f>
        <v>52160</v>
      </c>
      <c r="T99" s="65">
        <f>'TOTAL ESTACIONES'!T99</f>
        <v>49163.333333333336</v>
      </c>
      <c r="U99" s="65">
        <f>'TOTAL ESTACIONES'!U99</f>
        <v>48584.444444444445</v>
      </c>
      <c r="V99" s="65">
        <f>'TOTAL ESTACIONES'!V99</f>
        <v>536744.77777777775</v>
      </c>
      <c r="W99" s="73">
        <f>'TOTAL ESTACIONES'!W99</f>
        <v>5.9893595695474926E-4</v>
      </c>
      <c r="X99" s="89"/>
      <c r="Y99" s="65">
        <f>'TOTAL ESTACIONES'!Y99</f>
        <v>50274.507299999997</v>
      </c>
      <c r="Z99" s="65">
        <f>'TOTAL ESTACIONES'!Z99</f>
        <v>45409.232399999994</v>
      </c>
      <c r="AA99" s="65">
        <f>'TOTAL ESTACIONES'!AA99</f>
        <v>50274.507299999997</v>
      </c>
      <c r="AB99" s="65">
        <f>'TOTAL ESTACIONES'!AB99</f>
        <v>48652.748999999996</v>
      </c>
      <c r="AC99" s="65">
        <f>'TOTAL ESTACIONES'!AC99</f>
        <v>50274.507299999997</v>
      </c>
      <c r="AD99" s="65">
        <f>'TOTAL ESTACIONES'!AD99</f>
        <v>48652.748999999996</v>
      </c>
      <c r="AE99" s="65">
        <f>'TOTAL ESTACIONES'!AE99</f>
        <v>50274.507299999997</v>
      </c>
      <c r="AF99" s="65">
        <f>'TOTAL ESTACIONES'!AF99</f>
        <v>50274.507299999997</v>
      </c>
      <c r="AG99" s="65">
        <f>'TOTAL ESTACIONES'!AG99</f>
        <v>48652.748999999996</v>
      </c>
      <c r="AH99" s="65">
        <f>'TOTAL ESTACIONES'!AH99</f>
        <v>50274.507299999997</v>
      </c>
      <c r="AI99" s="65">
        <f>'TOTAL ESTACIONES'!AI99</f>
        <v>48652.748999999996</v>
      </c>
      <c r="AJ99" s="65">
        <f>'TOTAL ESTACIONES'!AJ99</f>
        <v>50274.507299999997</v>
      </c>
      <c r="AK99" s="65">
        <f>'TOTAL ESTACIONES'!AK99</f>
        <v>591941.77949999995</v>
      </c>
      <c r="AL99" s="73">
        <f>'TOTAL ESTACIONES'!AL99</f>
        <v>6.1457135431480586E-4</v>
      </c>
      <c r="AM99" s="14">
        <f>'TOTAL ESTACIONES'!AM99</f>
        <v>0.10283658827710984</v>
      </c>
      <c r="AN99" s="89"/>
      <c r="AO99" s="254">
        <f>+AK99-V99</f>
        <v>55197.001722222194</v>
      </c>
      <c r="AS99" s="65">
        <v>591941.77949999995</v>
      </c>
    </row>
    <row r="100" spans="1:45" ht="15" hidden="1" customHeight="1" outlineLevel="1">
      <c r="A100" s="12" t="s">
        <v>215</v>
      </c>
      <c r="B100" s="8" t="s">
        <v>88</v>
      </c>
      <c r="I100" s="246" t="s">
        <v>204</v>
      </c>
      <c r="J100" s="65">
        <f>'TOTAL ESTACIONES'!J100</f>
        <v>0</v>
      </c>
      <c r="K100" s="65">
        <f>'TOTAL ESTACIONES'!K100</f>
        <v>0</v>
      </c>
      <c r="L100" s="65">
        <f>'TOTAL ESTACIONES'!L100</f>
        <v>0</v>
      </c>
      <c r="M100" s="65">
        <f>'TOTAL ESTACIONES'!M100</f>
        <v>0</v>
      </c>
      <c r="N100" s="65">
        <f>'TOTAL ESTACIONES'!N100</f>
        <v>0</v>
      </c>
      <c r="O100" s="65">
        <f>'TOTAL ESTACIONES'!O100</f>
        <v>0</v>
      </c>
      <c r="P100" s="65">
        <f>'TOTAL ESTACIONES'!P100</f>
        <v>0</v>
      </c>
      <c r="Q100" s="65">
        <f>'TOTAL ESTACIONES'!Q100</f>
        <v>0</v>
      </c>
      <c r="R100" s="65">
        <f>'TOTAL ESTACIONES'!R100</f>
        <v>0</v>
      </c>
      <c r="S100" s="65">
        <f>'TOTAL ESTACIONES'!S100</f>
        <v>0</v>
      </c>
      <c r="T100" s="65">
        <f>'TOTAL ESTACIONES'!T100</f>
        <v>0</v>
      </c>
      <c r="U100" s="65">
        <f>'TOTAL ESTACIONES'!U100</f>
        <v>0</v>
      </c>
      <c r="V100" s="65">
        <f>'TOTAL ESTACIONES'!V100</f>
        <v>0</v>
      </c>
      <c r="W100" s="73">
        <f>'TOTAL ESTACIONES'!W100</f>
        <v>0</v>
      </c>
      <c r="X100" s="89"/>
      <c r="Y100" s="65">
        <f>'TOTAL ESTACIONES'!Y100</f>
        <v>0</v>
      </c>
      <c r="Z100" s="65">
        <f>'TOTAL ESTACIONES'!Z100</f>
        <v>0</v>
      </c>
      <c r="AA100" s="65">
        <f>'TOTAL ESTACIONES'!AA100</f>
        <v>0</v>
      </c>
      <c r="AB100" s="65">
        <f>'TOTAL ESTACIONES'!AB100</f>
        <v>0</v>
      </c>
      <c r="AC100" s="65">
        <f>'TOTAL ESTACIONES'!AC100</f>
        <v>0</v>
      </c>
      <c r="AD100" s="65">
        <f>'TOTAL ESTACIONES'!AD100</f>
        <v>0</v>
      </c>
      <c r="AE100" s="65">
        <f>'TOTAL ESTACIONES'!AE100</f>
        <v>0</v>
      </c>
      <c r="AF100" s="65">
        <f>'TOTAL ESTACIONES'!AF100</f>
        <v>0</v>
      </c>
      <c r="AG100" s="65">
        <f>'TOTAL ESTACIONES'!AG100</f>
        <v>0</v>
      </c>
      <c r="AH100" s="65">
        <f>'TOTAL ESTACIONES'!AH100</f>
        <v>0</v>
      </c>
      <c r="AI100" s="65">
        <f>'TOTAL ESTACIONES'!AI100</f>
        <v>0</v>
      </c>
      <c r="AJ100" s="65">
        <f>'TOTAL ESTACIONES'!AJ100</f>
        <v>0</v>
      </c>
      <c r="AK100" s="65">
        <f>'TOTAL ESTACIONES'!AK100</f>
        <v>0</v>
      </c>
      <c r="AL100" s="73">
        <f>'TOTAL ESTACIONES'!AL100</f>
        <v>0</v>
      </c>
      <c r="AM100" s="14">
        <f>'TOTAL ESTACIONES'!AM100</f>
        <v>0</v>
      </c>
      <c r="AN100" s="89"/>
      <c r="AO100" s="254">
        <f>+AK100-V100</f>
        <v>0</v>
      </c>
      <c r="AS100" s="65">
        <v>0</v>
      </c>
    </row>
    <row r="101" spans="1:45" ht="15" hidden="1" customHeight="1" outlineLevel="1">
      <c r="A101" s="12" t="s">
        <v>215</v>
      </c>
      <c r="B101" s="8" t="s">
        <v>88</v>
      </c>
      <c r="I101" s="246" t="s">
        <v>205</v>
      </c>
      <c r="J101" s="65">
        <f>'TOTAL ESTACIONES'!J101</f>
        <v>30523</v>
      </c>
      <c r="K101" s="65">
        <f>'TOTAL ESTACIONES'!K101</f>
        <v>26153</v>
      </c>
      <c r="L101" s="65">
        <f>'TOTAL ESTACIONES'!L101</f>
        <v>31041</v>
      </c>
      <c r="M101" s="65">
        <f>'TOTAL ESTACIONES'!M101</f>
        <v>29383</v>
      </c>
      <c r="N101" s="65">
        <f>'TOTAL ESTACIONES'!N101</f>
        <v>26704</v>
      </c>
      <c r="O101" s="65">
        <f>'TOTAL ESTACIONES'!O101</f>
        <v>26851</v>
      </c>
      <c r="P101" s="65">
        <f>'TOTAL ESTACIONES'!P101</f>
        <v>30853</v>
      </c>
      <c r="Q101" s="65">
        <f>'TOTAL ESTACIONES'!Q101</f>
        <v>28212</v>
      </c>
      <c r="R101" s="65">
        <f>'TOTAL ESTACIONES'!R101</f>
        <v>28354</v>
      </c>
      <c r="S101" s="65">
        <f>'TOTAL ESTACIONES'!S101</f>
        <v>29513.666666666668</v>
      </c>
      <c r="T101" s="65">
        <f>'TOTAL ESTACIONES'!T101</f>
        <v>28693.222222222223</v>
      </c>
      <c r="U101" s="65">
        <f>'TOTAL ESTACIONES'!U101</f>
        <v>28853.629629629631</v>
      </c>
      <c r="V101" s="65">
        <f>'TOTAL ESTACIONES'!V101</f>
        <v>345134.51851851854</v>
      </c>
      <c r="W101" s="73">
        <f>'TOTAL ESTACIONES'!W101</f>
        <v>3.8512433038070232E-4</v>
      </c>
      <c r="X101" s="89"/>
      <c r="Y101" s="65">
        <f>'TOTAL ESTACIONES'!Y101</f>
        <v>31123.512153000003</v>
      </c>
      <c r="Z101" s="65">
        <f>'TOTAL ESTACIONES'!Z101</f>
        <v>28111.559364000001</v>
      </c>
      <c r="AA101" s="65">
        <f>'TOTAL ESTACIONES'!AA101</f>
        <v>31123.512153000003</v>
      </c>
      <c r="AB101" s="65">
        <f>'TOTAL ESTACIONES'!AB101</f>
        <v>30119.527889999998</v>
      </c>
      <c r="AC101" s="65">
        <f>'TOTAL ESTACIONES'!AC101</f>
        <v>31123.512153000003</v>
      </c>
      <c r="AD101" s="65">
        <f>'TOTAL ESTACIONES'!AD101</f>
        <v>30119.527889999998</v>
      </c>
      <c r="AE101" s="65">
        <f>'TOTAL ESTACIONES'!AE101</f>
        <v>31123.512153000003</v>
      </c>
      <c r="AF101" s="65">
        <f>'TOTAL ESTACIONES'!AF101</f>
        <v>31123.512153000003</v>
      </c>
      <c r="AG101" s="65">
        <f>'TOTAL ESTACIONES'!AG101</f>
        <v>30119.527889999998</v>
      </c>
      <c r="AH101" s="65">
        <f>'TOTAL ESTACIONES'!AH101</f>
        <v>31123.512153000003</v>
      </c>
      <c r="AI101" s="65">
        <f>'TOTAL ESTACIONES'!AI101</f>
        <v>30119.527889999998</v>
      </c>
      <c r="AJ101" s="65">
        <f>'TOTAL ESTACIONES'!AJ101</f>
        <v>31123.512153000003</v>
      </c>
      <c r="AK101" s="65">
        <f>'TOTAL ESTACIONES'!AK101</f>
        <v>366454.25599500001</v>
      </c>
      <c r="AL101" s="73">
        <f>'TOTAL ESTACIONES'!AL101</f>
        <v>3.8046357969782695E-4</v>
      </c>
      <c r="AM101" s="14">
        <f>'TOTAL ESTACIONES'!AM101</f>
        <v>6.1772254968862406E-2</v>
      </c>
      <c r="AN101" s="89"/>
      <c r="AO101" s="254">
        <f>+AK101-V101</f>
        <v>21319.737476481474</v>
      </c>
      <c r="AS101" s="65">
        <v>366454.25599500001</v>
      </c>
    </row>
    <row r="102" spans="1:45" ht="15" hidden="1" customHeight="1" outlineLevel="1">
      <c r="A102" s="12" t="s">
        <v>215</v>
      </c>
      <c r="B102" s="8" t="s">
        <v>88</v>
      </c>
      <c r="I102" s="246" t="s">
        <v>207</v>
      </c>
      <c r="J102" s="65">
        <f>'TOTAL ESTACIONES'!J102</f>
        <v>11283</v>
      </c>
      <c r="K102" s="65">
        <f>'TOTAL ESTACIONES'!K102</f>
        <v>10890</v>
      </c>
      <c r="L102" s="65">
        <f>'TOTAL ESTACIONES'!L102</f>
        <v>12867</v>
      </c>
      <c r="M102" s="65">
        <f>'TOTAL ESTACIONES'!M102</f>
        <v>12307</v>
      </c>
      <c r="N102" s="65">
        <f>'TOTAL ESTACIONES'!N102</f>
        <v>12562</v>
      </c>
      <c r="O102" s="65">
        <f>'TOTAL ESTACIONES'!O102</f>
        <v>12107</v>
      </c>
      <c r="P102" s="65">
        <f>'TOTAL ESTACIONES'!P102</f>
        <v>12869</v>
      </c>
      <c r="Q102" s="65">
        <f>'TOTAL ESTACIONES'!Q102</f>
        <v>12780</v>
      </c>
      <c r="R102" s="65">
        <f>'TOTAL ESTACIONES'!R102</f>
        <v>12359</v>
      </c>
      <c r="S102" s="65">
        <f>'TOTAL ESTACIONES'!S102</f>
        <v>12765.666666666666</v>
      </c>
      <c r="T102" s="65">
        <f>'TOTAL ESTACIONES'!T102</f>
        <v>12634.888888888891</v>
      </c>
      <c r="U102" s="65">
        <f>'TOTAL ESTACIONES'!U102</f>
        <v>12586.51851851852</v>
      </c>
      <c r="V102" s="65">
        <f>'TOTAL ESTACIONES'!V102</f>
        <v>148011.07407407407</v>
      </c>
      <c r="W102" s="73">
        <f>'TOTAL ESTACIONES'!W102</f>
        <v>1.6516072062681196E-4</v>
      </c>
      <c r="X102" s="89"/>
      <c r="Y102" s="65">
        <f>'TOTAL ESTACIONES'!Y102</f>
        <v>11819.787050856163</v>
      </c>
      <c r="Z102" s="65">
        <f>'TOTAL ESTACIONES'!Z102</f>
        <v>10675.936691095892</v>
      </c>
      <c r="AA102" s="65">
        <f>'TOTAL ESTACIONES'!AA102</f>
        <v>11819.787050856163</v>
      </c>
      <c r="AB102" s="65">
        <f>'TOTAL ESTACIONES'!AB102</f>
        <v>11438.503597602739</v>
      </c>
      <c r="AC102" s="65">
        <f>'TOTAL ESTACIONES'!AC102</f>
        <v>11819.787050856163</v>
      </c>
      <c r="AD102" s="65">
        <f>'TOTAL ESTACIONES'!AD102</f>
        <v>11438.503597602739</v>
      </c>
      <c r="AE102" s="65">
        <f>'TOTAL ESTACIONES'!AE102</f>
        <v>11819.787050856163</v>
      </c>
      <c r="AF102" s="65">
        <f>'TOTAL ESTACIONES'!AF102</f>
        <v>11819.787050856163</v>
      </c>
      <c r="AG102" s="65">
        <f>'TOTAL ESTACIONES'!AG102</f>
        <v>11438.503597602739</v>
      </c>
      <c r="AH102" s="65">
        <f>'TOTAL ESTACIONES'!AH102</f>
        <v>11819.787050856163</v>
      </c>
      <c r="AI102" s="65">
        <f>'TOTAL ESTACIONES'!AI102</f>
        <v>11438.503597602739</v>
      </c>
      <c r="AJ102" s="65">
        <f>'TOTAL ESTACIONES'!AJ102</f>
        <v>11819.787050856163</v>
      </c>
      <c r="AK102" s="65">
        <f>'TOTAL ESTACIONES'!AK102</f>
        <v>139168.46043750001</v>
      </c>
      <c r="AL102" s="73">
        <f>'TOTAL ESTACIONES'!AL102</f>
        <v>1.4448878617965649E-4</v>
      </c>
      <c r="AM102" s="14">
        <f>'TOTAL ESTACIONES'!AM102</f>
        <v>-5.9742919182848908E-2</v>
      </c>
      <c r="AN102" s="89"/>
      <c r="AO102" s="254">
        <f>+AK102-V102</f>
        <v>-8842.6136365740676</v>
      </c>
      <c r="AS102" s="65">
        <v>139168.46043750001</v>
      </c>
    </row>
    <row r="103" spans="1:45" hidden="1" outlineLevel="1">
      <c r="A103" s="12" t="s">
        <v>221</v>
      </c>
      <c r="B103" s="8" t="s">
        <v>88</v>
      </c>
      <c r="C103" s="8" t="s">
        <v>222</v>
      </c>
      <c r="I103" s="246" t="s">
        <v>208</v>
      </c>
      <c r="J103" s="65">
        <f>'TOTAL ESTACIONES'!J103</f>
        <v>0</v>
      </c>
      <c r="K103" s="65">
        <f>'TOTAL ESTACIONES'!K103</f>
        <v>0</v>
      </c>
      <c r="L103" s="65">
        <f>'TOTAL ESTACIONES'!L103</f>
        <v>48937</v>
      </c>
      <c r="M103" s="65">
        <f>'TOTAL ESTACIONES'!M103</f>
        <v>0</v>
      </c>
      <c r="N103" s="65">
        <f>'TOTAL ESTACIONES'!N103</f>
        <v>0</v>
      </c>
      <c r="O103" s="65">
        <f>'TOTAL ESTACIONES'!O103</f>
        <v>0</v>
      </c>
      <c r="P103" s="65">
        <f>'TOTAL ESTACIONES'!P103</f>
        <v>8036</v>
      </c>
      <c r="Q103" s="65">
        <f>'TOTAL ESTACIONES'!Q103</f>
        <v>0</v>
      </c>
      <c r="R103" s="65">
        <f>'TOTAL ESTACIONES'!R103</f>
        <v>0</v>
      </c>
      <c r="S103" s="65">
        <f>'TOTAL ESTACIONES'!S103</f>
        <v>0</v>
      </c>
      <c r="T103" s="65">
        <f>'TOTAL ESTACIONES'!T103</f>
        <v>0</v>
      </c>
      <c r="U103" s="65">
        <f>'TOTAL ESTACIONES'!U103</f>
        <v>0</v>
      </c>
      <c r="V103" s="65">
        <f>'TOTAL ESTACIONES'!V103</f>
        <v>56973</v>
      </c>
      <c r="W103" s="73">
        <f>'TOTAL ESTACIONES'!W103</f>
        <v>6.3574308849094301E-5</v>
      </c>
      <c r="X103" s="89"/>
      <c r="Y103" s="65">
        <f>'TOTAL ESTACIONES'!Y103</f>
        <v>0</v>
      </c>
      <c r="Z103" s="65">
        <f>'TOTAL ESTACIONES'!Z103</f>
        <v>0</v>
      </c>
      <c r="AA103" s="65">
        <f>'TOTAL ESTACIONES'!AA103</f>
        <v>0</v>
      </c>
      <c r="AB103" s="65">
        <f>'TOTAL ESTACIONES'!AB103</f>
        <v>0</v>
      </c>
      <c r="AC103" s="65">
        <f>'TOTAL ESTACIONES'!AC103</f>
        <v>0</v>
      </c>
      <c r="AD103" s="65">
        <f>'TOTAL ESTACIONES'!AD103</f>
        <v>0</v>
      </c>
      <c r="AE103" s="65">
        <f>'TOTAL ESTACIONES'!AE103</f>
        <v>0</v>
      </c>
      <c r="AF103" s="65">
        <f>'TOTAL ESTACIONES'!AF103</f>
        <v>0</v>
      </c>
      <c r="AG103" s="65">
        <f>'TOTAL ESTACIONES'!AG103</f>
        <v>0</v>
      </c>
      <c r="AH103" s="65">
        <f>'TOTAL ESTACIONES'!AH103</f>
        <v>0</v>
      </c>
      <c r="AI103" s="65">
        <f>'TOTAL ESTACIONES'!AI103</f>
        <v>0</v>
      </c>
      <c r="AJ103" s="65">
        <f>'TOTAL ESTACIONES'!AJ103</f>
        <v>0</v>
      </c>
      <c r="AK103" s="65">
        <f>'TOTAL ESTACIONES'!AK103</f>
        <v>0</v>
      </c>
      <c r="AL103" s="73">
        <f>'TOTAL ESTACIONES'!AL103</f>
        <v>0</v>
      </c>
      <c r="AM103" s="14">
        <f>'TOTAL ESTACIONES'!AM103</f>
        <v>-1</v>
      </c>
      <c r="AN103" s="89"/>
      <c r="AO103" s="254">
        <f>+AK103-V103</f>
        <v>-56973</v>
      </c>
      <c r="AS103" s="65">
        <v>0</v>
      </c>
    </row>
    <row r="104" spans="1:45" ht="15" hidden="1" customHeight="1" outlineLevel="1">
      <c r="A104" s="12" t="s">
        <v>221</v>
      </c>
      <c r="B104" s="8" t="s">
        <v>88</v>
      </c>
      <c r="I104" s="246" t="s">
        <v>209</v>
      </c>
      <c r="J104" s="65">
        <f>'TOTAL ESTACIONES'!J104</f>
        <v>0</v>
      </c>
      <c r="K104" s="65">
        <f>'TOTAL ESTACIONES'!K104</f>
        <v>0</v>
      </c>
      <c r="L104" s="65">
        <f>'TOTAL ESTACIONES'!L104</f>
        <v>27500</v>
      </c>
      <c r="M104" s="65">
        <f>'TOTAL ESTACIONES'!M104</f>
        <v>0</v>
      </c>
      <c r="N104" s="65">
        <f>'TOTAL ESTACIONES'!N104</f>
        <v>0</v>
      </c>
      <c r="O104" s="65">
        <f>'TOTAL ESTACIONES'!O104</f>
        <v>0</v>
      </c>
      <c r="P104" s="65">
        <f>'TOTAL ESTACIONES'!P104</f>
        <v>0</v>
      </c>
      <c r="Q104" s="65">
        <f>'TOTAL ESTACIONES'!Q104</f>
        <v>0</v>
      </c>
      <c r="R104" s="65">
        <f>'TOTAL ESTACIONES'!R104</f>
        <v>0</v>
      </c>
      <c r="S104" s="65">
        <f>'TOTAL ESTACIONES'!S104</f>
        <v>0</v>
      </c>
      <c r="T104" s="65">
        <f>'TOTAL ESTACIONES'!T104</f>
        <v>0</v>
      </c>
      <c r="U104" s="65">
        <f>'TOTAL ESTACIONES'!U104</f>
        <v>0</v>
      </c>
      <c r="V104" s="65">
        <f>'TOTAL ESTACIONES'!V104</f>
        <v>27500</v>
      </c>
      <c r="W104" s="73">
        <f>'TOTAL ESTACIONES'!W104</f>
        <v>3.0686351312904241E-5</v>
      </c>
      <c r="X104" s="89"/>
      <c r="Y104" s="65">
        <f>'TOTAL ESTACIONES'!Y104</f>
        <v>0</v>
      </c>
      <c r="Z104" s="65">
        <f>'TOTAL ESTACIONES'!Z104</f>
        <v>0</v>
      </c>
      <c r="AA104" s="65">
        <f>'TOTAL ESTACIONES'!AA104</f>
        <v>0</v>
      </c>
      <c r="AB104" s="65">
        <f>'TOTAL ESTACIONES'!AB104</f>
        <v>0</v>
      </c>
      <c r="AC104" s="65">
        <f>'TOTAL ESTACIONES'!AC104</f>
        <v>0</v>
      </c>
      <c r="AD104" s="65">
        <f>'TOTAL ESTACIONES'!AD104</f>
        <v>0</v>
      </c>
      <c r="AE104" s="65">
        <f>'TOTAL ESTACIONES'!AE104</f>
        <v>0</v>
      </c>
      <c r="AF104" s="65">
        <f>'TOTAL ESTACIONES'!AF104</f>
        <v>0</v>
      </c>
      <c r="AG104" s="65">
        <f>'TOTAL ESTACIONES'!AG104</f>
        <v>0</v>
      </c>
      <c r="AH104" s="65">
        <f>'TOTAL ESTACIONES'!AH104</f>
        <v>0</v>
      </c>
      <c r="AI104" s="65">
        <f>'TOTAL ESTACIONES'!AI104</f>
        <v>0</v>
      </c>
      <c r="AJ104" s="65">
        <f>'TOTAL ESTACIONES'!AJ104</f>
        <v>0</v>
      </c>
      <c r="AK104" s="65">
        <f>'TOTAL ESTACIONES'!AK104</f>
        <v>0</v>
      </c>
      <c r="AL104" s="73">
        <f>'TOTAL ESTACIONES'!AL104</f>
        <v>0</v>
      </c>
      <c r="AM104" s="14">
        <f>'TOTAL ESTACIONES'!AM104</f>
        <v>-1</v>
      </c>
      <c r="AN104" s="89"/>
      <c r="AO104" s="254">
        <f>+AK104-V104</f>
        <v>-27500</v>
      </c>
      <c r="AS104" s="65">
        <v>0</v>
      </c>
    </row>
    <row r="105" spans="1:45" ht="15" hidden="1" customHeight="1" outlineLevel="1">
      <c r="A105" s="12"/>
      <c r="I105" s="246" t="s">
        <v>210</v>
      </c>
      <c r="J105" s="65">
        <f>'TOTAL ESTACIONES'!J105</f>
        <v>105</v>
      </c>
      <c r="K105" s="65">
        <f>'TOTAL ESTACIONES'!K105</f>
        <v>0</v>
      </c>
      <c r="L105" s="65">
        <f>'TOTAL ESTACIONES'!L105</f>
        <v>0</v>
      </c>
      <c r="M105" s="65">
        <f>'TOTAL ESTACIONES'!M105</f>
        <v>0</v>
      </c>
      <c r="N105" s="65">
        <f>'TOTAL ESTACIONES'!N105</f>
        <v>840</v>
      </c>
      <c r="O105" s="65">
        <f>'TOTAL ESTACIONES'!O105</f>
        <v>0</v>
      </c>
      <c r="P105" s="65">
        <f>'TOTAL ESTACIONES'!P105</f>
        <v>0</v>
      </c>
      <c r="Q105" s="65">
        <f>'TOTAL ESTACIONES'!Q105</f>
        <v>0</v>
      </c>
      <c r="R105" s="65">
        <f>'TOTAL ESTACIONES'!R105</f>
        <v>0</v>
      </c>
      <c r="S105" s="65">
        <f>'TOTAL ESTACIONES'!S105</f>
        <v>0</v>
      </c>
      <c r="T105" s="65">
        <f>'TOTAL ESTACIONES'!T105</f>
        <v>0</v>
      </c>
      <c r="U105" s="65">
        <f>'TOTAL ESTACIONES'!U105</f>
        <v>0</v>
      </c>
      <c r="V105" s="65">
        <f>'TOTAL ESTACIONES'!V105</f>
        <v>945</v>
      </c>
      <c r="W105" s="73">
        <f>'TOTAL ESTACIONES'!W105</f>
        <v>1.0544946178434365E-6</v>
      </c>
      <c r="X105" s="89"/>
      <c r="Y105" s="65">
        <f>'TOTAL ESTACIONES'!Y105</f>
        <v>0</v>
      </c>
      <c r="Z105" s="65">
        <f>'TOTAL ESTACIONES'!Z105</f>
        <v>0</v>
      </c>
      <c r="AA105" s="65">
        <f>'TOTAL ESTACIONES'!AA105</f>
        <v>0</v>
      </c>
      <c r="AB105" s="65">
        <f>'TOTAL ESTACIONES'!AB105</f>
        <v>0</v>
      </c>
      <c r="AC105" s="65">
        <f>'TOTAL ESTACIONES'!AC105</f>
        <v>0</v>
      </c>
      <c r="AD105" s="65">
        <f>'TOTAL ESTACIONES'!AD105</f>
        <v>0</v>
      </c>
      <c r="AE105" s="65">
        <f>'TOTAL ESTACIONES'!AE105</f>
        <v>0</v>
      </c>
      <c r="AF105" s="65">
        <f>'TOTAL ESTACIONES'!AF105</f>
        <v>0</v>
      </c>
      <c r="AG105" s="65">
        <f>'TOTAL ESTACIONES'!AG105</f>
        <v>0</v>
      </c>
      <c r="AH105" s="65">
        <f>'TOTAL ESTACIONES'!AH105</f>
        <v>0</v>
      </c>
      <c r="AI105" s="65">
        <f>'TOTAL ESTACIONES'!AI105</f>
        <v>0</v>
      </c>
      <c r="AJ105" s="65">
        <f>'TOTAL ESTACIONES'!AJ105</f>
        <v>0</v>
      </c>
      <c r="AK105" s="65">
        <f>'TOTAL ESTACIONES'!AK105</f>
        <v>0</v>
      </c>
      <c r="AL105" s="73">
        <f>'TOTAL ESTACIONES'!AL105</f>
        <v>0</v>
      </c>
      <c r="AM105" s="14">
        <f>'TOTAL ESTACIONES'!AM105</f>
        <v>-1</v>
      </c>
      <c r="AN105" s="89"/>
      <c r="AO105" s="254">
        <f>+AK105-V105</f>
        <v>-945</v>
      </c>
      <c r="AS105" s="65">
        <v>0</v>
      </c>
    </row>
    <row r="106" spans="1:45" ht="15" hidden="1" customHeight="1" outlineLevel="1">
      <c r="A106" s="12"/>
      <c r="I106" s="246" t="s">
        <v>211</v>
      </c>
      <c r="J106" s="65">
        <f>'TOTAL ESTACIONES'!J106</f>
        <v>985894</v>
      </c>
      <c r="K106" s="65">
        <f>'TOTAL ESTACIONES'!K106</f>
        <v>1014060</v>
      </c>
      <c r="L106" s="65">
        <f>'TOTAL ESTACIONES'!L106</f>
        <v>1218466</v>
      </c>
      <c r="M106" s="65">
        <f>'TOTAL ESTACIONES'!M106</f>
        <v>1096607</v>
      </c>
      <c r="N106" s="65">
        <f>'TOTAL ESTACIONES'!N106</f>
        <v>1122135</v>
      </c>
      <c r="O106" s="65">
        <f>'TOTAL ESTACIONES'!O106</f>
        <v>1129611</v>
      </c>
      <c r="P106" s="65">
        <f>'TOTAL ESTACIONES'!P106</f>
        <v>1153649</v>
      </c>
      <c r="Q106" s="65">
        <f>'TOTAL ESTACIONES'!Q106</f>
        <v>1188557</v>
      </c>
      <c r="R106" s="65">
        <f>'TOTAL ESTACIONES'!R106</f>
        <v>1109235</v>
      </c>
      <c r="S106" s="65">
        <f>'TOTAL ESTACIONES'!S106</f>
        <v>1154486</v>
      </c>
      <c r="T106" s="65">
        <f>'TOTAL ESTACIONES'!T106</f>
        <v>1150759.3333333333</v>
      </c>
      <c r="U106" s="65">
        <f>'TOTAL ESTACIONES'!U106</f>
        <v>1138160.111111111</v>
      </c>
      <c r="V106" s="294">
        <f>'TOTAL ESTACIONES'!V106</f>
        <v>13461619.444444444</v>
      </c>
      <c r="W106" s="73">
        <f>'TOTAL ESTACIONES'!W106</f>
        <v>1.5021381218648908E-2</v>
      </c>
      <c r="X106" s="89"/>
      <c r="Y106" s="65">
        <f>'TOTAL ESTACIONES'!Y106</f>
        <v>1327453.0072499998</v>
      </c>
      <c r="Z106" s="65">
        <f>'TOTAL ESTACIONES'!Z106</f>
        <v>1198989.8129999998</v>
      </c>
      <c r="AA106" s="65">
        <f>'TOTAL ESTACIONES'!AA106</f>
        <v>1327453.0072499998</v>
      </c>
      <c r="AB106" s="65">
        <f>'TOTAL ESTACIONES'!AB106</f>
        <v>1284631.9424999999</v>
      </c>
      <c r="AC106" s="65">
        <f>'TOTAL ESTACIONES'!AC106</f>
        <v>1327453.0072499998</v>
      </c>
      <c r="AD106" s="65">
        <f>'TOTAL ESTACIONES'!AD106</f>
        <v>1284631.9424999999</v>
      </c>
      <c r="AE106" s="65">
        <f>'TOTAL ESTACIONES'!AE106</f>
        <v>1327453.0072499998</v>
      </c>
      <c r="AF106" s="65">
        <f>'TOTAL ESTACIONES'!AF106</f>
        <v>1327453.0072499998</v>
      </c>
      <c r="AG106" s="65">
        <f>'TOTAL ESTACIONES'!AG106</f>
        <v>1284631.9424999999</v>
      </c>
      <c r="AH106" s="65">
        <f>'TOTAL ESTACIONES'!AH106</f>
        <v>1327453.0072499998</v>
      </c>
      <c r="AI106" s="65">
        <f>'TOTAL ESTACIONES'!AI106</f>
        <v>1284631.9424999999</v>
      </c>
      <c r="AJ106" s="65">
        <f>'TOTAL ESTACIONES'!AJ106</f>
        <v>1327453.0072499998</v>
      </c>
      <c r="AK106" s="294">
        <f>'TOTAL ESTACIONES'!AK106</f>
        <v>15629688.633749995</v>
      </c>
      <c r="AL106" s="73">
        <f>'TOTAL ESTACIONES'!AL106</f>
        <v>1.62272021401768E-2</v>
      </c>
      <c r="AM106" s="14">
        <f>'TOTAL ESTACIONES'!AM106</f>
        <v>0.16105559945837755</v>
      </c>
      <c r="AN106" s="89"/>
      <c r="AO106" s="254">
        <f>+AK106-V106</f>
        <v>2168069.1893055514</v>
      </c>
      <c r="AQ106" s="254">
        <f>V106+V107+V108</f>
        <v>14383185.296296295</v>
      </c>
      <c r="AR106" s="129">
        <f>AK106</f>
        <v>15629688.633749995</v>
      </c>
      <c r="AS106" s="294">
        <v>15629688.633749995</v>
      </c>
    </row>
    <row r="107" spans="1:45" ht="15" hidden="1" customHeight="1" outlineLevel="1">
      <c r="A107" s="12"/>
      <c r="I107" s="246" t="s">
        <v>213</v>
      </c>
      <c r="J107" s="65">
        <f>'TOTAL ESTACIONES'!J107</f>
        <v>21210</v>
      </c>
      <c r="K107" s="65">
        <f>'TOTAL ESTACIONES'!K107</f>
        <v>20160</v>
      </c>
      <c r="L107" s="65">
        <f>'TOTAL ESTACIONES'!L107</f>
        <v>18165</v>
      </c>
      <c r="M107" s="65">
        <f>'TOTAL ESTACIONES'!M107</f>
        <v>27510</v>
      </c>
      <c r="N107" s="65">
        <f>'TOTAL ESTACIONES'!N107</f>
        <v>27930</v>
      </c>
      <c r="O107" s="65">
        <f>'TOTAL ESTACIONES'!O107</f>
        <v>23730</v>
      </c>
      <c r="P107" s="65">
        <f>'TOTAL ESTACIONES'!P107</f>
        <v>31080</v>
      </c>
      <c r="Q107" s="65">
        <f>'TOTAL ESTACIONES'!Q107</f>
        <v>14490</v>
      </c>
      <c r="R107" s="65">
        <f>'TOTAL ESTACIONES'!R107</f>
        <v>27615</v>
      </c>
      <c r="S107" s="65">
        <f>'TOTAL ESTACIONES'!S107</f>
        <v>26005</v>
      </c>
      <c r="T107" s="65">
        <f>'TOTAL ESTACIONES'!T107</f>
        <v>22703.333333333332</v>
      </c>
      <c r="U107" s="65">
        <f>'TOTAL ESTACIONES'!U107</f>
        <v>25441.111111111113</v>
      </c>
      <c r="V107" s="65">
        <f>'TOTAL ESTACIONES'!V107</f>
        <v>286039.44444444444</v>
      </c>
      <c r="W107" s="73">
        <f>'TOTAL ESTACIONES'!W107</f>
        <v>3.191820684207337E-4</v>
      </c>
      <c r="X107" s="89"/>
      <c r="Y107" s="65">
        <f>'TOTAL ESTACIONES'!Y107</f>
        <v>0</v>
      </c>
      <c r="Z107" s="65">
        <f>'TOTAL ESTACIONES'!Z107</f>
        <v>0</v>
      </c>
      <c r="AA107" s="65">
        <f>'TOTAL ESTACIONES'!AA107</f>
        <v>0</v>
      </c>
      <c r="AB107" s="65">
        <f>'TOTAL ESTACIONES'!AB107</f>
        <v>0</v>
      </c>
      <c r="AC107" s="65">
        <f>'TOTAL ESTACIONES'!AC107</f>
        <v>0</v>
      </c>
      <c r="AD107" s="65">
        <f>'TOTAL ESTACIONES'!AD107</f>
        <v>0</v>
      </c>
      <c r="AE107" s="65">
        <f>'TOTAL ESTACIONES'!AE107</f>
        <v>0</v>
      </c>
      <c r="AF107" s="65">
        <f>'TOTAL ESTACIONES'!AF107</f>
        <v>0</v>
      </c>
      <c r="AG107" s="65">
        <f>'TOTAL ESTACIONES'!AG107</f>
        <v>0</v>
      </c>
      <c r="AH107" s="65">
        <f>'TOTAL ESTACIONES'!AH107</f>
        <v>0</v>
      </c>
      <c r="AI107" s="65">
        <f>'TOTAL ESTACIONES'!AI107</f>
        <v>0</v>
      </c>
      <c r="AJ107" s="65">
        <f>'TOTAL ESTACIONES'!AJ107</f>
        <v>0</v>
      </c>
      <c r="AK107" s="65">
        <f>'TOTAL ESTACIONES'!AK107</f>
        <v>0</v>
      </c>
      <c r="AL107" s="73">
        <f>'TOTAL ESTACIONES'!AL107</f>
        <v>0</v>
      </c>
      <c r="AM107" s="14">
        <f>'TOTAL ESTACIONES'!AM107</f>
        <v>-1</v>
      </c>
      <c r="AN107" s="89"/>
      <c r="AO107" s="254">
        <f>+AK107-V107</f>
        <v>-286039.44444444444</v>
      </c>
      <c r="AS107" s="65">
        <v>0</v>
      </c>
    </row>
    <row r="108" spans="1:45" ht="15" hidden="1" customHeight="1" outlineLevel="1">
      <c r="A108" s="12"/>
      <c r="I108" s="246" t="s">
        <v>214</v>
      </c>
      <c r="J108" s="65">
        <f>'TOTAL ESTACIONES'!J108</f>
        <v>44866</v>
      </c>
      <c r="K108" s="65">
        <f>'TOTAL ESTACIONES'!K108</f>
        <v>43559</v>
      </c>
      <c r="L108" s="65">
        <f>'TOTAL ESTACIONES'!L108</f>
        <v>51462</v>
      </c>
      <c r="M108" s="65">
        <f>'TOTAL ESTACIONES'!M108</f>
        <v>92996</v>
      </c>
      <c r="N108" s="65">
        <f>'TOTAL ESTACIONES'!N108</f>
        <v>50241</v>
      </c>
      <c r="O108" s="65">
        <f>'TOTAL ESTACIONES'!O108</f>
        <v>48429</v>
      </c>
      <c r="P108" s="65">
        <f>'TOTAL ESTACIONES'!P108</f>
        <v>51473</v>
      </c>
      <c r="Q108" s="65">
        <f>'TOTAL ESTACIONES'!Q108</f>
        <v>51121</v>
      </c>
      <c r="R108" s="65">
        <f>'TOTAL ESTACIONES'!R108</f>
        <v>49436</v>
      </c>
      <c r="S108" s="65">
        <f>'TOTAL ESTACIONES'!S108</f>
        <v>51059.666666666664</v>
      </c>
      <c r="T108" s="65">
        <f>'TOTAL ESTACIONES'!T108</f>
        <v>50538.888888888891</v>
      </c>
      <c r="U108" s="65">
        <f>'TOTAL ESTACIONES'!U108</f>
        <v>50344.851851851854</v>
      </c>
      <c r="V108" s="65">
        <f>'TOTAL ESTACIONES'!V108</f>
        <v>635526.40740740742</v>
      </c>
      <c r="W108" s="73">
        <f>'TOTAL ESTACIONES'!W108</f>
        <v>7.0916314932114948E-4</v>
      </c>
      <c r="X108" s="89"/>
      <c r="Y108" s="65">
        <f>'TOTAL ESTACIONES'!Y108</f>
        <v>0</v>
      </c>
      <c r="Z108" s="65">
        <f>'TOTAL ESTACIONES'!Z108</f>
        <v>0</v>
      </c>
      <c r="AA108" s="65">
        <f>'TOTAL ESTACIONES'!AA108</f>
        <v>0</v>
      </c>
      <c r="AB108" s="65">
        <f>'TOTAL ESTACIONES'!AB108</f>
        <v>0</v>
      </c>
      <c r="AC108" s="65">
        <f>'TOTAL ESTACIONES'!AC108</f>
        <v>0</v>
      </c>
      <c r="AD108" s="65">
        <f>'TOTAL ESTACIONES'!AD108</f>
        <v>0</v>
      </c>
      <c r="AE108" s="65">
        <f>'TOTAL ESTACIONES'!AE108</f>
        <v>0</v>
      </c>
      <c r="AF108" s="65">
        <f>'TOTAL ESTACIONES'!AF108</f>
        <v>0</v>
      </c>
      <c r="AG108" s="65">
        <f>'TOTAL ESTACIONES'!AG108</f>
        <v>0</v>
      </c>
      <c r="AH108" s="65">
        <f>'TOTAL ESTACIONES'!AH108</f>
        <v>0</v>
      </c>
      <c r="AI108" s="65">
        <f>'TOTAL ESTACIONES'!AI108</f>
        <v>0</v>
      </c>
      <c r="AJ108" s="65">
        <f>'TOTAL ESTACIONES'!AJ108</f>
        <v>0</v>
      </c>
      <c r="AK108" s="65">
        <f>'TOTAL ESTACIONES'!AK108</f>
        <v>0</v>
      </c>
      <c r="AL108" s="73">
        <f>'TOTAL ESTACIONES'!AL108</f>
        <v>0</v>
      </c>
      <c r="AM108" s="14">
        <f>'TOTAL ESTACIONES'!AM108</f>
        <v>-1</v>
      </c>
      <c r="AN108" s="89"/>
      <c r="AO108" s="254">
        <f>+AK108-V108</f>
        <v>-635526.40740740742</v>
      </c>
      <c r="AS108" s="65">
        <v>0</v>
      </c>
    </row>
    <row r="109" spans="1:45" ht="15" customHeight="1" collapsed="1">
      <c r="A109" s="12"/>
      <c r="I109" s="167" t="s">
        <v>216</v>
      </c>
      <c r="J109" s="15">
        <f>'TOTAL ESTACIONES'!J109</f>
        <v>353486</v>
      </c>
      <c r="K109" s="15">
        <f>'TOTAL ESTACIONES'!K109</f>
        <v>340649</v>
      </c>
      <c r="L109" s="15">
        <f>'TOTAL ESTACIONES'!L109</f>
        <v>419080</v>
      </c>
      <c r="M109" s="15">
        <f>'TOTAL ESTACIONES'!M109</f>
        <v>383332</v>
      </c>
      <c r="N109" s="15">
        <f>'TOTAL ESTACIONES'!N109</f>
        <v>395156</v>
      </c>
      <c r="O109" s="15">
        <f>'TOTAL ESTACIONES'!O109</f>
        <v>383925</v>
      </c>
      <c r="P109" s="15">
        <f>'TOTAL ESTACIONES'!P109</f>
        <v>410214</v>
      </c>
      <c r="Q109" s="15">
        <f>'TOTAL ESTACIONES'!Q109</f>
        <v>415401</v>
      </c>
      <c r="R109" s="15">
        <f>'TOTAL ESTACIONES'!R109</f>
        <v>392382</v>
      </c>
      <c r="S109" s="15">
        <f>'TOTAL ESTACIONES'!S109</f>
        <v>397984</v>
      </c>
      <c r="T109" s="15">
        <f>'TOTAL ESTACIONES'!T109</f>
        <v>401922.33333333337</v>
      </c>
      <c r="U109" s="15">
        <f>'TOTAL ESTACIONES'!U109</f>
        <v>397429.44444444444</v>
      </c>
      <c r="V109" s="15">
        <f>'TOTAL ESTACIONES'!V109</f>
        <v>4690960.7777777771</v>
      </c>
      <c r="W109" s="72">
        <f>'TOTAL ESTACIONES'!W109</f>
        <v>5.2344898335252134E-3</v>
      </c>
      <c r="X109" s="89"/>
      <c r="Y109" s="15">
        <f>'TOTAL ESTACIONES'!Y109</f>
        <v>471526.88894253748</v>
      </c>
      <c r="Z109" s="15">
        <f>'TOTAL ESTACIONES'!Z109</f>
        <v>436139.39637838094</v>
      </c>
      <c r="AA109" s="15">
        <f>'TOTAL ESTACIONES'!AA109</f>
        <v>471526.88894253748</v>
      </c>
      <c r="AB109" s="15">
        <f>'TOTAL ESTACIONES'!AB109</f>
        <v>448741.65872011916</v>
      </c>
      <c r="AC109" s="15">
        <f>'TOTAL ESTACIONES'!AC109</f>
        <v>471526.88894253748</v>
      </c>
      <c r="AD109" s="15">
        <f>'TOTAL ESTACIONES'!AD109</f>
        <v>448741.65872011916</v>
      </c>
      <c r="AE109" s="15">
        <f>'TOTAL ESTACIONES'!AE109</f>
        <v>460537.48957483796</v>
      </c>
      <c r="AF109" s="15">
        <f>'TOTAL ESTACIONES'!AF109</f>
        <v>460537.48957483796</v>
      </c>
      <c r="AG109" s="15">
        <f>'TOTAL ESTACIONES'!AG109</f>
        <v>459731.05808781873</v>
      </c>
      <c r="AH109" s="15">
        <f>'TOTAL ESTACIONES'!AH109</f>
        <v>460537.48957483796</v>
      </c>
      <c r="AI109" s="15">
        <f>'TOTAL ESTACIONES'!AI109</f>
        <v>459731.05808781873</v>
      </c>
      <c r="AJ109" s="15">
        <f>'TOTAL ESTACIONES'!AJ109</f>
        <v>471526.88894253748</v>
      </c>
      <c r="AK109" s="15">
        <f>'TOTAL ESTACIONES'!AK109</f>
        <v>5520804.8544889204</v>
      </c>
      <c r="AL109" s="72">
        <f>'TOTAL ESTACIONES'!AL109</f>
        <v>5.7318618719512278E-3</v>
      </c>
      <c r="AM109" s="10">
        <f>'TOTAL ESTACIONES'!AM109</f>
        <v>0.17690279582858937</v>
      </c>
      <c r="AN109" s="89"/>
      <c r="AO109" s="254">
        <f>+AK109-V109</f>
        <v>829844.07671114337</v>
      </c>
      <c r="AS109" s="15">
        <v>5520804.8544889204</v>
      </c>
    </row>
    <row r="110" spans="1:45" ht="15" hidden="1" customHeight="1" outlineLevel="1">
      <c r="A110" s="12"/>
      <c r="I110" s="246" t="s">
        <v>217</v>
      </c>
      <c r="J110" s="65">
        <f>'TOTAL ESTACIONES'!J110</f>
        <v>66724</v>
      </c>
      <c r="K110" s="65">
        <f>'TOTAL ESTACIONES'!K110</f>
        <v>63891</v>
      </c>
      <c r="L110" s="65">
        <f>'TOTAL ESTACIONES'!L110</f>
        <v>78202</v>
      </c>
      <c r="M110" s="65">
        <f>'TOTAL ESTACIONES'!M110</f>
        <v>72034</v>
      </c>
      <c r="N110" s="65">
        <f>'TOTAL ESTACIONES'!N110</f>
        <v>72926</v>
      </c>
      <c r="O110" s="65">
        <f>'TOTAL ESTACIONES'!O110</f>
        <v>69970</v>
      </c>
      <c r="P110" s="65">
        <f>'TOTAL ESTACIONES'!P110</f>
        <v>77850</v>
      </c>
      <c r="Q110" s="65">
        <f>'TOTAL ESTACIONES'!Q110</f>
        <v>78528</v>
      </c>
      <c r="R110" s="65">
        <f>'TOTAL ESTACIONES'!R110</f>
        <v>73173</v>
      </c>
      <c r="S110" s="65">
        <f>'TOTAL ESTACIONES'!S110</f>
        <v>74532.666666666657</v>
      </c>
      <c r="T110" s="65">
        <f>'TOTAL ESTACIONES'!T110</f>
        <v>75411.222222222219</v>
      </c>
      <c r="U110" s="65">
        <f>'TOTAL ESTACIONES'!U110</f>
        <v>74372.296296296292</v>
      </c>
      <c r="V110" s="65">
        <f>'TOTAL ESTACIONES'!V110</f>
        <v>877614.18518518517</v>
      </c>
      <c r="W110" s="73">
        <f>'TOTAL ESTACIONES'!W110</f>
        <v>9.7930098922839235E-4</v>
      </c>
      <c r="X110" s="89"/>
      <c r="Y110" s="65">
        <f>'TOTAL ESTACIONES'!Y110</f>
        <v>81991.996013274998</v>
      </c>
      <c r="Z110" s="65">
        <f>'TOTAL ESTACIONES'!Z110</f>
        <v>75012.905355700001</v>
      </c>
      <c r="AA110" s="65">
        <f>'TOTAL ESTACIONES'!AA110</f>
        <v>81991.996013274998</v>
      </c>
      <c r="AB110" s="65">
        <f>'TOTAL ESTACIONES'!AB110</f>
        <v>77096.368575749977</v>
      </c>
      <c r="AC110" s="65">
        <f>'TOTAL ESTACIONES'!AC110</f>
        <v>81991.996013274998</v>
      </c>
      <c r="AD110" s="65">
        <f>'TOTAL ESTACIONES'!AD110</f>
        <v>77096.368575749977</v>
      </c>
      <c r="AE110" s="65">
        <f>'TOTAL ESTACIONES'!AE110</f>
        <v>79422.732128275005</v>
      </c>
      <c r="AF110" s="65">
        <f>'TOTAL ESTACIONES'!AF110</f>
        <v>79422.732128275005</v>
      </c>
      <c r="AG110" s="65">
        <f>'TOTAL ESTACIONES'!AG110</f>
        <v>79665.632460749999</v>
      </c>
      <c r="AH110" s="65">
        <f>'TOTAL ESTACIONES'!AH110</f>
        <v>79422.732128275005</v>
      </c>
      <c r="AI110" s="65">
        <f>'TOTAL ESTACIONES'!AI110</f>
        <v>79665.632460749999</v>
      </c>
      <c r="AJ110" s="65">
        <f>'TOTAL ESTACIONES'!AJ110</f>
        <v>81991.996013274998</v>
      </c>
      <c r="AK110" s="65">
        <f>'TOTAL ESTACIONES'!AK110</f>
        <v>954773.08786662493</v>
      </c>
      <c r="AL110" s="73">
        <f>'TOTAL ESTACIONES'!AL110</f>
        <v>9.9127348329620794E-4</v>
      </c>
      <c r="AM110" s="14">
        <f>'TOTAL ESTACIONES'!AM110</f>
        <v>8.7918932925130866E-2</v>
      </c>
      <c r="AN110" s="89"/>
      <c r="AO110" s="254">
        <f>+AK110-V110</f>
        <v>77158.902681439766</v>
      </c>
      <c r="AS110" s="65">
        <v>954773.08786662493</v>
      </c>
    </row>
    <row r="111" spans="1:45" ht="15" hidden="1" customHeight="1" outlineLevel="1">
      <c r="A111" s="12"/>
      <c r="I111" s="246" t="s">
        <v>218</v>
      </c>
      <c r="J111" s="65">
        <f>'TOTAL ESTACIONES'!J111</f>
        <v>110061</v>
      </c>
      <c r="K111" s="65">
        <f>'TOTAL ESTACIONES'!K111</f>
        <v>104488</v>
      </c>
      <c r="L111" s="65">
        <f>'TOTAL ESTACIONES'!L111</f>
        <v>128576</v>
      </c>
      <c r="M111" s="65">
        <f>'TOTAL ESTACIONES'!M111</f>
        <v>119116</v>
      </c>
      <c r="N111" s="65">
        <f>'TOTAL ESTACIONES'!N111</f>
        <v>120691</v>
      </c>
      <c r="O111" s="65">
        <f>'TOTAL ESTACIONES'!O111</f>
        <v>116823</v>
      </c>
      <c r="P111" s="65">
        <f>'TOTAL ESTACIONES'!P111</f>
        <v>129306</v>
      </c>
      <c r="Q111" s="65">
        <f>'TOTAL ESTACIONES'!Q111</f>
        <v>129073</v>
      </c>
      <c r="R111" s="65">
        <f>'TOTAL ESTACIONES'!R111</f>
        <v>120067</v>
      </c>
      <c r="S111" s="65">
        <f>'TOTAL ESTACIONES'!S111</f>
        <v>123645.33333333333</v>
      </c>
      <c r="T111" s="65">
        <f>'TOTAL ESTACIONES'!T111</f>
        <v>124261.77777777778</v>
      </c>
      <c r="U111" s="65">
        <f>'TOTAL ESTACIONES'!U111</f>
        <v>122658.03703703702</v>
      </c>
      <c r="V111" s="65">
        <f>'TOTAL ESTACIONES'!V111</f>
        <v>1448766.1481481481</v>
      </c>
      <c r="W111" s="73">
        <f>'TOTAL ESTACIONES'!W111</f>
        <v>1.6166307997206233E-3</v>
      </c>
      <c r="X111" s="89"/>
      <c r="Y111" s="65">
        <f>'TOTAL ESTACIONES'!Y111</f>
        <v>155997.97161485697</v>
      </c>
      <c r="Z111" s="65">
        <f>'TOTAL ESTACIONES'!Z111</f>
        <v>142719.55372975481</v>
      </c>
      <c r="AA111" s="65">
        <f>'TOTAL ESTACIONES'!AA111</f>
        <v>155997.97161485697</v>
      </c>
      <c r="AB111" s="65">
        <f>'TOTAL ESTACIONES'!AB111</f>
        <v>146683.55085222193</v>
      </c>
      <c r="AC111" s="65">
        <f>'TOTAL ESTACIONES'!AC111</f>
        <v>155997.97161485697</v>
      </c>
      <c r="AD111" s="65">
        <f>'TOTAL ESTACIONES'!AD111</f>
        <v>146683.55085222193</v>
      </c>
      <c r="AE111" s="65">
        <f>'TOTAL ESTACIONES'!AE111</f>
        <v>151109.69014725601</v>
      </c>
      <c r="AF111" s="65">
        <f>'TOTAL ESTACIONES'!AF111</f>
        <v>151109.69014725601</v>
      </c>
      <c r="AG111" s="65">
        <f>'TOTAL ESTACIONES'!AG111</f>
        <v>151571.83231982295</v>
      </c>
      <c r="AH111" s="65">
        <f>'TOTAL ESTACIONES'!AH111</f>
        <v>151109.69014725601</v>
      </c>
      <c r="AI111" s="65">
        <f>'TOTAL ESTACIONES'!AI111</f>
        <v>151571.83231982295</v>
      </c>
      <c r="AJ111" s="65">
        <f>'TOTAL ESTACIONES'!AJ111</f>
        <v>155997.97161485697</v>
      </c>
      <c r="AK111" s="65">
        <f>'TOTAL ESTACIONES'!AK111</f>
        <v>1816551.2769750403</v>
      </c>
      <c r="AL111" s="73">
        <f>'TOTAL ESTACIONES'!AL111</f>
        <v>1.885996929319365E-3</v>
      </c>
      <c r="AM111" s="14">
        <f>'TOTAL ESTACIONES'!AM111</f>
        <v>0.25386093490450823</v>
      </c>
      <c r="AN111" s="89"/>
      <c r="AO111" s="254">
        <f>+AK111-V111</f>
        <v>367785.12882689224</v>
      </c>
      <c r="AS111" s="65">
        <v>1816551.2769750403</v>
      </c>
    </row>
    <row r="112" spans="1:45" ht="15" hidden="1" customHeight="1" outlineLevel="1">
      <c r="A112" s="12"/>
      <c r="I112" s="246" t="s">
        <v>219</v>
      </c>
      <c r="J112" s="65">
        <f>'TOTAL ESTACIONES'!J112</f>
        <v>127542</v>
      </c>
      <c r="K112" s="65">
        <f>'TOTAL ESTACIONES'!K112</f>
        <v>123933</v>
      </c>
      <c r="L112" s="65">
        <f>'TOTAL ESTACIONES'!L112</f>
        <v>150929</v>
      </c>
      <c r="M112" s="65">
        <f>'TOTAL ESTACIONES'!M112</f>
        <v>142211</v>
      </c>
      <c r="N112" s="65">
        <f>'TOTAL ESTACIONES'!N112</f>
        <v>144039</v>
      </c>
      <c r="O112" s="65">
        <f>'TOTAL ESTACIONES'!O112</f>
        <v>140551</v>
      </c>
      <c r="P112" s="65">
        <f>'TOTAL ESTACIONES'!P112</f>
        <v>151212</v>
      </c>
      <c r="Q112" s="65">
        <f>'TOTAL ESTACIONES'!Q112</f>
        <v>150469</v>
      </c>
      <c r="R112" s="65">
        <f>'TOTAL ESTACIONES'!R112</f>
        <v>140474</v>
      </c>
      <c r="S112" s="65">
        <f>'TOTAL ESTACIONES'!S112</f>
        <v>146052.66666666669</v>
      </c>
      <c r="T112" s="65">
        <f>'TOTAL ESTACIONES'!T112</f>
        <v>145665.22222222222</v>
      </c>
      <c r="U112" s="65">
        <f>'TOTAL ESTACIONES'!U112</f>
        <v>144063.96296296298</v>
      </c>
      <c r="V112" s="65">
        <f>'TOTAL ESTACIONES'!V112</f>
        <v>1707141.8518518519</v>
      </c>
      <c r="W112" s="73">
        <f>'TOTAL ESTACIONES'!W112</f>
        <v>1.9049438038868309E-3</v>
      </c>
      <c r="X112" s="89"/>
      <c r="Y112" s="65">
        <f>'TOTAL ESTACIONES'!Y112</f>
        <v>169917.51940812453</v>
      </c>
      <c r="Z112" s="65">
        <f>'TOTAL ESTACIONES'!Z112</f>
        <v>154787.53538664515</v>
      </c>
      <c r="AA112" s="65">
        <f>'TOTAL ESTACIONES'!AA112</f>
        <v>169917.51940812453</v>
      </c>
      <c r="AB112" s="65">
        <f>'TOTAL ESTACIONES'!AB112</f>
        <v>161342.33738586621</v>
      </c>
      <c r="AC112" s="65">
        <f>'TOTAL ESTACIONES'!AC112</f>
        <v>169917.51940812453</v>
      </c>
      <c r="AD112" s="65">
        <f>'TOTAL ESTACIONES'!AD112</f>
        <v>161342.33738586621</v>
      </c>
      <c r="AE112" s="65">
        <f>'TOTAL ESTACIONES'!AE112</f>
        <v>166385.66539302596</v>
      </c>
      <c r="AF112" s="65">
        <f>'TOTAL ESTACIONES'!AF112</f>
        <v>166385.66539302596</v>
      </c>
      <c r="AG112" s="65">
        <f>'TOTAL ESTACIONES'!AG112</f>
        <v>164874.19140096477</v>
      </c>
      <c r="AH112" s="65">
        <f>'TOTAL ESTACIONES'!AH112</f>
        <v>166385.66539302596</v>
      </c>
      <c r="AI112" s="65">
        <f>'TOTAL ESTACIONES'!AI112</f>
        <v>164874.19140096477</v>
      </c>
      <c r="AJ112" s="65">
        <f>'TOTAL ESTACIONES'!AJ112</f>
        <v>169917.51940812453</v>
      </c>
      <c r="AK112" s="65">
        <f>'TOTAL ESTACIONES'!AK112</f>
        <v>1986047.6667718831</v>
      </c>
      <c r="AL112" s="73">
        <f>'TOTAL ESTACIONES'!AL112</f>
        <v>2.0619730631832459E-3</v>
      </c>
      <c r="AM112" s="14">
        <f>'TOTAL ESTACIONES'!AM112</f>
        <v>0.16337588737425857</v>
      </c>
      <c r="AN112" s="89"/>
      <c r="AO112" s="254">
        <f>+AK112-V112</f>
        <v>278905.81492003123</v>
      </c>
      <c r="AS112" s="65">
        <v>1986047.6667718831</v>
      </c>
    </row>
    <row r="113" spans="1:45" ht="15" hidden="1" customHeight="1" outlineLevel="1">
      <c r="A113" s="12"/>
      <c r="I113" s="246" t="s">
        <v>220</v>
      </c>
      <c r="J113" s="65">
        <f>'TOTAL ESTACIONES'!J113</f>
        <v>49159</v>
      </c>
      <c r="K113" s="65">
        <f>'TOTAL ESTACIONES'!K113</f>
        <v>48337</v>
      </c>
      <c r="L113" s="65">
        <f>'TOTAL ESTACIONES'!L113</f>
        <v>61373</v>
      </c>
      <c r="M113" s="65">
        <f>'TOTAL ESTACIONES'!M113</f>
        <v>49971</v>
      </c>
      <c r="N113" s="65">
        <f>'TOTAL ESTACIONES'!N113</f>
        <v>57500</v>
      </c>
      <c r="O113" s="65">
        <f>'TOTAL ESTACIONES'!O113</f>
        <v>56581</v>
      </c>
      <c r="P113" s="65">
        <f>'TOTAL ESTACIONES'!P113</f>
        <v>51846</v>
      </c>
      <c r="Q113" s="65">
        <f>'TOTAL ESTACIONES'!Q113</f>
        <v>57331</v>
      </c>
      <c r="R113" s="65">
        <f>'TOTAL ESTACIONES'!R113</f>
        <v>58668</v>
      </c>
      <c r="S113" s="65">
        <f>'TOTAL ESTACIONES'!S113</f>
        <v>53753.333333333336</v>
      </c>
      <c r="T113" s="65">
        <f>'TOTAL ESTACIONES'!T113</f>
        <v>56584.111111111109</v>
      </c>
      <c r="U113" s="65">
        <f>'TOTAL ESTACIONES'!U113</f>
        <v>56335.148148148161</v>
      </c>
      <c r="V113" s="65">
        <f>'TOTAL ESTACIONES'!V113</f>
        <v>657438.5925925927</v>
      </c>
      <c r="W113" s="73">
        <f>'TOTAL ESTACIONES'!W113</f>
        <v>7.3361424068936801E-4</v>
      </c>
      <c r="X113" s="89"/>
      <c r="Y113" s="65">
        <f>'TOTAL ESTACIONES'!Y113</f>
        <v>63619.401906281033</v>
      </c>
      <c r="Z113" s="65">
        <f>'TOTAL ESTACIONES'!Z113</f>
        <v>63619.401906281033</v>
      </c>
      <c r="AA113" s="65">
        <f>'TOTAL ESTACIONES'!AA113</f>
        <v>63619.401906281033</v>
      </c>
      <c r="AB113" s="65">
        <f>'TOTAL ESTACIONES'!AB113</f>
        <v>63619.401906281033</v>
      </c>
      <c r="AC113" s="65">
        <f>'TOTAL ESTACIONES'!AC113</f>
        <v>63619.401906281033</v>
      </c>
      <c r="AD113" s="65">
        <f>'TOTAL ESTACIONES'!AD113</f>
        <v>63619.401906281033</v>
      </c>
      <c r="AE113" s="65">
        <f>'TOTAL ESTACIONES'!AE113</f>
        <v>63619.401906281033</v>
      </c>
      <c r="AF113" s="65">
        <f>'TOTAL ESTACIONES'!AF113</f>
        <v>63619.401906281033</v>
      </c>
      <c r="AG113" s="65">
        <f>'TOTAL ESTACIONES'!AG113</f>
        <v>63619.401906281033</v>
      </c>
      <c r="AH113" s="65">
        <f>'TOTAL ESTACIONES'!AH113</f>
        <v>63619.401906281033</v>
      </c>
      <c r="AI113" s="65">
        <f>'TOTAL ESTACIONES'!AI113</f>
        <v>63619.401906281033</v>
      </c>
      <c r="AJ113" s="65">
        <f>'TOTAL ESTACIONES'!AJ113</f>
        <v>63619.401906281033</v>
      </c>
      <c r="AK113" s="65">
        <f>'TOTAL ESTACIONES'!AK113</f>
        <v>763432.82287537225</v>
      </c>
      <c r="AL113" s="73">
        <f>'TOTAL ESTACIONES'!AL113</f>
        <v>7.9261839615240887E-4</v>
      </c>
      <c r="AM113" s="14">
        <f>'TOTAL ESTACIONES'!AM113</f>
        <v>0.16122301227373037</v>
      </c>
      <c r="AN113" s="89"/>
      <c r="AO113" s="254">
        <f>+AK113-V113</f>
        <v>105994.23028277955</v>
      </c>
      <c r="AP113" s="254">
        <f>+V113*1.07</f>
        <v>703459.29407407425</v>
      </c>
      <c r="AQ113" s="254">
        <f>+AP113-AK113</f>
        <v>-59973.528801298002</v>
      </c>
      <c r="AR113" s="256">
        <f>AK113/AK92</f>
        <v>3.5615074403101743E-2</v>
      </c>
      <c r="AS113" s="65">
        <v>763432.82287537225</v>
      </c>
    </row>
    <row r="114" spans="1:45" ht="15" customHeight="1" collapsed="1">
      <c r="A114" s="12"/>
      <c r="I114" s="167" t="s">
        <v>223</v>
      </c>
      <c r="J114" s="15">
        <f>'TOTAL ESTACIONES'!J114</f>
        <v>1504502</v>
      </c>
      <c r="K114" s="15">
        <f>'TOTAL ESTACIONES'!K114</f>
        <v>367188</v>
      </c>
      <c r="L114" s="15">
        <f>'TOTAL ESTACIONES'!L114</f>
        <v>887909</v>
      </c>
      <c r="M114" s="15">
        <f>'TOTAL ESTACIONES'!M114</f>
        <v>1170739</v>
      </c>
      <c r="N114" s="15">
        <f>'TOTAL ESTACIONES'!N114</f>
        <v>1189885</v>
      </c>
      <c r="O114" s="15">
        <f>'TOTAL ESTACIONES'!O114</f>
        <v>1127202</v>
      </c>
      <c r="P114" s="15">
        <f>'TOTAL ESTACIONES'!P114</f>
        <v>972987</v>
      </c>
      <c r="Q114" s="15">
        <f>'TOTAL ESTACIONES'!Q114</f>
        <v>1346768</v>
      </c>
      <c r="R114" s="15">
        <f>'TOTAL ESTACIONES'!R114</f>
        <v>583558</v>
      </c>
      <c r="S114" s="15">
        <f>'TOTAL ESTACIONES'!S114</f>
        <v>767012.25221637916</v>
      </c>
      <c r="T114" s="15">
        <f>'TOTAL ESTACIONES'!T114</f>
        <v>929320.19830586226</v>
      </c>
      <c r="U114" s="15">
        <f>'TOTAL ESTACIONES'!U114</f>
        <v>909366.77706293552</v>
      </c>
      <c r="V114" s="15">
        <f>'TOTAL ESTACIONES'!V114</f>
        <v>11756437.227585178</v>
      </c>
      <c r="W114" s="72">
        <f>'TOTAL ESTACIONES'!W114</f>
        <v>1.3118624107410352E-2</v>
      </c>
      <c r="X114" s="89"/>
      <c r="Y114" s="15">
        <f>'TOTAL ESTACIONES'!Y114</f>
        <v>1160999.2644671332</v>
      </c>
      <c r="Z114" s="15">
        <f>'TOTAL ESTACIONES'!Z114</f>
        <v>1243723.4348151525</v>
      </c>
      <c r="AA114" s="15">
        <f>'TOTAL ESTACIONES'!AA114</f>
        <v>1073382.8027169001</v>
      </c>
      <c r="AB114" s="15">
        <f>'TOTAL ESTACIONES'!AB114</f>
        <v>854691.77514669276</v>
      </c>
      <c r="AC114" s="15">
        <f>'TOTAL ESTACIONES'!AC114</f>
        <v>939319.97630956396</v>
      </c>
      <c r="AD114" s="15">
        <f>'TOTAL ESTACIONES'!AD114</f>
        <v>928337.61479389935</v>
      </c>
      <c r="AE114" s="15">
        <f>'TOTAL ESTACIONES'!AE114</f>
        <v>1173501.1441915943</v>
      </c>
      <c r="AF114" s="15">
        <f>'TOTAL ESTACIONES'!AF114</f>
        <v>1193770.7349172796</v>
      </c>
      <c r="AG114" s="15">
        <f>'TOTAL ESTACIONES'!AG114</f>
        <v>1016881.0982591406</v>
      </c>
      <c r="AH114" s="15">
        <f>'TOTAL ESTACIONES'!AH114</f>
        <v>889846.40688424034</v>
      </c>
      <c r="AI114" s="15">
        <f>'TOTAL ESTACIONES'!AI114</f>
        <v>961216.03639454488</v>
      </c>
      <c r="AJ114" s="15">
        <f>'TOTAL ESTACIONES'!AJ114</f>
        <v>883733.42055393092</v>
      </c>
      <c r="AK114" s="287">
        <f>'TOTAL ESTACIONES'!AK114</f>
        <v>12319403.709450074</v>
      </c>
      <c r="AL114" s="72">
        <f>'TOTAL ESTACIONES'!AL114</f>
        <v>1.27903670331612E-2</v>
      </c>
      <c r="AM114" s="10">
        <f>'TOTAL ESTACIONES'!AM114</f>
        <v>4.7885806810923803E-2</v>
      </c>
      <c r="AN114" s="89"/>
      <c r="AS114" s="287">
        <v>12319403.709450074</v>
      </c>
    </row>
    <row r="115" spans="1:45" ht="15" hidden="1" customHeight="1" outlineLevel="1">
      <c r="A115" s="12"/>
      <c r="I115" s="246" t="s">
        <v>225</v>
      </c>
      <c r="J115" s="65">
        <f>'TOTAL ESTACIONES'!J115</f>
        <v>0</v>
      </c>
      <c r="K115" s="65">
        <f>'TOTAL ESTACIONES'!K115</f>
        <v>47480</v>
      </c>
      <c r="L115" s="65">
        <f>'TOTAL ESTACIONES'!L115</f>
        <v>7374</v>
      </c>
      <c r="M115" s="65">
        <f>'TOTAL ESTACIONES'!M115</f>
        <v>95504</v>
      </c>
      <c r="N115" s="65">
        <f>'TOTAL ESTACIONES'!N115</f>
        <v>39848</v>
      </c>
      <c r="O115" s="65">
        <f>'TOTAL ESTACIONES'!O115</f>
        <v>8000</v>
      </c>
      <c r="P115" s="65">
        <f>'TOTAL ESTACIONES'!P115</f>
        <v>23490</v>
      </c>
      <c r="Q115" s="65">
        <f>'TOTAL ESTACIONES'!Q115</f>
        <v>26000</v>
      </c>
      <c r="R115" s="65">
        <f>'TOTAL ESTACIONES'!R115</f>
        <v>35390</v>
      </c>
      <c r="S115" s="65">
        <f>'TOTAL ESTACIONES'!S115</f>
        <v>32662.720000000001</v>
      </c>
      <c r="T115" s="65">
        <f>'TOTAL ESTACIONES'!T115</f>
        <v>25235.600000000002</v>
      </c>
      <c r="U115" s="65">
        <f>'TOTAL ESTACIONES'!U115</f>
        <v>25235.600000000002</v>
      </c>
      <c r="V115" s="292">
        <f>'TOTAL ESTACIONES'!V115</f>
        <v>366219.91999999993</v>
      </c>
      <c r="W115" s="73">
        <f>'TOTAL ESTACIONES'!W115</f>
        <v>4.086528408328612E-4</v>
      </c>
      <c r="X115" s="89"/>
      <c r="Y115" s="65">
        <f>'TOTAL ESTACIONES'!Y115</f>
        <v>31638.391899999995</v>
      </c>
      <c r="Z115" s="65">
        <f>'TOTAL ESTACIONES'!Z115</f>
        <v>31638.391899999995</v>
      </c>
      <c r="AA115" s="65">
        <f>'TOTAL ESTACIONES'!AA115</f>
        <v>31638.391899999995</v>
      </c>
      <c r="AB115" s="65">
        <f>'TOTAL ESTACIONES'!AB115</f>
        <v>31638.391899999995</v>
      </c>
      <c r="AC115" s="65">
        <f>'TOTAL ESTACIONES'!AC115</f>
        <v>31638.391899999995</v>
      </c>
      <c r="AD115" s="65">
        <f>'TOTAL ESTACIONES'!AD115</f>
        <v>31638.391899999995</v>
      </c>
      <c r="AE115" s="65">
        <f>'TOTAL ESTACIONES'!AE115</f>
        <v>31638.391899999995</v>
      </c>
      <c r="AF115" s="65">
        <f>'TOTAL ESTACIONES'!AF115</f>
        <v>31638.391899999995</v>
      </c>
      <c r="AG115" s="65">
        <f>'TOTAL ESTACIONES'!AG115</f>
        <v>31638.391899999995</v>
      </c>
      <c r="AH115" s="65">
        <f>'TOTAL ESTACIONES'!AH115</f>
        <v>31638.391899999995</v>
      </c>
      <c r="AI115" s="65">
        <f>'TOTAL ESTACIONES'!AI115</f>
        <v>31638.391899999995</v>
      </c>
      <c r="AJ115" s="65">
        <f>'TOTAL ESTACIONES'!AJ115</f>
        <v>31638.391899999995</v>
      </c>
      <c r="AK115" s="292">
        <f>'TOTAL ESTACIONES'!AK115</f>
        <v>379660.70279999991</v>
      </c>
      <c r="AL115" s="73">
        <f>'TOTAL ESTACIONES'!AL115</f>
        <v>3.941749009454856E-4</v>
      </c>
      <c r="AM115" s="14">
        <f>'TOTAL ESTACIONES'!AM115</f>
        <v>3.6701397346162956E-2</v>
      </c>
      <c r="AN115" s="89"/>
      <c r="AO115" s="254">
        <f>+AK115-V115</f>
        <v>13440.782799999986</v>
      </c>
      <c r="AP115" s="1" t="s">
        <v>452</v>
      </c>
      <c r="AS115" s="292">
        <v>379660.70279999991</v>
      </c>
    </row>
    <row r="116" spans="1:45" ht="15" hidden="1" customHeight="1" outlineLevel="1">
      <c r="A116" s="12"/>
      <c r="I116" s="246" t="s">
        <v>227</v>
      </c>
      <c r="J116" s="65">
        <f>'TOTAL ESTACIONES'!J116</f>
        <v>0</v>
      </c>
      <c r="K116" s="65">
        <f>'TOTAL ESTACIONES'!K116</f>
        <v>0</v>
      </c>
      <c r="L116" s="65">
        <f>'TOTAL ESTACIONES'!L116</f>
        <v>0</v>
      </c>
      <c r="M116" s="65">
        <f>'TOTAL ESTACIONES'!M116</f>
        <v>0</v>
      </c>
      <c r="N116" s="65">
        <f>'TOTAL ESTACIONES'!N116</f>
        <v>0</v>
      </c>
      <c r="O116" s="65">
        <f>'TOTAL ESTACIONES'!O116</f>
        <v>0</v>
      </c>
      <c r="P116" s="65">
        <f>'TOTAL ESTACIONES'!P116</f>
        <v>0</v>
      </c>
      <c r="Q116" s="65">
        <f>'TOTAL ESTACIONES'!Q116</f>
        <v>0</v>
      </c>
      <c r="R116" s="65">
        <f>'TOTAL ESTACIONES'!R116</f>
        <v>0</v>
      </c>
      <c r="S116" s="65">
        <f>'TOTAL ESTACIONES'!S116</f>
        <v>0</v>
      </c>
      <c r="T116" s="65">
        <f>'TOTAL ESTACIONES'!T116</f>
        <v>0</v>
      </c>
      <c r="U116" s="65">
        <f>'TOTAL ESTACIONES'!U116</f>
        <v>0</v>
      </c>
      <c r="V116" s="65">
        <f>'TOTAL ESTACIONES'!V116</f>
        <v>0</v>
      </c>
      <c r="W116" s="73">
        <f>'TOTAL ESTACIONES'!W116</f>
        <v>0</v>
      </c>
      <c r="X116" s="89"/>
      <c r="Y116" s="65">
        <f>'TOTAL ESTACIONES'!Y116</f>
        <v>0</v>
      </c>
      <c r="Z116" s="65">
        <f>'TOTAL ESTACIONES'!Z116</f>
        <v>0</v>
      </c>
      <c r="AA116" s="65">
        <f>'TOTAL ESTACIONES'!AA116</f>
        <v>0</v>
      </c>
      <c r="AB116" s="65">
        <f>'TOTAL ESTACIONES'!AB116</f>
        <v>0</v>
      </c>
      <c r="AC116" s="65">
        <f>'TOTAL ESTACIONES'!AC116</f>
        <v>0</v>
      </c>
      <c r="AD116" s="65">
        <f>'TOTAL ESTACIONES'!AD116</f>
        <v>0</v>
      </c>
      <c r="AE116" s="65">
        <f>'TOTAL ESTACIONES'!AE116</f>
        <v>0</v>
      </c>
      <c r="AF116" s="65">
        <f>'TOTAL ESTACIONES'!AF116</f>
        <v>0</v>
      </c>
      <c r="AG116" s="65">
        <f>'TOTAL ESTACIONES'!AG116</f>
        <v>0</v>
      </c>
      <c r="AH116" s="65">
        <f>'TOTAL ESTACIONES'!AH116</f>
        <v>0</v>
      </c>
      <c r="AI116" s="65">
        <f>'TOTAL ESTACIONES'!AI116</f>
        <v>0</v>
      </c>
      <c r="AJ116" s="65">
        <f>'TOTAL ESTACIONES'!AJ116</f>
        <v>0</v>
      </c>
      <c r="AK116" s="65">
        <f>'TOTAL ESTACIONES'!AK116</f>
        <v>0</v>
      </c>
      <c r="AL116" s="73">
        <f>'TOTAL ESTACIONES'!AL116</f>
        <v>0</v>
      </c>
      <c r="AM116" s="14">
        <f>'TOTAL ESTACIONES'!AM116</f>
        <v>0</v>
      </c>
      <c r="AN116" s="89"/>
      <c r="AO116" s="254"/>
      <c r="AS116" s="65">
        <v>0</v>
      </c>
    </row>
    <row r="117" spans="1:45" ht="15" hidden="1" customHeight="1" outlineLevel="1">
      <c r="A117" s="12"/>
      <c r="I117" s="246" t="s">
        <v>228</v>
      </c>
      <c r="J117" s="65">
        <f>'TOTAL ESTACIONES'!J117</f>
        <v>0</v>
      </c>
      <c r="K117" s="65">
        <f>'TOTAL ESTACIONES'!K117</f>
        <v>0</v>
      </c>
      <c r="L117" s="65">
        <f>'TOTAL ESTACIONES'!L117</f>
        <v>0</v>
      </c>
      <c r="M117" s="65">
        <f>'TOTAL ESTACIONES'!M117</f>
        <v>0</v>
      </c>
      <c r="N117" s="65">
        <f>'TOTAL ESTACIONES'!N117</f>
        <v>0</v>
      </c>
      <c r="O117" s="65">
        <f>'TOTAL ESTACIONES'!O117</f>
        <v>0</v>
      </c>
      <c r="P117" s="65">
        <f>'TOTAL ESTACIONES'!P117</f>
        <v>0</v>
      </c>
      <c r="Q117" s="65">
        <f>'TOTAL ESTACIONES'!Q117</f>
        <v>0</v>
      </c>
      <c r="R117" s="65">
        <f>'TOTAL ESTACIONES'!R117</f>
        <v>0</v>
      </c>
      <c r="S117" s="65">
        <f>'TOTAL ESTACIONES'!S117</f>
        <v>0</v>
      </c>
      <c r="T117" s="65">
        <f>'TOTAL ESTACIONES'!T117</f>
        <v>0</v>
      </c>
      <c r="U117" s="65">
        <f>'TOTAL ESTACIONES'!U117</f>
        <v>0</v>
      </c>
      <c r="V117" s="65">
        <f>'TOTAL ESTACIONES'!V117</f>
        <v>0</v>
      </c>
      <c r="W117" s="73">
        <f>'TOTAL ESTACIONES'!W117</f>
        <v>0</v>
      </c>
      <c r="X117" s="89"/>
      <c r="Y117" s="65">
        <f>'TOTAL ESTACIONES'!Y117</f>
        <v>0</v>
      </c>
      <c r="Z117" s="65">
        <f>'TOTAL ESTACIONES'!Z117</f>
        <v>0</v>
      </c>
      <c r="AA117" s="65">
        <f>'TOTAL ESTACIONES'!AA117</f>
        <v>0</v>
      </c>
      <c r="AB117" s="65">
        <f>'TOTAL ESTACIONES'!AB117</f>
        <v>0</v>
      </c>
      <c r="AC117" s="65">
        <f>'TOTAL ESTACIONES'!AC117</f>
        <v>0</v>
      </c>
      <c r="AD117" s="65">
        <f>'TOTAL ESTACIONES'!AD117</f>
        <v>0</v>
      </c>
      <c r="AE117" s="65">
        <f>'TOTAL ESTACIONES'!AE117</f>
        <v>0</v>
      </c>
      <c r="AF117" s="65">
        <f>'TOTAL ESTACIONES'!AF117</f>
        <v>0</v>
      </c>
      <c r="AG117" s="65">
        <f>'TOTAL ESTACIONES'!AG117</f>
        <v>0</v>
      </c>
      <c r="AH117" s="65">
        <f>'TOTAL ESTACIONES'!AH117</f>
        <v>0</v>
      </c>
      <c r="AI117" s="65">
        <f>'TOTAL ESTACIONES'!AI117</f>
        <v>0</v>
      </c>
      <c r="AJ117" s="65">
        <f>'TOTAL ESTACIONES'!AJ117</f>
        <v>0</v>
      </c>
      <c r="AK117" s="65">
        <f>'TOTAL ESTACIONES'!AK117</f>
        <v>0</v>
      </c>
      <c r="AL117" s="73">
        <f>'TOTAL ESTACIONES'!AL117</f>
        <v>0</v>
      </c>
      <c r="AM117" s="14">
        <f>'TOTAL ESTACIONES'!AM117</f>
        <v>0</v>
      </c>
      <c r="AN117" s="89"/>
      <c r="AO117" s="254"/>
      <c r="AS117" s="65">
        <v>0</v>
      </c>
    </row>
    <row r="118" spans="1:45" ht="15" hidden="1" customHeight="1" outlineLevel="1">
      <c r="A118" s="12"/>
      <c r="I118" s="246" t="s">
        <v>229</v>
      </c>
      <c r="J118" s="65">
        <f>'TOTAL ESTACIONES'!J118</f>
        <v>0</v>
      </c>
      <c r="K118" s="65">
        <f>'TOTAL ESTACIONES'!K118</f>
        <v>0</v>
      </c>
      <c r="L118" s="65">
        <f>'TOTAL ESTACIONES'!L118</f>
        <v>0</v>
      </c>
      <c r="M118" s="65">
        <f>'TOTAL ESTACIONES'!M118</f>
        <v>0</v>
      </c>
      <c r="N118" s="65">
        <f>'TOTAL ESTACIONES'!N118</f>
        <v>0</v>
      </c>
      <c r="O118" s="65">
        <f>'TOTAL ESTACIONES'!O118</f>
        <v>0</v>
      </c>
      <c r="P118" s="65">
        <f>'TOTAL ESTACIONES'!P118</f>
        <v>0</v>
      </c>
      <c r="Q118" s="65">
        <f>'TOTAL ESTACIONES'!Q118</f>
        <v>0</v>
      </c>
      <c r="R118" s="65">
        <f>'TOTAL ESTACIONES'!R118</f>
        <v>105560</v>
      </c>
      <c r="S118" s="65">
        <f>'TOTAL ESTACIONES'!S118</f>
        <v>0</v>
      </c>
      <c r="T118" s="65">
        <f>'TOTAL ESTACIONES'!T118</f>
        <v>0</v>
      </c>
      <c r="U118" s="65">
        <f>'TOTAL ESTACIONES'!U118</f>
        <v>0</v>
      </c>
      <c r="V118" s="65">
        <f>'TOTAL ESTACIONES'!V118</f>
        <v>105560</v>
      </c>
      <c r="W118" s="73">
        <f>'TOTAL ESTACIONES'!W118</f>
        <v>1.177909543487335E-4</v>
      </c>
      <c r="X118" s="89"/>
      <c r="Y118" s="65">
        <f>'TOTAL ESTACIONES'!Y118</f>
        <v>0</v>
      </c>
      <c r="Z118" s="65">
        <f>'TOTAL ESTACIONES'!Z118</f>
        <v>253599.5</v>
      </c>
      <c r="AA118" s="65">
        <f>'TOTAL ESTACIONES'!AA118</f>
        <v>0</v>
      </c>
      <c r="AB118" s="65">
        <f>'TOTAL ESTACIONES'!AB118</f>
        <v>0</v>
      </c>
      <c r="AC118" s="65">
        <f>'TOTAL ESTACIONES'!AC118</f>
        <v>0</v>
      </c>
      <c r="AD118" s="65">
        <f>'TOTAL ESTACIONES'!AD118</f>
        <v>0</v>
      </c>
      <c r="AE118" s="65">
        <f>'TOTAL ESTACIONES'!AE118</f>
        <v>0</v>
      </c>
      <c r="AF118" s="65">
        <f>'TOTAL ESTACIONES'!AF118</f>
        <v>0</v>
      </c>
      <c r="AG118" s="65">
        <f>'TOTAL ESTACIONES'!AG118</f>
        <v>0</v>
      </c>
      <c r="AH118" s="65">
        <f>'TOTAL ESTACIONES'!AH118</f>
        <v>0</v>
      </c>
      <c r="AI118" s="65">
        <f>'TOTAL ESTACIONES'!AI118</f>
        <v>0</v>
      </c>
      <c r="AJ118" s="65">
        <f>'TOTAL ESTACIONES'!AJ118</f>
        <v>0</v>
      </c>
      <c r="AK118" s="65">
        <f>'TOTAL ESTACIONES'!AK118</f>
        <v>253599.5</v>
      </c>
      <c r="AL118" s="73">
        <f>'TOTAL ESTACIONES'!AL118</f>
        <v>2.6329445490434018E-4</v>
      </c>
      <c r="AM118" s="14">
        <f>'TOTAL ESTACIONES'!AM118</f>
        <v>1.402420424403183</v>
      </c>
      <c r="AN118" s="89"/>
      <c r="AO118" s="296">
        <f>+AK118-V118</f>
        <v>148039.5</v>
      </c>
      <c r="AP118" s="1" t="s">
        <v>453</v>
      </c>
      <c r="AS118" s="65">
        <v>253599.5</v>
      </c>
    </row>
    <row r="119" spans="1:45" ht="15" hidden="1" customHeight="1" outlineLevel="1">
      <c r="A119" s="12"/>
      <c r="I119" s="246" t="s">
        <v>231</v>
      </c>
      <c r="J119" s="65">
        <f>'TOTAL ESTACIONES'!J119</f>
        <v>0</v>
      </c>
      <c r="K119" s="65">
        <f>'TOTAL ESTACIONES'!K119</f>
        <v>18055</v>
      </c>
      <c r="L119" s="65">
        <f>'TOTAL ESTACIONES'!L119</f>
        <v>0</v>
      </c>
      <c r="M119" s="65">
        <f>'TOTAL ESTACIONES'!M119</f>
        <v>15400</v>
      </c>
      <c r="N119" s="65">
        <f>'TOTAL ESTACIONES'!N119</f>
        <v>0</v>
      </c>
      <c r="O119" s="65">
        <f>'TOTAL ESTACIONES'!O119</f>
        <v>0</v>
      </c>
      <c r="P119" s="65">
        <f>'TOTAL ESTACIONES'!P119</f>
        <v>67884</v>
      </c>
      <c r="Q119" s="65">
        <f>'TOTAL ESTACIONES'!Q119</f>
        <v>48300</v>
      </c>
      <c r="R119" s="65">
        <f>'TOTAL ESTACIONES'!R119</f>
        <v>0</v>
      </c>
      <c r="S119" s="65">
        <f>'TOTAL ESTACIONES'!S119</f>
        <v>0</v>
      </c>
      <c r="T119" s="65">
        <f>'TOTAL ESTACIONES'!T119</f>
        <v>0</v>
      </c>
      <c r="U119" s="65">
        <f>'TOTAL ESTACIONES'!U119</f>
        <v>0</v>
      </c>
      <c r="V119" s="65">
        <f>'TOTAL ESTACIONES'!V119</f>
        <v>149639</v>
      </c>
      <c r="W119" s="73">
        <f>'TOTAL ESTACIONES'!W119</f>
        <v>1.6697726996769735E-4</v>
      </c>
      <c r="X119" s="89"/>
      <c r="Y119" s="65">
        <f>'TOTAL ESTACIONES'!Y119</f>
        <v>0</v>
      </c>
      <c r="Z119" s="65">
        <f>'TOTAL ESTACIONES'!Z119</f>
        <v>0</v>
      </c>
      <c r="AA119" s="65">
        <f>'TOTAL ESTACIONES'!AA119</f>
        <v>0</v>
      </c>
      <c r="AB119" s="65">
        <f>'TOTAL ESTACIONES'!AB119</f>
        <v>0</v>
      </c>
      <c r="AC119" s="65">
        <f>'TOTAL ESTACIONES'!AC119</f>
        <v>0</v>
      </c>
      <c r="AD119" s="65">
        <f>'TOTAL ESTACIONES'!AD119</f>
        <v>0</v>
      </c>
      <c r="AE119" s="65">
        <f>'TOTAL ESTACIONES'!AE119</f>
        <v>155188.40259999997</v>
      </c>
      <c r="AF119" s="65">
        <f>'TOTAL ESTACIONES'!AF119</f>
        <v>0</v>
      </c>
      <c r="AG119" s="65">
        <f>'TOTAL ESTACIONES'!AG119</f>
        <v>0</v>
      </c>
      <c r="AH119" s="65">
        <f>'TOTAL ESTACIONES'!AH119</f>
        <v>0</v>
      </c>
      <c r="AI119" s="65">
        <f>'TOTAL ESTACIONES'!AI119</f>
        <v>0</v>
      </c>
      <c r="AJ119" s="65">
        <f>'TOTAL ESTACIONES'!AJ119</f>
        <v>0</v>
      </c>
      <c r="AK119" s="65">
        <f>'TOTAL ESTACIONES'!AK119</f>
        <v>155188.40259999997</v>
      </c>
      <c r="AL119" s="73">
        <f>'TOTAL ESTACIONES'!AL119</f>
        <v>1.6112116100403307E-4</v>
      </c>
      <c r="AM119" s="14">
        <f>'TOTAL ESTACIONES'!AM119</f>
        <v>3.7085269214576222E-2</v>
      </c>
      <c r="AN119" s="89"/>
      <c r="AO119" s="254">
        <f>+AK119-V119</f>
        <v>5549.4025999999722</v>
      </c>
      <c r="AP119" s="1" t="s">
        <v>447</v>
      </c>
      <c r="AS119" s="65">
        <v>155188.40259999997</v>
      </c>
    </row>
    <row r="120" spans="1:45" ht="15" hidden="1" customHeight="1" outlineLevel="1">
      <c r="A120" s="12" t="s">
        <v>221</v>
      </c>
      <c r="B120" s="8" t="s">
        <v>88</v>
      </c>
      <c r="I120" s="246" t="s">
        <v>232</v>
      </c>
      <c r="J120" s="65">
        <f>'TOTAL ESTACIONES'!J120</f>
        <v>0</v>
      </c>
      <c r="K120" s="65">
        <f>'TOTAL ESTACIONES'!K120</f>
        <v>0</v>
      </c>
      <c r="L120" s="65">
        <f>'TOTAL ESTACIONES'!L120</f>
        <v>0</v>
      </c>
      <c r="M120" s="65">
        <f>'TOTAL ESTACIONES'!M120</f>
        <v>0</v>
      </c>
      <c r="N120" s="65">
        <f>'TOTAL ESTACIONES'!N120</f>
        <v>0</v>
      </c>
      <c r="O120" s="65">
        <f>'TOTAL ESTACIONES'!O120</f>
        <v>0</v>
      </c>
      <c r="P120" s="65">
        <f>'TOTAL ESTACIONES'!P120</f>
        <v>0</v>
      </c>
      <c r="Q120" s="65">
        <f>'TOTAL ESTACIONES'!Q120</f>
        <v>0</v>
      </c>
      <c r="R120" s="65">
        <f>'TOTAL ESTACIONES'!R120</f>
        <v>0</v>
      </c>
      <c r="S120" s="65">
        <f>'TOTAL ESTACIONES'!S120</f>
        <v>0</v>
      </c>
      <c r="T120" s="65">
        <f>'TOTAL ESTACIONES'!T120</f>
        <v>0</v>
      </c>
      <c r="U120" s="65">
        <f>'TOTAL ESTACIONES'!U120</f>
        <v>0</v>
      </c>
      <c r="V120" s="65">
        <f>'TOTAL ESTACIONES'!V120</f>
        <v>0</v>
      </c>
      <c r="W120" s="73">
        <f>'TOTAL ESTACIONES'!W120</f>
        <v>0</v>
      </c>
      <c r="X120" s="89"/>
      <c r="Y120" s="65">
        <f>'TOTAL ESTACIONES'!Y120</f>
        <v>0</v>
      </c>
      <c r="Z120" s="65">
        <f>'TOTAL ESTACIONES'!Z120</f>
        <v>0</v>
      </c>
      <c r="AA120" s="65">
        <f>'TOTAL ESTACIONES'!AA120</f>
        <v>0</v>
      </c>
      <c r="AB120" s="65">
        <f>'TOTAL ESTACIONES'!AB120</f>
        <v>0</v>
      </c>
      <c r="AC120" s="65">
        <f>'TOTAL ESTACIONES'!AC120</f>
        <v>0</v>
      </c>
      <c r="AD120" s="65">
        <f>'TOTAL ESTACIONES'!AD120</f>
        <v>0</v>
      </c>
      <c r="AE120" s="65">
        <f>'TOTAL ESTACIONES'!AE120</f>
        <v>0</v>
      </c>
      <c r="AF120" s="65">
        <f>'TOTAL ESTACIONES'!AF120</f>
        <v>0</v>
      </c>
      <c r="AG120" s="65">
        <f>'TOTAL ESTACIONES'!AG120</f>
        <v>0</v>
      </c>
      <c r="AH120" s="65">
        <f>'TOTAL ESTACIONES'!AH120</f>
        <v>0</v>
      </c>
      <c r="AI120" s="65">
        <f>'TOTAL ESTACIONES'!AI120</f>
        <v>0</v>
      </c>
      <c r="AJ120" s="65">
        <f>'TOTAL ESTACIONES'!AJ120</f>
        <v>0</v>
      </c>
      <c r="AK120" s="65">
        <f>'TOTAL ESTACIONES'!AK120</f>
        <v>0</v>
      </c>
      <c r="AL120" s="73">
        <f>'TOTAL ESTACIONES'!AL120</f>
        <v>0</v>
      </c>
      <c r="AM120" s="14">
        <f>'TOTAL ESTACIONES'!AM120</f>
        <v>0</v>
      </c>
      <c r="AN120" s="89"/>
      <c r="AO120" s="254"/>
      <c r="AS120" s="65">
        <v>0</v>
      </c>
    </row>
    <row r="121" spans="1:45" ht="15" hidden="1" customHeight="1" outlineLevel="1">
      <c r="A121" s="12"/>
      <c r="I121" s="246" t="s">
        <v>233</v>
      </c>
      <c r="J121" s="65">
        <f>'TOTAL ESTACIONES'!J121</f>
        <v>263816</v>
      </c>
      <c r="K121" s="65">
        <f>'TOTAL ESTACIONES'!K121</f>
        <v>0</v>
      </c>
      <c r="L121" s="65">
        <f>'TOTAL ESTACIONES'!L121</f>
        <v>0</v>
      </c>
      <c r="M121" s="65">
        <f>'TOTAL ESTACIONES'!M121</f>
        <v>12480</v>
      </c>
      <c r="N121" s="65">
        <f>'TOTAL ESTACIONES'!N121</f>
        <v>0</v>
      </c>
      <c r="O121" s="65">
        <f>'TOTAL ESTACIONES'!O121</f>
        <v>0</v>
      </c>
      <c r="P121" s="65">
        <f>'TOTAL ESTACIONES'!P121</f>
        <v>0</v>
      </c>
      <c r="Q121" s="65">
        <f>'TOTAL ESTACIONES'!Q121</f>
        <v>0</v>
      </c>
      <c r="R121" s="65">
        <f>'TOTAL ESTACIONES'!R121</f>
        <v>0</v>
      </c>
      <c r="S121" s="65">
        <f>'TOTAL ESTACIONES'!S121</f>
        <v>0</v>
      </c>
      <c r="T121" s="65">
        <f>'TOTAL ESTACIONES'!T121</f>
        <v>0</v>
      </c>
      <c r="U121" s="65">
        <f>'TOTAL ESTACIONES'!U121</f>
        <v>0</v>
      </c>
      <c r="V121" s="65">
        <f>'TOTAL ESTACIONES'!V121</f>
        <v>276296</v>
      </c>
      <c r="W121" s="73">
        <f>'TOTAL ESTACIONES'!W121</f>
        <v>3.0830967717637053E-4</v>
      </c>
      <c r="X121" s="89"/>
      <c r="Y121" s="65">
        <f>'TOTAL ESTACIONES'!Y121</f>
        <v>273075.94160000002</v>
      </c>
      <c r="Z121" s="65">
        <f>'TOTAL ESTACIONES'!Z121</f>
        <v>0</v>
      </c>
      <c r="AA121" s="65">
        <f>'TOTAL ESTACIONES'!AA121</f>
        <v>0</v>
      </c>
      <c r="AB121" s="65">
        <f>'TOTAL ESTACIONES'!AB121</f>
        <v>0</v>
      </c>
      <c r="AC121" s="65">
        <f>'TOTAL ESTACIONES'!AC121</f>
        <v>0</v>
      </c>
      <c r="AD121" s="65">
        <f>'TOTAL ESTACIONES'!AD121</f>
        <v>0</v>
      </c>
      <c r="AE121" s="65">
        <f>'TOTAL ESTACIONES'!AE121</f>
        <v>0</v>
      </c>
      <c r="AF121" s="65">
        <f>'TOTAL ESTACIONES'!AF121</f>
        <v>0</v>
      </c>
      <c r="AG121" s="65">
        <f>'TOTAL ESTACIONES'!AG121</f>
        <v>0</v>
      </c>
      <c r="AH121" s="65">
        <f>'TOTAL ESTACIONES'!AH121</f>
        <v>0</v>
      </c>
      <c r="AI121" s="65">
        <f>'TOTAL ESTACIONES'!AI121</f>
        <v>0</v>
      </c>
      <c r="AJ121" s="65">
        <f>'TOTAL ESTACIONES'!AJ121</f>
        <v>0</v>
      </c>
      <c r="AK121" s="65">
        <f>'TOTAL ESTACIONES'!AK121</f>
        <v>273075.94160000002</v>
      </c>
      <c r="AL121" s="73">
        <f>'TOTAL ESTACIONES'!AL121</f>
        <v>2.8351546904099352E-4</v>
      </c>
      <c r="AM121" s="14">
        <f>'TOTAL ESTACIONES'!AM121</f>
        <v>-1.1654379361264677E-2</v>
      </c>
      <c r="AN121" s="89"/>
      <c r="AO121" s="254">
        <f>+AK121-V121</f>
        <v>-3220.0583999999799</v>
      </c>
      <c r="AP121" s="1" t="s">
        <v>454</v>
      </c>
      <c r="AS121" s="65">
        <v>273075.94160000002</v>
      </c>
    </row>
    <row r="122" spans="1:45" ht="15" hidden="1" customHeight="1" outlineLevel="1">
      <c r="A122" s="12"/>
      <c r="I122" s="246" t="s">
        <v>234</v>
      </c>
      <c r="J122" s="65">
        <f>'TOTAL ESTACIONES'!J122</f>
        <v>0</v>
      </c>
      <c r="K122" s="65">
        <f>'TOTAL ESTACIONES'!K122</f>
        <v>0</v>
      </c>
      <c r="L122" s="65">
        <f>'TOTAL ESTACIONES'!L122</f>
        <v>0</v>
      </c>
      <c r="M122" s="65">
        <f>'TOTAL ESTACIONES'!M122</f>
        <v>0</v>
      </c>
      <c r="N122" s="65">
        <f>'TOTAL ESTACIONES'!N122</f>
        <v>0</v>
      </c>
      <c r="O122" s="65">
        <f>'TOTAL ESTACIONES'!O122</f>
        <v>0</v>
      </c>
      <c r="P122" s="65">
        <f>'TOTAL ESTACIONES'!P122</f>
        <v>0</v>
      </c>
      <c r="Q122" s="65">
        <f>'TOTAL ESTACIONES'!Q122</f>
        <v>0</v>
      </c>
      <c r="R122" s="65">
        <f>'TOTAL ESTACIONES'!R122</f>
        <v>0</v>
      </c>
      <c r="S122" s="65">
        <f>'TOTAL ESTACIONES'!S122</f>
        <v>0</v>
      </c>
      <c r="T122" s="65">
        <f>'TOTAL ESTACIONES'!T122</f>
        <v>0</v>
      </c>
      <c r="U122" s="65">
        <f>'TOTAL ESTACIONES'!U122</f>
        <v>0</v>
      </c>
      <c r="V122" s="65">
        <f>'TOTAL ESTACIONES'!V122</f>
        <v>0</v>
      </c>
      <c r="W122" s="73">
        <f>'TOTAL ESTACIONES'!W122</f>
        <v>0</v>
      </c>
      <c r="X122" s="89"/>
      <c r="Y122" s="65">
        <f>'TOTAL ESTACIONES'!Y122</f>
        <v>0</v>
      </c>
      <c r="Z122" s="65">
        <f>'TOTAL ESTACIONES'!Z122</f>
        <v>0</v>
      </c>
      <c r="AA122" s="65">
        <f>'TOTAL ESTACIONES'!AA122</f>
        <v>0</v>
      </c>
      <c r="AB122" s="65">
        <f>'TOTAL ESTACIONES'!AB122</f>
        <v>0</v>
      </c>
      <c r="AC122" s="65">
        <f>'TOTAL ESTACIONES'!AC122</f>
        <v>0</v>
      </c>
      <c r="AD122" s="65">
        <f>'TOTAL ESTACIONES'!AD122</f>
        <v>0</v>
      </c>
      <c r="AE122" s="65">
        <f>'TOTAL ESTACIONES'!AE122</f>
        <v>0</v>
      </c>
      <c r="AF122" s="65">
        <f>'TOTAL ESTACIONES'!AF122</f>
        <v>0</v>
      </c>
      <c r="AG122" s="65">
        <f>'TOTAL ESTACIONES'!AG122</f>
        <v>0</v>
      </c>
      <c r="AH122" s="65">
        <f>'TOTAL ESTACIONES'!AH122</f>
        <v>0</v>
      </c>
      <c r="AI122" s="65">
        <f>'TOTAL ESTACIONES'!AI122</f>
        <v>0</v>
      </c>
      <c r="AJ122" s="65">
        <f>'TOTAL ESTACIONES'!AJ122</f>
        <v>0</v>
      </c>
      <c r="AK122" s="65">
        <f>'TOTAL ESTACIONES'!AK122</f>
        <v>0</v>
      </c>
      <c r="AL122" s="73">
        <f>'TOTAL ESTACIONES'!AL122</f>
        <v>0</v>
      </c>
      <c r="AM122" s="14">
        <f>'TOTAL ESTACIONES'!AM122</f>
        <v>0</v>
      </c>
      <c r="AN122" s="89"/>
      <c r="AO122" s="254"/>
      <c r="AS122" s="65">
        <v>0</v>
      </c>
    </row>
    <row r="123" spans="1:45" ht="15" hidden="1" customHeight="1" outlineLevel="1">
      <c r="A123" s="12"/>
      <c r="I123" s="246" t="s">
        <v>235</v>
      </c>
      <c r="J123" s="65">
        <f>'TOTAL ESTACIONES'!J123</f>
        <v>42700</v>
      </c>
      <c r="K123" s="65">
        <f>'TOTAL ESTACIONES'!K123</f>
        <v>0</v>
      </c>
      <c r="L123" s="65">
        <f>'TOTAL ESTACIONES'!L123</f>
        <v>0</v>
      </c>
      <c r="M123" s="65">
        <f>'TOTAL ESTACIONES'!M123</f>
        <v>0</v>
      </c>
      <c r="N123" s="65">
        <f>'TOTAL ESTACIONES'!N123</f>
        <v>0</v>
      </c>
      <c r="O123" s="65">
        <f>'TOTAL ESTACIONES'!O123</f>
        <v>0</v>
      </c>
      <c r="P123" s="65">
        <f>'TOTAL ESTACIONES'!P123</f>
        <v>0</v>
      </c>
      <c r="Q123" s="65">
        <f>'TOTAL ESTACIONES'!Q123</f>
        <v>0</v>
      </c>
      <c r="R123" s="65">
        <f>'TOTAL ESTACIONES'!R123</f>
        <v>0</v>
      </c>
      <c r="S123" s="65">
        <f>'TOTAL ESTACIONES'!S123</f>
        <v>0</v>
      </c>
      <c r="T123" s="65">
        <f>'TOTAL ESTACIONES'!T123</f>
        <v>0</v>
      </c>
      <c r="U123" s="65">
        <f>'TOTAL ESTACIONES'!U123</f>
        <v>0</v>
      </c>
      <c r="V123" s="65">
        <f>'TOTAL ESTACIONES'!V123</f>
        <v>42700</v>
      </c>
      <c r="W123" s="73">
        <f>'TOTAL ESTACIONES'!W123</f>
        <v>4.764753458403676E-5</v>
      </c>
      <c r="X123" s="89"/>
      <c r="Y123" s="65">
        <f>'TOTAL ESTACIONES'!Y123</f>
        <v>0</v>
      </c>
      <c r="Z123" s="65">
        <f>'TOTAL ESTACIONES'!Z123</f>
        <v>44198.77</v>
      </c>
      <c r="AA123" s="65">
        <f>'TOTAL ESTACIONES'!AA123</f>
        <v>0</v>
      </c>
      <c r="AB123" s="65">
        <f>'TOTAL ESTACIONES'!AB123</f>
        <v>0</v>
      </c>
      <c r="AC123" s="65">
        <f>'TOTAL ESTACIONES'!AC123</f>
        <v>0</v>
      </c>
      <c r="AD123" s="65">
        <f>'TOTAL ESTACIONES'!AD123</f>
        <v>0</v>
      </c>
      <c r="AE123" s="65">
        <f>'TOTAL ESTACIONES'!AE123</f>
        <v>0</v>
      </c>
      <c r="AF123" s="65">
        <f>'TOTAL ESTACIONES'!AF123</f>
        <v>0</v>
      </c>
      <c r="AG123" s="65">
        <f>'TOTAL ESTACIONES'!AG123</f>
        <v>0</v>
      </c>
      <c r="AH123" s="65">
        <f>'TOTAL ESTACIONES'!AH123</f>
        <v>0</v>
      </c>
      <c r="AI123" s="65">
        <f>'TOTAL ESTACIONES'!AI123</f>
        <v>0</v>
      </c>
      <c r="AJ123" s="65">
        <f>'TOTAL ESTACIONES'!AJ123</f>
        <v>0</v>
      </c>
      <c r="AK123" s="65">
        <f>'TOTAL ESTACIONES'!AK123</f>
        <v>44198.77</v>
      </c>
      <c r="AL123" s="73">
        <f>'TOTAL ESTACIONES'!AL123</f>
        <v>4.5888462140470713E-5</v>
      </c>
      <c r="AM123" s="14">
        <f>'TOTAL ESTACIONES'!AM123</f>
        <v>3.5099999999999909E-2</v>
      </c>
      <c r="AN123" s="89"/>
      <c r="AO123" s="254">
        <f>+AK123-V123</f>
        <v>1498.7699999999968</v>
      </c>
      <c r="AP123" s="1" t="s">
        <v>455</v>
      </c>
      <c r="AS123" s="65">
        <v>44198.77</v>
      </c>
    </row>
    <row r="124" spans="1:45" ht="15" hidden="1" customHeight="1" outlineLevel="1">
      <c r="A124" s="12"/>
      <c r="I124" s="246" t="s">
        <v>236</v>
      </c>
      <c r="J124" s="65">
        <f>'TOTAL ESTACIONES'!J124</f>
        <v>0</v>
      </c>
      <c r="K124" s="65">
        <f>'TOTAL ESTACIONES'!K124</f>
        <v>0</v>
      </c>
      <c r="L124" s="65">
        <f>'TOTAL ESTACIONES'!L124</f>
        <v>0</v>
      </c>
      <c r="M124" s="65">
        <f>'TOTAL ESTACIONES'!M124</f>
        <v>0</v>
      </c>
      <c r="N124" s="65">
        <f>'TOTAL ESTACIONES'!N124</f>
        <v>0</v>
      </c>
      <c r="O124" s="65">
        <f>'TOTAL ESTACIONES'!O124</f>
        <v>0</v>
      </c>
      <c r="P124" s="65">
        <f>'TOTAL ESTACIONES'!P124</f>
        <v>0</v>
      </c>
      <c r="Q124" s="65">
        <f>'TOTAL ESTACIONES'!Q124</f>
        <v>0</v>
      </c>
      <c r="R124" s="65">
        <f>'TOTAL ESTACIONES'!R124</f>
        <v>0</v>
      </c>
      <c r="S124" s="65">
        <f>'TOTAL ESTACIONES'!S124</f>
        <v>0</v>
      </c>
      <c r="T124" s="65">
        <f>'TOTAL ESTACIONES'!T124</f>
        <v>0</v>
      </c>
      <c r="U124" s="65">
        <f>'TOTAL ESTACIONES'!U124</f>
        <v>0</v>
      </c>
      <c r="V124" s="65">
        <f>'TOTAL ESTACIONES'!V124</f>
        <v>0</v>
      </c>
      <c r="W124" s="73">
        <f>'TOTAL ESTACIONES'!W124</f>
        <v>0</v>
      </c>
      <c r="X124" s="89"/>
      <c r="Y124" s="65">
        <f>'TOTAL ESTACIONES'!Y124</f>
        <v>0</v>
      </c>
      <c r="Z124" s="65">
        <f>'TOTAL ESTACIONES'!Z124</f>
        <v>0</v>
      </c>
      <c r="AA124" s="65">
        <f>'TOTAL ESTACIONES'!AA124</f>
        <v>0</v>
      </c>
      <c r="AB124" s="65">
        <f>'TOTAL ESTACIONES'!AB124</f>
        <v>0</v>
      </c>
      <c r="AC124" s="65">
        <f>'TOTAL ESTACIONES'!AC124</f>
        <v>0</v>
      </c>
      <c r="AD124" s="65">
        <f>'TOTAL ESTACIONES'!AD124</f>
        <v>0</v>
      </c>
      <c r="AE124" s="65">
        <f>'TOTAL ESTACIONES'!AE124</f>
        <v>0</v>
      </c>
      <c r="AF124" s="65">
        <f>'TOTAL ESTACIONES'!AF124</f>
        <v>0</v>
      </c>
      <c r="AG124" s="65">
        <f>'TOTAL ESTACIONES'!AG124</f>
        <v>0</v>
      </c>
      <c r="AH124" s="65">
        <f>'TOTAL ESTACIONES'!AH124</f>
        <v>0</v>
      </c>
      <c r="AI124" s="65">
        <f>'TOTAL ESTACIONES'!AI124</f>
        <v>0</v>
      </c>
      <c r="AJ124" s="65">
        <f>'TOTAL ESTACIONES'!AJ124</f>
        <v>0</v>
      </c>
      <c r="AK124" s="65">
        <f>'TOTAL ESTACIONES'!AK124</f>
        <v>0</v>
      </c>
      <c r="AL124" s="73">
        <f>'TOTAL ESTACIONES'!AL124</f>
        <v>0</v>
      </c>
      <c r="AM124" s="14">
        <f>'TOTAL ESTACIONES'!AM124</f>
        <v>0</v>
      </c>
      <c r="AN124" s="89"/>
      <c r="AO124" s="254"/>
      <c r="AS124" s="65">
        <v>0</v>
      </c>
    </row>
    <row r="125" spans="1:45" ht="15" hidden="1" customHeight="1" outlineLevel="1">
      <c r="A125" s="12"/>
      <c r="I125" s="246" t="s">
        <v>237</v>
      </c>
      <c r="J125" s="65">
        <f>'TOTAL ESTACIONES'!J125</f>
        <v>123520</v>
      </c>
      <c r="K125" s="65">
        <f>'TOTAL ESTACIONES'!K125</f>
        <v>118022</v>
      </c>
      <c r="L125" s="65">
        <f>'TOTAL ESTACIONES'!L125</f>
        <v>248662</v>
      </c>
      <c r="M125" s="65">
        <f>'TOTAL ESTACIONES'!M125</f>
        <v>166324</v>
      </c>
      <c r="N125" s="65">
        <f>'TOTAL ESTACIONES'!N125</f>
        <v>427872</v>
      </c>
      <c r="O125" s="65">
        <f>'TOTAL ESTACIONES'!O125</f>
        <v>466847</v>
      </c>
      <c r="P125" s="65">
        <f>'TOTAL ESTACIONES'!P125</f>
        <v>179945</v>
      </c>
      <c r="Q125" s="65">
        <f>'TOTAL ESTACIONES'!Q125</f>
        <v>343679</v>
      </c>
      <c r="R125" s="65">
        <f>'TOTAL ESTACIONES'!R125</f>
        <v>167668</v>
      </c>
      <c r="S125" s="65">
        <f>'TOTAL ESTACIONES'!S125</f>
        <v>412312.83439999999</v>
      </c>
      <c r="T125" s="65">
        <f>'TOTAL ESTACIONES'!T125</f>
        <v>132533.856</v>
      </c>
      <c r="U125" s="65">
        <f>'TOTAL ESTACIONES'!U125</f>
        <v>136246.64559999999</v>
      </c>
      <c r="V125" s="65">
        <f>'TOTAL ESTACIONES'!V125</f>
        <v>2923632.3360000001</v>
      </c>
      <c r="W125" s="73">
        <f>'TOTAL ESTACIONES'!W125</f>
        <v>3.2623857808095594E-3</v>
      </c>
      <c r="X125" s="89"/>
      <c r="Y125" s="65">
        <f>'TOTAL ESTACIONES'!Y125</f>
        <v>244953.62747569999</v>
      </c>
      <c r="Z125" s="65">
        <f>'TOTAL ESTACIONES'!Z125</f>
        <v>171482.24292371917</v>
      </c>
      <c r="AA125" s="65">
        <f>'TOTAL ESTACIONES'!AA125</f>
        <v>229411.62787794898</v>
      </c>
      <c r="AB125" s="65">
        <f>'TOTAL ESTACIONES'!AB125</f>
        <v>187589.4340288947</v>
      </c>
      <c r="AC125" s="65">
        <f>'TOTAL ESTACIONES'!AC125</f>
        <v>211043.77838829998</v>
      </c>
      <c r="AD125" s="65">
        <f>'TOTAL ESTACIONES'!AD125</f>
        <v>183350.68606534897</v>
      </c>
      <c r="AE125" s="65">
        <f>'TOTAL ESTACIONES'!AE125</f>
        <v>250605.28694235097</v>
      </c>
      <c r="AF125" s="65">
        <f>'TOTAL ESTACIONES'!AF125</f>
        <v>176286.12857259469</v>
      </c>
      <c r="AG125" s="65">
        <f>'TOTAL ESTACIONES'!AG125</f>
        <v>275331.25164865097</v>
      </c>
      <c r="AH125" s="65">
        <f>'TOTAL ESTACIONES'!AH125</f>
        <v>183820.6597702596</v>
      </c>
      <c r="AI125" s="65">
        <f>'TOTAL ESTACIONES'!AI125</f>
        <v>172735.02550434569</v>
      </c>
      <c r="AJ125" s="65">
        <f>'TOTAL ESTACIONES'!AJ125</f>
        <v>176286.12857259469</v>
      </c>
      <c r="AK125" s="65">
        <f>'TOTAL ESTACIONES'!AK125</f>
        <v>2462895.8777707084</v>
      </c>
      <c r="AL125" s="73">
        <f>'TOTAL ESTACIONES'!AL125</f>
        <v>2.5570508917556428E-3</v>
      </c>
      <c r="AM125" s="14">
        <f>'TOTAL ESTACIONES'!AM125</f>
        <v>-0.15759042358234876</v>
      </c>
      <c r="AN125" s="89"/>
      <c r="AO125" s="254">
        <f>+AK125-V125</f>
        <v>-460736.45822929172</v>
      </c>
      <c r="AP125" s="1" t="s">
        <v>455</v>
      </c>
      <c r="AS125" s="65">
        <v>2462895.8777707084</v>
      </c>
    </row>
    <row r="126" spans="1:45" ht="15" hidden="1" customHeight="1" outlineLevel="1">
      <c r="A126" s="12"/>
      <c r="I126" s="288" t="s">
        <v>238</v>
      </c>
      <c r="J126" s="65">
        <f>'TOTAL ESTACIONES'!J126</f>
        <v>6489</v>
      </c>
      <c r="K126" s="65">
        <f>'TOTAL ESTACIONES'!K126</f>
        <v>5166</v>
      </c>
      <c r="L126" s="65">
        <f>'TOTAL ESTACIONES'!L126</f>
        <v>6633</v>
      </c>
      <c r="M126" s="65">
        <f>'TOTAL ESTACIONES'!M126</f>
        <v>0</v>
      </c>
      <c r="N126" s="65">
        <f>'TOTAL ESTACIONES'!N126</f>
        <v>3014</v>
      </c>
      <c r="O126" s="65">
        <f>'TOTAL ESTACIONES'!O126</f>
        <v>1723</v>
      </c>
      <c r="P126" s="65">
        <f>'TOTAL ESTACIONES'!P126</f>
        <v>1890</v>
      </c>
      <c r="Q126" s="65">
        <f>'TOTAL ESTACIONES'!Q126</f>
        <v>861</v>
      </c>
      <c r="R126" s="65">
        <f>'TOTAL ESTACIONES'!R126</f>
        <v>2584</v>
      </c>
      <c r="S126" s="65">
        <f>'TOTAL ESTACIONES'!S126</f>
        <v>0</v>
      </c>
      <c r="T126" s="65">
        <f>'TOTAL ESTACIONES'!T126</f>
        <v>2111.1999999999998</v>
      </c>
      <c r="U126" s="65">
        <f>'TOTAL ESTACIONES'!U126</f>
        <v>6755.8400000000011</v>
      </c>
      <c r="V126" s="65">
        <f>'TOTAL ESTACIONES'!V126</f>
        <v>37227.040000000001</v>
      </c>
      <c r="W126" s="73">
        <f>'TOTAL ESTACIONES'!W126</f>
        <v>4.1540437373801407E-5</v>
      </c>
      <c r="X126" s="89"/>
      <c r="Y126" s="65">
        <f>'TOTAL ESTACIONES'!Y126</f>
        <v>2732.6639999999998</v>
      </c>
      <c r="Z126" s="65">
        <f>'TOTAL ESTACIONES'!Z126</f>
        <v>8239.3959999999988</v>
      </c>
      <c r="AA126" s="65">
        <f>'TOTAL ESTACIONES'!AA126</f>
        <v>2277.2199999999998</v>
      </c>
      <c r="AB126" s="65">
        <f>'TOTAL ESTACIONES'!AB126</f>
        <v>2277.2199999999998</v>
      </c>
      <c r="AC126" s="65">
        <f>'TOTAL ESTACIONES'!AC126</f>
        <v>2732.6639999999998</v>
      </c>
      <c r="AD126" s="65">
        <f>'TOTAL ESTACIONES'!AD126</f>
        <v>910.88799999999992</v>
      </c>
      <c r="AE126" s="65">
        <f>'TOTAL ESTACIONES'!AE126</f>
        <v>1366.3319999999999</v>
      </c>
      <c r="AF126" s="65">
        <f>'TOTAL ESTACIONES'!AF126</f>
        <v>8197.9919999999984</v>
      </c>
      <c r="AG126" s="65">
        <f>'TOTAL ESTACIONES'!AG126</f>
        <v>1366.3319999999999</v>
      </c>
      <c r="AH126" s="65">
        <f>'TOTAL ESTACIONES'!AH126</f>
        <v>2732.6639999999998</v>
      </c>
      <c r="AI126" s="65">
        <f>'TOTAL ESTACIONES'!AI126</f>
        <v>3643.5519999999997</v>
      </c>
      <c r="AJ126" s="65">
        <f>'TOTAL ESTACIONES'!AJ126</f>
        <v>3188.1079999999997</v>
      </c>
      <c r="AK126" s="65">
        <f>'TOTAL ESTACIONES'!AK126</f>
        <v>39665.031999999985</v>
      </c>
      <c r="AL126" s="73">
        <f>'TOTAL ESTACIONES'!AL126</f>
        <v>4.1181402089527802E-5</v>
      </c>
      <c r="AM126" s="14">
        <f>'TOTAL ESTACIONES'!AM126</f>
        <v>6.5489816004710155E-2</v>
      </c>
      <c r="AN126" s="89"/>
      <c r="AO126" s="254">
        <f>+AK126-V126</f>
        <v>2437.9919999999838</v>
      </c>
      <c r="AP126" s="1" t="s">
        <v>455</v>
      </c>
      <c r="AS126" s="65">
        <v>39665.031999999985</v>
      </c>
    </row>
    <row r="127" spans="1:45" ht="15" hidden="1" customHeight="1" outlineLevel="1">
      <c r="A127" s="12"/>
      <c r="I127" s="246" t="s">
        <v>239</v>
      </c>
      <c r="J127" s="65">
        <f>'TOTAL ESTACIONES'!J127</f>
        <v>0</v>
      </c>
      <c r="K127" s="65">
        <f>'TOTAL ESTACIONES'!K127</f>
        <v>0</v>
      </c>
      <c r="L127" s="65">
        <f>'TOTAL ESTACIONES'!L127</f>
        <v>0</v>
      </c>
      <c r="M127" s="65">
        <f>'TOTAL ESTACIONES'!M127</f>
        <v>0</v>
      </c>
      <c r="N127" s="65">
        <f>'TOTAL ESTACIONES'!N127</f>
        <v>0</v>
      </c>
      <c r="O127" s="65">
        <f>'TOTAL ESTACIONES'!O127</f>
        <v>0</v>
      </c>
      <c r="P127" s="65">
        <f>'TOTAL ESTACIONES'!P127</f>
        <v>24493</v>
      </c>
      <c r="Q127" s="65">
        <f>'TOTAL ESTACIONES'!Q127</f>
        <v>0</v>
      </c>
      <c r="R127" s="65">
        <f>'TOTAL ESTACIONES'!R127</f>
        <v>0</v>
      </c>
      <c r="S127" s="65">
        <f>'TOTAL ESTACIONES'!S127</f>
        <v>0</v>
      </c>
      <c r="T127" s="65">
        <f>'TOTAL ESTACIONES'!T127</f>
        <v>0</v>
      </c>
      <c r="U127" s="65">
        <f>'TOTAL ESTACIONES'!U127</f>
        <v>0</v>
      </c>
      <c r="V127" s="292">
        <f>'TOTAL ESTACIONES'!V127</f>
        <v>24493</v>
      </c>
      <c r="W127" s="73">
        <f>'TOTAL ESTACIONES'!W127</f>
        <v>2.7330938280253217E-5</v>
      </c>
      <c r="X127" s="89"/>
      <c r="Y127" s="65">
        <f>'TOTAL ESTACIONES'!Y127</f>
        <v>0</v>
      </c>
      <c r="Z127" s="65">
        <f>'TOTAL ESTACIONES'!Z127</f>
        <v>0</v>
      </c>
      <c r="AA127" s="65">
        <f>'TOTAL ESTACIONES'!AA127</f>
        <v>0</v>
      </c>
      <c r="AB127" s="65">
        <f>'TOTAL ESTACIONES'!AB127</f>
        <v>0</v>
      </c>
      <c r="AC127" s="65">
        <f>'TOTAL ESTACIONES'!AC127</f>
        <v>0</v>
      </c>
      <c r="AD127" s="65">
        <f>'TOTAL ESTACIONES'!AD127</f>
        <v>0</v>
      </c>
      <c r="AE127" s="65">
        <f>'TOTAL ESTACIONES'!AE127</f>
        <v>29409.136988000006</v>
      </c>
      <c r="AF127" s="65">
        <f>'TOTAL ESTACIONES'!AF127</f>
        <v>0</v>
      </c>
      <c r="AG127" s="65">
        <f>'TOTAL ESTACIONES'!AG127</f>
        <v>0</v>
      </c>
      <c r="AH127" s="65">
        <f>'TOTAL ESTACIONES'!AH127</f>
        <v>0</v>
      </c>
      <c r="AI127" s="65">
        <f>'TOTAL ESTACIONES'!AI127</f>
        <v>0</v>
      </c>
      <c r="AJ127" s="65">
        <f>'TOTAL ESTACIONES'!AJ127</f>
        <v>0</v>
      </c>
      <c r="AK127" s="292">
        <f>'TOTAL ESTACIONES'!AK127</f>
        <v>29409.136988000006</v>
      </c>
      <c r="AL127" s="73">
        <f>'TOTAL ESTACIONES'!AL127</f>
        <v>3.0533430438398067E-5</v>
      </c>
      <c r="AM127" s="14">
        <f>'TOTAL ESTACIONES'!AM127</f>
        <v>0.20071600000000034</v>
      </c>
      <c r="AN127" s="89"/>
      <c r="AO127" s="254">
        <f>+AK127-V127</f>
        <v>4916.1369880000057</v>
      </c>
      <c r="AP127" s="1" t="s">
        <v>456</v>
      </c>
      <c r="AS127" s="292">
        <v>29409.136988000006</v>
      </c>
    </row>
    <row r="128" spans="1:45" ht="15" hidden="1" customHeight="1" outlineLevel="1">
      <c r="A128" s="12"/>
      <c r="I128" s="246" t="s">
        <v>240</v>
      </c>
      <c r="J128" s="65">
        <f>'TOTAL ESTACIONES'!J128</f>
        <v>0</v>
      </c>
      <c r="K128" s="65">
        <f>'TOTAL ESTACIONES'!K128</f>
        <v>0</v>
      </c>
      <c r="L128" s="65">
        <f>'TOTAL ESTACIONES'!L128</f>
        <v>0</v>
      </c>
      <c r="M128" s="65">
        <f>'TOTAL ESTACIONES'!M128</f>
        <v>52800</v>
      </c>
      <c r="N128" s="65">
        <f>'TOTAL ESTACIONES'!N128</f>
        <v>0</v>
      </c>
      <c r="O128" s="65">
        <f>'TOTAL ESTACIONES'!O128</f>
        <v>0</v>
      </c>
      <c r="P128" s="65">
        <f>'TOTAL ESTACIONES'!P128</f>
        <v>0</v>
      </c>
      <c r="Q128" s="65">
        <f>'TOTAL ESTACIONES'!Q128</f>
        <v>0</v>
      </c>
      <c r="R128" s="65">
        <f>'TOTAL ESTACIONES'!R128</f>
        <v>0</v>
      </c>
      <c r="S128" s="65">
        <f>'TOTAL ESTACIONES'!S128</f>
        <v>0</v>
      </c>
      <c r="T128" s="65">
        <v>64000</v>
      </c>
      <c r="U128" s="65">
        <f>'TOTAL ESTACIONES'!U128</f>
        <v>0</v>
      </c>
      <c r="V128" s="65">
        <f>'TOTAL ESTACIONES'!V128</f>
        <v>116800</v>
      </c>
      <c r="W128" s="73">
        <f>'TOTAL ESTACIONES'!W128</f>
        <v>1.3033330303080783E-4</v>
      </c>
      <c r="X128" s="89"/>
      <c r="Y128" s="65">
        <f>'TOTAL ESTACIONES'!Y128</f>
        <v>0</v>
      </c>
      <c r="Z128" s="65">
        <f>'TOTAL ESTACIONES'!Z128</f>
        <v>59311.229999999996</v>
      </c>
      <c r="AA128" s="65">
        <f>'TOTAL ESTACIONES'!AA128</f>
        <v>0</v>
      </c>
      <c r="AB128" s="65">
        <f>'TOTAL ESTACIONES'!AB128</f>
        <v>0</v>
      </c>
      <c r="AC128" s="65">
        <f>'TOTAL ESTACIONES'!AC128</f>
        <v>0</v>
      </c>
      <c r="AD128" s="65">
        <f>'TOTAL ESTACIONES'!AD128</f>
        <v>0</v>
      </c>
      <c r="AE128" s="65">
        <f>'TOTAL ESTACIONES'!AE128</f>
        <v>0</v>
      </c>
      <c r="AF128" s="65">
        <f>'TOTAL ESTACIONES'!AF128</f>
        <v>59311.229999999996</v>
      </c>
      <c r="AG128" s="65">
        <f>'TOTAL ESTACIONES'!AG128</f>
        <v>0</v>
      </c>
      <c r="AH128" s="65">
        <f>'TOTAL ESTACIONES'!AH128</f>
        <v>0</v>
      </c>
      <c r="AI128" s="65">
        <f>'TOTAL ESTACIONES'!AI128</f>
        <v>0</v>
      </c>
      <c r="AJ128" s="65">
        <f>'TOTAL ESTACIONES'!AJ128</f>
        <v>0</v>
      </c>
      <c r="AK128" s="65">
        <f>'TOTAL ESTACIONES'!AK128</f>
        <v>118622.45999999999</v>
      </c>
      <c r="AL128" s="73">
        <f>'TOTAL ESTACIONES'!AL128</f>
        <v>1.2315732462056075E-4</v>
      </c>
      <c r="AM128" s="14">
        <f>'TOTAL ESTACIONES'!AM128</f>
        <v>1.5603253424657515E-2</v>
      </c>
      <c r="AN128" s="89"/>
      <c r="AO128" s="254">
        <f>+AK128-V128</f>
        <v>1822.4599999999919</v>
      </c>
      <c r="AP128" s="1" t="s">
        <v>457</v>
      </c>
      <c r="AS128" s="65">
        <v>118622.45999999999</v>
      </c>
    </row>
    <row r="129" spans="1:45" hidden="1" outlineLevel="1">
      <c r="A129" s="12" t="s">
        <v>263</v>
      </c>
      <c r="B129" s="8" t="s">
        <v>88</v>
      </c>
      <c r="I129" s="246" t="s">
        <v>241</v>
      </c>
      <c r="J129" s="65">
        <f>'TOTAL ESTACIONES'!J129</f>
        <v>0</v>
      </c>
      <c r="K129" s="65">
        <f>'TOTAL ESTACIONES'!K129</f>
        <v>26400</v>
      </c>
      <c r="L129" s="65">
        <f>'TOTAL ESTACIONES'!L129</f>
        <v>0</v>
      </c>
      <c r="M129" s="65">
        <f>'TOTAL ESTACIONES'!M129</f>
        <v>47000</v>
      </c>
      <c r="N129" s="65">
        <f>'TOTAL ESTACIONES'!N129</f>
        <v>0</v>
      </c>
      <c r="O129" s="65">
        <f>'TOTAL ESTACIONES'!O129</f>
        <v>0</v>
      </c>
      <c r="P129" s="65">
        <f>'TOTAL ESTACIONES'!P129</f>
        <v>0</v>
      </c>
      <c r="Q129" s="65">
        <f>'TOTAL ESTACIONES'!Q129</f>
        <v>0</v>
      </c>
      <c r="R129" s="65">
        <f>'TOTAL ESTACIONES'!R129</f>
        <v>0</v>
      </c>
      <c r="S129" s="65">
        <f>'TOTAL ESTACIONES'!S129</f>
        <v>7400</v>
      </c>
      <c r="T129" s="65">
        <f>'TOTAL ESTACIONES'!T129</f>
        <v>0</v>
      </c>
      <c r="U129" s="65">
        <f>'TOTAL ESTACIONES'!U129</f>
        <v>0</v>
      </c>
      <c r="V129" s="65">
        <f>'TOTAL ESTACIONES'!V129</f>
        <v>80800</v>
      </c>
      <c r="W129" s="73">
        <f>'TOTAL ESTACIONES'!W129</f>
        <v>9.0162079493914999E-5</v>
      </c>
      <c r="X129" s="89"/>
      <c r="Y129" s="65">
        <f>'TOTAL ESTACIONES'!Y129</f>
        <v>0</v>
      </c>
      <c r="Z129" s="65">
        <f>'TOTAL ESTACIONES'!Z129</f>
        <v>0</v>
      </c>
      <c r="AA129" s="65">
        <f>'TOTAL ESTACIONES'!AA129</f>
        <v>0</v>
      </c>
      <c r="AB129" s="65">
        <f>'TOTAL ESTACIONES'!AB129</f>
        <v>0</v>
      </c>
      <c r="AC129" s="65">
        <f>'TOTAL ESTACIONES'!AC129</f>
        <v>0</v>
      </c>
      <c r="AD129" s="65">
        <f>'TOTAL ESTACIONES'!AD129</f>
        <v>0</v>
      </c>
      <c r="AE129" s="65">
        <f>'TOTAL ESTACIONES'!AE129</f>
        <v>0</v>
      </c>
      <c r="AF129" s="65">
        <f>'TOTAL ESTACIONES'!AF129</f>
        <v>0</v>
      </c>
      <c r="AG129" s="65">
        <f>'TOTAL ESTACIONES'!AG129</f>
        <v>0</v>
      </c>
      <c r="AH129" s="65">
        <f>'TOTAL ESTACIONES'!AH129</f>
        <v>0</v>
      </c>
      <c r="AI129" s="65">
        <f>'TOTAL ESTACIONES'!AI129</f>
        <v>0</v>
      </c>
      <c r="AJ129" s="65">
        <f>'TOTAL ESTACIONES'!AJ129</f>
        <v>0</v>
      </c>
      <c r="AK129" s="65">
        <f>'TOTAL ESTACIONES'!AK129</f>
        <v>0</v>
      </c>
      <c r="AL129" s="73">
        <f>'TOTAL ESTACIONES'!AL129</f>
        <v>0</v>
      </c>
      <c r="AM129" s="14">
        <f>'TOTAL ESTACIONES'!AM129</f>
        <v>-1</v>
      </c>
      <c r="AN129" s="89"/>
      <c r="AO129" s="254">
        <f>+AK129-V129</f>
        <v>-80800</v>
      </c>
      <c r="AP129" s="1" t="s">
        <v>458</v>
      </c>
      <c r="AS129" s="65">
        <v>0</v>
      </c>
    </row>
    <row r="130" spans="1:45" ht="15" hidden="1" customHeight="1" outlineLevel="1">
      <c r="A130" s="12" t="s">
        <v>263</v>
      </c>
      <c r="B130" s="8" t="s">
        <v>88</v>
      </c>
      <c r="I130" s="246" t="s">
        <v>242</v>
      </c>
      <c r="J130" s="65">
        <f>'TOTAL ESTACIONES'!J130</f>
        <v>0</v>
      </c>
      <c r="K130" s="65">
        <f>'TOTAL ESTACIONES'!K130</f>
        <v>0</v>
      </c>
      <c r="L130" s="65">
        <f>'TOTAL ESTACIONES'!L130</f>
        <v>0</v>
      </c>
      <c r="M130" s="65">
        <f>'TOTAL ESTACIONES'!M130</f>
        <v>0</v>
      </c>
      <c r="N130" s="65">
        <f>'TOTAL ESTACIONES'!N130</f>
        <v>0</v>
      </c>
      <c r="O130" s="65">
        <f>'TOTAL ESTACIONES'!O130</f>
        <v>0</v>
      </c>
      <c r="P130" s="65">
        <f>'TOTAL ESTACIONES'!P130</f>
        <v>0</v>
      </c>
      <c r="Q130" s="65">
        <f>'TOTAL ESTACIONES'!Q130</f>
        <v>0</v>
      </c>
      <c r="R130" s="65">
        <f>'TOTAL ESTACIONES'!R130</f>
        <v>0</v>
      </c>
      <c r="S130" s="65">
        <f>'TOTAL ESTACIONES'!S130</f>
        <v>0</v>
      </c>
      <c r="T130" s="65">
        <f>'TOTAL ESTACIONES'!T130</f>
        <v>0</v>
      </c>
      <c r="U130" s="65">
        <f>'TOTAL ESTACIONES'!U130</f>
        <v>0</v>
      </c>
      <c r="V130" s="65">
        <f>'TOTAL ESTACIONES'!V130</f>
        <v>0</v>
      </c>
      <c r="W130" s="73">
        <f>'TOTAL ESTACIONES'!W130</f>
        <v>0</v>
      </c>
      <c r="X130" s="89"/>
      <c r="Y130" s="65">
        <f>'TOTAL ESTACIONES'!Y130</f>
        <v>0</v>
      </c>
      <c r="Z130" s="65">
        <f>'TOTAL ESTACIONES'!Z130</f>
        <v>0</v>
      </c>
      <c r="AA130" s="65">
        <f>'TOTAL ESTACIONES'!AA130</f>
        <v>0</v>
      </c>
      <c r="AB130" s="65">
        <f>'TOTAL ESTACIONES'!AB130</f>
        <v>0</v>
      </c>
      <c r="AC130" s="65">
        <f>'TOTAL ESTACIONES'!AC130</f>
        <v>0</v>
      </c>
      <c r="AD130" s="65">
        <f>'TOTAL ESTACIONES'!AD130</f>
        <v>0</v>
      </c>
      <c r="AE130" s="65">
        <f>'TOTAL ESTACIONES'!AE130</f>
        <v>0</v>
      </c>
      <c r="AF130" s="65">
        <f>'TOTAL ESTACIONES'!AF130</f>
        <v>0</v>
      </c>
      <c r="AG130" s="65">
        <f>'TOTAL ESTACIONES'!AG130</f>
        <v>0</v>
      </c>
      <c r="AH130" s="65">
        <f>'TOTAL ESTACIONES'!AH130</f>
        <v>0</v>
      </c>
      <c r="AI130" s="65">
        <f>'TOTAL ESTACIONES'!AI130</f>
        <v>0</v>
      </c>
      <c r="AJ130" s="65">
        <f>'TOTAL ESTACIONES'!AJ130</f>
        <v>0</v>
      </c>
      <c r="AK130" s="65">
        <f>'TOTAL ESTACIONES'!AK130</f>
        <v>0</v>
      </c>
      <c r="AL130" s="73">
        <f>'TOTAL ESTACIONES'!AL130</f>
        <v>0</v>
      </c>
      <c r="AM130" s="14">
        <f>'TOTAL ESTACIONES'!AM130</f>
        <v>0</v>
      </c>
      <c r="AN130" s="89"/>
      <c r="AO130" s="254"/>
      <c r="AS130" s="65">
        <v>0</v>
      </c>
    </row>
    <row r="131" spans="1:45" ht="15" hidden="1" customHeight="1" outlineLevel="1">
      <c r="A131" s="12" t="s">
        <v>263</v>
      </c>
      <c r="B131" s="8" t="s">
        <v>88</v>
      </c>
      <c r="I131" s="246" t="s">
        <v>243</v>
      </c>
      <c r="J131" s="65">
        <f>'TOTAL ESTACIONES'!J131</f>
        <v>0</v>
      </c>
      <c r="K131" s="65">
        <f>'TOTAL ESTACIONES'!K131</f>
        <v>0</v>
      </c>
      <c r="L131" s="65">
        <f>'TOTAL ESTACIONES'!L131</f>
        <v>0</v>
      </c>
      <c r="M131" s="65">
        <f>'TOTAL ESTACIONES'!M131</f>
        <v>0</v>
      </c>
      <c r="N131" s="65">
        <f>'TOTAL ESTACIONES'!N131</f>
        <v>0</v>
      </c>
      <c r="O131" s="65">
        <f>'TOTAL ESTACIONES'!O131</f>
        <v>0</v>
      </c>
      <c r="P131" s="65">
        <f>'TOTAL ESTACIONES'!P131</f>
        <v>0</v>
      </c>
      <c r="Q131" s="65">
        <f>'TOTAL ESTACIONES'!Q131</f>
        <v>0</v>
      </c>
      <c r="R131" s="65">
        <f>'TOTAL ESTACIONES'!R131</f>
        <v>0</v>
      </c>
      <c r="S131" s="65">
        <f>'TOTAL ESTACIONES'!S131</f>
        <v>0</v>
      </c>
      <c r="T131" s="65">
        <f>'TOTAL ESTACIONES'!T131</f>
        <v>0</v>
      </c>
      <c r="U131" s="65">
        <f>'TOTAL ESTACIONES'!U131</f>
        <v>0</v>
      </c>
      <c r="V131" s="65">
        <f>'TOTAL ESTACIONES'!V131</f>
        <v>0</v>
      </c>
      <c r="W131" s="73">
        <f>'TOTAL ESTACIONES'!W131</f>
        <v>0</v>
      </c>
      <c r="X131" s="89"/>
      <c r="Y131" s="65">
        <f>'TOTAL ESTACIONES'!Y131</f>
        <v>0</v>
      </c>
      <c r="Z131" s="65">
        <f>'TOTAL ESTACIONES'!Z131</f>
        <v>0</v>
      </c>
      <c r="AA131" s="65">
        <f>'TOTAL ESTACIONES'!AA131</f>
        <v>0</v>
      </c>
      <c r="AB131" s="65">
        <f>'TOTAL ESTACIONES'!AB131</f>
        <v>0</v>
      </c>
      <c r="AC131" s="65">
        <f>'TOTAL ESTACIONES'!AC131</f>
        <v>0</v>
      </c>
      <c r="AD131" s="65">
        <f>'TOTAL ESTACIONES'!AD131</f>
        <v>0</v>
      </c>
      <c r="AE131" s="65">
        <f>'TOTAL ESTACIONES'!AE131</f>
        <v>0</v>
      </c>
      <c r="AF131" s="65">
        <f>'TOTAL ESTACIONES'!AF131</f>
        <v>0</v>
      </c>
      <c r="AG131" s="65">
        <f>'TOTAL ESTACIONES'!AG131</f>
        <v>0</v>
      </c>
      <c r="AH131" s="65">
        <f>'TOTAL ESTACIONES'!AH131</f>
        <v>0</v>
      </c>
      <c r="AI131" s="65">
        <f>'TOTAL ESTACIONES'!AI131</f>
        <v>0</v>
      </c>
      <c r="AJ131" s="65">
        <f>'TOTAL ESTACIONES'!AJ131</f>
        <v>0</v>
      </c>
      <c r="AK131" s="65">
        <f>'TOTAL ESTACIONES'!AK131</f>
        <v>0</v>
      </c>
      <c r="AL131" s="73">
        <f>'TOTAL ESTACIONES'!AL131</f>
        <v>0</v>
      </c>
      <c r="AM131" s="14">
        <f>'TOTAL ESTACIONES'!AM131</f>
        <v>0</v>
      </c>
      <c r="AN131" s="89"/>
      <c r="AO131" s="254"/>
      <c r="AS131" s="65">
        <v>0</v>
      </c>
    </row>
    <row r="132" spans="1:45" ht="15" hidden="1" customHeight="1" outlineLevel="1">
      <c r="A132" s="12" t="s">
        <v>263</v>
      </c>
      <c r="B132" s="8" t="s">
        <v>88</v>
      </c>
      <c r="I132" s="246" t="s">
        <v>244</v>
      </c>
      <c r="J132" s="65">
        <f>'TOTAL ESTACIONES'!J132</f>
        <v>0</v>
      </c>
      <c r="K132" s="65">
        <f>'TOTAL ESTACIONES'!K132</f>
        <v>0</v>
      </c>
      <c r="L132" s="65">
        <f>'TOTAL ESTACIONES'!L132</f>
        <v>0</v>
      </c>
      <c r="M132" s="65">
        <f>'TOTAL ESTACIONES'!M132</f>
        <v>0</v>
      </c>
      <c r="N132" s="65">
        <f>'TOTAL ESTACIONES'!N132</f>
        <v>0</v>
      </c>
      <c r="O132" s="65">
        <f>'TOTAL ESTACIONES'!O132</f>
        <v>0</v>
      </c>
      <c r="P132" s="65">
        <f>'TOTAL ESTACIONES'!P132</f>
        <v>0</v>
      </c>
      <c r="Q132" s="65">
        <f>'TOTAL ESTACIONES'!Q132</f>
        <v>0</v>
      </c>
      <c r="R132" s="65">
        <f>'TOTAL ESTACIONES'!R132</f>
        <v>0</v>
      </c>
      <c r="S132" s="65">
        <f>'TOTAL ESTACIONES'!S132</f>
        <v>0</v>
      </c>
      <c r="T132" s="65">
        <f>'TOTAL ESTACIONES'!T132</f>
        <v>0</v>
      </c>
      <c r="U132" s="65">
        <f>'TOTAL ESTACIONES'!U132</f>
        <v>0</v>
      </c>
      <c r="V132" s="65">
        <f>'TOTAL ESTACIONES'!V132</f>
        <v>0</v>
      </c>
      <c r="W132" s="73">
        <f>'TOTAL ESTACIONES'!W132</f>
        <v>0</v>
      </c>
      <c r="X132" s="89"/>
      <c r="Y132" s="65">
        <f>'TOTAL ESTACIONES'!Y132</f>
        <v>0</v>
      </c>
      <c r="Z132" s="65">
        <f>'TOTAL ESTACIONES'!Z132</f>
        <v>0</v>
      </c>
      <c r="AA132" s="65">
        <f>'TOTAL ESTACIONES'!AA132</f>
        <v>0</v>
      </c>
      <c r="AB132" s="65">
        <f>'TOTAL ESTACIONES'!AB132</f>
        <v>0</v>
      </c>
      <c r="AC132" s="65">
        <f>'TOTAL ESTACIONES'!AC132</f>
        <v>0</v>
      </c>
      <c r="AD132" s="65">
        <f>'TOTAL ESTACIONES'!AD132</f>
        <v>0</v>
      </c>
      <c r="AE132" s="65">
        <f>'TOTAL ESTACIONES'!AE132</f>
        <v>0</v>
      </c>
      <c r="AF132" s="65">
        <f>'TOTAL ESTACIONES'!AF132</f>
        <v>0</v>
      </c>
      <c r="AG132" s="65">
        <f>'TOTAL ESTACIONES'!AG132</f>
        <v>0</v>
      </c>
      <c r="AH132" s="65">
        <f>'TOTAL ESTACIONES'!AH132</f>
        <v>0</v>
      </c>
      <c r="AI132" s="65">
        <f>'TOTAL ESTACIONES'!AI132</f>
        <v>0</v>
      </c>
      <c r="AJ132" s="65">
        <f>'TOTAL ESTACIONES'!AJ132</f>
        <v>0</v>
      </c>
      <c r="AK132" s="65">
        <f>'TOTAL ESTACIONES'!AK132</f>
        <v>0</v>
      </c>
      <c r="AL132" s="73">
        <f>'TOTAL ESTACIONES'!AL132</f>
        <v>0</v>
      </c>
      <c r="AM132" s="14">
        <f>'TOTAL ESTACIONES'!AM132</f>
        <v>0</v>
      </c>
      <c r="AN132" s="89"/>
      <c r="AO132" s="254"/>
      <c r="AS132" s="65">
        <v>0</v>
      </c>
    </row>
    <row r="133" spans="1:45" ht="15" hidden="1" customHeight="1" outlineLevel="1">
      <c r="A133" s="12" t="s">
        <v>263</v>
      </c>
      <c r="B133" s="8" t="s">
        <v>88</v>
      </c>
      <c r="I133" s="246" t="s">
        <v>245</v>
      </c>
      <c r="J133" s="65">
        <f>'TOTAL ESTACIONES'!J133</f>
        <v>0</v>
      </c>
      <c r="K133" s="65">
        <f>'TOTAL ESTACIONES'!K133</f>
        <v>0</v>
      </c>
      <c r="L133" s="65">
        <f>'TOTAL ESTACIONES'!L133</f>
        <v>0</v>
      </c>
      <c r="M133" s="65">
        <f>'TOTAL ESTACIONES'!M133</f>
        <v>0</v>
      </c>
      <c r="N133" s="65">
        <f>'TOTAL ESTACIONES'!N133</f>
        <v>0</v>
      </c>
      <c r="O133" s="65">
        <f>'TOTAL ESTACIONES'!O133</f>
        <v>0</v>
      </c>
      <c r="P133" s="65">
        <f>'TOTAL ESTACIONES'!P133</f>
        <v>0</v>
      </c>
      <c r="Q133" s="65">
        <f>'TOTAL ESTACIONES'!Q133</f>
        <v>0</v>
      </c>
      <c r="R133" s="65">
        <f>'TOTAL ESTACIONES'!R133</f>
        <v>0</v>
      </c>
      <c r="S133" s="65">
        <f>'TOTAL ESTACIONES'!S133</f>
        <v>0</v>
      </c>
      <c r="T133" s="65">
        <f>'TOTAL ESTACIONES'!T133</f>
        <v>0</v>
      </c>
      <c r="U133" s="65">
        <f>'TOTAL ESTACIONES'!U133</f>
        <v>0</v>
      </c>
      <c r="V133" s="65">
        <f>'TOTAL ESTACIONES'!V133</f>
        <v>0</v>
      </c>
      <c r="W133" s="73">
        <f>'TOTAL ESTACIONES'!W133</f>
        <v>0</v>
      </c>
      <c r="X133" s="89"/>
      <c r="Y133" s="65">
        <f>'TOTAL ESTACIONES'!Y133</f>
        <v>0</v>
      </c>
      <c r="Z133" s="65">
        <f>'TOTAL ESTACIONES'!Z133</f>
        <v>0</v>
      </c>
      <c r="AA133" s="65">
        <f>'TOTAL ESTACIONES'!AA133</f>
        <v>0</v>
      </c>
      <c r="AB133" s="65">
        <f>'TOTAL ESTACIONES'!AB133</f>
        <v>0</v>
      </c>
      <c r="AC133" s="65">
        <f>'TOTAL ESTACIONES'!AC133</f>
        <v>0</v>
      </c>
      <c r="AD133" s="65">
        <f>'TOTAL ESTACIONES'!AD133</f>
        <v>0</v>
      </c>
      <c r="AE133" s="65">
        <f>'TOTAL ESTACIONES'!AE133</f>
        <v>0</v>
      </c>
      <c r="AF133" s="65">
        <f>'TOTAL ESTACIONES'!AF133</f>
        <v>0</v>
      </c>
      <c r="AG133" s="65">
        <f>'TOTAL ESTACIONES'!AG133</f>
        <v>0</v>
      </c>
      <c r="AH133" s="65">
        <f>'TOTAL ESTACIONES'!AH133</f>
        <v>0</v>
      </c>
      <c r="AI133" s="65">
        <f>'TOTAL ESTACIONES'!AI133</f>
        <v>0</v>
      </c>
      <c r="AJ133" s="65">
        <f>'TOTAL ESTACIONES'!AJ133</f>
        <v>0</v>
      </c>
      <c r="AK133" s="65">
        <f>'TOTAL ESTACIONES'!AK133</f>
        <v>0</v>
      </c>
      <c r="AL133" s="73">
        <f>'TOTAL ESTACIONES'!AL133</f>
        <v>0</v>
      </c>
      <c r="AM133" s="14">
        <f>'TOTAL ESTACIONES'!AM133</f>
        <v>0</v>
      </c>
      <c r="AN133" s="89"/>
      <c r="AO133" s="254"/>
      <c r="AS133" s="65">
        <v>0</v>
      </c>
    </row>
    <row r="134" spans="1:45" ht="15" hidden="1" customHeight="1" outlineLevel="1">
      <c r="A134" s="12" t="s">
        <v>263</v>
      </c>
      <c r="B134" s="8" t="s">
        <v>88</v>
      </c>
      <c r="C134" s="19" t="s">
        <v>268</v>
      </c>
      <c r="D134" s="12"/>
      <c r="F134" s="12"/>
      <c r="G134" s="12"/>
      <c r="H134" s="12"/>
      <c r="I134" s="246" t="s">
        <v>246</v>
      </c>
      <c r="J134" s="65">
        <f>'TOTAL ESTACIONES'!J134</f>
        <v>0</v>
      </c>
      <c r="K134" s="65">
        <f>'TOTAL ESTACIONES'!K134</f>
        <v>0</v>
      </c>
      <c r="L134" s="65">
        <f>'TOTAL ESTACIONES'!L134</f>
        <v>0</v>
      </c>
      <c r="M134" s="65">
        <f>'TOTAL ESTACIONES'!M134</f>
        <v>0</v>
      </c>
      <c r="N134" s="65">
        <f>'TOTAL ESTACIONES'!N134</f>
        <v>0</v>
      </c>
      <c r="O134" s="65">
        <f>'TOTAL ESTACIONES'!O134</f>
        <v>0</v>
      </c>
      <c r="P134" s="65">
        <f>'TOTAL ESTACIONES'!P134</f>
        <v>0</v>
      </c>
      <c r="Q134" s="65">
        <f>'TOTAL ESTACIONES'!Q134</f>
        <v>0</v>
      </c>
      <c r="R134" s="65">
        <f>'TOTAL ESTACIONES'!R134</f>
        <v>0</v>
      </c>
      <c r="S134" s="65">
        <f>'TOTAL ESTACIONES'!S134</f>
        <v>0</v>
      </c>
      <c r="T134" s="65">
        <f>'TOTAL ESTACIONES'!T134</f>
        <v>0</v>
      </c>
      <c r="U134" s="65">
        <f>'TOTAL ESTACIONES'!U134</f>
        <v>0</v>
      </c>
      <c r="V134" s="65">
        <f>'TOTAL ESTACIONES'!V134</f>
        <v>0</v>
      </c>
      <c r="W134" s="73">
        <f>'TOTAL ESTACIONES'!W134</f>
        <v>0</v>
      </c>
      <c r="X134" s="89"/>
      <c r="Y134" s="65">
        <f>'TOTAL ESTACIONES'!Y134</f>
        <v>0</v>
      </c>
      <c r="Z134" s="65">
        <f>'TOTAL ESTACIONES'!Z134</f>
        <v>0</v>
      </c>
      <c r="AA134" s="65">
        <f>'TOTAL ESTACIONES'!AA134</f>
        <v>0</v>
      </c>
      <c r="AB134" s="65">
        <f>'TOTAL ESTACIONES'!AB134</f>
        <v>0</v>
      </c>
      <c r="AC134" s="65">
        <f>'TOTAL ESTACIONES'!AC134</f>
        <v>0</v>
      </c>
      <c r="AD134" s="65">
        <f>'TOTAL ESTACIONES'!AD134</f>
        <v>0</v>
      </c>
      <c r="AE134" s="65">
        <f>'TOTAL ESTACIONES'!AE134</f>
        <v>0</v>
      </c>
      <c r="AF134" s="65">
        <f>'TOTAL ESTACIONES'!AF134</f>
        <v>0</v>
      </c>
      <c r="AG134" s="65">
        <f>'TOTAL ESTACIONES'!AG134</f>
        <v>0</v>
      </c>
      <c r="AH134" s="65">
        <f>'TOTAL ESTACIONES'!AH134</f>
        <v>0</v>
      </c>
      <c r="AI134" s="65">
        <f>'TOTAL ESTACIONES'!AI134</f>
        <v>0</v>
      </c>
      <c r="AJ134" s="65">
        <f>'TOTAL ESTACIONES'!AJ134</f>
        <v>0</v>
      </c>
      <c r="AK134" s="65">
        <f>'TOTAL ESTACIONES'!AK134</f>
        <v>0</v>
      </c>
      <c r="AL134" s="73">
        <f>'TOTAL ESTACIONES'!AL134</f>
        <v>0</v>
      </c>
      <c r="AM134" s="14">
        <f>'TOTAL ESTACIONES'!AM134</f>
        <v>0</v>
      </c>
      <c r="AN134" s="89"/>
      <c r="AO134" s="254"/>
      <c r="AS134" s="65">
        <v>0</v>
      </c>
    </row>
    <row r="135" spans="1:45" ht="15" hidden="1" customHeight="1" outlineLevel="1">
      <c r="A135" s="12" t="s">
        <v>263</v>
      </c>
      <c r="B135" s="8" t="s">
        <v>88</v>
      </c>
      <c r="E135" s="184"/>
      <c r="I135" s="288" t="s">
        <v>247</v>
      </c>
      <c r="J135" s="65">
        <f>'TOTAL ESTACIONES'!J135</f>
        <v>3600</v>
      </c>
      <c r="K135" s="65">
        <f>'TOTAL ESTACIONES'!K135</f>
        <v>39812</v>
      </c>
      <c r="L135" s="65">
        <f>'TOTAL ESTACIONES'!L135</f>
        <v>0</v>
      </c>
      <c r="M135" s="65">
        <f>'TOTAL ESTACIONES'!M135</f>
        <v>0</v>
      </c>
      <c r="N135" s="65">
        <f>'TOTAL ESTACIONES'!N135</f>
        <v>0</v>
      </c>
      <c r="O135" s="65">
        <f>'TOTAL ESTACIONES'!O135</f>
        <v>0</v>
      </c>
      <c r="P135" s="65">
        <f>'TOTAL ESTACIONES'!P135</f>
        <v>39252</v>
      </c>
      <c r="Q135" s="65">
        <f>'TOTAL ESTACIONES'!Q135</f>
        <v>0</v>
      </c>
      <c r="R135" s="65">
        <f>'TOTAL ESTACIONES'!R135</f>
        <v>0</v>
      </c>
      <c r="S135" s="65">
        <f>'TOTAL ESTACIONES'!S135</f>
        <v>0</v>
      </c>
      <c r="T135" s="65">
        <f>'TOTAL ESTACIONES'!T135</f>
        <v>10774.400000000001</v>
      </c>
      <c r="U135" s="65">
        <f>'TOTAL ESTACIONES'!U135</f>
        <v>0</v>
      </c>
      <c r="V135" s="65">
        <f>'TOTAL ESTACIONES'!V135</f>
        <v>93438.399999999994</v>
      </c>
      <c r="W135" s="73">
        <f>'TOTAL ESTACIONES'!W135</f>
        <v>1.042648570369335E-4</v>
      </c>
      <c r="X135" s="89"/>
      <c r="Y135" s="65">
        <f>'TOTAL ESTACIONES'!Y135</f>
        <v>26000</v>
      </c>
      <c r="Z135" s="65">
        <f>'TOTAL ESTACIONES'!Z135</f>
        <v>26000</v>
      </c>
      <c r="AA135" s="65">
        <f>'TOTAL ESTACIONES'!AA135</f>
        <v>0</v>
      </c>
      <c r="AB135" s="65">
        <f>'TOTAL ESTACIONES'!AB135</f>
        <v>0</v>
      </c>
      <c r="AC135" s="65">
        <f>'TOTAL ESTACIONES'!AC135</f>
        <v>11200</v>
      </c>
      <c r="AD135" s="65">
        <f>'TOTAL ESTACIONES'!AD135</f>
        <v>0</v>
      </c>
      <c r="AE135" s="65">
        <f>'TOTAL ESTACIONES'!AE135</f>
        <v>26000</v>
      </c>
      <c r="AF135" s="65">
        <f>'TOTAL ESTACIONES'!AF135</f>
        <v>26000</v>
      </c>
      <c r="AG135" s="65">
        <f>'TOTAL ESTACIONES'!AG135</f>
        <v>0</v>
      </c>
      <c r="AH135" s="65">
        <f>'TOTAL ESTACIONES'!AH135</f>
        <v>0</v>
      </c>
      <c r="AI135" s="65">
        <f>'TOTAL ESTACIONES'!AI135</f>
        <v>11200</v>
      </c>
      <c r="AJ135" s="65">
        <f>'TOTAL ESTACIONES'!AJ135</f>
        <v>0</v>
      </c>
      <c r="AK135" s="65">
        <f>'TOTAL ESTACIONES'!AK135</f>
        <v>126400</v>
      </c>
      <c r="AL135" s="73">
        <f>'TOTAL ESTACIONES'!AL135</f>
        <v>1.3123219525239049E-4</v>
      </c>
      <c r="AM135" s="14">
        <f>'TOTAL ESTACIONES'!AM135</f>
        <v>0.35276288977550996</v>
      </c>
      <c r="AN135" s="89"/>
      <c r="AO135" s="254">
        <f>+AK135-V135</f>
        <v>32961.600000000006</v>
      </c>
      <c r="AP135" s="1" t="s">
        <v>459</v>
      </c>
      <c r="AS135" s="65">
        <v>126400</v>
      </c>
    </row>
    <row r="136" spans="1:45" ht="15" hidden="1" customHeight="1" outlineLevel="1">
      <c r="A136" s="12"/>
      <c r="I136" s="246" t="s">
        <v>249</v>
      </c>
      <c r="J136" s="65">
        <f>'TOTAL ESTACIONES'!J136</f>
        <v>0</v>
      </c>
      <c r="K136" s="65">
        <f>'TOTAL ESTACIONES'!K136</f>
        <v>0</v>
      </c>
      <c r="L136" s="65">
        <f>'TOTAL ESTACIONES'!L136</f>
        <v>0</v>
      </c>
      <c r="M136" s="65">
        <f>'TOTAL ESTACIONES'!M136</f>
        <v>0</v>
      </c>
      <c r="N136" s="65">
        <f>'TOTAL ESTACIONES'!N136</f>
        <v>0</v>
      </c>
      <c r="O136" s="65">
        <f>'TOTAL ESTACIONES'!O136</f>
        <v>0</v>
      </c>
      <c r="P136" s="65">
        <f>'TOTAL ESTACIONES'!P136</f>
        <v>0</v>
      </c>
      <c r="Q136" s="65">
        <f>'TOTAL ESTACIONES'!Q136</f>
        <v>0</v>
      </c>
      <c r="R136" s="65">
        <f>'TOTAL ESTACIONES'!R136</f>
        <v>0</v>
      </c>
      <c r="S136" s="65">
        <f>'TOTAL ESTACIONES'!S136</f>
        <v>0</v>
      </c>
      <c r="T136" s="65">
        <f>'TOTAL ESTACIONES'!T136</f>
        <v>0</v>
      </c>
      <c r="U136" s="65">
        <f>'TOTAL ESTACIONES'!U136</f>
        <v>0</v>
      </c>
      <c r="V136" s="65">
        <f>'TOTAL ESTACIONES'!V136</f>
        <v>0</v>
      </c>
      <c r="W136" s="73">
        <f>'TOTAL ESTACIONES'!W136</f>
        <v>0</v>
      </c>
      <c r="X136" s="89"/>
      <c r="Y136" s="65">
        <f>'TOTAL ESTACIONES'!Y136</f>
        <v>0</v>
      </c>
      <c r="Z136" s="65">
        <f>'TOTAL ESTACIONES'!Z136</f>
        <v>0</v>
      </c>
      <c r="AA136" s="65">
        <f>'TOTAL ESTACIONES'!AA136</f>
        <v>0</v>
      </c>
      <c r="AB136" s="65">
        <f>'TOTAL ESTACIONES'!AB136</f>
        <v>0</v>
      </c>
      <c r="AC136" s="65">
        <f>'TOTAL ESTACIONES'!AC136</f>
        <v>0</v>
      </c>
      <c r="AD136" s="65">
        <f>'TOTAL ESTACIONES'!AD136</f>
        <v>0</v>
      </c>
      <c r="AE136" s="65">
        <f>'TOTAL ESTACIONES'!AE136</f>
        <v>0</v>
      </c>
      <c r="AF136" s="65">
        <f>'TOTAL ESTACIONES'!AF136</f>
        <v>0</v>
      </c>
      <c r="AG136" s="65">
        <f>'TOTAL ESTACIONES'!AG136</f>
        <v>0</v>
      </c>
      <c r="AH136" s="65">
        <f>'TOTAL ESTACIONES'!AH136</f>
        <v>0</v>
      </c>
      <c r="AI136" s="65">
        <f>'TOTAL ESTACIONES'!AI136</f>
        <v>0</v>
      </c>
      <c r="AJ136" s="65">
        <f>'TOTAL ESTACIONES'!AJ136</f>
        <v>0</v>
      </c>
      <c r="AK136" s="65">
        <f>'TOTAL ESTACIONES'!AK136</f>
        <v>0</v>
      </c>
      <c r="AL136" s="73">
        <f>'TOTAL ESTACIONES'!AL136</f>
        <v>0</v>
      </c>
      <c r="AM136" s="14">
        <f>'TOTAL ESTACIONES'!AM136</f>
        <v>0</v>
      </c>
      <c r="AN136" s="89"/>
      <c r="AO136" s="254"/>
      <c r="AS136" s="65">
        <v>0</v>
      </c>
    </row>
    <row r="137" spans="1:45" hidden="1" outlineLevel="1">
      <c r="I137" s="246" t="s">
        <v>250</v>
      </c>
      <c r="J137" s="65">
        <f>'TOTAL ESTACIONES'!J137</f>
        <v>0</v>
      </c>
      <c r="K137" s="65">
        <f>'TOTAL ESTACIONES'!K137</f>
        <v>764</v>
      </c>
      <c r="L137" s="65">
        <f>'TOTAL ESTACIONES'!L137</f>
        <v>11784</v>
      </c>
      <c r="M137" s="65">
        <f>'TOTAL ESTACIONES'!M137</f>
        <v>4724</v>
      </c>
      <c r="N137" s="65">
        <f>'TOTAL ESTACIONES'!N137</f>
        <v>1230</v>
      </c>
      <c r="O137" s="65">
        <f>'TOTAL ESTACIONES'!O137</f>
        <v>0</v>
      </c>
      <c r="P137" s="65">
        <f>'TOTAL ESTACIONES'!P137</f>
        <v>0</v>
      </c>
      <c r="Q137" s="65">
        <f>'TOTAL ESTACIONES'!Q137</f>
        <v>2562</v>
      </c>
      <c r="R137" s="65">
        <f>'TOTAL ESTACIONES'!R137</f>
        <v>41</v>
      </c>
      <c r="S137" s="65">
        <f>'TOTAL ESTACIONES'!S137</f>
        <v>10199.280000000001</v>
      </c>
      <c r="T137" s="65">
        <f>'TOTAL ESTACIONES'!T137</f>
        <v>0</v>
      </c>
      <c r="U137" s="65">
        <f>'TOTAL ESTACIONES'!U137</f>
        <v>0</v>
      </c>
      <c r="V137" s="292">
        <f>'TOTAL ESTACIONES'!V137</f>
        <v>31304.28</v>
      </c>
      <c r="W137" s="73">
        <f>'TOTAL ESTACIONES'!W137</f>
        <v>3.4931423042818978E-5</v>
      </c>
      <c r="X137" s="89"/>
      <c r="Y137" s="65">
        <f>'TOTAL ESTACIONES'!Y137</f>
        <v>0</v>
      </c>
      <c r="Z137" s="65">
        <f>'TOTAL ESTACIONES'!Z137</f>
        <v>0</v>
      </c>
      <c r="AA137" s="65">
        <f>'TOTAL ESTACIONES'!AA137</f>
        <v>155265</v>
      </c>
      <c r="AB137" s="65">
        <f>'TOTAL ESTACIONES'!AB137</f>
        <v>0</v>
      </c>
      <c r="AC137" s="65">
        <f>'TOTAL ESTACIONES'!AC137</f>
        <v>0</v>
      </c>
      <c r="AD137" s="65">
        <f>'TOTAL ESTACIONES'!AD137</f>
        <v>0</v>
      </c>
      <c r="AE137" s="65">
        <f>'TOTAL ESTACIONES'!AE137</f>
        <v>0</v>
      </c>
      <c r="AF137" s="65">
        <f>'TOTAL ESTACIONES'!AF137</f>
        <v>155265</v>
      </c>
      <c r="AG137" s="65">
        <f>'TOTAL ESTACIONES'!AG137</f>
        <v>0</v>
      </c>
      <c r="AH137" s="65">
        <f>'TOTAL ESTACIONES'!AH137</f>
        <v>0</v>
      </c>
      <c r="AI137" s="65">
        <f>'TOTAL ESTACIONES'!AI137</f>
        <v>0</v>
      </c>
      <c r="AJ137" s="65">
        <f>'TOTAL ESTACIONES'!AJ137</f>
        <v>0</v>
      </c>
      <c r="AK137" s="292">
        <f>'TOTAL ESTACIONES'!AK137</f>
        <v>310530</v>
      </c>
      <c r="AL137" s="73">
        <f>'TOTAL ESTACIONES'!AL137</f>
        <v>3.2240137335225329E-4</v>
      </c>
      <c r="AM137" s="14">
        <f>'TOTAL ESTACIONES'!AM137</f>
        <v>8.9197298260812907</v>
      </c>
      <c r="AN137" s="89"/>
      <c r="AO137" s="296">
        <f>+AK137-V137</f>
        <v>279225.71999999997</v>
      </c>
      <c r="AP137" s="1" t="s">
        <v>460</v>
      </c>
      <c r="AS137" s="292">
        <v>310530</v>
      </c>
    </row>
    <row r="138" spans="1:45" hidden="1" outlineLevel="1">
      <c r="I138" s="246" t="s">
        <v>251</v>
      </c>
      <c r="J138" s="65">
        <f>'TOTAL ESTACIONES'!J138</f>
        <v>0</v>
      </c>
      <c r="K138" s="65">
        <f>'TOTAL ESTACIONES'!K138</f>
        <v>0</v>
      </c>
      <c r="L138" s="65">
        <f>'TOTAL ESTACIONES'!L138</f>
        <v>0</v>
      </c>
      <c r="M138" s="65">
        <f>'TOTAL ESTACIONES'!M138</f>
        <v>0</v>
      </c>
      <c r="N138" s="65">
        <f>'TOTAL ESTACIONES'!N138</f>
        <v>0</v>
      </c>
      <c r="O138" s="65">
        <f>'TOTAL ESTACIONES'!O138</f>
        <v>0</v>
      </c>
      <c r="P138" s="65">
        <f>'TOTAL ESTACIONES'!P138</f>
        <v>0</v>
      </c>
      <c r="Q138" s="65">
        <f>'TOTAL ESTACIONES'!Q138</f>
        <v>0</v>
      </c>
      <c r="R138" s="65">
        <f>'TOTAL ESTACIONES'!R138</f>
        <v>0</v>
      </c>
      <c r="S138" s="65">
        <f>'TOTAL ESTACIONES'!S138</f>
        <v>0</v>
      </c>
      <c r="T138" s="65">
        <f>'TOTAL ESTACIONES'!T138</f>
        <v>0</v>
      </c>
      <c r="U138" s="65">
        <f>'TOTAL ESTACIONES'!U138</f>
        <v>0</v>
      </c>
      <c r="V138" s="65">
        <f>'TOTAL ESTACIONES'!V138</f>
        <v>0</v>
      </c>
      <c r="W138" s="73">
        <f>'TOTAL ESTACIONES'!W138</f>
        <v>0</v>
      </c>
      <c r="X138" s="89"/>
      <c r="Y138" s="65">
        <f>'TOTAL ESTACIONES'!Y138</f>
        <v>0</v>
      </c>
      <c r="Z138" s="65">
        <f>'TOTAL ESTACIONES'!Z138</f>
        <v>0</v>
      </c>
      <c r="AA138" s="65">
        <f>'TOTAL ESTACIONES'!AA138</f>
        <v>0</v>
      </c>
      <c r="AB138" s="65">
        <f>'TOTAL ESTACIONES'!AB138</f>
        <v>0</v>
      </c>
      <c r="AC138" s="65">
        <f>'TOTAL ESTACIONES'!AC138</f>
        <v>0</v>
      </c>
      <c r="AD138" s="65">
        <f>'TOTAL ESTACIONES'!AD138</f>
        <v>0</v>
      </c>
      <c r="AE138" s="65">
        <f>'TOTAL ESTACIONES'!AE138</f>
        <v>0</v>
      </c>
      <c r="AF138" s="65">
        <f>'TOTAL ESTACIONES'!AF138</f>
        <v>0</v>
      </c>
      <c r="AG138" s="65">
        <f>'TOTAL ESTACIONES'!AG138</f>
        <v>0</v>
      </c>
      <c r="AH138" s="65">
        <f>'TOTAL ESTACIONES'!AH138</f>
        <v>0</v>
      </c>
      <c r="AI138" s="65">
        <f>'TOTAL ESTACIONES'!AI138</f>
        <v>0</v>
      </c>
      <c r="AJ138" s="65">
        <f>'TOTAL ESTACIONES'!AJ138</f>
        <v>0</v>
      </c>
      <c r="AK138" s="65">
        <f>'TOTAL ESTACIONES'!AK138</f>
        <v>0</v>
      </c>
      <c r="AL138" s="73">
        <f>'TOTAL ESTACIONES'!AL138</f>
        <v>0</v>
      </c>
      <c r="AM138" s="14">
        <f>'TOTAL ESTACIONES'!AM138</f>
        <v>0</v>
      </c>
      <c r="AN138" s="89"/>
      <c r="AO138" s="254"/>
      <c r="AS138" s="65">
        <v>0</v>
      </c>
    </row>
    <row r="139" spans="1:45" hidden="1" outlineLevel="1">
      <c r="I139" s="246" t="s">
        <v>252</v>
      </c>
      <c r="J139" s="65">
        <f>'TOTAL ESTACIONES'!J139</f>
        <v>0</v>
      </c>
      <c r="K139" s="65">
        <f>'TOTAL ESTACIONES'!K139</f>
        <v>0</v>
      </c>
      <c r="L139" s="65">
        <f>'TOTAL ESTACIONES'!L139</f>
        <v>0</v>
      </c>
      <c r="M139" s="65">
        <f>'TOTAL ESTACIONES'!M139</f>
        <v>0</v>
      </c>
      <c r="N139" s="65">
        <f>'TOTAL ESTACIONES'!N139</f>
        <v>0</v>
      </c>
      <c r="O139" s="65">
        <f>'TOTAL ESTACIONES'!O139</f>
        <v>0</v>
      </c>
      <c r="P139" s="65">
        <f>'TOTAL ESTACIONES'!P139</f>
        <v>0</v>
      </c>
      <c r="Q139" s="65">
        <f>'TOTAL ESTACIONES'!Q139</f>
        <v>0</v>
      </c>
      <c r="R139" s="65">
        <f>'TOTAL ESTACIONES'!R139</f>
        <v>0</v>
      </c>
      <c r="S139" s="65">
        <f>'TOTAL ESTACIONES'!S139</f>
        <v>0</v>
      </c>
      <c r="T139" s="65">
        <f>'TOTAL ESTACIONES'!T139</f>
        <v>0</v>
      </c>
      <c r="U139" s="65">
        <f>'TOTAL ESTACIONES'!U139</f>
        <v>0</v>
      </c>
      <c r="V139" s="65">
        <f>'TOTAL ESTACIONES'!V139</f>
        <v>0</v>
      </c>
      <c r="W139" s="73">
        <f>'TOTAL ESTACIONES'!W139</f>
        <v>0</v>
      </c>
      <c r="X139" s="89"/>
      <c r="Y139" s="65">
        <f>'TOTAL ESTACIONES'!Y139</f>
        <v>0</v>
      </c>
      <c r="Z139" s="65">
        <f>'TOTAL ESTACIONES'!Z139</f>
        <v>0</v>
      </c>
      <c r="AA139" s="65">
        <f>'TOTAL ESTACIONES'!AA139</f>
        <v>0</v>
      </c>
      <c r="AB139" s="65">
        <f>'TOTAL ESTACIONES'!AB139</f>
        <v>0</v>
      </c>
      <c r="AC139" s="65">
        <f>'TOTAL ESTACIONES'!AC139</f>
        <v>0</v>
      </c>
      <c r="AD139" s="65">
        <f>'TOTAL ESTACIONES'!AD139</f>
        <v>0</v>
      </c>
      <c r="AE139" s="65">
        <f>'TOTAL ESTACIONES'!AE139</f>
        <v>0</v>
      </c>
      <c r="AF139" s="65">
        <f>'TOTAL ESTACIONES'!AF139</f>
        <v>0</v>
      </c>
      <c r="AG139" s="65">
        <f>'TOTAL ESTACIONES'!AG139</f>
        <v>0</v>
      </c>
      <c r="AH139" s="65">
        <f>'TOTAL ESTACIONES'!AH139</f>
        <v>0</v>
      </c>
      <c r="AI139" s="65">
        <f>'TOTAL ESTACIONES'!AI139</f>
        <v>0</v>
      </c>
      <c r="AJ139" s="65">
        <f>'TOTAL ESTACIONES'!AJ139</f>
        <v>0</v>
      </c>
      <c r="AK139" s="65">
        <f>'TOTAL ESTACIONES'!AK139</f>
        <v>0</v>
      </c>
      <c r="AL139" s="73">
        <f>'TOTAL ESTACIONES'!AL139</f>
        <v>0</v>
      </c>
      <c r="AM139" s="14">
        <f>'TOTAL ESTACIONES'!AM139</f>
        <v>0</v>
      </c>
      <c r="AN139" s="89"/>
      <c r="AO139" s="254"/>
      <c r="AS139" s="65">
        <v>0</v>
      </c>
    </row>
    <row r="140" spans="1:45" hidden="1" outlineLevel="1">
      <c r="I140" s="246" t="s">
        <v>253</v>
      </c>
      <c r="J140" s="65">
        <f>'TOTAL ESTACIONES'!J140</f>
        <v>0</v>
      </c>
      <c r="K140" s="65">
        <f>'TOTAL ESTACIONES'!K140</f>
        <v>0</v>
      </c>
      <c r="L140" s="65">
        <f>'TOTAL ESTACIONES'!L140</f>
        <v>42900</v>
      </c>
      <c r="M140" s="65">
        <f>'TOTAL ESTACIONES'!M140</f>
        <v>0</v>
      </c>
      <c r="N140" s="65">
        <f>'TOTAL ESTACIONES'!N140</f>
        <v>0</v>
      </c>
      <c r="O140" s="65">
        <f>'TOTAL ESTACIONES'!O140</f>
        <v>1850</v>
      </c>
      <c r="P140" s="65">
        <f>'TOTAL ESTACIONES'!P140</f>
        <v>5550</v>
      </c>
      <c r="Q140" s="65">
        <f>'TOTAL ESTACIONES'!Q140</f>
        <v>0</v>
      </c>
      <c r="R140" s="65">
        <f>'TOTAL ESTACIONES'!R140</f>
        <v>0</v>
      </c>
      <c r="S140" s="65">
        <f>'TOTAL ESTACIONES'!S140</f>
        <v>0</v>
      </c>
      <c r="T140" s="65">
        <f>'TOTAL ESTACIONES'!T140</f>
        <v>0</v>
      </c>
      <c r="U140" s="65">
        <f>'TOTAL ESTACIONES'!U140</f>
        <v>0</v>
      </c>
      <c r="V140" s="65">
        <f>'TOTAL ESTACIONES'!V140</f>
        <v>50300</v>
      </c>
      <c r="W140" s="73">
        <f>'TOTAL ESTACIONES'!W140</f>
        <v>5.6128126219603022E-5</v>
      </c>
      <c r="X140" s="89"/>
      <c r="Y140" s="65">
        <f>'TOTAL ESTACIONES'!Y140</f>
        <v>0</v>
      </c>
      <c r="Z140" s="65">
        <f>'TOTAL ESTACIONES'!Z140</f>
        <v>0</v>
      </c>
      <c r="AA140" s="65">
        <f>'TOTAL ESTACIONES'!AA140</f>
        <v>46424.234999999993</v>
      </c>
      <c r="AB140" s="65">
        <f>'TOTAL ESTACIONES'!AB140</f>
        <v>0</v>
      </c>
      <c r="AC140" s="65">
        <f>'TOTAL ESTACIONES'!AC140</f>
        <v>0</v>
      </c>
      <c r="AD140" s="65">
        <f>'TOTAL ESTACIONES'!AD140</f>
        <v>0</v>
      </c>
      <c r="AE140" s="65">
        <f>'TOTAL ESTACIONES'!AE140</f>
        <v>0</v>
      </c>
      <c r="AF140" s="65">
        <f>'TOTAL ESTACIONES'!AF140</f>
        <v>0</v>
      </c>
      <c r="AG140" s="65">
        <f>'TOTAL ESTACIONES'!AG140</f>
        <v>0</v>
      </c>
      <c r="AH140" s="65">
        <f>'TOTAL ESTACIONES'!AH140</f>
        <v>0</v>
      </c>
      <c r="AI140" s="65">
        <f>'TOTAL ESTACIONES'!AI140</f>
        <v>0</v>
      </c>
      <c r="AJ140" s="65">
        <f>'TOTAL ESTACIONES'!AJ140</f>
        <v>0</v>
      </c>
      <c r="AK140" s="65">
        <f>'TOTAL ESTACIONES'!AK140</f>
        <v>46424.234999999993</v>
      </c>
      <c r="AL140" s="73">
        <f>'TOTAL ESTACIONES'!AL140</f>
        <v>4.8199005316161862E-5</v>
      </c>
      <c r="AM140" s="14">
        <f>'TOTAL ESTACIONES'!AM140</f>
        <v>-7.7052982107356005E-2</v>
      </c>
      <c r="AN140" s="89"/>
      <c r="AO140" s="254">
        <f>+AK140-V140</f>
        <v>-3875.7650000000067</v>
      </c>
      <c r="AP140" s="1" t="s">
        <v>455</v>
      </c>
      <c r="AS140" s="65">
        <v>46424.234999999993</v>
      </c>
    </row>
    <row r="141" spans="1:45" hidden="1" outlineLevel="1">
      <c r="I141" s="246" t="s">
        <v>254</v>
      </c>
      <c r="J141" s="65">
        <f>'TOTAL ESTACIONES'!J141</f>
        <v>0</v>
      </c>
      <c r="K141" s="65">
        <f>'TOTAL ESTACIONES'!K141</f>
        <v>0</v>
      </c>
      <c r="L141" s="65">
        <f>'TOTAL ESTACIONES'!L141</f>
        <v>0</v>
      </c>
      <c r="M141" s="65">
        <f>'TOTAL ESTACIONES'!M141</f>
        <v>0</v>
      </c>
      <c r="N141" s="65">
        <f>'TOTAL ESTACIONES'!N141</f>
        <v>0</v>
      </c>
      <c r="O141" s="65">
        <f>'TOTAL ESTACIONES'!O141</f>
        <v>0</v>
      </c>
      <c r="P141" s="65">
        <f>'TOTAL ESTACIONES'!P141</f>
        <v>0</v>
      </c>
      <c r="Q141" s="65">
        <f>'TOTAL ESTACIONES'!Q141</f>
        <v>0</v>
      </c>
      <c r="R141" s="65">
        <f>'TOTAL ESTACIONES'!R141</f>
        <v>0</v>
      </c>
      <c r="S141" s="65">
        <f>'TOTAL ESTACIONES'!S141</f>
        <v>0</v>
      </c>
      <c r="T141" s="65">
        <f>'TOTAL ESTACIONES'!T141</f>
        <v>0</v>
      </c>
      <c r="U141" s="65">
        <f>'TOTAL ESTACIONES'!U141</f>
        <v>0</v>
      </c>
      <c r="V141" s="65">
        <f>'TOTAL ESTACIONES'!V141</f>
        <v>0</v>
      </c>
      <c r="W141" s="73">
        <f>'TOTAL ESTACIONES'!W141</f>
        <v>0</v>
      </c>
      <c r="X141" s="89"/>
      <c r="Y141" s="65">
        <f>'TOTAL ESTACIONES'!Y141</f>
        <v>0</v>
      </c>
      <c r="Z141" s="65">
        <f>'TOTAL ESTACIONES'!Z141</f>
        <v>0</v>
      </c>
      <c r="AA141" s="65">
        <f>'TOTAL ESTACIONES'!AA141</f>
        <v>0</v>
      </c>
      <c r="AB141" s="65">
        <f>'TOTAL ESTACIONES'!AB141</f>
        <v>0</v>
      </c>
      <c r="AC141" s="65">
        <f>'TOTAL ESTACIONES'!AC141</f>
        <v>0</v>
      </c>
      <c r="AD141" s="65">
        <f>'TOTAL ESTACIONES'!AD141</f>
        <v>0</v>
      </c>
      <c r="AE141" s="65">
        <f>'TOTAL ESTACIONES'!AE141</f>
        <v>0</v>
      </c>
      <c r="AF141" s="65">
        <f>'TOTAL ESTACIONES'!AF141</f>
        <v>0</v>
      </c>
      <c r="AG141" s="65">
        <f>'TOTAL ESTACIONES'!AG141</f>
        <v>0</v>
      </c>
      <c r="AH141" s="65">
        <f>'TOTAL ESTACIONES'!AH141</f>
        <v>0</v>
      </c>
      <c r="AI141" s="65">
        <f>'TOTAL ESTACIONES'!AI141</f>
        <v>0</v>
      </c>
      <c r="AJ141" s="65">
        <f>'TOTAL ESTACIONES'!AJ141</f>
        <v>0</v>
      </c>
      <c r="AK141" s="65">
        <f>'TOTAL ESTACIONES'!AK141</f>
        <v>0</v>
      </c>
      <c r="AL141" s="73">
        <f>'TOTAL ESTACIONES'!AL141</f>
        <v>0</v>
      </c>
      <c r="AM141" s="14">
        <f>'TOTAL ESTACIONES'!AM141</f>
        <v>0</v>
      </c>
      <c r="AN141" s="89"/>
      <c r="AO141" s="254"/>
      <c r="AS141" s="65">
        <v>0</v>
      </c>
    </row>
    <row r="142" spans="1:45" hidden="1" outlineLevel="1">
      <c r="I142" s="288" t="s">
        <v>255</v>
      </c>
      <c r="J142" s="65">
        <f>'TOTAL ESTACIONES'!J142</f>
        <v>0</v>
      </c>
      <c r="K142" s="65">
        <f>'TOTAL ESTACIONES'!K142</f>
        <v>0</v>
      </c>
      <c r="L142" s="65">
        <f>'TOTAL ESTACIONES'!L142</f>
        <v>0</v>
      </c>
      <c r="M142" s="65">
        <f>'TOTAL ESTACIONES'!M142</f>
        <v>9800</v>
      </c>
      <c r="N142" s="65">
        <f>'TOTAL ESTACIONES'!N142</f>
        <v>0</v>
      </c>
      <c r="O142" s="65">
        <f>'TOTAL ESTACIONES'!O142</f>
        <v>1200</v>
      </c>
      <c r="P142" s="65">
        <f>'TOTAL ESTACIONES'!P142</f>
        <v>0</v>
      </c>
      <c r="Q142" s="65">
        <f>'TOTAL ESTACIONES'!Q142</f>
        <v>14500</v>
      </c>
      <c r="R142" s="65">
        <f>'TOTAL ESTACIONES'!R142</f>
        <v>7900</v>
      </c>
      <c r="S142" s="65">
        <f>'TOTAL ESTACIONES'!S142</f>
        <v>9500</v>
      </c>
      <c r="T142" s="65">
        <f>'TOTAL ESTACIONES'!T142</f>
        <v>10000</v>
      </c>
      <c r="U142" s="65">
        <f>'TOTAL ESTACIONES'!U142</f>
        <v>6000</v>
      </c>
      <c r="V142" s="65">
        <f>'TOTAL ESTACIONES'!V142</f>
        <v>58900</v>
      </c>
      <c r="W142" s="73">
        <f>'TOTAL ESTACIONES'!W142</f>
        <v>6.5724585175638533E-5</v>
      </c>
      <c r="X142" s="89"/>
      <c r="Y142" s="65">
        <f>'TOTAL ESTACIONES'!Y142</f>
        <v>0</v>
      </c>
      <c r="Z142" s="65">
        <f>'TOTAL ESTACIONES'!Z142</f>
        <v>0</v>
      </c>
      <c r="AA142" s="65">
        <f>'TOTAL ESTACIONES'!AA142</f>
        <v>21737.099999999995</v>
      </c>
      <c r="AB142" s="65">
        <f>'TOTAL ESTACIONES'!AB142</f>
        <v>2070.1999999999998</v>
      </c>
      <c r="AC142" s="65">
        <f>'TOTAL ESTACIONES'!AC142</f>
        <v>0</v>
      </c>
      <c r="AD142" s="65">
        <f>'TOTAL ESTACIONES'!AD142</f>
        <v>21737.099999999995</v>
      </c>
      <c r="AE142" s="65">
        <f>'TOTAL ESTACIONES'!AE142</f>
        <v>2070.1999999999998</v>
      </c>
      <c r="AF142" s="65">
        <f>'TOTAL ESTACIONES'!AF142</f>
        <v>0</v>
      </c>
      <c r="AG142" s="65">
        <f>'TOTAL ESTACIONES'!AG142</f>
        <v>21737.099999999995</v>
      </c>
      <c r="AH142" s="65">
        <f>'TOTAL ESTACIONES'!AH142</f>
        <v>0</v>
      </c>
      <c r="AI142" s="65">
        <f>'TOTAL ESTACIONES'!AI142</f>
        <v>0</v>
      </c>
      <c r="AJ142" s="65">
        <f>'TOTAL ESTACIONES'!AJ142</f>
        <v>0</v>
      </c>
      <c r="AK142" s="65">
        <f>'TOTAL ESTACIONES'!AK142</f>
        <v>69351.699999999983</v>
      </c>
      <c r="AL142" s="73">
        <f>'TOTAL ESTACIONES'!AL142</f>
        <v>7.2002973382003221E-5</v>
      </c>
      <c r="AM142" s="14">
        <f>'TOTAL ESTACIONES'!AM142</f>
        <v>0.17744821731748694</v>
      </c>
      <c r="AN142" s="89"/>
      <c r="AO142" s="254">
        <f>+AK142-V142</f>
        <v>10451.699999999983</v>
      </c>
      <c r="AP142" s="1" t="s">
        <v>455</v>
      </c>
      <c r="AS142" s="65">
        <v>69351.699999999983</v>
      </c>
    </row>
    <row r="143" spans="1:45" hidden="1" outlineLevel="1">
      <c r="I143" s="246" t="s">
        <v>256</v>
      </c>
      <c r="J143" s="65">
        <f>'TOTAL ESTACIONES'!J143</f>
        <v>0</v>
      </c>
      <c r="K143" s="65">
        <f>'TOTAL ESTACIONES'!K143</f>
        <v>0</v>
      </c>
      <c r="L143" s="65">
        <f>'TOTAL ESTACIONES'!L143</f>
        <v>0</v>
      </c>
      <c r="M143" s="65">
        <f>'TOTAL ESTACIONES'!M143</f>
        <v>0</v>
      </c>
      <c r="N143" s="65">
        <f>'TOTAL ESTACIONES'!N143</f>
        <v>0</v>
      </c>
      <c r="O143" s="65">
        <f>'TOTAL ESTACIONES'!O143</f>
        <v>0</v>
      </c>
      <c r="P143" s="65">
        <f>'TOTAL ESTACIONES'!P143</f>
        <v>0</v>
      </c>
      <c r="Q143" s="65">
        <f>'TOTAL ESTACIONES'!Q143</f>
        <v>0</v>
      </c>
      <c r="R143" s="65">
        <f>'TOTAL ESTACIONES'!R143</f>
        <v>0</v>
      </c>
      <c r="S143" s="65">
        <f>'TOTAL ESTACIONES'!S143</f>
        <v>0</v>
      </c>
      <c r="T143" s="65">
        <f>'TOTAL ESTACIONES'!T143</f>
        <v>0</v>
      </c>
      <c r="U143" s="65">
        <f>'TOTAL ESTACIONES'!U143</f>
        <v>0</v>
      </c>
      <c r="V143" s="65">
        <f>'TOTAL ESTACIONES'!V143</f>
        <v>0</v>
      </c>
      <c r="W143" s="73">
        <f>'TOTAL ESTACIONES'!W143</f>
        <v>0</v>
      </c>
      <c r="X143" s="89"/>
      <c r="Y143" s="65">
        <f>'TOTAL ESTACIONES'!Y143</f>
        <v>0</v>
      </c>
      <c r="Z143" s="65">
        <f>'TOTAL ESTACIONES'!Z143</f>
        <v>0</v>
      </c>
      <c r="AA143" s="65">
        <f>'TOTAL ESTACIONES'!AA143</f>
        <v>0</v>
      </c>
      <c r="AB143" s="65">
        <f>'TOTAL ESTACIONES'!AB143</f>
        <v>0</v>
      </c>
      <c r="AC143" s="65">
        <f>'TOTAL ESTACIONES'!AC143</f>
        <v>0</v>
      </c>
      <c r="AD143" s="65">
        <f>'TOTAL ESTACIONES'!AD143</f>
        <v>0</v>
      </c>
      <c r="AE143" s="65">
        <f>'TOTAL ESTACIONES'!AE143</f>
        <v>0</v>
      </c>
      <c r="AF143" s="65">
        <f>'TOTAL ESTACIONES'!AF143</f>
        <v>0</v>
      </c>
      <c r="AG143" s="65">
        <f>'TOTAL ESTACIONES'!AG143</f>
        <v>0</v>
      </c>
      <c r="AH143" s="65">
        <f>'TOTAL ESTACIONES'!AH143</f>
        <v>0</v>
      </c>
      <c r="AI143" s="65">
        <f>'TOTAL ESTACIONES'!AI143</f>
        <v>0</v>
      </c>
      <c r="AJ143" s="65">
        <f>'TOTAL ESTACIONES'!AJ143</f>
        <v>0</v>
      </c>
      <c r="AK143" s="65">
        <f>'TOTAL ESTACIONES'!AK143</f>
        <v>0</v>
      </c>
      <c r="AL143" s="73">
        <f>'TOTAL ESTACIONES'!AL143</f>
        <v>0</v>
      </c>
      <c r="AM143" s="14">
        <f>'TOTAL ESTACIONES'!AM143</f>
        <v>0</v>
      </c>
      <c r="AN143" s="89"/>
      <c r="AO143" s="254"/>
      <c r="AS143" s="65">
        <v>0</v>
      </c>
    </row>
    <row r="144" spans="1:45" hidden="1" outlineLevel="1">
      <c r="I144" s="246" t="s">
        <v>257</v>
      </c>
      <c r="J144" s="65">
        <f>'TOTAL ESTACIONES'!J144</f>
        <v>0</v>
      </c>
      <c r="K144" s="65">
        <f>'TOTAL ESTACIONES'!K144</f>
        <v>0</v>
      </c>
      <c r="L144" s="65">
        <f>'TOTAL ESTACIONES'!L144</f>
        <v>0</v>
      </c>
      <c r="M144" s="65">
        <f>'TOTAL ESTACIONES'!M144</f>
        <v>1960</v>
      </c>
      <c r="N144" s="65">
        <f>'TOTAL ESTACIONES'!N144</f>
        <v>0</v>
      </c>
      <c r="O144" s="65">
        <f>'TOTAL ESTACIONES'!O144</f>
        <v>0</v>
      </c>
      <c r="P144" s="65">
        <f>'TOTAL ESTACIONES'!P144</f>
        <v>3400</v>
      </c>
      <c r="Q144" s="65">
        <f>'TOTAL ESTACIONES'!Q144</f>
        <v>35100</v>
      </c>
      <c r="R144" s="65">
        <f>'TOTAL ESTACIONES'!R144</f>
        <v>0</v>
      </c>
      <c r="S144" s="65">
        <f>'TOTAL ESTACIONES'!S144</f>
        <v>24440</v>
      </c>
      <c r="T144" s="65">
        <f>'TOTAL ESTACIONES'!T144</f>
        <v>0</v>
      </c>
      <c r="U144" s="65">
        <f>'TOTAL ESTACIONES'!U144</f>
        <v>26156.000000000004</v>
      </c>
      <c r="V144" s="65">
        <f>'TOTAL ESTACIONES'!V144</f>
        <v>91056</v>
      </c>
      <c r="W144" s="73">
        <f>'TOTAL ESTACIONES'!W144</f>
        <v>1.0160641473264757E-4</v>
      </c>
      <c r="X144" s="89"/>
      <c r="Y144" s="65">
        <f>'TOTAL ESTACIONES'!Y144</f>
        <v>0</v>
      </c>
      <c r="Z144" s="65">
        <f>'TOTAL ESTACIONES'!Z144</f>
        <v>55869.522499999999</v>
      </c>
      <c r="AA144" s="65">
        <f>'TOTAL ESTACIONES'!AA144</f>
        <v>0</v>
      </c>
      <c r="AB144" s="65">
        <f>'TOTAL ESTACIONES'!AB144</f>
        <v>0</v>
      </c>
      <c r="AC144" s="65">
        <f>'TOTAL ESTACIONES'!AC144</f>
        <v>55869.522499999999</v>
      </c>
      <c r="AD144" s="65">
        <f>'TOTAL ESTACIONES'!AD144</f>
        <v>0</v>
      </c>
      <c r="AE144" s="65">
        <f>'TOTAL ESTACIONES'!AE144</f>
        <v>0</v>
      </c>
      <c r="AF144" s="65">
        <f>'TOTAL ESTACIONES'!AF144</f>
        <v>55869.522499999999</v>
      </c>
      <c r="AG144" s="65">
        <f>'TOTAL ESTACIONES'!AG144</f>
        <v>0</v>
      </c>
      <c r="AH144" s="65">
        <f>'TOTAL ESTACIONES'!AH144</f>
        <v>0</v>
      </c>
      <c r="AI144" s="65">
        <f>'TOTAL ESTACIONES'!AI144</f>
        <v>55869.522499999999</v>
      </c>
      <c r="AJ144" s="65">
        <f>'TOTAL ESTACIONES'!AJ144</f>
        <v>0</v>
      </c>
      <c r="AK144" s="65">
        <f>'TOTAL ESTACIONES'!AK144</f>
        <v>223478.09</v>
      </c>
      <c r="AL144" s="73">
        <f>'TOTAL ESTACIONES'!AL144</f>
        <v>2.3202152168917161E-4</v>
      </c>
      <c r="AM144" s="14">
        <f>'TOTAL ESTACIONES'!AM144</f>
        <v>1.4542928527499561</v>
      </c>
      <c r="AN144" s="89"/>
      <c r="AO144" s="254">
        <f>+AK144-V144</f>
        <v>132422.09</v>
      </c>
      <c r="AP144" s="1" t="s">
        <v>461</v>
      </c>
      <c r="AS144" s="65">
        <v>223478.09</v>
      </c>
    </row>
    <row r="145" spans="5:45" hidden="1" outlineLevel="1">
      <c r="I145" s="246" t="s">
        <v>258</v>
      </c>
      <c r="J145" s="65">
        <f>'TOTAL ESTACIONES'!J145</f>
        <v>0</v>
      </c>
      <c r="K145" s="65">
        <f>'TOTAL ESTACIONES'!K145</f>
        <v>0</v>
      </c>
      <c r="L145" s="65">
        <f>'TOTAL ESTACIONES'!L145</f>
        <v>1800</v>
      </c>
      <c r="M145" s="65">
        <f>'TOTAL ESTACIONES'!M145</f>
        <v>14705</v>
      </c>
      <c r="N145" s="65">
        <f>'TOTAL ESTACIONES'!N145</f>
        <v>17035</v>
      </c>
      <c r="O145" s="65">
        <f>'TOTAL ESTACIONES'!O145</f>
        <v>0</v>
      </c>
      <c r="P145" s="65">
        <f>'TOTAL ESTACIONES'!P145</f>
        <v>0</v>
      </c>
      <c r="Q145" s="65">
        <f>'TOTAL ESTACIONES'!Q145</f>
        <v>7650</v>
      </c>
      <c r="R145" s="65">
        <f>'TOTAL ESTACIONES'!R145</f>
        <v>0</v>
      </c>
      <c r="S145" s="65">
        <f>'TOTAL ESTACIONES'!S145</f>
        <v>5990</v>
      </c>
      <c r="T145" s="65">
        <f>'TOTAL ESTACIONES'!T145</f>
        <v>0</v>
      </c>
      <c r="U145" s="65">
        <f>'TOTAL ESTACIONES'!U145</f>
        <v>9464</v>
      </c>
      <c r="V145" s="65">
        <f>'TOTAL ESTACIONES'!V145</f>
        <v>56644</v>
      </c>
      <c r="W145" s="73">
        <f>'TOTAL ESTACIONES'!W145</f>
        <v>6.3207188500659912E-5</v>
      </c>
      <c r="X145" s="89"/>
      <c r="Y145" s="65">
        <f>'TOTAL ESTACIONES'!Y145</f>
        <v>0</v>
      </c>
      <c r="Z145" s="65">
        <f>'TOTAL ESTACIONES'!Z145</f>
        <v>10785.742</v>
      </c>
      <c r="AA145" s="65">
        <f>'TOTAL ESTACIONES'!AA145</f>
        <v>0</v>
      </c>
      <c r="AB145" s="65">
        <f>'TOTAL ESTACIONES'!AB145</f>
        <v>0</v>
      </c>
      <c r="AC145" s="65">
        <f>'TOTAL ESTACIONES'!AC145</f>
        <v>10785.742</v>
      </c>
      <c r="AD145" s="65">
        <f>'TOTAL ESTACIONES'!AD145</f>
        <v>0</v>
      </c>
      <c r="AE145" s="65">
        <f>'TOTAL ESTACIONES'!AE145</f>
        <v>0</v>
      </c>
      <c r="AF145" s="65">
        <f>'TOTAL ESTACIONES'!AF145</f>
        <v>10785.742</v>
      </c>
      <c r="AG145" s="65">
        <f>'TOTAL ESTACIONES'!AG145</f>
        <v>0</v>
      </c>
      <c r="AH145" s="65">
        <f>'TOTAL ESTACIONES'!AH145</f>
        <v>0</v>
      </c>
      <c r="AI145" s="65">
        <f>'TOTAL ESTACIONES'!AI145</f>
        <v>10785.742</v>
      </c>
      <c r="AJ145" s="65">
        <f>'TOTAL ESTACIONES'!AJ145</f>
        <v>0</v>
      </c>
      <c r="AK145" s="65">
        <f>'TOTAL ESTACIONES'!AK145</f>
        <v>43142.968000000001</v>
      </c>
      <c r="AL145" s="73">
        <f>'TOTAL ESTACIONES'!AL145</f>
        <v>4.4792297471073057E-5</v>
      </c>
      <c r="AM145" s="14">
        <f>'TOTAL ESTACIONES'!AM145</f>
        <v>-0.23834884542052115</v>
      </c>
      <c r="AN145" s="89"/>
      <c r="AO145" s="254">
        <f>+AK145-V145</f>
        <v>-13501.031999999999</v>
      </c>
      <c r="AP145" s="1" t="s">
        <v>462</v>
      </c>
      <c r="AS145" s="65">
        <v>43142.968000000001</v>
      </c>
    </row>
    <row r="146" spans="5:45" hidden="1" outlineLevel="1">
      <c r="I146" s="246" t="s">
        <v>259</v>
      </c>
      <c r="J146" s="65">
        <f>'TOTAL ESTACIONES'!J146</f>
        <v>0</v>
      </c>
      <c r="K146" s="65">
        <f>'TOTAL ESTACIONES'!K146</f>
        <v>0</v>
      </c>
      <c r="L146" s="65">
        <f>'TOTAL ESTACIONES'!L146</f>
        <v>0</v>
      </c>
      <c r="M146" s="65">
        <f>'TOTAL ESTACIONES'!M146</f>
        <v>0</v>
      </c>
      <c r="N146" s="65">
        <f>'TOTAL ESTACIONES'!N146</f>
        <v>0</v>
      </c>
      <c r="O146" s="65">
        <f>'TOTAL ESTACIONES'!O146</f>
        <v>0</v>
      </c>
      <c r="P146" s="65">
        <f>'TOTAL ESTACIONES'!P146</f>
        <v>0</v>
      </c>
      <c r="Q146" s="65">
        <f>'TOTAL ESTACIONES'!Q146</f>
        <v>0</v>
      </c>
      <c r="R146" s="65">
        <f>'TOTAL ESTACIONES'!R146</f>
        <v>0</v>
      </c>
      <c r="S146" s="65">
        <f>'TOTAL ESTACIONES'!S146</f>
        <v>0</v>
      </c>
      <c r="T146" s="65">
        <f>'TOTAL ESTACIONES'!T146</f>
        <v>0</v>
      </c>
      <c r="U146" s="65">
        <f>'TOTAL ESTACIONES'!U146</f>
        <v>0</v>
      </c>
      <c r="V146" s="65">
        <f>'TOTAL ESTACIONES'!V146</f>
        <v>0</v>
      </c>
      <c r="W146" s="73">
        <f>'TOTAL ESTACIONES'!W146</f>
        <v>0</v>
      </c>
      <c r="X146" s="89"/>
      <c r="Y146" s="65">
        <f>'TOTAL ESTACIONES'!Y146</f>
        <v>0</v>
      </c>
      <c r="Z146" s="65">
        <f>'TOTAL ESTACIONES'!Z146</f>
        <v>0</v>
      </c>
      <c r="AA146" s="65">
        <f>'TOTAL ESTACIONES'!AA146</f>
        <v>0</v>
      </c>
      <c r="AB146" s="65">
        <f>'TOTAL ESTACIONES'!AB146</f>
        <v>0</v>
      </c>
      <c r="AC146" s="65">
        <f>'TOTAL ESTACIONES'!AC146</f>
        <v>0</v>
      </c>
      <c r="AD146" s="65">
        <f>'TOTAL ESTACIONES'!AD146</f>
        <v>0</v>
      </c>
      <c r="AE146" s="65">
        <f>'TOTAL ESTACIONES'!AE146</f>
        <v>0</v>
      </c>
      <c r="AF146" s="65">
        <f>'TOTAL ESTACIONES'!AF146</f>
        <v>0</v>
      </c>
      <c r="AG146" s="65">
        <f>'TOTAL ESTACIONES'!AG146</f>
        <v>0</v>
      </c>
      <c r="AH146" s="65">
        <f>'TOTAL ESTACIONES'!AH146</f>
        <v>0</v>
      </c>
      <c r="AI146" s="65">
        <f>'TOTAL ESTACIONES'!AI146</f>
        <v>0</v>
      </c>
      <c r="AJ146" s="65">
        <f>'TOTAL ESTACIONES'!AJ146</f>
        <v>0</v>
      </c>
      <c r="AK146" s="65">
        <f>'TOTAL ESTACIONES'!AK146</f>
        <v>0</v>
      </c>
      <c r="AL146" s="73">
        <f>'TOTAL ESTACIONES'!AL146</f>
        <v>0</v>
      </c>
      <c r="AM146" s="14">
        <f>'TOTAL ESTACIONES'!AM146</f>
        <v>0</v>
      </c>
      <c r="AN146" s="89"/>
      <c r="AO146" s="254"/>
      <c r="AS146" s="65">
        <v>0</v>
      </c>
    </row>
    <row r="147" spans="5:45" hidden="1" outlineLevel="1">
      <c r="I147" s="251" t="s">
        <v>260</v>
      </c>
      <c r="J147" s="65">
        <f>'TOTAL ESTACIONES'!J147</f>
        <v>0</v>
      </c>
      <c r="K147" s="65">
        <f>'TOTAL ESTACIONES'!K147</f>
        <v>0</v>
      </c>
      <c r="L147" s="65">
        <f>'TOTAL ESTACIONES'!L147</f>
        <v>0</v>
      </c>
      <c r="M147" s="65">
        <f>'TOTAL ESTACIONES'!M147</f>
        <v>0</v>
      </c>
      <c r="N147" s="65">
        <f>'TOTAL ESTACIONES'!N147</f>
        <v>0</v>
      </c>
      <c r="O147" s="65">
        <f>'TOTAL ESTACIONES'!O147</f>
        <v>0</v>
      </c>
      <c r="P147" s="65">
        <f>'TOTAL ESTACIONES'!P147</f>
        <v>0</v>
      </c>
      <c r="Q147" s="65">
        <f>'TOTAL ESTACIONES'!Q147</f>
        <v>0</v>
      </c>
      <c r="R147" s="65">
        <f>'TOTAL ESTACIONES'!R147</f>
        <v>0</v>
      </c>
      <c r="S147" s="65">
        <f>'TOTAL ESTACIONES'!S147</f>
        <v>0</v>
      </c>
      <c r="T147" s="65">
        <f>'TOTAL ESTACIONES'!T147</f>
        <v>0</v>
      </c>
      <c r="U147" s="65">
        <f>'TOTAL ESTACIONES'!U147</f>
        <v>0</v>
      </c>
      <c r="V147" s="65">
        <f>'TOTAL ESTACIONES'!V147</f>
        <v>0</v>
      </c>
      <c r="W147" s="73">
        <f>'TOTAL ESTACIONES'!W147</f>
        <v>0</v>
      </c>
      <c r="X147" s="89"/>
      <c r="Y147" s="65">
        <f>'TOTAL ESTACIONES'!Y147</f>
        <v>0</v>
      </c>
      <c r="Z147" s="65">
        <f>'TOTAL ESTACIONES'!Z147</f>
        <v>0</v>
      </c>
      <c r="AA147" s="65">
        <f>'TOTAL ESTACIONES'!AA147</f>
        <v>0</v>
      </c>
      <c r="AB147" s="65">
        <f>'TOTAL ESTACIONES'!AB147</f>
        <v>0</v>
      </c>
      <c r="AC147" s="65">
        <f>'TOTAL ESTACIONES'!AC147</f>
        <v>0</v>
      </c>
      <c r="AD147" s="65">
        <f>'TOTAL ESTACIONES'!AD147</f>
        <v>0</v>
      </c>
      <c r="AE147" s="65">
        <f>'TOTAL ESTACIONES'!AE147</f>
        <v>0</v>
      </c>
      <c r="AF147" s="65">
        <f>'TOTAL ESTACIONES'!AF147</f>
        <v>0</v>
      </c>
      <c r="AG147" s="65">
        <f>'TOTAL ESTACIONES'!AG147</f>
        <v>0</v>
      </c>
      <c r="AH147" s="65">
        <f>'TOTAL ESTACIONES'!AH147</f>
        <v>0</v>
      </c>
      <c r="AI147" s="65">
        <f>'TOTAL ESTACIONES'!AI147</f>
        <v>0</v>
      </c>
      <c r="AJ147" s="65">
        <f>'TOTAL ESTACIONES'!AJ147</f>
        <v>0</v>
      </c>
      <c r="AK147" s="65">
        <f>'TOTAL ESTACIONES'!AK147</f>
        <v>0</v>
      </c>
      <c r="AL147" s="73">
        <f>'TOTAL ESTACIONES'!AL147</f>
        <v>0</v>
      </c>
      <c r="AM147" s="14">
        <f>'TOTAL ESTACIONES'!AM147</f>
        <v>0</v>
      </c>
      <c r="AN147" s="89"/>
      <c r="AO147" s="254"/>
      <c r="AS147" s="65">
        <v>0</v>
      </c>
    </row>
    <row r="148" spans="5:45" hidden="1" outlineLevel="1">
      <c r="I148" s="251" t="s">
        <v>261</v>
      </c>
      <c r="J148" s="65">
        <f>'TOTAL ESTACIONES'!J148</f>
        <v>0</v>
      </c>
      <c r="K148" s="65">
        <f>'TOTAL ESTACIONES'!K148</f>
        <v>0</v>
      </c>
      <c r="L148" s="65">
        <f>'TOTAL ESTACIONES'!L148</f>
        <v>0</v>
      </c>
      <c r="M148" s="65">
        <f>'TOTAL ESTACIONES'!M148</f>
        <v>0</v>
      </c>
      <c r="N148" s="65">
        <f>'TOTAL ESTACIONES'!N148</f>
        <v>0</v>
      </c>
      <c r="O148" s="65">
        <f>'TOTAL ESTACIONES'!O148</f>
        <v>0</v>
      </c>
      <c r="P148" s="65">
        <f>'TOTAL ESTACIONES'!P148</f>
        <v>0</v>
      </c>
      <c r="Q148" s="65">
        <f>'TOTAL ESTACIONES'!Q148</f>
        <v>0</v>
      </c>
      <c r="R148" s="65">
        <f>'TOTAL ESTACIONES'!R148</f>
        <v>0</v>
      </c>
      <c r="S148" s="65">
        <f>'TOTAL ESTACIONES'!S148</f>
        <v>0</v>
      </c>
      <c r="T148" s="65">
        <f>'TOTAL ESTACIONES'!T148</f>
        <v>0</v>
      </c>
      <c r="U148" s="65">
        <f>'TOTAL ESTACIONES'!U148</f>
        <v>25480</v>
      </c>
      <c r="V148" s="65">
        <f>'TOTAL ESTACIONES'!V148</f>
        <v>25480</v>
      </c>
      <c r="W148" s="73">
        <f>'TOTAL ESTACIONES'!W148</f>
        <v>2.8432299325556364E-5</v>
      </c>
      <c r="X148" s="89"/>
      <c r="Y148" s="65">
        <f>'TOTAL ESTACIONES'!Y148</f>
        <v>0</v>
      </c>
      <c r="Z148" s="65">
        <f>'TOTAL ESTACIONES'!Z148</f>
        <v>0</v>
      </c>
      <c r="AA148" s="65">
        <f>'TOTAL ESTACIONES'!AA148</f>
        <v>0</v>
      </c>
      <c r="AB148" s="65">
        <f>'TOTAL ESTACIONES'!AB148</f>
        <v>0</v>
      </c>
      <c r="AC148" s="65">
        <f>'TOTAL ESTACIONES'!AC148</f>
        <v>0</v>
      </c>
      <c r="AD148" s="65">
        <f>'TOTAL ESTACIONES'!AD148</f>
        <v>0</v>
      </c>
      <c r="AE148" s="65">
        <f>'TOTAL ESTACIONES'!AE148</f>
        <v>0</v>
      </c>
      <c r="AF148" s="65">
        <f>'TOTAL ESTACIONES'!AF148</f>
        <v>0</v>
      </c>
      <c r="AG148" s="65">
        <f>'TOTAL ESTACIONES'!AG148</f>
        <v>0</v>
      </c>
      <c r="AH148" s="65">
        <f>'TOTAL ESTACIONES'!AH148</f>
        <v>0</v>
      </c>
      <c r="AI148" s="65">
        <f>'TOTAL ESTACIONES'!AI148</f>
        <v>0</v>
      </c>
      <c r="AJ148" s="65">
        <f>'TOTAL ESTACIONES'!AJ148</f>
        <v>22461.67</v>
      </c>
      <c r="AK148" s="65">
        <f>'TOTAL ESTACIONES'!AK148</f>
        <v>22461.67</v>
      </c>
      <c r="AL148" s="73">
        <f>'TOTAL ESTACIONES'!AL148</f>
        <v>2.3320366005812985E-5</v>
      </c>
      <c r="AM148" s="14">
        <f>'TOTAL ESTACIONES'!AM148</f>
        <v>-0.11845879120879133</v>
      </c>
      <c r="AN148" s="89"/>
      <c r="AO148" s="254">
        <f>+AK148-V148</f>
        <v>-3018.3300000000017</v>
      </c>
      <c r="AP148" s="1" t="s">
        <v>463</v>
      </c>
      <c r="AS148" s="65">
        <v>22461.67</v>
      </c>
    </row>
    <row r="149" spans="5:45" hidden="1" outlineLevel="1">
      <c r="I149" s="290" t="s">
        <v>464</v>
      </c>
      <c r="J149" s="65">
        <f>'TOTAL ESTACIONES'!J149</f>
        <v>0</v>
      </c>
      <c r="K149" s="65">
        <f>'TOTAL ESTACIONES'!K149</f>
        <v>0</v>
      </c>
      <c r="L149" s="65">
        <f>'TOTAL ESTACIONES'!L149</f>
        <v>0</v>
      </c>
      <c r="M149" s="65">
        <f>'TOTAL ESTACIONES'!M149</f>
        <v>0</v>
      </c>
      <c r="N149" s="65">
        <f>'TOTAL ESTACIONES'!N149</f>
        <v>0</v>
      </c>
      <c r="O149" s="65">
        <f>'TOTAL ESTACIONES'!O149</f>
        <v>112500</v>
      </c>
      <c r="P149" s="65">
        <f>'TOTAL ESTACIONES'!P149</f>
        <v>0</v>
      </c>
      <c r="Q149" s="65">
        <f>'TOTAL ESTACIONES'!Q149</f>
        <v>0</v>
      </c>
      <c r="R149" s="65">
        <f>'TOTAL ESTACIONES'!R149</f>
        <v>0</v>
      </c>
      <c r="S149" s="65">
        <f>'TOTAL ESTACIONES'!S149</f>
        <v>0</v>
      </c>
      <c r="T149" s="65">
        <f>'TOTAL ESTACIONES'!T149</f>
        <v>0</v>
      </c>
      <c r="U149" s="65">
        <f>'TOTAL ESTACIONES'!U149</f>
        <v>0</v>
      </c>
      <c r="V149" s="65">
        <f>'TOTAL ESTACIONES'!V149</f>
        <v>112500</v>
      </c>
      <c r="W149" s="73">
        <f>'TOTAL ESTACIONES'!W149</f>
        <v>1.2553507355279008E-4</v>
      </c>
      <c r="X149" s="89"/>
      <c r="Y149" s="65">
        <f>'TOTAL ESTACIONES'!Y149</f>
        <v>0</v>
      </c>
      <c r="Z149" s="65">
        <f>'TOTAL ESTACIONES'!Z149</f>
        <v>0</v>
      </c>
      <c r="AA149" s="65">
        <f>'TOTAL ESTACIONES'!AA149</f>
        <v>0</v>
      </c>
      <c r="AB149" s="65">
        <f>'TOTAL ESTACIONES'!AB149</f>
        <v>0</v>
      </c>
      <c r="AC149" s="65">
        <f>'TOTAL ESTACIONES'!AC149</f>
        <v>0</v>
      </c>
      <c r="AD149" s="65">
        <f>'TOTAL ESTACIONES'!AD149</f>
        <v>0</v>
      </c>
      <c r="AE149" s="65">
        <f>'TOTAL ESTACIONES'!AE149</f>
        <v>0</v>
      </c>
      <c r="AF149" s="65">
        <f>'TOTAL ESTACIONES'!AF149</f>
        <v>0</v>
      </c>
      <c r="AG149" s="65">
        <f>'TOTAL ESTACIONES'!AG149</f>
        <v>0</v>
      </c>
      <c r="AH149" s="65">
        <f>'TOTAL ESTACIONES'!AH149</f>
        <v>0</v>
      </c>
      <c r="AI149" s="65">
        <f>'TOTAL ESTACIONES'!AI149</f>
        <v>0</v>
      </c>
      <c r="AJ149" s="65">
        <f>'TOTAL ESTACIONES'!AJ149</f>
        <v>0</v>
      </c>
      <c r="AK149" s="65">
        <f>'TOTAL ESTACIONES'!AK149</f>
        <v>0</v>
      </c>
      <c r="AL149" s="73">
        <f>'TOTAL ESTACIONES'!AL149</f>
        <v>0</v>
      </c>
      <c r="AM149" s="14">
        <f>'TOTAL ESTACIONES'!AM149</f>
        <v>-1</v>
      </c>
      <c r="AN149" s="89"/>
      <c r="AO149" s="254">
        <f>+AK149-V149</f>
        <v>-112500</v>
      </c>
      <c r="AP149" s="1" t="s">
        <v>465</v>
      </c>
      <c r="AS149" s="65">
        <v>0</v>
      </c>
    </row>
    <row r="150" spans="5:45" hidden="1" outlineLevel="1">
      <c r="I150" s="288" t="s">
        <v>262</v>
      </c>
      <c r="J150" s="65">
        <f>'TOTAL ESTACIONES'!J150</f>
        <v>1064377</v>
      </c>
      <c r="K150" s="65">
        <f>'TOTAL ESTACIONES'!K150</f>
        <v>111489</v>
      </c>
      <c r="L150" s="65">
        <f>'TOTAL ESTACIONES'!L150</f>
        <v>568756</v>
      </c>
      <c r="M150" s="65">
        <f>'TOTAL ESTACIONES'!M150</f>
        <v>750042</v>
      </c>
      <c r="N150" s="65">
        <f>'TOTAL ESTACIONES'!N150</f>
        <v>700886</v>
      </c>
      <c r="O150" s="65">
        <f>'TOTAL ESTACIONES'!O150</f>
        <v>535082</v>
      </c>
      <c r="P150" s="65">
        <f>'TOTAL ESTACIONES'!P150</f>
        <v>627083</v>
      </c>
      <c r="Q150" s="65">
        <f>'TOTAL ESTACIONES'!Q150</f>
        <v>868116</v>
      </c>
      <c r="R150" s="65">
        <f>'TOTAL ESTACIONES'!R150</f>
        <v>264415</v>
      </c>
      <c r="S150" s="65">
        <f>'TOTAL ESTACIONES'!S150</f>
        <v>264507.41781637911</v>
      </c>
      <c r="T150" s="65">
        <f>'TOTAL ESTACIONES'!T150</f>
        <v>684665.14230586227</v>
      </c>
      <c r="U150" s="65">
        <f>'TOTAL ESTACIONES'!U150</f>
        <v>674028.69146293553</v>
      </c>
      <c r="V150" s="65">
        <f>'TOTAL ESTACIONES'!V150</f>
        <v>7113447.2515851771</v>
      </c>
      <c r="W150" s="73">
        <f>'TOTAL ESTACIONES'!W150</f>
        <v>7.9376633239256669E-3</v>
      </c>
      <c r="X150" s="89"/>
      <c r="Y150" s="65">
        <f>'TOTAL ESTACIONES'!Y150</f>
        <v>582598.63949143328</v>
      </c>
      <c r="Z150" s="65">
        <f>'TOTAL ESTACIONES'!Z150</f>
        <v>582598.63949143328</v>
      </c>
      <c r="AA150" s="65">
        <f>'TOTAL ESTACIONES'!AA150</f>
        <v>586629.22793895134</v>
      </c>
      <c r="AB150" s="65">
        <f>'TOTAL ESTACIONES'!AB150</f>
        <v>631116.52921779803</v>
      </c>
      <c r="AC150" s="65">
        <f>'TOTAL ESTACIONES'!AC150</f>
        <v>616049.8775212639</v>
      </c>
      <c r="AD150" s="65">
        <f>'TOTAL ESTACIONES'!AD150</f>
        <v>690700.54882855038</v>
      </c>
      <c r="AE150" s="65">
        <f>'TOTAL ESTACIONES'!AE150</f>
        <v>677223.39376124332</v>
      </c>
      <c r="AF150" s="65">
        <f>'TOTAL ESTACIONES'!AF150</f>
        <v>670416.72794468491</v>
      </c>
      <c r="AG150" s="65">
        <f>'TOTAL ESTACIONES'!AG150</f>
        <v>686808.02271048969</v>
      </c>
      <c r="AH150" s="65">
        <f>'TOTAL ESTACIONES'!AH150</f>
        <v>671654.69121398078</v>
      </c>
      <c r="AI150" s="65">
        <f>'TOTAL ESTACIONES'!AI150</f>
        <v>675343.8024901991</v>
      </c>
      <c r="AJ150" s="65">
        <f>'TOTAL ESTACIONES'!AJ150</f>
        <v>650159.12208133622</v>
      </c>
      <c r="AK150" s="65">
        <f>'TOTAL ESTACIONES'!AK150</f>
        <v>7721299.2226913655</v>
      </c>
      <c r="AL150" s="73">
        <f>'TOTAL ESTACIONES'!AL150</f>
        <v>8.0164798037528802E-3</v>
      </c>
      <c r="AM150" s="14">
        <f>'TOTAL ESTACIONES'!AM150</f>
        <v>8.5451111058809426E-2</v>
      </c>
      <c r="AN150" s="89"/>
      <c r="AO150" s="254">
        <f>+AK150-V150</f>
        <v>607851.97110618837</v>
      </c>
      <c r="AP150" s="1" t="s">
        <v>447</v>
      </c>
      <c r="AS150" s="65">
        <v>7721299.2226913655</v>
      </c>
    </row>
    <row r="151" spans="5:45" collapsed="1">
      <c r="I151" s="121" t="s">
        <v>264</v>
      </c>
      <c r="J151" s="15">
        <f>'TOTAL ESTACIONES'!J151</f>
        <v>278021</v>
      </c>
      <c r="K151" s="15">
        <f>'TOTAL ESTACIONES'!K151</f>
        <v>285538</v>
      </c>
      <c r="L151" s="15">
        <f>'TOTAL ESTACIONES'!L151</f>
        <v>287803</v>
      </c>
      <c r="M151" s="15">
        <f>'TOTAL ESTACIONES'!M151</f>
        <v>261154</v>
      </c>
      <c r="N151" s="15">
        <f>'TOTAL ESTACIONES'!N151</f>
        <v>267205</v>
      </c>
      <c r="O151" s="15">
        <f>'TOTAL ESTACIONES'!O151</f>
        <v>262834</v>
      </c>
      <c r="P151" s="15">
        <f>'TOTAL ESTACIONES'!P151</f>
        <v>279414</v>
      </c>
      <c r="Q151" s="15">
        <f>'TOTAL ESTACIONES'!Q151</f>
        <v>274137</v>
      </c>
      <c r="R151" s="15">
        <f>'TOTAL ESTACIONES'!R151</f>
        <v>277220</v>
      </c>
      <c r="S151" s="15">
        <f>'TOTAL ESTACIONES'!S151</f>
        <v>273718.01049333334</v>
      </c>
      <c r="T151" s="15">
        <f>'TOTAL ESTACIONES'!T151</f>
        <v>278850.00347111118</v>
      </c>
      <c r="U151" s="15">
        <f>'TOTAL ESTACIONES'!U151</f>
        <v>280631.81828592595</v>
      </c>
      <c r="V151" s="15">
        <f>'TOTAL ESTACIONES'!V151</f>
        <v>3306525.8322503702</v>
      </c>
      <c r="W151" s="72">
        <f>'TOTAL ESTACIONES'!W151</f>
        <v>3.6896441204955607E-3</v>
      </c>
      <c r="X151" s="89"/>
      <c r="Y151" s="15">
        <f>'TOTAL ESTACIONES'!Y151</f>
        <v>281085.90539999999</v>
      </c>
      <c r="Z151" s="15">
        <f>'TOTAL ESTACIONES'!Z151</f>
        <v>289218.321</v>
      </c>
      <c r="AA151" s="15">
        <f>'TOTAL ESTACIONES'!AA151</f>
        <v>291133.56299999997</v>
      </c>
      <c r="AB151" s="15">
        <f>'TOTAL ESTACIONES'!AB151</f>
        <v>276097.5895</v>
      </c>
      <c r="AC151" s="15">
        <f>'TOTAL ESTACIONES'!AC151</f>
        <v>271713.48939999996</v>
      </c>
      <c r="AD151" s="15">
        <f>'TOTAL ESTACIONES'!AD151</f>
        <v>265695.48829999997</v>
      </c>
      <c r="AE151" s="15">
        <f>'TOTAL ESTACIONES'!AE151</f>
        <v>285018.86779999995</v>
      </c>
      <c r="AF151" s="15">
        <f>'TOTAL ESTACIONES'!AF151</f>
        <v>277446.97849999997</v>
      </c>
      <c r="AG151" s="15">
        <f>'TOTAL ESTACIONES'!AG151</f>
        <v>278538.86319999996</v>
      </c>
      <c r="AH151" s="15">
        <f>'TOTAL ESTACIONES'!AH151</f>
        <v>288543.29969333333</v>
      </c>
      <c r="AI151" s="15">
        <f>'TOTAL ESTACIONES'!AI151</f>
        <v>282801.04203777778</v>
      </c>
      <c r="AJ151" s="15">
        <f>'TOTAL ESTACIONES'!AJ151</f>
        <v>284918.42270814808</v>
      </c>
      <c r="AK151" s="15">
        <f>'TOTAL ESTACIONES'!AK151</f>
        <v>3372211.8305392591</v>
      </c>
      <c r="AL151" s="72">
        <f>'TOTAL ESTACIONES'!AL151</f>
        <v>3.5011294412796612E-3</v>
      </c>
      <c r="AM151" s="10">
        <f>'TOTAL ESTACIONES'!AM151</f>
        <v>1.9865563319728885E-2</v>
      </c>
      <c r="AN151" s="89"/>
      <c r="AS151" s="15">
        <v>3372211.8305392591</v>
      </c>
    </row>
    <row r="152" spans="5:45" hidden="1" outlineLevel="1">
      <c r="I152" s="213" t="s">
        <v>265</v>
      </c>
      <c r="J152" s="65">
        <f>'TOTAL ESTACIONES'!J152</f>
        <v>0</v>
      </c>
      <c r="K152" s="65">
        <f>'TOTAL ESTACIONES'!K152</f>
        <v>0</v>
      </c>
      <c r="L152" s="65">
        <f>'TOTAL ESTACIONES'!L152</f>
        <v>0</v>
      </c>
      <c r="M152" s="65">
        <f>'TOTAL ESTACIONES'!M152</f>
        <v>0</v>
      </c>
      <c r="N152" s="65">
        <f>'TOTAL ESTACIONES'!N152</f>
        <v>0</v>
      </c>
      <c r="O152" s="65">
        <f>'TOTAL ESTACIONES'!O152</f>
        <v>0</v>
      </c>
      <c r="P152" s="65">
        <f>'TOTAL ESTACIONES'!P152</f>
        <v>0</v>
      </c>
      <c r="Q152" s="65">
        <f>'TOTAL ESTACIONES'!Q152</f>
        <v>0</v>
      </c>
      <c r="R152" s="65">
        <f>'TOTAL ESTACIONES'!R152</f>
        <v>0</v>
      </c>
      <c r="S152" s="65">
        <f>'TOTAL ESTACIONES'!S152</f>
        <v>0</v>
      </c>
      <c r="T152" s="65">
        <f>'TOTAL ESTACIONES'!T152</f>
        <v>0</v>
      </c>
      <c r="U152" s="65">
        <f>'TOTAL ESTACIONES'!U152</f>
        <v>0</v>
      </c>
      <c r="V152" s="65">
        <f>'TOTAL ESTACIONES'!V152</f>
        <v>0</v>
      </c>
      <c r="W152" s="73">
        <f>'TOTAL ESTACIONES'!W152</f>
        <v>0</v>
      </c>
      <c r="X152" s="89"/>
      <c r="Y152" s="65">
        <f>'TOTAL ESTACIONES'!Y152</f>
        <v>0</v>
      </c>
      <c r="Z152" s="65">
        <f>'TOTAL ESTACIONES'!Z152</f>
        <v>0</v>
      </c>
      <c r="AA152" s="65">
        <f>'TOTAL ESTACIONES'!AA152</f>
        <v>0</v>
      </c>
      <c r="AB152" s="65">
        <f>'TOTAL ESTACIONES'!AB152</f>
        <v>0</v>
      </c>
      <c r="AC152" s="65">
        <f>'TOTAL ESTACIONES'!AC152</f>
        <v>0</v>
      </c>
      <c r="AD152" s="65">
        <f>'TOTAL ESTACIONES'!AD152</f>
        <v>0</v>
      </c>
      <c r="AE152" s="65">
        <f>'TOTAL ESTACIONES'!AE152</f>
        <v>0</v>
      </c>
      <c r="AF152" s="65">
        <f>'TOTAL ESTACIONES'!AF152</f>
        <v>0</v>
      </c>
      <c r="AG152" s="65">
        <f>'TOTAL ESTACIONES'!AG152</f>
        <v>0</v>
      </c>
      <c r="AH152" s="65">
        <f>'TOTAL ESTACIONES'!AH152</f>
        <v>0</v>
      </c>
      <c r="AI152" s="65">
        <f>'TOTAL ESTACIONES'!AI152</f>
        <v>0</v>
      </c>
      <c r="AJ152" s="65">
        <f>'TOTAL ESTACIONES'!AJ152</f>
        <v>0</v>
      </c>
      <c r="AK152" s="65">
        <f>'TOTAL ESTACIONES'!AK152</f>
        <v>0</v>
      </c>
      <c r="AL152" s="73">
        <f>'TOTAL ESTACIONES'!AL152</f>
        <v>0</v>
      </c>
      <c r="AM152" s="14">
        <f>'TOTAL ESTACIONES'!AM152</f>
        <v>0</v>
      </c>
      <c r="AN152" s="89"/>
      <c r="AO152" s="1" t="s">
        <v>447</v>
      </c>
      <c r="AS152" s="65">
        <v>0</v>
      </c>
    </row>
    <row r="153" spans="5:45" hidden="1" outlineLevel="1">
      <c r="I153" s="137" t="s">
        <v>292</v>
      </c>
      <c r="J153" s="65">
        <f>'TOTAL ESTACIONES'!J153</f>
        <v>0</v>
      </c>
      <c r="K153" s="65">
        <f>'TOTAL ESTACIONES'!K153</f>
        <v>0</v>
      </c>
      <c r="L153" s="65">
        <f>'TOTAL ESTACIONES'!L153</f>
        <v>0</v>
      </c>
      <c r="M153" s="65">
        <f>'TOTAL ESTACIONES'!M153</f>
        <v>0</v>
      </c>
      <c r="N153" s="65">
        <f>'TOTAL ESTACIONES'!N153</f>
        <v>0</v>
      </c>
      <c r="O153" s="65">
        <f>'TOTAL ESTACIONES'!O153</f>
        <v>0</v>
      </c>
      <c r="P153" s="65">
        <f>'TOTAL ESTACIONES'!P153</f>
        <v>0</v>
      </c>
      <c r="Q153" s="65">
        <f>'TOTAL ESTACIONES'!Q153</f>
        <v>0</v>
      </c>
      <c r="R153" s="65">
        <f>'TOTAL ESTACIONES'!R153</f>
        <v>0</v>
      </c>
      <c r="S153" s="65">
        <f>'TOTAL ESTACIONES'!S153</f>
        <v>0</v>
      </c>
      <c r="T153" s="65">
        <f>'TOTAL ESTACIONES'!T153</f>
        <v>0</v>
      </c>
      <c r="U153" s="65">
        <f>'TOTAL ESTACIONES'!U153</f>
        <v>0</v>
      </c>
      <c r="V153" s="65">
        <f>'TOTAL ESTACIONES'!V153</f>
        <v>0</v>
      </c>
      <c r="W153" s="73">
        <f>'TOTAL ESTACIONES'!W153</f>
        <v>0</v>
      </c>
      <c r="X153" s="89"/>
      <c r="Y153" s="65">
        <f>'TOTAL ESTACIONES'!Y153</f>
        <v>0</v>
      </c>
      <c r="Z153" s="65">
        <f>'TOTAL ESTACIONES'!Z153</f>
        <v>0</v>
      </c>
      <c r="AA153" s="65">
        <f>'TOTAL ESTACIONES'!AA153</f>
        <v>0</v>
      </c>
      <c r="AB153" s="65">
        <f>'TOTAL ESTACIONES'!AB153</f>
        <v>0</v>
      </c>
      <c r="AC153" s="65">
        <f>'TOTAL ESTACIONES'!AC153</f>
        <v>0</v>
      </c>
      <c r="AD153" s="65">
        <f>'TOTAL ESTACIONES'!AD153</f>
        <v>0</v>
      </c>
      <c r="AE153" s="65">
        <f>'TOTAL ESTACIONES'!AE153</f>
        <v>0</v>
      </c>
      <c r="AF153" s="65">
        <f>'TOTAL ESTACIONES'!AF153</f>
        <v>0</v>
      </c>
      <c r="AG153" s="65">
        <f>'TOTAL ESTACIONES'!AG153</f>
        <v>0</v>
      </c>
      <c r="AH153" s="65">
        <f>'TOTAL ESTACIONES'!AH153</f>
        <v>0</v>
      </c>
      <c r="AI153" s="65">
        <f>'TOTAL ESTACIONES'!AI153</f>
        <v>0</v>
      </c>
      <c r="AJ153" s="65">
        <f>'TOTAL ESTACIONES'!AJ153</f>
        <v>0</v>
      </c>
      <c r="AK153" s="65">
        <f>'TOTAL ESTACIONES'!AK153</f>
        <v>0</v>
      </c>
      <c r="AL153" s="73">
        <f>'TOTAL ESTACIONES'!AL153</f>
        <v>0</v>
      </c>
      <c r="AM153" s="14">
        <f>'TOTAL ESTACIONES'!AM153</f>
        <v>0</v>
      </c>
      <c r="AN153" s="89"/>
      <c r="AO153" s="1" t="s">
        <v>447</v>
      </c>
      <c r="AS153" s="65">
        <v>0</v>
      </c>
    </row>
    <row r="154" spans="5:45" hidden="1" outlineLevel="1">
      <c r="I154" s="213" t="s">
        <v>266</v>
      </c>
      <c r="J154" s="65">
        <f>'TOTAL ESTACIONES'!J154</f>
        <v>87085</v>
      </c>
      <c r="K154" s="65">
        <f>'TOTAL ESTACIONES'!K154</f>
        <v>94266</v>
      </c>
      <c r="L154" s="65">
        <f>'TOTAL ESTACIONES'!L154</f>
        <v>86686</v>
      </c>
      <c r="M154" s="65">
        <f>'TOTAL ESTACIONES'!M154</f>
        <v>83826</v>
      </c>
      <c r="N154" s="65">
        <f>'TOTAL ESTACIONES'!N154</f>
        <v>88425</v>
      </c>
      <c r="O154" s="65">
        <f>'TOTAL ESTACIONES'!O154</f>
        <v>83514</v>
      </c>
      <c r="P154" s="65">
        <f>'TOTAL ESTACIONES'!P154</f>
        <v>97934</v>
      </c>
      <c r="Q154" s="65">
        <f>'TOTAL ESTACIONES'!Q154</f>
        <v>91466</v>
      </c>
      <c r="R154" s="65">
        <f>'TOTAL ESTACIONES'!R154</f>
        <v>94613</v>
      </c>
      <c r="S154" s="65">
        <f>'TOTAL ESTACIONES'!S154</f>
        <v>92325</v>
      </c>
      <c r="T154" s="65">
        <f>'TOTAL ESTACIONES'!T154</f>
        <v>92801.333333333343</v>
      </c>
      <c r="U154" s="65">
        <f>'TOTAL ESTACIONES'!U154</f>
        <v>93246.444444444438</v>
      </c>
      <c r="V154" s="65">
        <f>'TOTAL ESTACIONES'!V154</f>
        <v>1086187.7777777778</v>
      </c>
      <c r="W154" s="73">
        <f>'TOTAL ESTACIONES'!W154</f>
        <v>1.2120414451153327E-3</v>
      </c>
      <c r="X154" s="89"/>
      <c r="Y154" s="65">
        <f>'TOTAL ESTACIONES'!Y154</f>
        <v>90141.683499999985</v>
      </c>
      <c r="Z154" s="65">
        <f>'TOTAL ESTACIONES'!Z154</f>
        <v>97574.736600000004</v>
      </c>
      <c r="AA154" s="65">
        <f>'TOTAL ESTACIONES'!AA154</f>
        <v>89728.678599999985</v>
      </c>
      <c r="AB154" s="65">
        <f>'TOTAL ESTACIONES'!AB154</f>
        <v>86768.292599999986</v>
      </c>
      <c r="AC154" s="65">
        <f>'TOTAL ESTACIONES'!AC154</f>
        <v>91528.717499999984</v>
      </c>
      <c r="AD154" s="65">
        <f>'TOTAL ESTACIONES'!AD154</f>
        <v>86445.34139999999</v>
      </c>
      <c r="AE154" s="65">
        <f>'TOTAL ESTACIONES'!AE154</f>
        <v>101371.48339999997</v>
      </c>
      <c r="AF154" s="65">
        <f>'TOTAL ESTACIONES'!AF154</f>
        <v>94676.45659999999</v>
      </c>
      <c r="AG154" s="65">
        <f>'TOTAL ESTACIONES'!AG154</f>
        <v>97933.916299999997</v>
      </c>
      <c r="AH154" s="65">
        <f>'TOTAL ESTACIONES'!AH154</f>
        <v>97993.952099999995</v>
      </c>
      <c r="AI154" s="65">
        <f>'TOTAL ESTACIONES'!AI154</f>
        <v>96868.108333333323</v>
      </c>
      <c r="AJ154" s="65">
        <f>'TOTAL ESTACIONES'!AJ154</f>
        <v>97598.658911111081</v>
      </c>
      <c r="AK154" s="65">
        <f>'TOTAL ESTACIONES'!AK154</f>
        <v>1128630.0258444443</v>
      </c>
      <c r="AL154" s="73">
        <f>'TOTAL ESTACIONES'!AL154</f>
        <v>1.1717768664503848E-3</v>
      </c>
      <c r="AM154" s="14">
        <f>'TOTAL ESTACIONES'!AM154</f>
        <v>3.9074503446815401E-2</v>
      </c>
      <c r="AN154" s="89"/>
      <c r="AO154" s="1" t="s">
        <v>447</v>
      </c>
      <c r="AS154" s="65">
        <v>1128630.0258444445</v>
      </c>
    </row>
    <row r="155" spans="5:45" hidden="1" outlineLevel="1">
      <c r="I155" s="213" t="s">
        <v>267</v>
      </c>
      <c r="J155" s="65">
        <f>'TOTAL ESTACIONES'!J155</f>
        <v>158144</v>
      </c>
      <c r="K155" s="65">
        <f>'TOTAL ESTACIONES'!K155</f>
        <v>160355</v>
      </c>
      <c r="L155" s="65">
        <f>'TOTAL ESTACIONES'!L155</f>
        <v>160812</v>
      </c>
      <c r="M155" s="65">
        <f>'TOTAL ESTACIONES'!M155</f>
        <v>160262</v>
      </c>
      <c r="N155" s="65">
        <f>'TOTAL ESTACIONES'!N155</f>
        <v>153788</v>
      </c>
      <c r="O155" s="65">
        <f>'TOTAL ESTACIONES'!O155</f>
        <v>151432</v>
      </c>
      <c r="P155" s="65">
        <f>'TOTAL ESTACIONES'!P155</f>
        <v>149155</v>
      </c>
      <c r="Q155" s="65">
        <f>'TOTAL ESTACIONES'!Q155</f>
        <v>147389</v>
      </c>
      <c r="R155" s="65">
        <f>'TOTAL ESTACIONES'!R155</f>
        <v>146180</v>
      </c>
      <c r="S155" s="65">
        <f>'TOTAL ESTACIONES'!S155</f>
        <v>147401.67716000002</v>
      </c>
      <c r="T155" s="65">
        <f>'TOTAL ESTACIONES'!T155</f>
        <v>156506.89236000003</v>
      </c>
      <c r="U155" s="65">
        <f>'TOTAL ESTACIONES'!U155</f>
        <v>156506.89236000003</v>
      </c>
      <c r="V155" s="65">
        <f>'TOTAL ESTACIONES'!V155</f>
        <v>1847932.4618799998</v>
      </c>
      <c r="W155" s="73">
        <f>'TOTAL ESTACIONES'!W155</f>
        <v>2.0620474446461706E-3</v>
      </c>
      <c r="X155" s="89"/>
      <c r="Y155" s="65">
        <f>'TOTAL ESTACIONES'!Y155</f>
        <v>158144</v>
      </c>
      <c r="Z155" s="65">
        <f>'TOTAL ESTACIONES'!Z155</f>
        <v>160355</v>
      </c>
      <c r="AA155" s="65">
        <f>'TOTAL ESTACIONES'!AA155</f>
        <v>160812</v>
      </c>
      <c r="AB155" s="65">
        <f>'TOTAL ESTACIONES'!AB155</f>
        <v>160262</v>
      </c>
      <c r="AC155" s="65">
        <f>'TOTAL ESTACIONES'!AC155</f>
        <v>153788</v>
      </c>
      <c r="AD155" s="65">
        <f>'TOTAL ESTACIONES'!AD155</f>
        <v>151432</v>
      </c>
      <c r="AE155" s="65">
        <f>'TOTAL ESTACIONES'!AE155</f>
        <v>149155</v>
      </c>
      <c r="AF155" s="65">
        <f>'TOTAL ESTACIONES'!AF155</f>
        <v>147389</v>
      </c>
      <c r="AG155" s="65">
        <f>'TOTAL ESTACIONES'!AG155</f>
        <v>146180</v>
      </c>
      <c r="AH155" s="65">
        <f>'TOTAL ESTACIONES'!AH155</f>
        <v>156506.89236</v>
      </c>
      <c r="AI155" s="65">
        <f>'TOTAL ESTACIONES'!AI155</f>
        <v>156506.89236</v>
      </c>
      <c r="AJ155" s="65">
        <f>'TOTAL ESTACIONES'!AJ155</f>
        <v>156506.89236</v>
      </c>
      <c r="AK155" s="65">
        <f>'TOTAL ESTACIONES'!AK155</f>
        <v>1857037.6770799998</v>
      </c>
      <c r="AL155" s="73">
        <f>'TOTAL ESTACIONES'!AL155</f>
        <v>1.9280310999177863E-3</v>
      </c>
      <c r="AM155" s="14">
        <f>'TOTAL ESTACIONES'!AM155</f>
        <v>4.9272445762096329E-3</v>
      </c>
      <c r="AN155" s="89"/>
      <c r="AO155" s="1" t="s">
        <v>447</v>
      </c>
      <c r="AP155" s="9"/>
      <c r="AS155" s="65">
        <v>1857037.6770799998</v>
      </c>
    </row>
    <row r="156" spans="5:45" hidden="1" outlineLevel="1">
      <c r="I156" s="213" t="s">
        <v>269</v>
      </c>
      <c r="J156" s="65">
        <f>'TOTAL ESTACIONES'!J156</f>
        <v>15084</v>
      </c>
      <c r="K156" s="65">
        <f>'TOTAL ESTACIONES'!K156</f>
        <v>13627</v>
      </c>
      <c r="L156" s="65">
        <f>'TOTAL ESTACIONES'!L156</f>
        <v>22595</v>
      </c>
      <c r="M156" s="65">
        <f>'TOTAL ESTACIONES'!M156</f>
        <v>11486</v>
      </c>
      <c r="N156" s="65">
        <f>'TOTAL ESTACIONES'!N156</f>
        <v>8912</v>
      </c>
      <c r="O156" s="65">
        <f>'TOTAL ESTACIONES'!O156</f>
        <v>10282</v>
      </c>
      <c r="P156" s="65">
        <f>'TOTAL ESTACIONES'!P156</f>
        <v>16715</v>
      </c>
      <c r="Q156" s="65">
        <f>'TOTAL ESTACIONES'!Q156</f>
        <v>17572</v>
      </c>
      <c r="R156" s="65">
        <f>'TOTAL ESTACIONES'!R156</f>
        <v>16650</v>
      </c>
      <c r="S156" s="65">
        <f>'TOTAL ESTACIONES'!S156</f>
        <v>16281.333333333332</v>
      </c>
      <c r="T156" s="65">
        <f>'TOTAL ESTACIONES'!T156</f>
        <v>11831.777777777777</v>
      </c>
      <c r="U156" s="65">
        <f>'TOTAL ESTACIONES'!U156</f>
        <v>13168.481481481482</v>
      </c>
      <c r="V156" s="65">
        <f>'TOTAL ESTACIONES'!V156</f>
        <v>174204.59259259261</v>
      </c>
      <c r="W156" s="73">
        <f>'TOTAL ESTACIONES'!W156</f>
        <v>1.943892119497328E-4</v>
      </c>
      <c r="X156" s="89"/>
      <c r="Y156" s="65">
        <f>'TOTAL ESTACIONES'!Y156</f>
        <v>15649.650000000001</v>
      </c>
      <c r="Z156" s="65">
        <f>'TOTAL ESTACIONES'!Z156</f>
        <v>14138.012500000001</v>
      </c>
      <c r="AA156" s="65">
        <f>'TOTAL ESTACIONES'!AA156</f>
        <v>23442.3125</v>
      </c>
      <c r="AB156" s="65">
        <f>'TOTAL ESTACIONES'!AB156</f>
        <v>11916.725000000002</v>
      </c>
      <c r="AC156" s="65">
        <f>'TOTAL ESTACIONES'!AC156</f>
        <v>9246.2000000000007</v>
      </c>
      <c r="AD156" s="65">
        <f>'TOTAL ESTACIONES'!AD156</f>
        <v>10667.575000000001</v>
      </c>
      <c r="AE156" s="65">
        <f>'TOTAL ESTACIONES'!AE156</f>
        <v>17341.812500000004</v>
      </c>
      <c r="AF156" s="65">
        <f>'TOTAL ESTACIONES'!AF156</f>
        <v>18230.950000000004</v>
      </c>
      <c r="AG156" s="65">
        <f>'TOTAL ESTACIONES'!AG156</f>
        <v>17274.375</v>
      </c>
      <c r="AH156" s="65">
        <f>'TOTAL ESTACIONES'!AH156</f>
        <v>16891.883333333335</v>
      </c>
      <c r="AI156" s="65">
        <f>'TOTAL ESTACIONES'!AI156</f>
        <v>12275.469444444445</v>
      </c>
      <c r="AJ156" s="65">
        <f>'TOTAL ESTACIONES'!AJ156</f>
        <v>13662.299537037037</v>
      </c>
      <c r="AK156" s="65">
        <f>'TOTAL ESTACIONES'!AK156</f>
        <v>180737.26481481481</v>
      </c>
      <c r="AL156" s="73">
        <f>'TOTAL ESTACIONES'!AL156</f>
        <v>1.8764674070855048E-4</v>
      </c>
      <c r="AM156" s="14">
        <f>'TOTAL ESTACIONES'!AM156</f>
        <v>3.7499999999999867E-2</v>
      </c>
      <c r="AN156" s="89"/>
      <c r="AO156" s="1" t="s">
        <v>447</v>
      </c>
      <c r="AP156" s="9"/>
      <c r="AS156" s="65">
        <v>180737.26481481481</v>
      </c>
    </row>
    <row r="157" spans="5:45" hidden="1" outlineLevel="1">
      <c r="I157" s="213"/>
      <c r="J157" s="65">
        <f>'TOTAL ESTACIONES'!J157</f>
        <v>0</v>
      </c>
      <c r="K157" s="65">
        <f>'TOTAL ESTACIONES'!K157</f>
        <v>0</v>
      </c>
      <c r="L157" s="65">
        <f>'TOTAL ESTACIONES'!L157</f>
        <v>0</v>
      </c>
      <c r="M157" s="65">
        <f>'TOTAL ESTACIONES'!M157</f>
        <v>0</v>
      </c>
      <c r="N157" s="65">
        <f>'TOTAL ESTACIONES'!N157</f>
        <v>0</v>
      </c>
      <c r="O157" s="65">
        <f>'TOTAL ESTACIONES'!O157</f>
        <v>0</v>
      </c>
      <c r="P157" s="65">
        <f>'TOTAL ESTACIONES'!P157</f>
        <v>0</v>
      </c>
      <c r="Q157" s="65">
        <f>'TOTAL ESTACIONES'!Q157</f>
        <v>0</v>
      </c>
      <c r="R157" s="65">
        <f>'TOTAL ESTACIONES'!R157</f>
        <v>0</v>
      </c>
      <c r="S157" s="65">
        <f>'TOTAL ESTACIONES'!S157</f>
        <v>0</v>
      </c>
      <c r="T157" s="65">
        <f>'TOTAL ESTACIONES'!T157</f>
        <v>0</v>
      </c>
      <c r="U157" s="65">
        <f>'TOTAL ESTACIONES'!U157</f>
        <v>0</v>
      </c>
      <c r="V157" s="65">
        <f>'TOTAL ESTACIONES'!V157</f>
        <v>0</v>
      </c>
      <c r="W157" s="73">
        <f>'TOTAL ESTACIONES'!W157</f>
        <v>0</v>
      </c>
      <c r="X157" s="89"/>
      <c r="Y157" s="65">
        <f>'TOTAL ESTACIONES'!Y157</f>
        <v>0</v>
      </c>
      <c r="Z157" s="65">
        <f>'TOTAL ESTACIONES'!Z157</f>
        <v>0</v>
      </c>
      <c r="AA157" s="65">
        <f>'TOTAL ESTACIONES'!AA157</f>
        <v>0</v>
      </c>
      <c r="AB157" s="65">
        <f>'TOTAL ESTACIONES'!AB157</f>
        <v>0</v>
      </c>
      <c r="AC157" s="65">
        <f>'TOTAL ESTACIONES'!AC157</f>
        <v>0</v>
      </c>
      <c r="AD157" s="65">
        <f>'TOTAL ESTACIONES'!AD157</f>
        <v>0</v>
      </c>
      <c r="AE157" s="65">
        <f>'TOTAL ESTACIONES'!AE157</f>
        <v>0</v>
      </c>
      <c r="AF157" s="65">
        <f>'TOTAL ESTACIONES'!AF157</f>
        <v>0</v>
      </c>
      <c r="AG157" s="65">
        <f>'TOTAL ESTACIONES'!AG157</f>
        <v>0</v>
      </c>
      <c r="AH157" s="65">
        <f>'TOTAL ESTACIONES'!AH157</f>
        <v>0</v>
      </c>
      <c r="AI157" s="65">
        <f>'TOTAL ESTACIONES'!AI157</f>
        <v>0</v>
      </c>
      <c r="AJ157" s="65">
        <f>'TOTAL ESTACIONES'!AJ157</f>
        <v>0</v>
      </c>
      <c r="AK157" s="65">
        <f>'TOTAL ESTACIONES'!AK157</f>
        <v>0</v>
      </c>
      <c r="AL157" s="73">
        <f>'TOTAL ESTACIONES'!AL157</f>
        <v>0</v>
      </c>
      <c r="AM157" s="14">
        <f>'TOTAL ESTACIONES'!AM157</f>
        <v>0</v>
      </c>
      <c r="AN157" s="89"/>
      <c r="AS157" s="65">
        <v>0</v>
      </c>
    </row>
    <row r="158" spans="5:45" hidden="1" outlineLevel="1">
      <c r="I158" s="213" t="s">
        <v>270</v>
      </c>
      <c r="J158" s="65">
        <f>'TOTAL ESTACIONES'!J158</f>
        <v>17708</v>
      </c>
      <c r="K158" s="65">
        <f>'TOTAL ESTACIONES'!K158</f>
        <v>17290</v>
      </c>
      <c r="L158" s="65">
        <f>'TOTAL ESTACIONES'!L158</f>
        <v>17710</v>
      </c>
      <c r="M158" s="65">
        <f>'TOTAL ESTACIONES'!M158</f>
        <v>5580</v>
      </c>
      <c r="N158" s="65">
        <f>'TOTAL ESTACIONES'!N158</f>
        <v>16080</v>
      </c>
      <c r="O158" s="65">
        <f>'TOTAL ESTACIONES'!O158</f>
        <v>17606</v>
      </c>
      <c r="P158" s="65">
        <f>'TOTAL ESTACIONES'!P158</f>
        <v>15610</v>
      </c>
      <c r="Q158" s="65">
        <f>'TOTAL ESTACIONES'!Q158</f>
        <v>17710</v>
      </c>
      <c r="R158" s="65">
        <f>'TOTAL ESTACIONES'!R158</f>
        <v>19777</v>
      </c>
      <c r="S158" s="65">
        <f>'TOTAL ESTACIONES'!S158</f>
        <v>17710</v>
      </c>
      <c r="T158" s="65">
        <f>'TOTAL ESTACIONES'!T158</f>
        <v>17710</v>
      </c>
      <c r="U158" s="65">
        <f>'TOTAL ESTACIONES'!U158</f>
        <v>17710</v>
      </c>
      <c r="V158" s="65">
        <f>'TOTAL ESTACIONES'!V158</f>
        <v>198201</v>
      </c>
      <c r="W158" s="73">
        <f>'TOTAL ESTACIONES'!W158</f>
        <v>2.2116601878432483E-4</v>
      </c>
      <c r="X158" s="89"/>
      <c r="Y158" s="65">
        <f>'TOTAL ESTACIONES'!Y158</f>
        <v>17150.571899999995</v>
      </c>
      <c r="Z158" s="65">
        <f>'TOTAL ESTACIONES'!Z158</f>
        <v>17150.571899999995</v>
      </c>
      <c r="AA158" s="65">
        <f>'TOTAL ESTACIONES'!AA158</f>
        <v>17150.571899999995</v>
      </c>
      <c r="AB158" s="65">
        <f>'TOTAL ESTACIONES'!AB158</f>
        <v>17150.571899999995</v>
      </c>
      <c r="AC158" s="65">
        <f>'TOTAL ESTACIONES'!AC158</f>
        <v>17150.571899999995</v>
      </c>
      <c r="AD158" s="65">
        <f>'TOTAL ESTACIONES'!AD158</f>
        <v>17150.571899999995</v>
      </c>
      <c r="AE158" s="65">
        <f>'TOTAL ESTACIONES'!AE158</f>
        <v>17150.571899999995</v>
      </c>
      <c r="AF158" s="65">
        <f>'TOTAL ESTACIONES'!AF158</f>
        <v>17150.571899999995</v>
      </c>
      <c r="AG158" s="65">
        <f>'TOTAL ESTACIONES'!AG158</f>
        <v>17150.571899999995</v>
      </c>
      <c r="AH158" s="65">
        <f>'TOTAL ESTACIONES'!AH158</f>
        <v>17150.571899999995</v>
      </c>
      <c r="AI158" s="65">
        <f>'TOTAL ESTACIONES'!AI158</f>
        <v>17150.571899999995</v>
      </c>
      <c r="AJ158" s="65">
        <f>'TOTAL ESTACIONES'!AJ158</f>
        <v>17150.571899999995</v>
      </c>
      <c r="AK158" s="65">
        <f>'TOTAL ESTACIONES'!AK158</f>
        <v>205806.86279999989</v>
      </c>
      <c r="AL158" s="73">
        <f>'TOTAL ESTACIONES'!AL158</f>
        <v>2.1367473420293926E-4</v>
      </c>
      <c r="AM158" s="14">
        <f>'TOTAL ESTACIONES'!AM158</f>
        <v>3.8374492560581785E-2</v>
      </c>
      <c r="AN158" s="89"/>
      <c r="AO158" s="1" t="s">
        <v>447</v>
      </c>
      <c r="AS158" s="65">
        <v>205806.86279999989</v>
      </c>
    </row>
    <row r="159" spans="5:45" collapsed="1">
      <c r="I159" s="121" t="s">
        <v>466</v>
      </c>
      <c r="J159" s="15">
        <f>'TOTAL ESTACIONES'!J159</f>
        <v>343901</v>
      </c>
      <c r="K159" s="15">
        <f>'TOTAL ESTACIONES'!K159</f>
        <v>365423.00000000006</v>
      </c>
      <c r="L159" s="15">
        <f>'TOTAL ESTACIONES'!L159</f>
        <v>419103.99999999994</v>
      </c>
      <c r="M159" s="15">
        <f>'TOTAL ESTACIONES'!M159</f>
        <v>385375</v>
      </c>
      <c r="N159" s="15">
        <f>'TOTAL ESTACIONES'!N159</f>
        <v>436174</v>
      </c>
      <c r="O159" s="15">
        <f>'TOTAL ESTACIONES'!O159</f>
        <v>431507.00000000006</v>
      </c>
      <c r="P159" s="15">
        <f>'TOTAL ESTACIONES'!P159</f>
        <v>469973</v>
      </c>
      <c r="Q159" s="15">
        <f>'TOTAL ESTACIONES'!Q159</f>
        <v>391285</v>
      </c>
      <c r="R159" s="15">
        <f>'TOTAL ESTACIONES'!R159</f>
        <v>465583</v>
      </c>
      <c r="S159" s="15">
        <f>'TOTAL ESTACIONES'!S159</f>
        <v>472353</v>
      </c>
      <c r="T159" s="15">
        <f>'TOTAL ESTACIONES'!T159</f>
        <v>443073.66666666669</v>
      </c>
      <c r="U159" s="15">
        <f>'TOTAL ESTACIONES'!U159</f>
        <v>460336.55555555556</v>
      </c>
      <c r="V159" s="15">
        <f>SUM(J159:U159)</f>
        <v>5084088.2222222229</v>
      </c>
      <c r="W159" s="72">
        <f>V159/V$6</f>
        <v>5.6731679015603591E-3</v>
      </c>
      <c r="X159" s="89"/>
      <c r="Y159" s="15">
        <f>'TOTAL ESTACIONES'!Y159</f>
        <v>356797.28750000003</v>
      </c>
      <c r="Z159" s="15">
        <f>'TOTAL ESTACIONES'!Z159</f>
        <v>379126.3625000001</v>
      </c>
      <c r="AA159" s="15">
        <f>'TOTAL ESTACIONES'!AA159</f>
        <v>434820.4</v>
      </c>
      <c r="AB159" s="15">
        <f>'TOTAL ESTACIONES'!AB159</f>
        <v>399826.56250000006</v>
      </c>
      <c r="AC159" s="15">
        <f>'TOTAL ESTACIONES'!AC159</f>
        <v>452530.52500000008</v>
      </c>
      <c r="AD159" s="15">
        <f>'TOTAL ESTACIONES'!AD159</f>
        <v>447688.51250000001</v>
      </c>
      <c r="AE159" s="15">
        <f>'TOTAL ESTACIONES'!AE159</f>
        <v>487596.98750000005</v>
      </c>
      <c r="AF159" s="15">
        <f>'TOTAL ESTACIONES'!AF159</f>
        <v>405958.18750000006</v>
      </c>
      <c r="AG159" s="15">
        <f>'TOTAL ESTACIONES'!AG159</f>
        <v>483042.36250000005</v>
      </c>
      <c r="AH159" s="15">
        <f>'TOTAL ESTACIONES'!AH159</f>
        <v>490066.23750000005</v>
      </c>
      <c r="AI159" s="15">
        <f>'TOTAL ESTACIONES'!AI159</f>
        <v>459688.9291666667</v>
      </c>
      <c r="AJ159" s="15">
        <f>'TOTAL ESTACIONES'!AJ159</f>
        <v>477599.17638888897</v>
      </c>
      <c r="AK159" s="15">
        <f>'TOTAL ESTACIONES'!AK159</f>
        <v>5274741.5305555565</v>
      </c>
      <c r="AL159" s="72">
        <f>AK159/AK$6</f>
        <v>5.4763916965487325E-3</v>
      </c>
      <c r="AM159" s="297">
        <f>IFERROR(AK159/V159-1,0)</f>
        <v>3.7500000000000089E-2</v>
      </c>
      <c r="AN159" s="89"/>
      <c r="AS159" s="15">
        <v>5274741.5305555547</v>
      </c>
    </row>
    <row r="160" spans="5:45" hidden="1" outlineLevel="1">
      <c r="E160" s="7"/>
      <c r="I160" s="251" t="s">
        <v>328</v>
      </c>
      <c r="J160" s="65">
        <f>'TOTAL ESTACIONES'!J160</f>
        <v>343901</v>
      </c>
      <c r="K160" s="65">
        <f>'TOTAL ESTACIONES'!K160</f>
        <v>365423.00000000006</v>
      </c>
      <c r="L160" s="65">
        <f>'TOTAL ESTACIONES'!L160</f>
        <v>419103.99999999994</v>
      </c>
      <c r="M160" s="65">
        <f>'TOTAL ESTACIONES'!M160</f>
        <v>385375</v>
      </c>
      <c r="N160" s="65">
        <f>'TOTAL ESTACIONES'!N160</f>
        <v>436174</v>
      </c>
      <c r="O160" s="65">
        <f>'TOTAL ESTACIONES'!O160</f>
        <v>431507.00000000006</v>
      </c>
      <c r="P160" s="65">
        <f>'TOTAL ESTACIONES'!P160</f>
        <v>469973</v>
      </c>
      <c r="Q160" s="65">
        <f>'TOTAL ESTACIONES'!Q160</f>
        <v>391285</v>
      </c>
      <c r="R160" s="65">
        <f>'TOTAL ESTACIONES'!R160</f>
        <v>465583</v>
      </c>
      <c r="S160" s="65">
        <f>'TOTAL ESTACIONES'!S160</f>
        <v>472353</v>
      </c>
      <c r="T160" s="65">
        <f>'TOTAL ESTACIONES'!T160</f>
        <v>443073.66666666669</v>
      </c>
      <c r="U160" s="65">
        <f>'TOTAL ESTACIONES'!U160</f>
        <v>460336.55555555556</v>
      </c>
      <c r="V160" s="65">
        <f>'TOTAL ESTACIONES'!V160</f>
        <v>5084088.2222222229</v>
      </c>
      <c r="W160" s="73">
        <f t="shared" ref="W160" si="1">V160/V$6</f>
        <v>5.6731679015603591E-3</v>
      </c>
      <c r="X160" s="89"/>
      <c r="Y160" s="65">
        <f>'TOTAL ESTACIONES'!Y160</f>
        <v>356797.28750000003</v>
      </c>
      <c r="Z160" s="65">
        <f>'TOTAL ESTACIONES'!Z160</f>
        <v>379126.3625000001</v>
      </c>
      <c r="AA160" s="65">
        <f>'TOTAL ESTACIONES'!AA160</f>
        <v>434820.4</v>
      </c>
      <c r="AB160" s="65">
        <f>'TOTAL ESTACIONES'!AB160</f>
        <v>399826.56250000006</v>
      </c>
      <c r="AC160" s="65">
        <f>'TOTAL ESTACIONES'!AC160</f>
        <v>452530.52500000008</v>
      </c>
      <c r="AD160" s="65">
        <f>'TOTAL ESTACIONES'!AD160</f>
        <v>447688.51250000001</v>
      </c>
      <c r="AE160" s="65">
        <f>'TOTAL ESTACIONES'!AE160</f>
        <v>487596.98750000005</v>
      </c>
      <c r="AF160" s="65">
        <f>'TOTAL ESTACIONES'!AF160</f>
        <v>405958.18750000006</v>
      </c>
      <c r="AG160" s="65">
        <f>'TOTAL ESTACIONES'!AG160</f>
        <v>483042.36250000005</v>
      </c>
      <c r="AH160" s="65">
        <f>'TOTAL ESTACIONES'!AH160</f>
        <v>490066.23750000005</v>
      </c>
      <c r="AI160" s="65">
        <f>'TOTAL ESTACIONES'!AI160</f>
        <v>459688.9291666667</v>
      </c>
      <c r="AJ160" s="65">
        <f>'TOTAL ESTACIONES'!AJ160</f>
        <v>477599.17638888897</v>
      </c>
      <c r="AK160" s="65">
        <f>'TOTAL ESTACIONES'!AK160</f>
        <v>5274741.5305555565</v>
      </c>
      <c r="AL160" s="73">
        <f t="shared" ref="AL160" si="2">AK160/AK$6</f>
        <v>5.4763916965487325E-3</v>
      </c>
      <c r="AM160" s="14">
        <f t="shared" ref="AM160" si="3">IFERROR(AK160/V160-1,0)</f>
        <v>3.7500000000000089E-2</v>
      </c>
      <c r="AN160" s="1"/>
    </row>
    <row r="161" spans="1:45">
      <c r="I161" s="28" t="s">
        <v>271</v>
      </c>
      <c r="J161" s="15">
        <f>'TOTAL ESTACIONES'!J161</f>
        <v>5652163</v>
      </c>
      <c r="K161" s="15">
        <f>'TOTAL ESTACIONES'!K161</f>
        <v>4032778</v>
      </c>
      <c r="L161" s="15">
        <f>'TOTAL ESTACIONES'!L161</f>
        <v>5044310</v>
      </c>
      <c r="M161" s="15">
        <f>'TOTAL ESTACIONES'!M161</f>
        <v>4997014</v>
      </c>
      <c r="N161" s="15">
        <f>'TOTAL ESTACIONES'!N161</f>
        <v>5128632</v>
      </c>
      <c r="O161" s="15">
        <f>'TOTAL ESTACIONES'!O161</f>
        <v>4994819</v>
      </c>
      <c r="P161" s="15">
        <f>'TOTAL ESTACIONES'!P161</f>
        <v>5024155</v>
      </c>
      <c r="Q161" s="15">
        <f>'TOTAL ESTACIONES'!Q161</f>
        <v>5476286</v>
      </c>
      <c r="R161" s="15">
        <f>'TOTAL ESTACIONES'!R161</f>
        <v>4488784</v>
      </c>
      <c r="S161" s="15">
        <f>'TOTAL ESTACIONES'!S161</f>
        <v>4830842.1123097129</v>
      </c>
      <c r="T161" s="15">
        <f>'TOTAL ESTACIONES'!T161</f>
        <v>5169712.3183103073</v>
      </c>
      <c r="U161" s="15">
        <f>'TOTAL ESTACIONES'!U161</f>
        <v>4810868.5963266399</v>
      </c>
      <c r="V161" s="15">
        <f>'TOTAL ESTACIONES'!V161</f>
        <v>64734452.249168888</v>
      </c>
      <c r="W161" s="72">
        <f>'TOTAL ESTACIONES'!W161</f>
        <v>7.2235059773324381E-2</v>
      </c>
      <c r="X161" s="89"/>
      <c r="Y161" s="15">
        <f>'TOTAL ESTACIONES'!Y161</f>
        <v>6029550.8509129444</v>
      </c>
      <c r="Z161" s="15">
        <f>'TOTAL ESTACIONES'!Z161</f>
        <v>5608020.0345038092</v>
      </c>
      <c r="AA161" s="15">
        <f>'TOTAL ESTACIONES'!AA161</f>
        <v>6150673.8637056509</v>
      </c>
      <c r="AB161" s="15">
        <f>'TOTAL ESTACIONES'!AB161</f>
        <v>5312764.3777627153</v>
      </c>
      <c r="AC161" s="15">
        <f>'TOTAL ESTACIONES'!AC161</f>
        <v>5550592.6999140028</v>
      </c>
      <c r="AD161" s="15">
        <f>'TOTAL ESTACIONES'!AD161</f>
        <v>5510049.1071455814</v>
      </c>
      <c r="AE161" s="15">
        <f>'TOTAL ESTACIONES'!AE161</f>
        <v>5862389.7947264705</v>
      </c>
      <c r="AF161" s="15">
        <f>'TOTAL ESTACIONES'!AF161</f>
        <v>5894959.0549487881</v>
      </c>
      <c r="AG161" s="15">
        <f>'TOTAL ESTACIONES'!AG161</f>
        <v>5776740.1823966466</v>
      </c>
      <c r="AH161" s="15">
        <f>'TOTAL ESTACIONES'!AH161</f>
        <v>5858804.3757001637</v>
      </c>
      <c r="AI161" s="15">
        <f>'TOTAL ESTACIONES'!AI161</f>
        <v>5742668.9050480537</v>
      </c>
      <c r="AJ161" s="15">
        <f>'TOTAL ESTACIONES'!AJ161</f>
        <v>5635005.1734523689</v>
      </c>
      <c r="AK161" s="15">
        <f>'TOTAL ESTACIONES'!AK161</f>
        <v>68932218.420217186</v>
      </c>
      <c r="AL161" s="72">
        <f>'TOTAL ESTACIONES'!AL161</f>
        <v>7.1567455276126332E-2</v>
      </c>
      <c r="AM161" s="10">
        <f>'TOTAL ESTACIONES'!AM161</f>
        <v>6.4845936363077783E-2</v>
      </c>
      <c r="AN161" s="89"/>
      <c r="AS161" s="15">
        <v>68932218.420217186</v>
      </c>
    </row>
    <row r="162" spans="1:45">
      <c r="I162" s="26" t="s">
        <v>272</v>
      </c>
      <c r="J162" s="17">
        <f>'TOTAL ESTACIONES'!J162</f>
        <v>1.5273767358479196</v>
      </c>
      <c r="K162" s="17">
        <f>'TOTAL ESTACIONES'!K162</f>
        <v>1.1101207959395916</v>
      </c>
      <c r="L162" s="17">
        <f>'TOTAL ESTACIONES'!L162</f>
        <v>1.2648121741472131</v>
      </c>
      <c r="M162" s="17">
        <f>'TOTAL ESTACIONES'!M162</f>
        <v>1.3347723654546815</v>
      </c>
      <c r="N162" s="17">
        <f>'TOTAL ESTACIONES'!N162</f>
        <v>1.1993741946497851</v>
      </c>
      <c r="O162" s="17">
        <f>'TOTAL ESTACIONES'!O162</f>
        <v>1.1725499742710441</v>
      </c>
      <c r="P162" s="17">
        <f>'TOTAL ESTACIONES'!P162</f>
        <v>1.1957001341313307</v>
      </c>
      <c r="Q162" s="17">
        <f>'TOTAL ESTACIONES'!Q162</f>
        <v>1.4135393269157801</v>
      </c>
      <c r="R162" s="17">
        <f>'TOTAL ESTACIONES'!R162</f>
        <v>1.1403037382880801</v>
      </c>
      <c r="S162" s="17">
        <f>'TOTAL ESTACIONES'!S162</f>
        <v>1.1335143618710268</v>
      </c>
      <c r="T162" s="17">
        <f>'TOTAL ESTACIONES'!T162</f>
        <v>1.2706472792404762</v>
      </c>
      <c r="U162" s="17">
        <f>'TOTAL ESTACIONES'!U162</f>
        <v>1.2493458599392424</v>
      </c>
      <c r="V162" s="17">
        <f>'TOTAL ESTACIONES'!V162</f>
        <v>1.3544274208054217</v>
      </c>
      <c r="W162" s="73">
        <f>'TOTAL ESTACIONES'!W162</f>
        <v>1.5113612968242165E-9</v>
      </c>
      <c r="X162" s="89"/>
      <c r="Y162" s="17">
        <f>'TOTAL ESTACIONES'!Y162</f>
        <v>1.5778051568797806</v>
      </c>
      <c r="Z162" s="17">
        <f>'TOTAL ESTACIONES'!Z162</f>
        <v>1.4959674736282815</v>
      </c>
      <c r="AA162" s="17">
        <f>'TOTAL ESTACIONES'!AA162</f>
        <v>1.4949171976376701</v>
      </c>
      <c r="AB162" s="17">
        <f>'TOTAL ESTACIONES'!AB162</f>
        <v>1.3727530611225747</v>
      </c>
      <c r="AC162" s="17">
        <f>'TOTAL ESTACIONES'!AC162</f>
        <v>1.2573476647915693</v>
      </c>
      <c r="AD162" s="17">
        <f>'TOTAL ESTACIONES'!AD162</f>
        <v>1.2676060764365591</v>
      </c>
      <c r="AE162" s="17">
        <f>'TOTAL ESTACIONES'!AE162</f>
        <v>1.3690004356892735</v>
      </c>
      <c r="AF162" s="17">
        <f>'TOTAL ESTACIONES'!AF162</f>
        <v>1.3584034960983449</v>
      </c>
      <c r="AG162" s="17">
        <f>'TOTAL ESTACIONES'!AG162</f>
        <v>1.360859611581996</v>
      </c>
      <c r="AH162" s="17">
        <f>'TOTAL ESTACIONES'!AH162</f>
        <v>1.3594888892937114</v>
      </c>
      <c r="AI162" s="17">
        <f>'TOTAL ESTACIONES'!AI162</f>
        <v>1.3804973743190696</v>
      </c>
      <c r="AJ162" s="17">
        <f>'TOTAL ESTACIONES'!AJ162</f>
        <v>1.435545754877888</v>
      </c>
      <c r="AK162" s="17">
        <f>'TOTAL ESTACIONES'!AK162</f>
        <v>1.39038856348352</v>
      </c>
      <c r="AL162" s="73">
        <f>'TOTAL ESTACIONES'!AL162</f>
        <v>1.4435422740487343E-9</v>
      </c>
      <c r="AM162" s="16">
        <f>'TOTAL ESTACIONES'!AM162</f>
        <v>2.6550808205517473E-2</v>
      </c>
      <c r="AN162" s="89"/>
      <c r="AS162" s="17">
        <v>1.39038856348352</v>
      </c>
    </row>
    <row r="163" spans="1:45">
      <c r="I163" s="26" t="s">
        <v>273</v>
      </c>
      <c r="J163" s="17">
        <f>'TOTAL ESTACIONES'!J163</f>
        <v>1.5273767358479196</v>
      </c>
      <c r="K163" s="17">
        <f>'TOTAL ESTACIONES'!K163</f>
        <v>1.1101207959395916</v>
      </c>
      <c r="L163" s="17">
        <f>'TOTAL ESTACIONES'!L163</f>
        <v>1.2648121741472131</v>
      </c>
      <c r="M163" s="17">
        <f>'TOTAL ESTACIONES'!M163</f>
        <v>1.3347723654546815</v>
      </c>
      <c r="N163" s="17">
        <f>'TOTAL ESTACIONES'!N163</f>
        <v>1.1993741946497851</v>
      </c>
      <c r="O163" s="17">
        <f>'TOTAL ESTACIONES'!O163</f>
        <v>1.1725499742710441</v>
      </c>
      <c r="P163" s="17">
        <f>'TOTAL ESTACIONES'!P163</f>
        <v>1.1957001341313307</v>
      </c>
      <c r="Q163" s="17">
        <f>'TOTAL ESTACIONES'!Q163</f>
        <v>1.4135393269157801</v>
      </c>
      <c r="R163" s="17">
        <f>'TOTAL ESTACIONES'!R163</f>
        <v>1.1403037382880801</v>
      </c>
      <c r="S163" s="17">
        <f>'TOTAL ESTACIONES'!S163</f>
        <v>1.1335143618710268</v>
      </c>
      <c r="T163" s="17">
        <f>'TOTAL ESTACIONES'!T163</f>
        <v>1.2706472792404762</v>
      </c>
      <c r="U163" s="17">
        <f>'TOTAL ESTACIONES'!U163</f>
        <v>1.2493458599392424</v>
      </c>
      <c r="V163" s="17">
        <f>'TOTAL ESTACIONES'!V163</f>
        <v>1.3544274208054217</v>
      </c>
      <c r="W163" s="73">
        <f>'TOTAL ESTACIONES'!W163</f>
        <v>1.5113612968242165E-9</v>
      </c>
      <c r="X163" s="89"/>
      <c r="Y163" s="17">
        <f>'TOTAL ESTACIONES'!Y163</f>
        <v>2.0420721399336612</v>
      </c>
      <c r="Z163" s="17">
        <f>'TOTAL ESTACIONES'!Z163</f>
        <v>1.9319739634034898</v>
      </c>
      <c r="AA163" s="17">
        <f>'TOTAL ESTACIONES'!AA163</f>
        <v>1.9238416891498931</v>
      </c>
      <c r="AB163" s="17">
        <f>'TOTAL ESTACIONES'!AB163</f>
        <v>1.7658833939313523</v>
      </c>
      <c r="AC163" s="17">
        <f>'TOTAL ESTACIONES'!AC163</f>
        <v>1.6030958395625496</v>
      </c>
      <c r="AD163" s="17">
        <f>'TOTAL ESTACIONES'!AD163</f>
        <v>1.6355166664328427</v>
      </c>
      <c r="AE163" s="17">
        <f>'TOTAL ESTACIONES'!AE163</f>
        <v>1.7732463873419044</v>
      </c>
      <c r="AF163" s="17">
        <f>'TOTAL ESTACIONES'!AF163</f>
        <v>1.7217621898247348</v>
      </c>
      <c r="AG163" s="17">
        <f>'TOTAL ESTACIONES'!AG163</f>
        <v>1.7425685422206958</v>
      </c>
      <c r="AH163" s="17">
        <f>'TOTAL ESTACIONES'!AH163</f>
        <v>1.7365419803405158</v>
      </c>
      <c r="AI163" s="17">
        <f>'TOTAL ESTACIONES'!AI163</f>
        <v>1.7652071248789454</v>
      </c>
      <c r="AJ163" s="17">
        <f>'TOTAL ESTACIONES'!AJ163</f>
        <v>1.834688431592677</v>
      </c>
      <c r="AK163" s="17">
        <f>'TOTAL ESTACIONES'!AK163</f>
        <v>1.39038856348352</v>
      </c>
      <c r="AL163" s="73">
        <f>'TOTAL ESTACIONES'!AL163</f>
        <v>1.4435422740487343E-9</v>
      </c>
      <c r="AM163" s="16">
        <f>'TOTAL ESTACIONES'!AM163</f>
        <v>2.6550808205517473E-2</v>
      </c>
      <c r="AN163" s="89"/>
      <c r="AS163" s="17">
        <v>1.39038856348352</v>
      </c>
    </row>
    <row r="164" spans="1:45" ht="15.75">
      <c r="I164" s="25" t="s">
        <v>274</v>
      </c>
      <c r="J164" s="24">
        <f>'TOTAL ESTACIONES'!J164</f>
        <v>4017210</v>
      </c>
      <c r="K164" s="24">
        <f>'TOTAL ESTACIONES'!K164</f>
        <v>6369646</v>
      </c>
      <c r="L164" s="24">
        <f>'TOTAL ESTACIONES'!L164</f>
        <v>5587638</v>
      </c>
      <c r="M164" s="24">
        <f>'TOTAL ESTACIONES'!M164</f>
        <v>5178065</v>
      </c>
      <c r="N164" s="24">
        <f>'TOTAL ESTACIONES'!N164</f>
        <v>7343045</v>
      </c>
      <c r="O164" s="24">
        <f>'TOTAL ESTACIONES'!O164</f>
        <v>5904556</v>
      </c>
      <c r="P164" s="24">
        <f>'TOTAL ESTACIONES'!P164</f>
        <v>5216948</v>
      </c>
      <c r="Q164" s="24">
        <f>'TOTAL ESTACIONES'!Q164</f>
        <v>3821903</v>
      </c>
      <c r="R164" s="24">
        <f>'TOTAL ESTACIONES'!R164</f>
        <v>5657437.666666666</v>
      </c>
      <c r="S164" s="24">
        <f>'TOTAL ESTACIONES'!S164</f>
        <v>5064328.1099125091</v>
      </c>
      <c r="T164" s="24">
        <f>'TOTAL ESTACIONES'!T164</f>
        <v>4610148.3113193233</v>
      </c>
      <c r="U164" s="24">
        <f>'TOTAL ESTACIONES'!U164</f>
        <v>5129548.9098462015</v>
      </c>
      <c r="V164" s="24">
        <f>'TOTAL ESTACIONES'!V164-V159</f>
        <v>53732290.553300261</v>
      </c>
      <c r="W164" s="77">
        <f t="shared" ref="W164" si="4">V164/V$6</f>
        <v>5.9958107082386088E-2</v>
      </c>
      <c r="X164" s="89"/>
      <c r="Y164" s="24">
        <f>'TOTAL ESTACIONES'!Y164</f>
        <v>3537687.5190870455</v>
      </c>
      <c r="Z164" s="24">
        <f>'TOTAL ESTACIONES'!Z164</f>
        <v>3701817.0054962048</v>
      </c>
      <c r="AA164" s="24">
        <f>'TOTAL ESTACIONES'!AA164</f>
        <v>4493338.4062943375</v>
      </c>
      <c r="AB164" s="24">
        <f>'TOTAL ESTACIONES'!AB164</f>
        <v>4147534.3722372996</v>
      </c>
      <c r="AC164" s="24">
        <f>'TOTAL ESTACIONES'!AC164</f>
        <v>6006417.0900859889</v>
      </c>
      <c r="AD164" s="24">
        <f>'TOTAL ESTACIONES'!AD164</f>
        <v>5287065.8828544281</v>
      </c>
      <c r="AE164" s="24">
        <f>'TOTAL ESTACIONES'!AE164</f>
        <v>4793799.1852735337</v>
      </c>
      <c r="AF164" s="24">
        <f>'TOTAL ESTACIONES'!AF164</f>
        <v>5102072.5050511993</v>
      </c>
      <c r="AG164" s="24">
        <f>'TOTAL ESTACIONES'!AG164</f>
        <v>4760864.3876033612</v>
      </c>
      <c r="AH164" s="24">
        <f>'TOTAL ESTACIONES'!AH164</f>
        <v>5008187.0742998393</v>
      </c>
      <c r="AI164" s="24">
        <f>'TOTAL ESTACIONES'!AI164</f>
        <v>4550319.4749519415</v>
      </c>
      <c r="AJ164" s="24">
        <f>'TOTAL ESTACIONES'!AJ164</f>
        <v>3978809.7665476287</v>
      </c>
      <c r="AK164" s="24">
        <f>'TOTAL ESTACIONES'!AK164</f>
        <v>55367912.669782847</v>
      </c>
      <c r="AL164" s="77">
        <f>'TOTAL ESTACIONES'!AL164</f>
        <v>5.7484594352834234E-2</v>
      </c>
      <c r="AM164" s="23">
        <f>'TOTAL ESTACIONES'!AM164</f>
        <v>-5.8631051035987647E-2</v>
      </c>
      <c r="AN164" s="89"/>
      <c r="AR164" s="9">
        <f>+AS34-AS161</f>
        <v>55318358.669782847</v>
      </c>
      <c r="AS164" s="24">
        <v>50043617.139227293</v>
      </c>
    </row>
    <row r="165" spans="1:45">
      <c r="J165" s="136"/>
      <c r="W165" s="75"/>
      <c r="X165" s="89"/>
      <c r="Y165" s="136"/>
      <c r="AL165" s="75"/>
      <c r="AM165" s="174"/>
      <c r="AN165" s="89"/>
      <c r="AS165" s="4"/>
    </row>
    <row r="166" spans="1:45">
      <c r="E166" s="180" t="s">
        <v>98</v>
      </c>
      <c r="I166" s="139" t="s">
        <v>275</v>
      </c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75"/>
      <c r="X166" s="89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75"/>
      <c r="AM166" s="174"/>
      <c r="AN166" s="89"/>
      <c r="AS166" s="136"/>
    </row>
    <row r="167" spans="1:45" ht="5.25" customHeight="1">
      <c r="A167" s="21"/>
      <c r="B167" s="21"/>
      <c r="C167" s="21"/>
      <c r="D167" s="21"/>
      <c r="E167" s="185"/>
      <c r="F167" s="21"/>
      <c r="G167" s="21"/>
      <c r="H167" s="21"/>
      <c r="I167" s="139"/>
      <c r="W167" s="75"/>
      <c r="X167" s="89"/>
      <c r="AL167" s="75"/>
      <c r="AM167" s="174"/>
      <c r="AN167" s="89"/>
      <c r="AS167" s="4"/>
    </row>
    <row r="168" spans="1:45">
      <c r="A168" s="12" t="s">
        <v>146</v>
      </c>
      <c r="B168" s="8" t="s">
        <v>370</v>
      </c>
      <c r="I168" s="121" t="s">
        <v>147</v>
      </c>
      <c r="J168" s="222">
        <f>SUM(J169:J217)</f>
        <v>81142</v>
      </c>
      <c r="K168" s="222">
        <f t="shared" ref="K168:U168" si="5">SUM(K169:K217)</f>
        <v>75000</v>
      </c>
      <c r="L168" s="222">
        <f t="shared" si="5"/>
        <v>192390</v>
      </c>
      <c r="M168" s="222">
        <f t="shared" si="5"/>
        <v>-21349</v>
      </c>
      <c r="N168" s="222">
        <f t="shared" si="5"/>
        <v>120596</v>
      </c>
      <c r="O168" s="222">
        <f t="shared" si="5"/>
        <v>54358</v>
      </c>
      <c r="P168" s="222">
        <f t="shared" si="5"/>
        <v>82485</v>
      </c>
      <c r="Q168" s="222">
        <f t="shared" si="5"/>
        <v>0</v>
      </c>
      <c r="R168" s="222">
        <f t="shared" si="5"/>
        <v>42533</v>
      </c>
      <c r="S168" s="222">
        <f t="shared" si="5"/>
        <v>98201</v>
      </c>
      <c r="T168" s="222">
        <f t="shared" si="5"/>
        <v>0</v>
      </c>
      <c r="U168" s="222">
        <f t="shared" si="5"/>
        <v>0</v>
      </c>
      <c r="V168" s="222">
        <f>SUM(V169:V217)</f>
        <v>725356</v>
      </c>
      <c r="W168" s="72">
        <f t="shared" ref="W168:W241" si="6">V168/V$6</f>
        <v>8.0940105610628971E-4</v>
      </c>
      <c r="X168" s="89"/>
      <c r="Y168" s="222">
        <f>SUM(Y169:Y217)</f>
        <v>58822.2</v>
      </c>
      <c r="Z168" s="222">
        <f t="shared" ref="Z168:AJ168" si="7">SUM(Z169:Z217)</f>
        <v>57731.369999999995</v>
      </c>
      <c r="AA168" s="222">
        <f t="shared" si="7"/>
        <v>63215.864999999998</v>
      </c>
      <c r="AB168" s="222">
        <f t="shared" si="7"/>
        <v>59552.294999999998</v>
      </c>
      <c r="AC168" s="222">
        <f t="shared" si="7"/>
        <v>67717.875</v>
      </c>
      <c r="AD168" s="222">
        <f t="shared" si="7"/>
        <v>66702.225000000006</v>
      </c>
      <c r="AE168" s="222">
        <f t="shared" si="7"/>
        <v>65733.614999999991</v>
      </c>
      <c r="AF168" s="222">
        <f t="shared" si="7"/>
        <v>66594.345000000001</v>
      </c>
      <c r="AG168" s="222">
        <f t="shared" si="7"/>
        <v>65173.799999999996</v>
      </c>
      <c r="AH168" s="222">
        <f t="shared" si="7"/>
        <v>66143.459999999992</v>
      </c>
      <c r="AI168" s="222">
        <f t="shared" si="7"/>
        <v>63897.824999999997</v>
      </c>
      <c r="AJ168" s="222">
        <f t="shared" si="7"/>
        <v>60380.1</v>
      </c>
      <c r="AK168" s="15">
        <f>SUM(AK169:AK217)</f>
        <v>761664.97499999986</v>
      </c>
      <c r="AL168" s="72">
        <v>8.1460760094509178E-3</v>
      </c>
      <c r="AM168" s="10">
        <f t="shared" ref="AM168" si="8">IFERROR(AK168/V168-1,0)</f>
        <v>5.0056765229762767E-2</v>
      </c>
      <c r="AN168" s="89"/>
      <c r="AS168" s="15">
        <v>761664.97499999986</v>
      </c>
    </row>
    <row r="169" spans="1:45" ht="15" customHeight="1" outlineLevel="1">
      <c r="A169" s="12" t="s">
        <v>146</v>
      </c>
      <c r="B169" s="8" t="s">
        <v>370</v>
      </c>
      <c r="C169" s="8" t="s">
        <v>155</v>
      </c>
      <c r="I169" s="137" t="s">
        <v>159</v>
      </c>
      <c r="J169" s="225">
        <v>81142</v>
      </c>
      <c r="K169" s="225">
        <v>75000</v>
      </c>
      <c r="L169" s="225">
        <v>92390</v>
      </c>
      <c r="M169" s="225">
        <v>78651</v>
      </c>
      <c r="N169" s="225">
        <v>91701</v>
      </c>
      <c r="O169" s="225">
        <v>39358</v>
      </c>
      <c r="P169" s="225">
        <v>82485</v>
      </c>
      <c r="Q169" s="225">
        <v>0</v>
      </c>
      <c r="R169" s="225">
        <v>42533</v>
      </c>
      <c r="S169" s="225">
        <v>82957</v>
      </c>
      <c r="T169" s="225"/>
      <c r="U169" s="225"/>
      <c r="V169" s="226">
        <f t="shared" ref="V169:V217" si="9">SUM(J169:U169)</f>
        <v>666217</v>
      </c>
      <c r="W169" s="73">
        <f t="shared" si="6"/>
        <v>7.4340977864105896E-4</v>
      </c>
      <c r="X169" s="89"/>
      <c r="Y169" s="65">
        <f>SUM(S:Z!Y160)</f>
        <v>57322.2</v>
      </c>
      <c r="Z169" s="65">
        <f>SUM(S:Z!Z160)</f>
        <v>56231.369999999995</v>
      </c>
      <c r="AA169" s="65">
        <f>SUM(S:Z!AA160)</f>
        <v>61715.864999999998</v>
      </c>
      <c r="AB169" s="65">
        <f>SUM(S:Z!AB160)</f>
        <v>58052.294999999998</v>
      </c>
      <c r="AC169" s="65">
        <f>SUM(S:Z!AC160)</f>
        <v>66217.875</v>
      </c>
      <c r="AD169" s="65">
        <f>SUM(S:Z!AD160)</f>
        <v>65202.224999999999</v>
      </c>
      <c r="AE169" s="65">
        <f>SUM(S:Z!AE160)</f>
        <v>64233.614999999998</v>
      </c>
      <c r="AF169" s="65">
        <f>SUM(S:Z!AF160)</f>
        <v>65094.345000000001</v>
      </c>
      <c r="AG169" s="65">
        <f>SUM(S:Z!AG160)</f>
        <v>63673.799999999996</v>
      </c>
      <c r="AH169" s="65">
        <f>SUM(S:Z!AH160)</f>
        <v>64643.46</v>
      </c>
      <c r="AI169" s="65">
        <f>SUM(S:Z!AI160)</f>
        <v>62397.824999999997</v>
      </c>
      <c r="AJ169" s="65">
        <f>SUM(S:Z!AJ160)</f>
        <v>58880.1</v>
      </c>
      <c r="AK169" s="65">
        <f t="shared" ref="AK169:AK232" si="10">SUM(Y169:AJ169)</f>
        <v>743664.97499999986</v>
      </c>
      <c r="AL169" s="73">
        <f t="shared" ref="AL169:AL232" si="11">AK169/AK$6</f>
        <v>7.7209483545541185E-4</v>
      </c>
      <c r="AM169" s="14">
        <f t="shared" ref="AM169:AM232" si="12">IFERROR(AK169/V169-1,0)</f>
        <v>0.11625037337684252</v>
      </c>
      <c r="AN169" s="89"/>
      <c r="AO169" s="9">
        <f>+AK169-V169</f>
        <v>77447.97499999986</v>
      </c>
      <c r="AS169" s="65">
        <v>743664.97499999986</v>
      </c>
    </row>
    <row r="170" spans="1:45" ht="15" customHeight="1" outlineLevel="1">
      <c r="A170" s="12" t="s">
        <v>146</v>
      </c>
      <c r="B170" s="8" t="s">
        <v>370</v>
      </c>
      <c r="I170" s="137" t="s">
        <v>153</v>
      </c>
      <c r="J170" s="225">
        <v>0</v>
      </c>
      <c r="K170" s="225">
        <v>0</v>
      </c>
      <c r="L170" s="225">
        <v>0</v>
      </c>
      <c r="M170" s="225">
        <v>0</v>
      </c>
      <c r="N170" s="225">
        <v>0</v>
      </c>
      <c r="O170" s="225">
        <v>0</v>
      </c>
      <c r="P170" s="225">
        <v>0</v>
      </c>
      <c r="Q170" s="225">
        <v>0</v>
      </c>
      <c r="R170" s="225">
        <v>0</v>
      </c>
      <c r="S170" s="225">
        <v>0</v>
      </c>
      <c r="T170" s="225"/>
      <c r="U170" s="225"/>
      <c r="V170" s="226">
        <f t="shared" si="9"/>
        <v>0</v>
      </c>
      <c r="W170" s="73">
        <f t="shared" si="6"/>
        <v>0</v>
      </c>
      <c r="X170" s="89"/>
      <c r="Y170" s="225"/>
      <c r="Z170" s="225"/>
      <c r="AA170" s="225"/>
      <c r="AB170" s="225"/>
      <c r="AC170" s="225"/>
      <c r="AD170" s="225"/>
      <c r="AE170" s="225"/>
      <c r="AF170" s="225"/>
      <c r="AG170" s="225"/>
      <c r="AH170" s="225"/>
      <c r="AI170" s="225"/>
      <c r="AJ170" s="225"/>
      <c r="AK170" s="65">
        <f t="shared" si="10"/>
        <v>0</v>
      </c>
      <c r="AL170" s="73">
        <f t="shared" si="11"/>
        <v>0</v>
      </c>
      <c r="AM170" s="14">
        <f t="shared" si="12"/>
        <v>0</v>
      </c>
      <c r="AN170" s="89"/>
      <c r="AS170" s="65">
        <v>0</v>
      </c>
    </row>
    <row r="171" spans="1:45" ht="15" customHeight="1" outlineLevel="1">
      <c r="A171" s="12" t="s">
        <v>146</v>
      </c>
      <c r="B171" s="8" t="s">
        <v>370</v>
      </c>
      <c r="I171" s="137" t="s">
        <v>276</v>
      </c>
      <c r="J171" s="225">
        <v>0</v>
      </c>
      <c r="K171" s="225">
        <v>0</v>
      </c>
      <c r="L171" s="225">
        <v>0</v>
      </c>
      <c r="M171" s="225">
        <v>0</v>
      </c>
      <c r="N171" s="225">
        <v>0</v>
      </c>
      <c r="O171" s="225">
        <v>0</v>
      </c>
      <c r="P171" s="225">
        <v>0</v>
      </c>
      <c r="Q171" s="225">
        <v>0</v>
      </c>
      <c r="R171" s="225">
        <v>0</v>
      </c>
      <c r="S171" s="225">
        <v>0</v>
      </c>
      <c r="T171" s="225"/>
      <c r="U171" s="225"/>
      <c r="V171" s="226">
        <f t="shared" si="9"/>
        <v>0</v>
      </c>
      <c r="W171" s="73">
        <f t="shared" si="6"/>
        <v>0</v>
      </c>
      <c r="X171" s="89"/>
      <c r="Y171" s="225"/>
      <c r="Z171" s="225"/>
      <c r="AA171" s="225"/>
      <c r="AB171" s="225"/>
      <c r="AC171" s="225"/>
      <c r="AD171" s="225"/>
      <c r="AE171" s="225"/>
      <c r="AF171" s="225"/>
      <c r="AG171" s="225"/>
      <c r="AH171" s="225"/>
      <c r="AI171" s="225"/>
      <c r="AJ171" s="225"/>
      <c r="AK171" s="65">
        <f t="shared" si="10"/>
        <v>0</v>
      </c>
      <c r="AL171" s="73">
        <f t="shared" si="11"/>
        <v>0</v>
      </c>
      <c r="AM171" s="14">
        <f t="shared" si="12"/>
        <v>0</v>
      </c>
      <c r="AN171" s="89"/>
      <c r="AS171" s="65">
        <v>0</v>
      </c>
    </row>
    <row r="172" spans="1:45" ht="15" customHeight="1" outlineLevel="1">
      <c r="A172" s="12"/>
      <c r="I172" s="137" t="s">
        <v>183</v>
      </c>
      <c r="J172" s="225">
        <v>0</v>
      </c>
      <c r="K172" s="225">
        <v>0</v>
      </c>
      <c r="L172" s="225">
        <v>0</v>
      </c>
      <c r="M172" s="225">
        <v>0</v>
      </c>
      <c r="N172" s="225">
        <v>0</v>
      </c>
      <c r="O172" s="225">
        <v>0</v>
      </c>
      <c r="P172" s="225">
        <v>0</v>
      </c>
      <c r="Q172" s="225">
        <v>0</v>
      </c>
      <c r="R172" s="225">
        <v>0</v>
      </c>
      <c r="S172" s="225">
        <v>0</v>
      </c>
      <c r="T172" s="225"/>
      <c r="U172" s="225"/>
      <c r="V172" s="226">
        <f>SUM(J172:U172)</f>
        <v>0</v>
      </c>
      <c r="W172" s="73">
        <f>V172/V$6</f>
        <v>0</v>
      </c>
      <c r="X172" s="89"/>
      <c r="Y172" s="225"/>
      <c r="Z172" s="225"/>
      <c r="AA172" s="225"/>
      <c r="AB172" s="225"/>
      <c r="AC172" s="225"/>
      <c r="AD172" s="225"/>
      <c r="AE172" s="225"/>
      <c r="AF172" s="225"/>
      <c r="AG172" s="225"/>
      <c r="AH172" s="225"/>
      <c r="AI172" s="225"/>
      <c r="AJ172" s="225"/>
      <c r="AK172" s="65">
        <f t="shared" si="10"/>
        <v>0</v>
      </c>
      <c r="AL172" s="73">
        <f t="shared" si="11"/>
        <v>0</v>
      </c>
      <c r="AM172" s="14">
        <f t="shared" si="12"/>
        <v>0</v>
      </c>
      <c r="AN172" s="89"/>
      <c r="AS172" s="65">
        <v>0</v>
      </c>
    </row>
    <row r="173" spans="1:45" ht="15" customHeight="1" outlineLevel="1">
      <c r="A173" s="12"/>
      <c r="I173" s="137" t="s">
        <v>192</v>
      </c>
      <c r="J173" s="225">
        <v>0</v>
      </c>
      <c r="K173" s="225">
        <v>0</v>
      </c>
      <c r="L173" s="225">
        <v>0</v>
      </c>
      <c r="M173" s="225">
        <v>0</v>
      </c>
      <c r="N173" s="225">
        <v>0</v>
      </c>
      <c r="O173" s="225">
        <v>0</v>
      </c>
      <c r="P173" s="225">
        <v>0</v>
      </c>
      <c r="Q173" s="225">
        <v>0</v>
      </c>
      <c r="R173" s="225">
        <v>0</v>
      </c>
      <c r="S173" s="225">
        <v>0</v>
      </c>
      <c r="T173" s="225"/>
      <c r="U173" s="225"/>
      <c r="V173" s="226">
        <f>SUM(J173:U173)</f>
        <v>0</v>
      </c>
      <c r="W173" s="73">
        <f>V173/V$6</f>
        <v>0</v>
      </c>
      <c r="X173" s="89"/>
      <c r="Y173" s="225"/>
      <c r="Z173" s="225"/>
      <c r="AA173" s="225"/>
      <c r="AB173" s="225"/>
      <c r="AC173" s="225"/>
      <c r="AD173" s="225"/>
      <c r="AE173" s="225"/>
      <c r="AF173" s="225"/>
      <c r="AG173" s="225"/>
      <c r="AH173" s="225"/>
      <c r="AI173" s="225"/>
      <c r="AJ173" s="225"/>
      <c r="AK173" s="65">
        <f t="shared" si="10"/>
        <v>0</v>
      </c>
      <c r="AL173" s="73">
        <f t="shared" si="11"/>
        <v>0</v>
      </c>
      <c r="AM173" s="14">
        <f t="shared" si="12"/>
        <v>0</v>
      </c>
      <c r="AN173" s="89"/>
      <c r="AS173" s="65">
        <v>0</v>
      </c>
    </row>
    <row r="174" spans="1:45" ht="15" customHeight="1" outlineLevel="1">
      <c r="A174" s="12"/>
      <c r="I174" s="137" t="s">
        <v>371</v>
      </c>
      <c r="J174" s="225">
        <v>0</v>
      </c>
      <c r="K174" s="225">
        <v>0</v>
      </c>
      <c r="L174" s="225">
        <v>0</v>
      </c>
      <c r="M174" s="225">
        <v>0</v>
      </c>
      <c r="N174" s="225">
        <v>0</v>
      </c>
      <c r="O174" s="225">
        <v>0</v>
      </c>
      <c r="P174" s="225">
        <v>0</v>
      </c>
      <c r="Q174" s="225">
        <v>0</v>
      </c>
      <c r="R174" s="225">
        <v>0</v>
      </c>
      <c r="S174" s="225">
        <v>0</v>
      </c>
      <c r="T174" s="225"/>
      <c r="U174" s="225"/>
      <c r="V174" s="226">
        <f>SUM(J174:U174)</f>
        <v>0</v>
      </c>
      <c r="W174" s="73">
        <f>V174/V$6</f>
        <v>0</v>
      </c>
      <c r="X174" s="89"/>
      <c r="Y174" s="225"/>
      <c r="Z174" s="225"/>
      <c r="AA174" s="225"/>
      <c r="AB174" s="225"/>
      <c r="AC174" s="225"/>
      <c r="AD174" s="225"/>
      <c r="AE174" s="225"/>
      <c r="AF174" s="225"/>
      <c r="AG174" s="225"/>
      <c r="AH174" s="225"/>
      <c r="AI174" s="225"/>
      <c r="AJ174" s="225"/>
      <c r="AK174" s="65">
        <f t="shared" si="10"/>
        <v>0</v>
      </c>
      <c r="AL174" s="73">
        <f t="shared" si="11"/>
        <v>0</v>
      </c>
      <c r="AM174" s="14">
        <f t="shared" si="12"/>
        <v>0</v>
      </c>
      <c r="AN174" s="89"/>
      <c r="AS174" s="65">
        <v>0</v>
      </c>
    </row>
    <row r="175" spans="1:45" ht="15" customHeight="1" outlineLevel="1">
      <c r="A175" s="12" t="s">
        <v>146</v>
      </c>
      <c r="B175" s="8" t="s">
        <v>370</v>
      </c>
      <c r="I175" s="137" t="s">
        <v>372</v>
      </c>
      <c r="J175" s="225">
        <v>0</v>
      </c>
      <c r="K175" s="225">
        <v>0</v>
      </c>
      <c r="L175" s="225">
        <v>0</v>
      </c>
      <c r="M175" s="225">
        <v>0</v>
      </c>
      <c r="N175" s="225">
        <v>0</v>
      </c>
      <c r="O175" s="225">
        <v>0</v>
      </c>
      <c r="P175" s="225">
        <v>0</v>
      </c>
      <c r="Q175" s="225">
        <v>0</v>
      </c>
      <c r="R175" s="225">
        <v>0</v>
      </c>
      <c r="S175" s="225">
        <v>0</v>
      </c>
      <c r="T175" s="225"/>
      <c r="U175" s="225"/>
      <c r="V175" s="226">
        <f t="shared" si="9"/>
        <v>0</v>
      </c>
      <c r="W175" s="73">
        <f t="shared" si="6"/>
        <v>0</v>
      </c>
      <c r="X175" s="89"/>
      <c r="Y175" s="225"/>
      <c r="Z175" s="225"/>
      <c r="AA175" s="225"/>
      <c r="AB175" s="225"/>
      <c r="AC175" s="225"/>
      <c r="AD175" s="225"/>
      <c r="AE175" s="225"/>
      <c r="AF175" s="225"/>
      <c r="AG175" s="225"/>
      <c r="AH175" s="225"/>
      <c r="AI175" s="225"/>
      <c r="AJ175" s="225"/>
      <c r="AK175" s="65">
        <f t="shared" si="10"/>
        <v>0</v>
      </c>
      <c r="AL175" s="73">
        <f t="shared" si="11"/>
        <v>0</v>
      </c>
      <c r="AM175" s="14">
        <f t="shared" si="12"/>
        <v>0</v>
      </c>
      <c r="AN175" s="89"/>
      <c r="AS175" s="65">
        <v>0</v>
      </c>
    </row>
    <row r="176" spans="1:45" ht="15" customHeight="1" outlineLevel="1">
      <c r="A176" s="12" t="s">
        <v>146</v>
      </c>
      <c r="B176" s="8" t="s">
        <v>370</v>
      </c>
      <c r="I176" s="137" t="s">
        <v>162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5"/>
      <c r="U176" s="225"/>
      <c r="V176" s="226">
        <f t="shared" si="9"/>
        <v>0</v>
      </c>
      <c r="W176" s="73">
        <f t="shared" si="6"/>
        <v>0</v>
      </c>
      <c r="X176" s="89"/>
      <c r="Y176" s="225"/>
      <c r="Z176" s="225"/>
      <c r="AA176" s="225"/>
      <c r="AB176" s="225"/>
      <c r="AC176" s="225"/>
      <c r="AD176" s="225"/>
      <c r="AE176" s="225"/>
      <c r="AF176" s="225"/>
      <c r="AG176" s="225"/>
      <c r="AH176" s="225"/>
      <c r="AI176" s="225"/>
      <c r="AJ176" s="225"/>
      <c r="AK176" s="65">
        <f t="shared" si="10"/>
        <v>0</v>
      </c>
      <c r="AL176" s="73">
        <f t="shared" si="11"/>
        <v>0</v>
      </c>
      <c r="AM176" s="14">
        <f t="shared" si="12"/>
        <v>0</v>
      </c>
      <c r="AN176" s="89"/>
      <c r="AS176" s="65">
        <v>0</v>
      </c>
    </row>
    <row r="177" spans="1:45" ht="15" customHeight="1" outlineLevel="1">
      <c r="A177" s="12" t="s">
        <v>146</v>
      </c>
      <c r="B177" s="8" t="s">
        <v>370</v>
      </c>
      <c r="I177" s="137" t="s">
        <v>161</v>
      </c>
      <c r="J177" s="225">
        <v>0</v>
      </c>
      <c r="K177" s="225">
        <v>0</v>
      </c>
      <c r="L177" s="225">
        <v>0</v>
      </c>
      <c r="M177" s="225">
        <v>0</v>
      </c>
      <c r="N177" s="225">
        <v>0</v>
      </c>
      <c r="O177" s="225">
        <v>0</v>
      </c>
      <c r="P177" s="225">
        <v>0</v>
      </c>
      <c r="Q177" s="225">
        <v>0</v>
      </c>
      <c r="R177" s="225">
        <v>0</v>
      </c>
      <c r="S177" s="225">
        <v>0</v>
      </c>
      <c r="T177" s="225"/>
      <c r="U177" s="225"/>
      <c r="V177" s="226">
        <f t="shared" si="9"/>
        <v>0</v>
      </c>
      <c r="W177" s="73">
        <f t="shared" si="6"/>
        <v>0</v>
      </c>
      <c r="X177" s="89"/>
      <c r="Y177" s="225"/>
      <c r="Z177" s="225"/>
      <c r="AA177" s="225"/>
      <c r="AB177" s="225"/>
      <c r="AC177" s="225"/>
      <c r="AD177" s="225"/>
      <c r="AE177" s="225"/>
      <c r="AF177" s="225"/>
      <c r="AG177" s="225"/>
      <c r="AH177" s="225"/>
      <c r="AI177" s="225"/>
      <c r="AJ177" s="225"/>
      <c r="AK177" s="65">
        <f t="shared" si="10"/>
        <v>0</v>
      </c>
      <c r="AL177" s="73">
        <f t="shared" si="11"/>
        <v>0</v>
      </c>
      <c r="AM177" s="14">
        <f t="shared" si="12"/>
        <v>0</v>
      </c>
      <c r="AN177" s="89"/>
      <c r="AS177" s="65">
        <v>0</v>
      </c>
    </row>
    <row r="178" spans="1:45" ht="15" customHeight="1" outlineLevel="1">
      <c r="A178" s="12" t="s">
        <v>146</v>
      </c>
      <c r="B178" s="8" t="s">
        <v>370</v>
      </c>
      <c r="I178" s="137" t="s">
        <v>188</v>
      </c>
      <c r="J178" s="225">
        <v>0</v>
      </c>
      <c r="K178" s="225">
        <v>0</v>
      </c>
      <c r="L178" s="225">
        <v>0</v>
      </c>
      <c r="M178" s="225">
        <v>0</v>
      </c>
      <c r="N178" s="225">
        <v>0</v>
      </c>
      <c r="O178" s="225">
        <v>0</v>
      </c>
      <c r="P178" s="225">
        <v>0</v>
      </c>
      <c r="Q178" s="225">
        <v>0</v>
      </c>
      <c r="R178" s="225">
        <v>0</v>
      </c>
      <c r="S178" s="225">
        <v>0</v>
      </c>
      <c r="T178" s="225"/>
      <c r="U178" s="225"/>
      <c r="V178" s="226">
        <f t="shared" si="9"/>
        <v>0</v>
      </c>
      <c r="W178" s="73">
        <f t="shared" si="6"/>
        <v>0</v>
      </c>
      <c r="X178" s="89"/>
      <c r="Y178" s="225"/>
      <c r="Z178" s="225"/>
      <c r="AA178" s="225"/>
      <c r="AB178" s="225"/>
      <c r="AC178" s="225"/>
      <c r="AD178" s="225"/>
      <c r="AE178" s="225"/>
      <c r="AF178" s="225"/>
      <c r="AG178" s="225"/>
      <c r="AH178" s="225"/>
      <c r="AI178" s="225"/>
      <c r="AJ178" s="225"/>
      <c r="AK178" s="65">
        <f t="shared" si="10"/>
        <v>0</v>
      </c>
      <c r="AL178" s="73">
        <f t="shared" si="11"/>
        <v>0</v>
      </c>
      <c r="AM178" s="14">
        <f t="shared" si="12"/>
        <v>0</v>
      </c>
      <c r="AN178" s="89"/>
      <c r="AS178" s="65">
        <v>0</v>
      </c>
    </row>
    <row r="179" spans="1:45" ht="15" customHeight="1" outlineLevel="1">
      <c r="A179" s="12" t="s">
        <v>146</v>
      </c>
      <c r="B179" s="8" t="s">
        <v>370</v>
      </c>
      <c r="I179" s="137" t="s">
        <v>277</v>
      </c>
      <c r="J179" s="225">
        <v>0</v>
      </c>
      <c r="K179" s="225">
        <v>0</v>
      </c>
      <c r="L179" s="225">
        <v>100000</v>
      </c>
      <c r="M179" s="225">
        <v>-100000</v>
      </c>
      <c r="N179" s="225">
        <v>0</v>
      </c>
      <c r="O179" s="225">
        <v>0</v>
      </c>
      <c r="P179" s="225">
        <v>0</v>
      </c>
      <c r="Q179" s="225">
        <v>0</v>
      </c>
      <c r="R179" s="225">
        <v>0</v>
      </c>
      <c r="S179" s="225">
        <v>0</v>
      </c>
      <c r="T179" s="225"/>
      <c r="U179" s="225"/>
      <c r="V179" s="226">
        <f t="shared" si="9"/>
        <v>0</v>
      </c>
      <c r="W179" s="73">
        <f t="shared" si="6"/>
        <v>0</v>
      </c>
      <c r="X179" s="89"/>
      <c r="Y179" s="225"/>
      <c r="Z179" s="225"/>
      <c r="AA179" s="225"/>
      <c r="AB179" s="225"/>
      <c r="AC179" s="225"/>
      <c r="AD179" s="225"/>
      <c r="AE179" s="225"/>
      <c r="AF179" s="225"/>
      <c r="AG179" s="225"/>
      <c r="AH179" s="225"/>
      <c r="AI179" s="225"/>
      <c r="AJ179" s="225"/>
      <c r="AK179" s="65">
        <f t="shared" si="10"/>
        <v>0</v>
      </c>
      <c r="AL179" s="73">
        <f t="shared" si="11"/>
        <v>0</v>
      </c>
      <c r="AM179" s="14">
        <f t="shared" si="12"/>
        <v>0</v>
      </c>
      <c r="AN179" s="89"/>
      <c r="AS179" s="65">
        <v>0</v>
      </c>
    </row>
    <row r="180" spans="1:45" ht="15" customHeight="1" outlineLevel="1">
      <c r="A180" s="12" t="s">
        <v>146</v>
      </c>
      <c r="B180" s="8" t="s">
        <v>370</v>
      </c>
      <c r="I180" s="137" t="s">
        <v>278</v>
      </c>
      <c r="J180" s="225">
        <v>0</v>
      </c>
      <c r="K180" s="225">
        <v>0</v>
      </c>
      <c r="L180" s="225">
        <v>0</v>
      </c>
      <c r="M180" s="225">
        <v>0</v>
      </c>
      <c r="N180" s="225">
        <v>0</v>
      </c>
      <c r="O180" s="225">
        <v>15000</v>
      </c>
      <c r="P180" s="225">
        <v>0</v>
      </c>
      <c r="Q180" s="225">
        <v>0</v>
      </c>
      <c r="R180" s="225">
        <v>0</v>
      </c>
      <c r="S180" s="225">
        <v>0</v>
      </c>
      <c r="T180" s="225"/>
      <c r="U180" s="225"/>
      <c r="V180" s="226">
        <f t="shared" si="9"/>
        <v>15000</v>
      </c>
      <c r="W180" s="73">
        <f t="shared" si="6"/>
        <v>1.6738009807038677E-5</v>
      </c>
      <c r="X180" s="89"/>
      <c r="Y180" s="225">
        <v>1500</v>
      </c>
      <c r="Z180" s="225">
        <v>1500</v>
      </c>
      <c r="AA180" s="225">
        <v>1500</v>
      </c>
      <c r="AB180" s="225">
        <v>1500</v>
      </c>
      <c r="AC180" s="225">
        <v>1500</v>
      </c>
      <c r="AD180" s="225">
        <v>1500</v>
      </c>
      <c r="AE180" s="225">
        <v>1500</v>
      </c>
      <c r="AF180" s="225">
        <v>1500</v>
      </c>
      <c r="AG180" s="225">
        <v>1500</v>
      </c>
      <c r="AH180" s="225">
        <v>1500</v>
      </c>
      <c r="AI180" s="225">
        <v>1500</v>
      </c>
      <c r="AJ180" s="225">
        <v>1500</v>
      </c>
      <c r="AK180" s="65">
        <f t="shared" si="10"/>
        <v>18000</v>
      </c>
      <c r="AL180" s="73">
        <f t="shared" si="11"/>
        <v>1.8688129070751809E-5</v>
      </c>
      <c r="AM180" s="14">
        <f t="shared" si="12"/>
        <v>0.19999999999999996</v>
      </c>
      <c r="AN180" s="89"/>
      <c r="AS180" s="65">
        <v>18000</v>
      </c>
    </row>
    <row r="181" spans="1:45" ht="15" customHeight="1" outlineLevel="1">
      <c r="A181" s="12" t="s">
        <v>146</v>
      </c>
      <c r="B181" s="8" t="s">
        <v>370</v>
      </c>
      <c r="I181" s="137" t="s">
        <v>187</v>
      </c>
      <c r="J181" s="225">
        <v>0</v>
      </c>
      <c r="K181" s="225">
        <v>0</v>
      </c>
      <c r="L181" s="225">
        <v>0</v>
      </c>
      <c r="M181" s="225">
        <v>0</v>
      </c>
      <c r="N181" s="225">
        <v>0</v>
      </c>
      <c r="O181" s="225">
        <v>0</v>
      </c>
      <c r="P181" s="225">
        <v>0</v>
      </c>
      <c r="Q181" s="225">
        <v>0</v>
      </c>
      <c r="R181" s="225">
        <v>0</v>
      </c>
      <c r="S181" s="225">
        <v>0</v>
      </c>
      <c r="T181" s="225"/>
      <c r="U181" s="225"/>
      <c r="V181" s="226">
        <f t="shared" si="9"/>
        <v>0</v>
      </c>
      <c r="W181" s="73">
        <f t="shared" si="6"/>
        <v>0</v>
      </c>
      <c r="X181" s="89"/>
      <c r="Y181" s="225"/>
      <c r="Z181" s="225"/>
      <c r="AA181" s="225"/>
      <c r="AB181" s="225"/>
      <c r="AC181" s="225"/>
      <c r="AD181" s="225"/>
      <c r="AE181" s="225"/>
      <c r="AF181" s="225"/>
      <c r="AG181" s="225"/>
      <c r="AH181" s="225"/>
      <c r="AI181" s="225"/>
      <c r="AJ181" s="225"/>
      <c r="AK181" s="65">
        <f t="shared" si="10"/>
        <v>0</v>
      </c>
      <c r="AL181" s="73">
        <f t="shared" si="11"/>
        <v>0</v>
      </c>
      <c r="AM181" s="14">
        <f t="shared" si="12"/>
        <v>0</v>
      </c>
      <c r="AN181" s="89"/>
      <c r="AS181" s="65">
        <v>0</v>
      </c>
    </row>
    <row r="182" spans="1:45" ht="15" customHeight="1" outlineLevel="1">
      <c r="A182" s="12" t="s">
        <v>146</v>
      </c>
      <c r="B182" s="8" t="s">
        <v>370</v>
      </c>
      <c r="I182" s="137" t="s">
        <v>279</v>
      </c>
      <c r="J182" s="225">
        <v>0</v>
      </c>
      <c r="K182" s="225">
        <v>0</v>
      </c>
      <c r="L182" s="225">
        <v>0</v>
      </c>
      <c r="M182" s="225">
        <v>0</v>
      </c>
      <c r="N182" s="225">
        <v>0</v>
      </c>
      <c r="O182" s="225">
        <v>0</v>
      </c>
      <c r="P182" s="225">
        <v>0</v>
      </c>
      <c r="Q182" s="225">
        <v>0</v>
      </c>
      <c r="R182" s="225">
        <v>0</v>
      </c>
      <c r="S182" s="225">
        <v>0</v>
      </c>
      <c r="T182" s="225"/>
      <c r="U182" s="225"/>
      <c r="V182" s="226">
        <f t="shared" si="9"/>
        <v>0</v>
      </c>
      <c r="W182" s="73">
        <f t="shared" si="6"/>
        <v>0</v>
      </c>
      <c r="X182" s="89"/>
      <c r="Y182" s="225"/>
      <c r="Z182" s="225"/>
      <c r="AA182" s="225"/>
      <c r="AB182" s="225"/>
      <c r="AC182" s="225"/>
      <c r="AD182" s="225"/>
      <c r="AE182" s="225"/>
      <c r="AF182" s="225"/>
      <c r="AG182" s="225"/>
      <c r="AH182" s="225"/>
      <c r="AI182" s="225"/>
      <c r="AJ182" s="225"/>
      <c r="AK182" s="65">
        <f t="shared" si="10"/>
        <v>0</v>
      </c>
      <c r="AL182" s="73">
        <f t="shared" si="11"/>
        <v>0</v>
      </c>
      <c r="AM182" s="14">
        <f t="shared" si="12"/>
        <v>0</v>
      </c>
      <c r="AN182" s="89"/>
      <c r="AS182" s="65">
        <v>0</v>
      </c>
    </row>
    <row r="183" spans="1:45" ht="15" customHeight="1" outlineLevel="1">
      <c r="A183" s="12" t="s">
        <v>146</v>
      </c>
      <c r="B183" s="8" t="s">
        <v>370</v>
      </c>
      <c r="I183" s="137" t="s">
        <v>164</v>
      </c>
      <c r="J183" s="225">
        <v>0</v>
      </c>
      <c r="K183" s="225">
        <v>0</v>
      </c>
      <c r="L183" s="225">
        <v>0</v>
      </c>
      <c r="M183" s="225">
        <v>0</v>
      </c>
      <c r="N183" s="225">
        <v>28895</v>
      </c>
      <c r="O183" s="225">
        <v>0</v>
      </c>
      <c r="P183" s="225">
        <v>0</v>
      </c>
      <c r="Q183" s="225">
        <v>-2604</v>
      </c>
      <c r="R183" s="225">
        <v>0</v>
      </c>
      <c r="S183" s="225">
        <v>15244</v>
      </c>
      <c r="T183" s="225"/>
      <c r="U183" s="225"/>
      <c r="V183" s="226">
        <f t="shared" si="9"/>
        <v>41535</v>
      </c>
      <c r="W183" s="73">
        <f t="shared" si="6"/>
        <v>4.6347549155690094E-5</v>
      </c>
      <c r="X183" s="89"/>
      <c r="Y183" s="225"/>
      <c r="Z183" s="225"/>
      <c r="AA183" s="225"/>
      <c r="AB183" s="225"/>
      <c r="AC183" s="225"/>
      <c r="AD183" s="225"/>
      <c r="AE183" s="225"/>
      <c r="AF183" s="225"/>
      <c r="AG183" s="225"/>
      <c r="AH183" s="225"/>
      <c r="AI183" s="225"/>
      <c r="AJ183" s="225"/>
      <c r="AK183" s="65">
        <f t="shared" si="10"/>
        <v>0</v>
      </c>
      <c r="AL183" s="73">
        <f t="shared" si="11"/>
        <v>0</v>
      </c>
      <c r="AM183" s="14">
        <f t="shared" si="12"/>
        <v>-1</v>
      </c>
      <c r="AN183" s="89"/>
      <c r="AS183" s="65">
        <v>0</v>
      </c>
    </row>
    <row r="184" spans="1:45" ht="15" customHeight="1" outlineLevel="1">
      <c r="A184" s="12" t="s">
        <v>146</v>
      </c>
      <c r="B184" s="8" t="s">
        <v>370</v>
      </c>
      <c r="I184" s="137" t="s">
        <v>182</v>
      </c>
      <c r="J184" s="225">
        <v>0</v>
      </c>
      <c r="K184" s="225">
        <v>0</v>
      </c>
      <c r="L184" s="225">
        <v>0</v>
      </c>
      <c r="M184" s="225">
        <v>0</v>
      </c>
      <c r="N184" s="225">
        <v>0</v>
      </c>
      <c r="O184" s="225">
        <v>0</v>
      </c>
      <c r="P184" s="225">
        <v>0</v>
      </c>
      <c r="Q184" s="225">
        <v>0</v>
      </c>
      <c r="R184" s="225">
        <v>0</v>
      </c>
      <c r="S184" s="225">
        <v>0</v>
      </c>
      <c r="T184" s="225"/>
      <c r="U184" s="225"/>
      <c r="V184" s="226">
        <f t="shared" si="9"/>
        <v>0</v>
      </c>
      <c r="W184" s="73">
        <f t="shared" si="6"/>
        <v>0</v>
      </c>
      <c r="X184" s="89"/>
      <c r="Y184" s="225"/>
      <c r="Z184" s="225"/>
      <c r="AA184" s="225"/>
      <c r="AB184" s="225"/>
      <c r="AC184" s="225"/>
      <c r="AD184" s="225"/>
      <c r="AE184" s="225"/>
      <c r="AF184" s="225"/>
      <c r="AG184" s="225"/>
      <c r="AH184" s="225"/>
      <c r="AI184" s="225"/>
      <c r="AJ184" s="225"/>
      <c r="AK184" s="65">
        <f t="shared" si="10"/>
        <v>0</v>
      </c>
      <c r="AL184" s="73">
        <f t="shared" si="11"/>
        <v>0</v>
      </c>
      <c r="AM184" s="14">
        <f t="shared" si="12"/>
        <v>0</v>
      </c>
      <c r="AN184" s="89"/>
      <c r="AS184" s="65">
        <v>0</v>
      </c>
    </row>
    <row r="185" spans="1:45" ht="15" customHeight="1" outlineLevel="1">
      <c r="A185" s="12" t="s">
        <v>146</v>
      </c>
      <c r="B185" s="8" t="s">
        <v>370</v>
      </c>
      <c r="I185" s="137" t="s">
        <v>280</v>
      </c>
      <c r="J185" s="225">
        <v>0</v>
      </c>
      <c r="K185" s="225">
        <v>0</v>
      </c>
      <c r="L185" s="225">
        <v>0</v>
      </c>
      <c r="M185" s="225">
        <v>0</v>
      </c>
      <c r="N185" s="225">
        <v>0</v>
      </c>
      <c r="O185" s="225">
        <v>0</v>
      </c>
      <c r="P185" s="225">
        <v>0</v>
      </c>
      <c r="Q185" s="225">
        <v>0</v>
      </c>
      <c r="R185" s="225">
        <v>0</v>
      </c>
      <c r="S185" s="225">
        <v>0</v>
      </c>
      <c r="T185" s="225"/>
      <c r="U185" s="225"/>
      <c r="V185" s="226">
        <f t="shared" si="9"/>
        <v>0</v>
      </c>
      <c r="W185" s="73">
        <f t="shared" si="6"/>
        <v>0</v>
      </c>
      <c r="X185" s="89"/>
      <c r="Y185" s="225"/>
      <c r="Z185" s="225"/>
      <c r="AA185" s="225"/>
      <c r="AB185" s="225"/>
      <c r="AC185" s="225"/>
      <c r="AD185" s="225"/>
      <c r="AE185" s="225"/>
      <c r="AF185" s="225"/>
      <c r="AG185" s="225"/>
      <c r="AH185" s="225"/>
      <c r="AI185" s="225"/>
      <c r="AJ185" s="225"/>
      <c r="AK185" s="65">
        <f t="shared" si="10"/>
        <v>0</v>
      </c>
      <c r="AL185" s="73">
        <f t="shared" si="11"/>
        <v>0</v>
      </c>
      <c r="AM185" s="14">
        <f t="shared" si="12"/>
        <v>0</v>
      </c>
      <c r="AN185" s="89"/>
      <c r="AS185" s="65">
        <v>0</v>
      </c>
    </row>
    <row r="186" spans="1:45" ht="15" customHeight="1" outlineLevel="1">
      <c r="A186" s="12" t="s">
        <v>146</v>
      </c>
      <c r="B186" s="8" t="s">
        <v>370</v>
      </c>
      <c r="I186" s="137" t="s">
        <v>148</v>
      </c>
      <c r="J186" s="225">
        <v>0</v>
      </c>
      <c r="K186" s="225">
        <v>0</v>
      </c>
      <c r="L186" s="225">
        <v>0</v>
      </c>
      <c r="M186" s="225">
        <v>0</v>
      </c>
      <c r="N186" s="225">
        <v>0</v>
      </c>
      <c r="O186" s="225">
        <v>0</v>
      </c>
      <c r="P186" s="225">
        <v>0</v>
      </c>
      <c r="Q186" s="225">
        <v>0</v>
      </c>
      <c r="R186" s="225">
        <v>0</v>
      </c>
      <c r="S186" s="225">
        <v>0</v>
      </c>
      <c r="T186" s="225"/>
      <c r="U186" s="225"/>
      <c r="V186" s="226">
        <f t="shared" si="9"/>
        <v>0</v>
      </c>
      <c r="W186" s="73">
        <f t="shared" si="6"/>
        <v>0</v>
      </c>
      <c r="X186" s="89"/>
      <c r="Y186" s="225"/>
      <c r="Z186" s="225"/>
      <c r="AA186" s="225"/>
      <c r="AB186" s="225"/>
      <c r="AC186" s="225"/>
      <c r="AD186" s="225"/>
      <c r="AE186" s="225"/>
      <c r="AF186" s="225"/>
      <c r="AG186" s="225"/>
      <c r="AH186" s="225"/>
      <c r="AI186" s="225"/>
      <c r="AJ186" s="225"/>
      <c r="AK186" s="65">
        <f t="shared" si="10"/>
        <v>0</v>
      </c>
      <c r="AL186" s="73">
        <f t="shared" si="11"/>
        <v>0</v>
      </c>
      <c r="AM186" s="14">
        <f t="shared" si="12"/>
        <v>0</v>
      </c>
      <c r="AN186" s="89"/>
      <c r="AS186" s="65">
        <v>0</v>
      </c>
    </row>
    <row r="187" spans="1:45" ht="15" customHeight="1" outlineLevel="1">
      <c r="A187" s="12" t="s">
        <v>146</v>
      </c>
      <c r="B187" s="8" t="s">
        <v>370</v>
      </c>
      <c r="I187" s="137" t="s">
        <v>185</v>
      </c>
      <c r="J187" s="225">
        <v>0</v>
      </c>
      <c r="K187" s="225">
        <v>0</v>
      </c>
      <c r="L187" s="225">
        <v>0</v>
      </c>
      <c r="M187" s="225">
        <v>0</v>
      </c>
      <c r="N187" s="225">
        <v>0</v>
      </c>
      <c r="O187" s="225">
        <v>0</v>
      </c>
      <c r="P187" s="225">
        <v>0</v>
      </c>
      <c r="Q187" s="225">
        <v>0</v>
      </c>
      <c r="R187" s="225">
        <v>0</v>
      </c>
      <c r="S187" s="225">
        <v>0</v>
      </c>
      <c r="T187" s="225"/>
      <c r="U187" s="225"/>
      <c r="V187" s="226">
        <f t="shared" si="9"/>
        <v>0</v>
      </c>
      <c r="W187" s="73">
        <f t="shared" si="6"/>
        <v>0</v>
      </c>
      <c r="X187" s="89"/>
      <c r="Y187" s="225"/>
      <c r="Z187" s="225"/>
      <c r="AA187" s="225"/>
      <c r="AB187" s="225"/>
      <c r="AC187" s="225"/>
      <c r="AD187" s="225"/>
      <c r="AE187" s="225"/>
      <c r="AF187" s="225"/>
      <c r="AG187" s="225"/>
      <c r="AH187" s="225"/>
      <c r="AI187" s="225"/>
      <c r="AJ187" s="225"/>
      <c r="AK187" s="65">
        <f t="shared" si="10"/>
        <v>0</v>
      </c>
      <c r="AL187" s="73">
        <f t="shared" si="11"/>
        <v>0</v>
      </c>
      <c r="AM187" s="14">
        <f t="shared" si="12"/>
        <v>0</v>
      </c>
      <c r="AN187" s="89"/>
      <c r="AS187" s="65">
        <v>0</v>
      </c>
    </row>
    <row r="188" spans="1:45" ht="15" customHeight="1" outlineLevel="1">
      <c r="A188" s="12" t="s">
        <v>146</v>
      </c>
      <c r="B188" s="8" t="s">
        <v>370</v>
      </c>
      <c r="C188" s="19"/>
      <c r="I188" s="137" t="s">
        <v>184</v>
      </c>
      <c r="J188" s="225">
        <v>0</v>
      </c>
      <c r="K188" s="225">
        <v>0</v>
      </c>
      <c r="L188" s="225">
        <v>0</v>
      </c>
      <c r="M188" s="225">
        <v>0</v>
      </c>
      <c r="N188" s="225">
        <v>0</v>
      </c>
      <c r="O188" s="225">
        <v>0</v>
      </c>
      <c r="P188" s="225">
        <v>0</v>
      </c>
      <c r="Q188" s="225">
        <v>2604</v>
      </c>
      <c r="R188" s="225">
        <v>0</v>
      </c>
      <c r="S188" s="225">
        <v>0</v>
      </c>
      <c r="T188" s="225"/>
      <c r="U188" s="225"/>
      <c r="V188" s="226">
        <f t="shared" si="9"/>
        <v>2604</v>
      </c>
      <c r="W188" s="73">
        <f t="shared" si="6"/>
        <v>2.905718502501914E-6</v>
      </c>
      <c r="X188" s="89"/>
      <c r="Y188" s="225"/>
      <c r="Z188" s="225"/>
      <c r="AA188" s="225"/>
      <c r="AB188" s="225"/>
      <c r="AC188" s="225"/>
      <c r="AD188" s="225"/>
      <c r="AE188" s="225"/>
      <c r="AF188" s="225"/>
      <c r="AG188" s="225"/>
      <c r="AH188" s="225"/>
      <c r="AI188" s="225"/>
      <c r="AJ188" s="225"/>
      <c r="AK188" s="65">
        <f t="shared" si="10"/>
        <v>0</v>
      </c>
      <c r="AL188" s="73">
        <f t="shared" si="11"/>
        <v>0</v>
      </c>
      <c r="AM188" s="14">
        <f t="shared" si="12"/>
        <v>-1</v>
      </c>
      <c r="AN188" s="89"/>
      <c r="AS188" s="65">
        <v>0</v>
      </c>
    </row>
    <row r="189" spans="1:45" ht="15" customHeight="1" outlineLevel="1">
      <c r="A189" s="12" t="s">
        <v>146</v>
      </c>
      <c r="B189" s="8" t="s">
        <v>370</v>
      </c>
      <c r="C189" s="19"/>
      <c r="I189" s="137" t="s">
        <v>172</v>
      </c>
      <c r="J189" s="225">
        <v>0</v>
      </c>
      <c r="K189" s="225">
        <v>0</v>
      </c>
      <c r="L189" s="225">
        <v>0</v>
      </c>
      <c r="M189" s="225">
        <v>0</v>
      </c>
      <c r="N189" s="225">
        <v>0</v>
      </c>
      <c r="O189" s="225">
        <v>0</v>
      </c>
      <c r="P189" s="225">
        <v>0</v>
      </c>
      <c r="Q189" s="225">
        <v>0</v>
      </c>
      <c r="R189" s="225">
        <v>0</v>
      </c>
      <c r="S189" s="225">
        <v>0</v>
      </c>
      <c r="T189" s="225"/>
      <c r="U189" s="225"/>
      <c r="V189" s="226">
        <f t="shared" si="9"/>
        <v>0</v>
      </c>
      <c r="W189" s="73">
        <f t="shared" si="6"/>
        <v>0</v>
      </c>
      <c r="X189" s="89"/>
      <c r="Y189" s="225"/>
      <c r="Z189" s="225"/>
      <c r="AA189" s="225"/>
      <c r="AB189" s="225"/>
      <c r="AC189" s="225"/>
      <c r="AD189" s="225"/>
      <c r="AE189" s="225"/>
      <c r="AF189" s="225"/>
      <c r="AG189" s="225"/>
      <c r="AH189" s="225"/>
      <c r="AI189" s="225"/>
      <c r="AJ189" s="225"/>
      <c r="AK189" s="65">
        <f t="shared" si="10"/>
        <v>0</v>
      </c>
      <c r="AL189" s="73">
        <f t="shared" si="11"/>
        <v>0</v>
      </c>
      <c r="AM189" s="14">
        <f t="shared" si="12"/>
        <v>0</v>
      </c>
      <c r="AN189" s="89"/>
      <c r="AS189" s="65">
        <v>0</v>
      </c>
    </row>
    <row r="190" spans="1:45" ht="15" customHeight="1" outlineLevel="1">
      <c r="A190" s="12" t="s">
        <v>146</v>
      </c>
      <c r="B190" s="8" t="s">
        <v>370</v>
      </c>
      <c r="C190" s="19" t="s">
        <v>360</v>
      </c>
      <c r="D190" s="12"/>
      <c r="E190" s="184"/>
      <c r="F190" s="12"/>
      <c r="G190" s="12"/>
      <c r="H190" s="12"/>
      <c r="I190" s="137" t="s">
        <v>158</v>
      </c>
      <c r="J190" s="225">
        <v>0</v>
      </c>
      <c r="K190" s="225">
        <v>0</v>
      </c>
      <c r="L190" s="225">
        <v>0</v>
      </c>
      <c r="M190" s="225">
        <v>0</v>
      </c>
      <c r="N190" s="225">
        <v>0</v>
      </c>
      <c r="O190" s="225">
        <v>0</v>
      </c>
      <c r="P190" s="225">
        <v>0</v>
      </c>
      <c r="Q190" s="225">
        <v>0</v>
      </c>
      <c r="R190" s="225">
        <v>0</v>
      </c>
      <c r="S190" s="225">
        <v>0</v>
      </c>
      <c r="T190" s="225"/>
      <c r="U190" s="225"/>
      <c r="V190" s="226">
        <f t="shared" si="9"/>
        <v>0</v>
      </c>
      <c r="W190" s="73">
        <f t="shared" si="6"/>
        <v>0</v>
      </c>
      <c r="X190" s="89"/>
      <c r="Y190" s="225"/>
      <c r="Z190" s="225"/>
      <c r="AA190" s="225"/>
      <c r="AB190" s="225"/>
      <c r="AC190" s="225"/>
      <c r="AD190" s="225"/>
      <c r="AE190" s="225"/>
      <c r="AF190" s="225"/>
      <c r="AG190" s="225"/>
      <c r="AH190" s="225"/>
      <c r="AI190" s="225"/>
      <c r="AJ190" s="225"/>
      <c r="AK190" s="65">
        <f t="shared" si="10"/>
        <v>0</v>
      </c>
      <c r="AL190" s="73">
        <f t="shared" si="11"/>
        <v>0</v>
      </c>
      <c r="AM190" s="14">
        <f t="shared" si="12"/>
        <v>0</v>
      </c>
      <c r="AN190" s="89"/>
      <c r="AS190" s="65">
        <v>0</v>
      </c>
    </row>
    <row r="191" spans="1:45" ht="15" customHeight="1" outlineLevel="1">
      <c r="A191" s="12" t="s">
        <v>146</v>
      </c>
      <c r="B191" s="8" t="s">
        <v>370</v>
      </c>
      <c r="I191" s="137" t="s">
        <v>170</v>
      </c>
      <c r="J191" s="225">
        <v>0</v>
      </c>
      <c r="K191" s="225">
        <v>0</v>
      </c>
      <c r="L191" s="225">
        <v>0</v>
      </c>
      <c r="M191" s="225">
        <v>0</v>
      </c>
      <c r="N191" s="225">
        <v>0</v>
      </c>
      <c r="O191" s="225">
        <v>0</v>
      </c>
      <c r="P191" s="225">
        <v>0</v>
      </c>
      <c r="Q191" s="225">
        <v>0</v>
      </c>
      <c r="R191" s="225">
        <v>0</v>
      </c>
      <c r="S191" s="225">
        <v>0</v>
      </c>
      <c r="T191" s="225"/>
      <c r="U191" s="225"/>
      <c r="V191" s="226">
        <f t="shared" si="9"/>
        <v>0</v>
      </c>
      <c r="W191" s="73">
        <f t="shared" si="6"/>
        <v>0</v>
      </c>
      <c r="X191" s="89"/>
      <c r="Y191" s="225"/>
      <c r="Z191" s="225"/>
      <c r="AA191" s="225"/>
      <c r="AB191" s="225"/>
      <c r="AC191" s="225"/>
      <c r="AD191" s="225"/>
      <c r="AE191" s="225"/>
      <c r="AF191" s="225"/>
      <c r="AG191" s="225"/>
      <c r="AH191" s="225"/>
      <c r="AI191" s="225"/>
      <c r="AJ191" s="225"/>
      <c r="AK191" s="65">
        <f t="shared" si="10"/>
        <v>0</v>
      </c>
      <c r="AL191" s="73">
        <f t="shared" si="11"/>
        <v>0</v>
      </c>
      <c r="AM191" s="14">
        <f t="shared" si="12"/>
        <v>0</v>
      </c>
      <c r="AN191" s="89"/>
      <c r="AS191" s="65">
        <v>0</v>
      </c>
    </row>
    <row r="192" spans="1:45" ht="15" customHeight="1" outlineLevel="1">
      <c r="A192" s="12" t="s">
        <v>146</v>
      </c>
      <c r="B192" s="8" t="s">
        <v>370</v>
      </c>
      <c r="I192" s="137" t="s">
        <v>179</v>
      </c>
      <c r="J192" s="225">
        <v>0</v>
      </c>
      <c r="K192" s="225">
        <v>0</v>
      </c>
      <c r="L192" s="225">
        <v>0</v>
      </c>
      <c r="M192" s="225">
        <v>0</v>
      </c>
      <c r="N192" s="225">
        <v>0</v>
      </c>
      <c r="O192" s="225">
        <v>0</v>
      </c>
      <c r="P192" s="225">
        <v>0</v>
      </c>
      <c r="Q192" s="225">
        <v>0</v>
      </c>
      <c r="R192" s="225">
        <v>0</v>
      </c>
      <c r="S192" s="225">
        <v>0</v>
      </c>
      <c r="T192" s="225"/>
      <c r="U192" s="225"/>
      <c r="V192" s="226">
        <f t="shared" si="9"/>
        <v>0</v>
      </c>
      <c r="W192" s="73">
        <f t="shared" si="6"/>
        <v>0</v>
      </c>
      <c r="X192" s="89"/>
      <c r="Y192" s="225"/>
      <c r="Z192" s="225"/>
      <c r="AA192" s="225"/>
      <c r="AB192" s="225"/>
      <c r="AC192" s="225"/>
      <c r="AD192" s="225"/>
      <c r="AE192" s="225"/>
      <c r="AF192" s="225"/>
      <c r="AG192" s="225"/>
      <c r="AH192" s="225"/>
      <c r="AI192" s="225"/>
      <c r="AJ192" s="225"/>
      <c r="AK192" s="65">
        <f t="shared" si="10"/>
        <v>0</v>
      </c>
      <c r="AL192" s="73">
        <f t="shared" si="11"/>
        <v>0</v>
      </c>
      <c r="AM192" s="14">
        <f t="shared" si="12"/>
        <v>0</v>
      </c>
      <c r="AN192" s="89"/>
      <c r="AS192" s="65">
        <v>0</v>
      </c>
    </row>
    <row r="193" spans="1:45" ht="15" customHeight="1" outlineLevel="1">
      <c r="A193" s="12" t="s">
        <v>146</v>
      </c>
      <c r="B193" s="8" t="s">
        <v>370</v>
      </c>
      <c r="I193" s="137" t="s">
        <v>178</v>
      </c>
      <c r="J193" s="225">
        <v>0</v>
      </c>
      <c r="K193" s="225">
        <v>0</v>
      </c>
      <c r="L193" s="225">
        <v>0</v>
      </c>
      <c r="M193" s="225">
        <v>0</v>
      </c>
      <c r="N193" s="225">
        <v>0</v>
      </c>
      <c r="O193" s="225">
        <v>0</v>
      </c>
      <c r="P193" s="225">
        <v>0</v>
      </c>
      <c r="Q193" s="225">
        <v>0</v>
      </c>
      <c r="R193" s="225">
        <v>0</v>
      </c>
      <c r="S193" s="225">
        <v>0</v>
      </c>
      <c r="T193" s="225"/>
      <c r="U193" s="225"/>
      <c r="V193" s="226">
        <f t="shared" si="9"/>
        <v>0</v>
      </c>
      <c r="W193" s="73">
        <f t="shared" si="6"/>
        <v>0</v>
      </c>
      <c r="X193" s="89"/>
      <c r="Y193" s="225"/>
      <c r="Z193" s="225"/>
      <c r="AA193" s="225"/>
      <c r="AB193" s="225"/>
      <c r="AC193" s="225"/>
      <c r="AD193" s="225"/>
      <c r="AE193" s="225"/>
      <c r="AF193" s="225"/>
      <c r="AG193" s="225"/>
      <c r="AH193" s="225"/>
      <c r="AI193" s="225"/>
      <c r="AJ193" s="225"/>
      <c r="AK193" s="65">
        <f t="shared" si="10"/>
        <v>0</v>
      </c>
      <c r="AL193" s="73">
        <f t="shared" si="11"/>
        <v>0</v>
      </c>
      <c r="AM193" s="14">
        <f t="shared" si="12"/>
        <v>0</v>
      </c>
      <c r="AN193" s="89"/>
      <c r="AS193" s="65">
        <v>0</v>
      </c>
    </row>
    <row r="194" spans="1:45" ht="15" customHeight="1" outlineLevel="1">
      <c r="A194" s="12" t="s">
        <v>146</v>
      </c>
      <c r="B194" s="8" t="s">
        <v>370</v>
      </c>
      <c r="I194" s="137" t="s">
        <v>360</v>
      </c>
      <c r="J194" s="225">
        <v>0</v>
      </c>
      <c r="K194" s="225">
        <v>0</v>
      </c>
      <c r="L194" s="225">
        <v>0</v>
      </c>
      <c r="M194" s="225">
        <v>0</v>
      </c>
      <c r="N194" s="225">
        <v>0</v>
      </c>
      <c r="O194" s="225">
        <v>0</v>
      </c>
      <c r="P194" s="225">
        <v>0</v>
      </c>
      <c r="Q194" s="225">
        <v>0</v>
      </c>
      <c r="R194" s="225">
        <v>0</v>
      </c>
      <c r="S194" s="225">
        <v>0</v>
      </c>
      <c r="T194" s="225"/>
      <c r="U194" s="225"/>
      <c r="V194" s="226">
        <f t="shared" si="9"/>
        <v>0</v>
      </c>
      <c r="W194" s="73">
        <f t="shared" si="6"/>
        <v>0</v>
      </c>
      <c r="X194" s="89"/>
      <c r="Y194" s="225"/>
      <c r="Z194" s="225"/>
      <c r="AA194" s="225"/>
      <c r="AB194" s="225"/>
      <c r="AC194" s="225"/>
      <c r="AD194" s="225"/>
      <c r="AE194" s="225"/>
      <c r="AF194" s="225"/>
      <c r="AG194" s="225"/>
      <c r="AH194" s="225"/>
      <c r="AI194" s="225"/>
      <c r="AJ194" s="225"/>
      <c r="AK194" s="65">
        <f t="shared" si="10"/>
        <v>0</v>
      </c>
      <c r="AL194" s="73">
        <f t="shared" si="11"/>
        <v>0</v>
      </c>
      <c r="AM194" s="14">
        <f t="shared" si="12"/>
        <v>0</v>
      </c>
      <c r="AN194" s="89"/>
      <c r="AS194" s="65">
        <v>0</v>
      </c>
    </row>
    <row r="195" spans="1:45" ht="15" customHeight="1" outlineLevel="1">
      <c r="A195" s="12" t="s">
        <v>146</v>
      </c>
      <c r="B195" s="8" t="s">
        <v>370</v>
      </c>
      <c r="I195" s="137" t="s">
        <v>282</v>
      </c>
      <c r="J195" s="225">
        <v>0</v>
      </c>
      <c r="K195" s="225">
        <v>0</v>
      </c>
      <c r="L195" s="225">
        <v>0</v>
      </c>
      <c r="M195" s="225">
        <v>0</v>
      </c>
      <c r="N195" s="225">
        <v>0</v>
      </c>
      <c r="O195" s="225">
        <v>0</v>
      </c>
      <c r="P195" s="225">
        <v>0</v>
      </c>
      <c r="Q195" s="225">
        <v>0</v>
      </c>
      <c r="R195" s="225">
        <v>0</v>
      </c>
      <c r="S195" s="225">
        <v>0</v>
      </c>
      <c r="T195" s="225"/>
      <c r="U195" s="225"/>
      <c r="V195" s="226">
        <f t="shared" si="9"/>
        <v>0</v>
      </c>
      <c r="W195" s="73">
        <f t="shared" si="6"/>
        <v>0</v>
      </c>
      <c r="X195" s="89"/>
      <c r="Y195" s="225"/>
      <c r="Z195" s="225"/>
      <c r="AA195" s="225"/>
      <c r="AB195" s="225"/>
      <c r="AC195" s="225"/>
      <c r="AD195" s="225"/>
      <c r="AE195" s="225"/>
      <c r="AF195" s="225"/>
      <c r="AG195" s="225"/>
      <c r="AH195" s="225"/>
      <c r="AI195" s="225"/>
      <c r="AJ195" s="225"/>
      <c r="AK195" s="65">
        <f t="shared" si="10"/>
        <v>0</v>
      </c>
      <c r="AL195" s="73">
        <f t="shared" si="11"/>
        <v>0</v>
      </c>
      <c r="AM195" s="14">
        <f t="shared" si="12"/>
        <v>0</v>
      </c>
      <c r="AN195" s="89"/>
      <c r="AS195" s="65">
        <v>0</v>
      </c>
    </row>
    <row r="196" spans="1:45" ht="15" customHeight="1" outlineLevel="1">
      <c r="A196" s="12" t="s">
        <v>146</v>
      </c>
      <c r="B196" s="8" t="s">
        <v>370</v>
      </c>
      <c r="C196" s="8" t="s">
        <v>171</v>
      </c>
      <c r="I196" s="137" t="s">
        <v>283</v>
      </c>
      <c r="J196" s="225">
        <v>0</v>
      </c>
      <c r="K196" s="225">
        <v>0</v>
      </c>
      <c r="L196" s="225">
        <v>0</v>
      </c>
      <c r="M196" s="225">
        <v>0</v>
      </c>
      <c r="N196" s="225">
        <v>0</v>
      </c>
      <c r="O196" s="225">
        <v>0</v>
      </c>
      <c r="P196" s="225">
        <v>0</v>
      </c>
      <c r="Q196" s="225">
        <v>0</v>
      </c>
      <c r="R196" s="225">
        <v>0</v>
      </c>
      <c r="S196" s="225">
        <v>0</v>
      </c>
      <c r="T196" s="225"/>
      <c r="U196" s="225"/>
      <c r="V196" s="226">
        <f t="shared" si="9"/>
        <v>0</v>
      </c>
      <c r="W196" s="73">
        <f t="shared" si="6"/>
        <v>0</v>
      </c>
      <c r="X196" s="89"/>
      <c r="Y196" s="225"/>
      <c r="Z196" s="225"/>
      <c r="AA196" s="225"/>
      <c r="AB196" s="225"/>
      <c r="AC196" s="225"/>
      <c r="AD196" s="225"/>
      <c r="AE196" s="225"/>
      <c r="AF196" s="225"/>
      <c r="AG196" s="225"/>
      <c r="AH196" s="225"/>
      <c r="AI196" s="225"/>
      <c r="AJ196" s="225"/>
      <c r="AK196" s="65">
        <f t="shared" si="10"/>
        <v>0</v>
      </c>
      <c r="AL196" s="73">
        <f t="shared" si="11"/>
        <v>0</v>
      </c>
      <c r="AM196" s="14">
        <f t="shared" si="12"/>
        <v>0</v>
      </c>
      <c r="AN196" s="89"/>
      <c r="AS196" s="65">
        <v>0</v>
      </c>
    </row>
    <row r="197" spans="1:45" ht="15" customHeight="1" outlineLevel="1">
      <c r="A197" s="12" t="s">
        <v>146</v>
      </c>
      <c r="B197" s="8" t="s">
        <v>370</v>
      </c>
      <c r="I197" s="137" t="s">
        <v>284</v>
      </c>
      <c r="J197" s="225">
        <v>0</v>
      </c>
      <c r="K197" s="225">
        <v>0</v>
      </c>
      <c r="L197" s="225">
        <v>0</v>
      </c>
      <c r="M197" s="225">
        <v>0</v>
      </c>
      <c r="N197" s="225">
        <v>0</v>
      </c>
      <c r="O197" s="225">
        <v>0</v>
      </c>
      <c r="P197" s="225">
        <v>0</v>
      </c>
      <c r="Q197" s="225">
        <v>0</v>
      </c>
      <c r="R197" s="225">
        <v>0</v>
      </c>
      <c r="S197" s="225">
        <v>0</v>
      </c>
      <c r="T197" s="225"/>
      <c r="U197" s="225"/>
      <c r="V197" s="226">
        <f t="shared" si="9"/>
        <v>0</v>
      </c>
      <c r="W197" s="73">
        <f t="shared" si="6"/>
        <v>0</v>
      </c>
      <c r="X197" s="89"/>
      <c r="Y197" s="225"/>
      <c r="Z197" s="225"/>
      <c r="AA197" s="225"/>
      <c r="AB197" s="225"/>
      <c r="AC197" s="225"/>
      <c r="AD197" s="225"/>
      <c r="AE197" s="225"/>
      <c r="AF197" s="225"/>
      <c r="AG197" s="225"/>
      <c r="AH197" s="225"/>
      <c r="AI197" s="225"/>
      <c r="AJ197" s="225"/>
      <c r="AK197" s="65">
        <f t="shared" si="10"/>
        <v>0</v>
      </c>
      <c r="AL197" s="73">
        <f t="shared" si="11"/>
        <v>0</v>
      </c>
      <c r="AM197" s="14">
        <f t="shared" si="12"/>
        <v>0</v>
      </c>
      <c r="AN197" s="89"/>
      <c r="AS197" s="65">
        <v>0</v>
      </c>
    </row>
    <row r="198" spans="1:45" ht="15" customHeight="1" outlineLevel="1">
      <c r="A198" s="12" t="s">
        <v>146</v>
      </c>
      <c r="B198" s="8" t="s">
        <v>370</v>
      </c>
      <c r="I198" s="137" t="s">
        <v>285</v>
      </c>
      <c r="J198" s="225">
        <v>0</v>
      </c>
      <c r="K198" s="225">
        <v>0</v>
      </c>
      <c r="L198" s="225">
        <v>0</v>
      </c>
      <c r="M198" s="225">
        <v>0</v>
      </c>
      <c r="N198" s="225">
        <v>0</v>
      </c>
      <c r="O198" s="225">
        <v>0</v>
      </c>
      <c r="P198" s="225">
        <v>0</v>
      </c>
      <c r="Q198" s="225">
        <v>0</v>
      </c>
      <c r="R198" s="225">
        <v>0</v>
      </c>
      <c r="S198" s="225">
        <v>0</v>
      </c>
      <c r="T198" s="225"/>
      <c r="U198" s="225"/>
      <c r="V198" s="226">
        <f t="shared" si="9"/>
        <v>0</v>
      </c>
      <c r="W198" s="73">
        <f t="shared" si="6"/>
        <v>0</v>
      </c>
      <c r="X198" s="89"/>
      <c r="Y198" s="225"/>
      <c r="Z198" s="225"/>
      <c r="AA198" s="225"/>
      <c r="AB198" s="225"/>
      <c r="AC198" s="225"/>
      <c r="AD198" s="225"/>
      <c r="AE198" s="225"/>
      <c r="AF198" s="225"/>
      <c r="AG198" s="225"/>
      <c r="AH198" s="225"/>
      <c r="AI198" s="225"/>
      <c r="AJ198" s="225"/>
      <c r="AK198" s="65">
        <f t="shared" si="10"/>
        <v>0</v>
      </c>
      <c r="AL198" s="73">
        <f t="shared" si="11"/>
        <v>0</v>
      </c>
      <c r="AM198" s="14">
        <f t="shared" si="12"/>
        <v>0</v>
      </c>
      <c r="AN198" s="89"/>
      <c r="AS198" s="65">
        <v>0</v>
      </c>
    </row>
    <row r="199" spans="1:45" ht="15" customHeight="1" outlineLevel="1">
      <c r="A199" s="12" t="s">
        <v>146</v>
      </c>
      <c r="B199" s="8" t="s">
        <v>370</v>
      </c>
      <c r="I199" s="137" t="s">
        <v>190</v>
      </c>
      <c r="J199" s="225">
        <v>0</v>
      </c>
      <c r="K199" s="225">
        <v>0</v>
      </c>
      <c r="L199" s="225">
        <v>0</v>
      </c>
      <c r="M199" s="225">
        <v>0</v>
      </c>
      <c r="N199" s="225">
        <v>0</v>
      </c>
      <c r="O199" s="225">
        <v>0</v>
      </c>
      <c r="P199" s="225">
        <v>0</v>
      </c>
      <c r="Q199" s="225">
        <v>0</v>
      </c>
      <c r="R199" s="225">
        <v>0</v>
      </c>
      <c r="S199" s="225">
        <v>0</v>
      </c>
      <c r="T199" s="225"/>
      <c r="U199" s="225"/>
      <c r="V199" s="226">
        <f t="shared" si="9"/>
        <v>0</v>
      </c>
      <c r="W199" s="73">
        <f t="shared" si="6"/>
        <v>0</v>
      </c>
      <c r="X199" s="89"/>
      <c r="Y199" s="225"/>
      <c r="Z199" s="225"/>
      <c r="AA199" s="225"/>
      <c r="AB199" s="225"/>
      <c r="AC199" s="225"/>
      <c r="AD199" s="225"/>
      <c r="AE199" s="225"/>
      <c r="AF199" s="225"/>
      <c r="AG199" s="225"/>
      <c r="AH199" s="225"/>
      <c r="AI199" s="225"/>
      <c r="AJ199" s="225"/>
      <c r="AK199" s="65">
        <f t="shared" si="10"/>
        <v>0</v>
      </c>
      <c r="AL199" s="73">
        <f t="shared" si="11"/>
        <v>0</v>
      </c>
      <c r="AM199" s="14">
        <f t="shared" si="12"/>
        <v>0</v>
      </c>
      <c r="AN199" s="89"/>
      <c r="AS199" s="65">
        <v>0</v>
      </c>
    </row>
    <row r="200" spans="1:45" ht="15" customHeight="1" outlineLevel="1">
      <c r="A200" s="12"/>
      <c r="I200" s="137" t="s">
        <v>173</v>
      </c>
      <c r="J200" s="225">
        <v>0</v>
      </c>
      <c r="K200" s="225">
        <v>0</v>
      </c>
      <c r="L200" s="225">
        <v>0</v>
      </c>
      <c r="M200" s="225">
        <v>0</v>
      </c>
      <c r="N200" s="225">
        <v>0</v>
      </c>
      <c r="O200" s="225">
        <v>0</v>
      </c>
      <c r="P200" s="225">
        <v>0</v>
      </c>
      <c r="Q200" s="225">
        <v>0</v>
      </c>
      <c r="R200" s="225">
        <v>0</v>
      </c>
      <c r="S200" s="225">
        <v>0</v>
      </c>
      <c r="T200" s="225"/>
      <c r="U200" s="225"/>
      <c r="V200" s="226">
        <f t="shared" si="9"/>
        <v>0</v>
      </c>
      <c r="W200" s="73">
        <f t="shared" si="6"/>
        <v>0</v>
      </c>
      <c r="X200" s="89"/>
      <c r="Y200" s="225"/>
      <c r="Z200" s="225"/>
      <c r="AA200" s="225"/>
      <c r="AB200" s="225"/>
      <c r="AC200" s="225"/>
      <c r="AD200" s="225"/>
      <c r="AE200" s="225"/>
      <c r="AF200" s="225"/>
      <c r="AG200" s="225"/>
      <c r="AH200" s="225"/>
      <c r="AI200" s="225"/>
      <c r="AJ200" s="225"/>
      <c r="AK200" s="65">
        <f t="shared" si="10"/>
        <v>0</v>
      </c>
      <c r="AL200" s="73">
        <f t="shared" si="11"/>
        <v>0</v>
      </c>
      <c r="AM200" s="14">
        <f t="shared" si="12"/>
        <v>0</v>
      </c>
      <c r="AN200" s="89"/>
      <c r="AS200" s="65">
        <v>0</v>
      </c>
    </row>
    <row r="201" spans="1:45" ht="15" customHeight="1" outlineLevel="1">
      <c r="A201" s="12" t="s">
        <v>146</v>
      </c>
      <c r="B201" s="8" t="s">
        <v>370</v>
      </c>
      <c r="I201" s="137" t="s">
        <v>176</v>
      </c>
      <c r="J201" s="225">
        <v>0</v>
      </c>
      <c r="K201" s="225">
        <v>0</v>
      </c>
      <c r="L201" s="225">
        <v>0</v>
      </c>
      <c r="M201" s="225">
        <v>0</v>
      </c>
      <c r="N201" s="225">
        <v>0</v>
      </c>
      <c r="O201" s="225">
        <v>0</v>
      </c>
      <c r="P201" s="225">
        <v>0</v>
      </c>
      <c r="Q201" s="225">
        <v>0</v>
      </c>
      <c r="R201" s="225">
        <v>0</v>
      </c>
      <c r="S201" s="225">
        <v>0</v>
      </c>
      <c r="T201" s="225"/>
      <c r="U201" s="225"/>
      <c r="V201" s="226">
        <f t="shared" si="9"/>
        <v>0</v>
      </c>
      <c r="W201" s="73">
        <f t="shared" si="6"/>
        <v>0</v>
      </c>
      <c r="X201" s="89"/>
      <c r="Y201" s="225"/>
      <c r="Z201" s="225"/>
      <c r="AA201" s="225"/>
      <c r="AB201" s="225"/>
      <c r="AC201" s="225"/>
      <c r="AD201" s="225"/>
      <c r="AE201" s="225"/>
      <c r="AF201" s="225"/>
      <c r="AG201" s="225"/>
      <c r="AH201" s="225"/>
      <c r="AI201" s="225"/>
      <c r="AJ201" s="225"/>
      <c r="AK201" s="65">
        <f t="shared" si="10"/>
        <v>0</v>
      </c>
      <c r="AL201" s="73">
        <f t="shared" si="11"/>
        <v>0</v>
      </c>
      <c r="AM201" s="14">
        <f t="shared" si="12"/>
        <v>0</v>
      </c>
      <c r="AN201" s="89"/>
      <c r="AS201" s="65">
        <v>0</v>
      </c>
    </row>
    <row r="202" spans="1:45" ht="15" customHeight="1" outlineLevel="1">
      <c r="A202" s="12" t="s">
        <v>146</v>
      </c>
      <c r="B202" s="8" t="s">
        <v>370</v>
      </c>
      <c r="I202" s="137" t="s">
        <v>174</v>
      </c>
      <c r="J202" s="225">
        <v>0</v>
      </c>
      <c r="K202" s="225">
        <v>0</v>
      </c>
      <c r="L202" s="225">
        <v>0</v>
      </c>
      <c r="M202" s="225">
        <v>0</v>
      </c>
      <c r="N202" s="225">
        <v>0</v>
      </c>
      <c r="O202" s="225">
        <v>0</v>
      </c>
      <c r="P202" s="225">
        <v>0</v>
      </c>
      <c r="Q202" s="225">
        <v>0</v>
      </c>
      <c r="R202" s="225">
        <v>0</v>
      </c>
      <c r="S202" s="225">
        <v>0</v>
      </c>
      <c r="T202" s="225"/>
      <c r="U202" s="225"/>
      <c r="V202" s="226">
        <f t="shared" si="9"/>
        <v>0</v>
      </c>
      <c r="W202" s="73">
        <f t="shared" si="6"/>
        <v>0</v>
      </c>
      <c r="X202" s="89"/>
      <c r="Y202" s="225"/>
      <c r="Z202" s="225"/>
      <c r="AA202" s="225"/>
      <c r="AB202" s="225"/>
      <c r="AC202" s="225"/>
      <c r="AD202" s="225"/>
      <c r="AE202" s="225"/>
      <c r="AF202" s="225"/>
      <c r="AG202" s="225"/>
      <c r="AH202" s="225"/>
      <c r="AI202" s="225"/>
      <c r="AJ202" s="225"/>
      <c r="AK202" s="65">
        <f t="shared" si="10"/>
        <v>0</v>
      </c>
      <c r="AL202" s="73">
        <f t="shared" si="11"/>
        <v>0</v>
      </c>
      <c r="AM202" s="14">
        <f t="shared" si="12"/>
        <v>0</v>
      </c>
      <c r="AN202" s="89"/>
      <c r="AS202" s="65">
        <v>0</v>
      </c>
    </row>
    <row r="203" spans="1:45" ht="15" customHeight="1" outlineLevel="1">
      <c r="A203" s="12" t="s">
        <v>146</v>
      </c>
      <c r="B203" s="8" t="s">
        <v>370</v>
      </c>
      <c r="I203" s="137" t="s">
        <v>165</v>
      </c>
      <c r="J203" s="225">
        <v>0</v>
      </c>
      <c r="K203" s="225">
        <v>0</v>
      </c>
      <c r="L203" s="225">
        <v>0</v>
      </c>
      <c r="M203" s="225">
        <v>0</v>
      </c>
      <c r="N203" s="225">
        <v>0</v>
      </c>
      <c r="O203" s="225">
        <v>0</v>
      </c>
      <c r="P203" s="225">
        <v>0</v>
      </c>
      <c r="Q203" s="225">
        <v>0</v>
      </c>
      <c r="R203" s="225">
        <v>0</v>
      </c>
      <c r="S203" s="225">
        <v>0</v>
      </c>
      <c r="T203" s="225"/>
      <c r="U203" s="225"/>
      <c r="V203" s="226">
        <f t="shared" si="9"/>
        <v>0</v>
      </c>
      <c r="W203" s="73">
        <f t="shared" si="6"/>
        <v>0</v>
      </c>
      <c r="X203" s="89"/>
      <c r="Y203" s="225"/>
      <c r="Z203" s="225"/>
      <c r="AA203" s="225"/>
      <c r="AB203" s="225"/>
      <c r="AC203" s="225"/>
      <c r="AD203" s="225"/>
      <c r="AE203" s="225"/>
      <c r="AF203" s="225"/>
      <c r="AG203" s="225"/>
      <c r="AH203" s="225"/>
      <c r="AI203" s="225"/>
      <c r="AJ203" s="225"/>
      <c r="AK203" s="65">
        <f t="shared" si="10"/>
        <v>0</v>
      </c>
      <c r="AL203" s="73">
        <f t="shared" si="11"/>
        <v>0</v>
      </c>
      <c r="AM203" s="14">
        <f t="shared" si="12"/>
        <v>0</v>
      </c>
      <c r="AN203" s="89"/>
      <c r="AS203" s="65">
        <v>0</v>
      </c>
    </row>
    <row r="204" spans="1:45" ht="15" customHeight="1" outlineLevel="1">
      <c r="A204" s="12" t="s">
        <v>146</v>
      </c>
      <c r="B204" s="8" t="s">
        <v>370</v>
      </c>
      <c r="I204" s="137" t="s">
        <v>168</v>
      </c>
      <c r="J204" s="225">
        <v>0</v>
      </c>
      <c r="K204" s="225">
        <v>0</v>
      </c>
      <c r="L204" s="225">
        <v>0</v>
      </c>
      <c r="M204" s="225">
        <v>0</v>
      </c>
      <c r="N204" s="225">
        <v>0</v>
      </c>
      <c r="O204" s="225">
        <v>0</v>
      </c>
      <c r="P204" s="225">
        <v>0</v>
      </c>
      <c r="Q204" s="225">
        <v>0</v>
      </c>
      <c r="R204" s="225">
        <v>0</v>
      </c>
      <c r="S204" s="225">
        <v>0</v>
      </c>
      <c r="T204" s="225"/>
      <c r="U204" s="225"/>
      <c r="V204" s="226">
        <f t="shared" si="9"/>
        <v>0</v>
      </c>
      <c r="W204" s="73">
        <f t="shared" si="6"/>
        <v>0</v>
      </c>
      <c r="X204" s="89"/>
      <c r="Y204" s="225"/>
      <c r="Z204" s="225"/>
      <c r="AA204" s="225"/>
      <c r="AB204" s="225"/>
      <c r="AC204" s="225"/>
      <c r="AD204" s="225"/>
      <c r="AE204" s="225"/>
      <c r="AF204" s="225"/>
      <c r="AG204" s="225"/>
      <c r="AH204" s="225"/>
      <c r="AI204" s="225"/>
      <c r="AJ204" s="225"/>
      <c r="AK204" s="65">
        <f t="shared" si="10"/>
        <v>0</v>
      </c>
      <c r="AL204" s="73">
        <f t="shared" si="11"/>
        <v>0</v>
      </c>
      <c r="AM204" s="14">
        <f t="shared" si="12"/>
        <v>0</v>
      </c>
      <c r="AN204" s="89"/>
      <c r="AS204" s="65">
        <v>0</v>
      </c>
    </row>
    <row r="205" spans="1:45" ht="15" customHeight="1" outlineLevel="1">
      <c r="A205" s="12" t="s">
        <v>146</v>
      </c>
      <c r="B205" s="8" t="s">
        <v>370</v>
      </c>
      <c r="I205" s="137" t="s">
        <v>156</v>
      </c>
      <c r="J205" s="225">
        <v>0</v>
      </c>
      <c r="K205" s="225">
        <v>0</v>
      </c>
      <c r="L205" s="225">
        <v>0</v>
      </c>
      <c r="M205" s="225">
        <v>0</v>
      </c>
      <c r="N205" s="225">
        <v>0</v>
      </c>
      <c r="O205" s="225">
        <v>0</v>
      </c>
      <c r="P205" s="225">
        <v>0</v>
      </c>
      <c r="Q205" s="225">
        <v>0</v>
      </c>
      <c r="R205" s="225">
        <v>0</v>
      </c>
      <c r="S205" s="225">
        <v>0</v>
      </c>
      <c r="T205" s="225"/>
      <c r="U205" s="225"/>
      <c r="V205" s="226">
        <f t="shared" si="9"/>
        <v>0</v>
      </c>
      <c r="W205" s="73">
        <f t="shared" si="6"/>
        <v>0</v>
      </c>
      <c r="X205" s="89"/>
      <c r="Y205" s="225"/>
      <c r="Z205" s="225"/>
      <c r="AA205" s="225"/>
      <c r="AB205" s="225"/>
      <c r="AC205" s="225"/>
      <c r="AD205" s="225"/>
      <c r="AE205" s="225"/>
      <c r="AF205" s="225"/>
      <c r="AG205" s="225"/>
      <c r="AH205" s="225"/>
      <c r="AI205" s="225"/>
      <c r="AJ205" s="225"/>
      <c r="AK205" s="65">
        <f t="shared" si="10"/>
        <v>0</v>
      </c>
      <c r="AL205" s="73">
        <f t="shared" si="11"/>
        <v>0</v>
      </c>
      <c r="AM205" s="14">
        <f t="shared" si="12"/>
        <v>0</v>
      </c>
      <c r="AN205" s="89"/>
      <c r="AS205" s="65">
        <v>0</v>
      </c>
    </row>
    <row r="206" spans="1:45" ht="15" customHeight="1" outlineLevel="1">
      <c r="A206" s="12" t="s">
        <v>146</v>
      </c>
      <c r="B206" s="8" t="s">
        <v>370</v>
      </c>
      <c r="I206" s="137" t="s">
        <v>286</v>
      </c>
      <c r="J206" s="225">
        <v>0</v>
      </c>
      <c r="K206" s="225">
        <v>0</v>
      </c>
      <c r="L206" s="225">
        <v>0</v>
      </c>
      <c r="M206" s="225">
        <v>0</v>
      </c>
      <c r="N206" s="225">
        <v>0</v>
      </c>
      <c r="O206" s="225">
        <v>0</v>
      </c>
      <c r="P206" s="225">
        <v>0</v>
      </c>
      <c r="Q206" s="225">
        <v>0</v>
      </c>
      <c r="R206" s="225">
        <v>0</v>
      </c>
      <c r="S206" s="225">
        <v>0</v>
      </c>
      <c r="T206" s="225"/>
      <c r="U206" s="225"/>
      <c r="V206" s="226">
        <f t="shared" si="9"/>
        <v>0</v>
      </c>
      <c r="W206" s="73">
        <f t="shared" si="6"/>
        <v>0</v>
      </c>
      <c r="X206" s="89"/>
      <c r="Y206" s="225"/>
      <c r="Z206" s="225"/>
      <c r="AA206" s="225"/>
      <c r="AB206" s="225"/>
      <c r="AC206" s="225"/>
      <c r="AD206" s="225"/>
      <c r="AE206" s="225"/>
      <c r="AF206" s="225"/>
      <c r="AG206" s="225"/>
      <c r="AH206" s="225"/>
      <c r="AI206" s="225"/>
      <c r="AJ206" s="225"/>
      <c r="AK206" s="65">
        <f t="shared" si="10"/>
        <v>0</v>
      </c>
      <c r="AL206" s="73">
        <f t="shared" si="11"/>
        <v>0</v>
      </c>
      <c r="AM206" s="14">
        <f t="shared" si="12"/>
        <v>0</v>
      </c>
      <c r="AN206" s="89"/>
      <c r="AS206" s="65">
        <v>0</v>
      </c>
    </row>
    <row r="207" spans="1:45" ht="15" customHeight="1" outlineLevel="1">
      <c r="A207" s="12" t="s">
        <v>146</v>
      </c>
      <c r="B207" s="8" t="s">
        <v>370</v>
      </c>
      <c r="I207" s="137" t="s">
        <v>287</v>
      </c>
      <c r="J207" s="225">
        <v>0</v>
      </c>
      <c r="K207" s="225">
        <v>0</v>
      </c>
      <c r="L207" s="225">
        <v>0</v>
      </c>
      <c r="M207" s="225">
        <v>0</v>
      </c>
      <c r="N207" s="225">
        <v>0</v>
      </c>
      <c r="O207" s="225">
        <v>0</v>
      </c>
      <c r="P207" s="225">
        <v>0</v>
      </c>
      <c r="Q207" s="225">
        <v>0</v>
      </c>
      <c r="R207" s="225">
        <v>0</v>
      </c>
      <c r="S207" s="225">
        <v>0</v>
      </c>
      <c r="T207" s="225"/>
      <c r="U207" s="225"/>
      <c r="V207" s="226">
        <f t="shared" si="9"/>
        <v>0</v>
      </c>
      <c r="W207" s="73">
        <f t="shared" si="6"/>
        <v>0</v>
      </c>
      <c r="X207" s="89"/>
      <c r="Y207" s="225"/>
      <c r="Z207" s="225"/>
      <c r="AA207" s="225"/>
      <c r="AB207" s="225"/>
      <c r="AC207" s="225"/>
      <c r="AD207" s="225"/>
      <c r="AE207" s="225"/>
      <c r="AF207" s="225"/>
      <c r="AG207" s="225"/>
      <c r="AH207" s="225"/>
      <c r="AI207" s="225"/>
      <c r="AJ207" s="225"/>
      <c r="AK207" s="65">
        <f t="shared" si="10"/>
        <v>0</v>
      </c>
      <c r="AL207" s="73">
        <f t="shared" si="11"/>
        <v>0</v>
      </c>
      <c r="AM207" s="14">
        <f t="shared" si="12"/>
        <v>0</v>
      </c>
      <c r="AN207" s="89"/>
      <c r="AS207" s="65">
        <v>0</v>
      </c>
    </row>
    <row r="208" spans="1:45" ht="15" customHeight="1" outlineLevel="1">
      <c r="A208" s="12" t="s">
        <v>146</v>
      </c>
      <c r="B208" s="8" t="s">
        <v>370</v>
      </c>
      <c r="I208" s="137" t="s">
        <v>149</v>
      </c>
      <c r="J208" s="225">
        <v>0</v>
      </c>
      <c r="K208" s="225">
        <v>0</v>
      </c>
      <c r="L208" s="225">
        <v>0</v>
      </c>
      <c r="M208" s="225">
        <v>0</v>
      </c>
      <c r="N208" s="225">
        <v>0</v>
      </c>
      <c r="O208" s="225">
        <v>0</v>
      </c>
      <c r="P208" s="225">
        <v>0</v>
      </c>
      <c r="Q208" s="225">
        <v>0</v>
      </c>
      <c r="R208" s="225">
        <v>0</v>
      </c>
      <c r="S208" s="225">
        <v>0</v>
      </c>
      <c r="T208" s="225"/>
      <c r="U208" s="225"/>
      <c r="V208" s="226">
        <f t="shared" si="9"/>
        <v>0</v>
      </c>
      <c r="W208" s="73">
        <f t="shared" si="6"/>
        <v>0</v>
      </c>
      <c r="X208" s="89"/>
      <c r="Y208" s="225"/>
      <c r="Z208" s="225"/>
      <c r="AA208" s="225"/>
      <c r="AB208" s="225"/>
      <c r="AC208" s="225"/>
      <c r="AD208" s="225"/>
      <c r="AE208" s="225"/>
      <c r="AF208" s="225"/>
      <c r="AG208" s="225"/>
      <c r="AH208" s="225"/>
      <c r="AI208" s="225"/>
      <c r="AJ208" s="225"/>
      <c r="AK208" s="65">
        <f t="shared" si="10"/>
        <v>0</v>
      </c>
      <c r="AL208" s="73">
        <f t="shared" si="11"/>
        <v>0</v>
      </c>
      <c r="AM208" s="14">
        <f t="shared" si="12"/>
        <v>0</v>
      </c>
      <c r="AN208" s="89"/>
      <c r="AS208" s="65">
        <v>0</v>
      </c>
    </row>
    <row r="209" spans="1:45" ht="15" customHeight="1" outlineLevel="1">
      <c r="A209" s="12" t="s">
        <v>146</v>
      </c>
      <c r="B209" s="8" t="s">
        <v>370</v>
      </c>
      <c r="I209" s="137" t="s">
        <v>152</v>
      </c>
      <c r="J209" s="225">
        <v>0</v>
      </c>
      <c r="K209" s="225">
        <v>0</v>
      </c>
      <c r="L209" s="225">
        <v>0</v>
      </c>
      <c r="M209" s="225">
        <v>0</v>
      </c>
      <c r="N209" s="225">
        <v>0</v>
      </c>
      <c r="O209" s="225">
        <v>0</v>
      </c>
      <c r="P209" s="225">
        <v>0</v>
      </c>
      <c r="Q209" s="225">
        <v>0</v>
      </c>
      <c r="R209" s="225">
        <v>0</v>
      </c>
      <c r="S209" s="225">
        <v>0</v>
      </c>
      <c r="T209" s="225"/>
      <c r="U209" s="225"/>
      <c r="V209" s="226">
        <f t="shared" si="9"/>
        <v>0</v>
      </c>
      <c r="W209" s="73">
        <f t="shared" si="6"/>
        <v>0</v>
      </c>
      <c r="X209" s="89"/>
      <c r="Y209" s="225"/>
      <c r="Z209" s="225"/>
      <c r="AA209" s="225"/>
      <c r="AB209" s="225"/>
      <c r="AC209" s="225"/>
      <c r="AD209" s="225"/>
      <c r="AE209" s="225"/>
      <c r="AF209" s="225"/>
      <c r="AG209" s="225"/>
      <c r="AH209" s="225"/>
      <c r="AI209" s="225"/>
      <c r="AJ209" s="225"/>
      <c r="AK209" s="65">
        <f t="shared" si="10"/>
        <v>0</v>
      </c>
      <c r="AL209" s="73">
        <f t="shared" si="11"/>
        <v>0</v>
      </c>
      <c r="AM209" s="14">
        <f t="shared" si="12"/>
        <v>0</v>
      </c>
      <c r="AN209" s="89"/>
      <c r="AS209" s="65">
        <v>0</v>
      </c>
    </row>
    <row r="210" spans="1:45" ht="15" customHeight="1" outlineLevel="1">
      <c r="A210" s="12" t="s">
        <v>146</v>
      </c>
      <c r="B210" s="8" t="s">
        <v>370</v>
      </c>
      <c r="I210" s="137" t="s">
        <v>180</v>
      </c>
      <c r="J210" s="225">
        <v>0</v>
      </c>
      <c r="K210" s="225">
        <v>0</v>
      </c>
      <c r="L210" s="225">
        <v>0</v>
      </c>
      <c r="M210" s="225">
        <v>0</v>
      </c>
      <c r="N210" s="225">
        <v>0</v>
      </c>
      <c r="O210" s="225">
        <v>0</v>
      </c>
      <c r="P210" s="225">
        <v>0</v>
      </c>
      <c r="Q210" s="225">
        <v>0</v>
      </c>
      <c r="R210" s="225">
        <v>0</v>
      </c>
      <c r="S210" s="225">
        <v>0</v>
      </c>
      <c r="T210" s="225"/>
      <c r="U210" s="225"/>
      <c r="V210" s="226">
        <f t="shared" si="9"/>
        <v>0</v>
      </c>
      <c r="W210" s="73">
        <f t="shared" si="6"/>
        <v>0</v>
      </c>
      <c r="X210" s="89"/>
      <c r="Y210" s="225"/>
      <c r="Z210" s="225"/>
      <c r="AA210" s="225"/>
      <c r="AB210" s="225"/>
      <c r="AC210" s="225"/>
      <c r="AD210" s="225"/>
      <c r="AE210" s="225"/>
      <c r="AF210" s="225"/>
      <c r="AG210" s="225"/>
      <c r="AH210" s="225"/>
      <c r="AI210" s="225"/>
      <c r="AJ210" s="225"/>
      <c r="AK210" s="65">
        <f t="shared" si="10"/>
        <v>0</v>
      </c>
      <c r="AL210" s="73">
        <f t="shared" si="11"/>
        <v>0</v>
      </c>
      <c r="AM210" s="14">
        <f t="shared" si="12"/>
        <v>0</v>
      </c>
      <c r="AN210" s="89"/>
      <c r="AS210" s="65">
        <v>0</v>
      </c>
    </row>
    <row r="211" spans="1:45" ht="15" customHeight="1" outlineLevel="1">
      <c r="A211" s="12"/>
      <c r="I211" s="137" t="s">
        <v>288</v>
      </c>
      <c r="J211" s="225">
        <v>0</v>
      </c>
      <c r="K211" s="225">
        <v>0</v>
      </c>
      <c r="L211" s="225">
        <v>0</v>
      </c>
      <c r="M211" s="225">
        <v>0</v>
      </c>
      <c r="N211" s="225">
        <v>0</v>
      </c>
      <c r="O211" s="225">
        <v>0</v>
      </c>
      <c r="P211" s="225">
        <v>0</v>
      </c>
      <c r="Q211" s="225">
        <v>0</v>
      </c>
      <c r="R211" s="225">
        <v>0</v>
      </c>
      <c r="S211" s="225">
        <v>0</v>
      </c>
      <c r="T211" s="225"/>
      <c r="U211" s="225"/>
      <c r="V211" s="226">
        <f t="shared" si="9"/>
        <v>0</v>
      </c>
      <c r="W211" s="73">
        <f t="shared" si="6"/>
        <v>0</v>
      </c>
      <c r="X211" s="89"/>
      <c r="Y211" s="225"/>
      <c r="Z211" s="225"/>
      <c r="AA211" s="225"/>
      <c r="AB211" s="225"/>
      <c r="AC211" s="225"/>
      <c r="AD211" s="225"/>
      <c r="AE211" s="225"/>
      <c r="AF211" s="225"/>
      <c r="AG211" s="225"/>
      <c r="AH211" s="225"/>
      <c r="AI211" s="225"/>
      <c r="AJ211" s="225"/>
      <c r="AK211" s="65">
        <f t="shared" si="10"/>
        <v>0</v>
      </c>
      <c r="AL211" s="73">
        <f t="shared" si="11"/>
        <v>0</v>
      </c>
      <c r="AM211" s="14">
        <f t="shared" si="12"/>
        <v>0</v>
      </c>
      <c r="AN211" s="89"/>
      <c r="AS211" s="65">
        <v>0</v>
      </c>
    </row>
    <row r="212" spans="1:45" ht="15" customHeight="1" outlineLevel="1">
      <c r="A212" s="12"/>
      <c r="I212" s="137" t="s">
        <v>186</v>
      </c>
      <c r="J212" s="225">
        <v>0</v>
      </c>
      <c r="K212" s="225">
        <v>0</v>
      </c>
      <c r="L212" s="225">
        <v>0</v>
      </c>
      <c r="M212" s="225">
        <v>0</v>
      </c>
      <c r="N212" s="225">
        <v>0</v>
      </c>
      <c r="O212" s="225">
        <v>0</v>
      </c>
      <c r="P212" s="225">
        <v>0</v>
      </c>
      <c r="Q212" s="225">
        <v>0</v>
      </c>
      <c r="R212" s="225">
        <v>0</v>
      </c>
      <c r="S212" s="225">
        <v>0</v>
      </c>
      <c r="T212" s="225"/>
      <c r="U212" s="225"/>
      <c r="V212" s="226">
        <f t="shared" si="9"/>
        <v>0</v>
      </c>
      <c r="W212" s="73">
        <f t="shared" si="6"/>
        <v>0</v>
      </c>
      <c r="X212" s="89"/>
      <c r="Y212" s="225"/>
      <c r="Z212" s="225"/>
      <c r="AA212" s="225"/>
      <c r="AB212" s="225"/>
      <c r="AC212" s="225"/>
      <c r="AD212" s="225"/>
      <c r="AE212" s="225"/>
      <c r="AF212" s="225"/>
      <c r="AG212" s="225"/>
      <c r="AH212" s="225"/>
      <c r="AI212" s="225"/>
      <c r="AJ212" s="225"/>
      <c r="AK212" s="65">
        <f t="shared" si="10"/>
        <v>0</v>
      </c>
      <c r="AL212" s="73">
        <f t="shared" si="11"/>
        <v>0</v>
      </c>
      <c r="AM212" s="14">
        <f t="shared" si="12"/>
        <v>0</v>
      </c>
      <c r="AN212" s="89"/>
      <c r="AS212" s="65">
        <v>0</v>
      </c>
    </row>
    <row r="213" spans="1:45" ht="15" customHeight="1" outlineLevel="1">
      <c r="A213" s="12"/>
      <c r="I213" s="137" t="s">
        <v>228</v>
      </c>
      <c r="J213" s="225">
        <v>0</v>
      </c>
      <c r="K213" s="225">
        <v>0</v>
      </c>
      <c r="L213" s="225">
        <v>0</v>
      </c>
      <c r="M213" s="225">
        <v>0</v>
      </c>
      <c r="N213" s="225">
        <v>0</v>
      </c>
      <c r="O213" s="225">
        <v>0</v>
      </c>
      <c r="P213" s="225">
        <v>0</v>
      </c>
      <c r="Q213" s="225">
        <v>0</v>
      </c>
      <c r="R213" s="225">
        <v>0</v>
      </c>
      <c r="S213" s="225">
        <v>0</v>
      </c>
      <c r="T213" s="225"/>
      <c r="U213" s="225"/>
      <c r="V213" s="226">
        <f t="shared" si="9"/>
        <v>0</v>
      </c>
      <c r="W213" s="73">
        <f t="shared" si="6"/>
        <v>0</v>
      </c>
      <c r="X213" s="89"/>
      <c r="Y213" s="225"/>
      <c r="Z213" s="225"/>
      <c r="AA213" s="225"/>
      <c r="AB213" s="225"/>
      <c r="AC213" s="225"/>
      <c r="AD213" s="225"/>
      <c r="AE213" s="225"/>
      <c r="AF213" s="225"/>
      <c r="AG213" s="225"/>
      <c r="AH213" s="225"/>
      <c r="AI213" s="225"/>
      <c r="AJ213" s="225"/>
      <c r="AK213" s="65">
        <f t="shared" si="10"/>
        <v>0</v>
      </c>
      <c r="AL213" s="73">
        <f t="shared" si="11"/>
        <v>0</v>
      </c>
      <c r="AM213" s="14">
        <f t="shared" si="12"/>
        <v>0</v>
      </c>
      <c r="AN213" s="89"/>
      <c r="AS213" s="65">
        <v>0</v>
      </c>
    </row>
    <row r="214" spans="1:45" ht="15" customHeight="1" outlineLevel="1">
      <c r="A214" s="12"/>
      <c r="I214" s="137" t="s">
        <v>167</v>
      </c>
      <c r="J214" s="225">
        <v>0</v>
      </c>
      <c r="K214" s="225">
        <v>0</v>
      </c>
      <c r="L214" s="225">
        <v>0</v>
      </c>
      <c r="M214" s="225">
        <v>0</v>
      </c>
      <c r="N214" s="225">
        <v>0</v>
      </c>
      <c r="O214" s="225">
        <v>0</v>
      </c>
      <c r="P214" s="225">
        <v>0</v>
      </c>
      <c r="Q214" s="225">
        <v>0</v>
      </c>
      <c r="R214" s="225">
        <v>0</v>
      </c>
      <c r="S214" s="225">
        <v>0</v>
      </c>
      <c r="T214" s="225"/>
      <c r="U214" s="225"/>
      <c r="V214" s="226">
        <f t="shared" si="9"/>
        <v>0</v>
      </c>
      <c r="W214" s="73">
        <f t="shared" si="6"/>
        <v>0</v>
      </c>
      <c r="X214" s="89"/>
      <c r="Y214" s="225"/>
      <c r="Z214" s="225"/>
      <c r="AA214" s="225"/>
      <c r="AB214" s="225"/>
      <c r="AC214" s="225"/>
      <c r="AD214" s="225"/>
      <c r="AE214" s="225"/>
      <c r="AF214" s="225"/>
      <c r="AG214" s="225"/>
      <c r="AH214" s="225"/>
      <c r="AI214" s="225"/>
      <c r="AJ214" s="225"/>
      <c r="AK214" s="65">
        <f t="shared" si="10"/>
        <v>0</v>
      </c>
      <c r="AL214" s="73">
        <f t="shared" si="11"/>
        <v>0</v>
      </c>
      <c r="AM214" s="14">
        <f t="shared" si="12"/>
        <v>0</v>
      </c>
      <c r="AN214" s="89"/>
      <c r="AS214" s="65">
        <v>0</v>
      </c>
    </row>
    <row r="215" spans="1:45" ht="15" customHeight="1" outlineLevel="1">
      <c r="A215" s="12"/>
      <c r="I215" s="137" t="s">
        <v>233</v>
      </c>
      <c r="J215" s="225">
        <v>0</v>
      </c>
      <c r="K215" s="225">
        <v>0</v>
      </c>
      <c r="L215" s="225">
        <v>0</v>
      </c>
      <c r="M215" s="225">
        <v>0</v>
      </c>
      <c r="N215" s="225">
        <v>0</v>
      </c>
      <c r="O215" s="225">
        <v>0</v>
      </c>
      <c r="P215" s="225">
        <v>0</v>
      </c>
      <c r="Q215" s="225">
        <v>0</v>
      </c>
      <c r="R215" s="225">
        <v>0</v>
      </c>
      <c r="S215" s="225">
        <v>0</v>
      </c>
      <c r="T215" s="225"/>
      <c r="U215" s="225"/>
      <c r="V215" s="226">
        <f t="shared" si="9"/>
        <v>0</v>
      </c>
      <c r="W215" s="73">
        <f t="shared" si="6"/>
        <v>0</v>
      </c>
      <c r="X215" s="89"/>
      <c r="Y215" s="225"/>
      <c r="Z215" s="225"/>
      <c r="AA215" s="225"/>
      <c r="AB215" s="225"/>
      <c r="AC215" s="225"/>
      <c r="AD215" s="225"/>
      <c r="AE215" s="225"/>
      <c r="AF215" s="225"/>
      <c r="AG215" s="225"/>
      <c r="AH215" s="225"/>
      <c r="AI215" s="225"/>
      <c r="AJ215" s="225"/>
      <c r="AK215" s="65">
        <f t="shared" si="10"/>
        <v>0</v>
      </c>
      <c r="AL215" s="73">
        <f t="shared" si="11"/>
        <v>0</v>
      </c>
      <c r="AM215" s="14">
        <f t="shared" si="12"/>
        <v>0</v>
      </c>
      <c r="AN215" s="89"/>
      <c r="AS215" s="65">
        <v>0</v>
      </c>
    </row>
    <row r="216" spans="1:45" ht="15" customHeight="1" outlineLevel="1">
      <c r="A216" s="12"/>
      <c r="I216" s="137" t="s">
        <v>194</v>
      </c>
      <c r="J216" s="225">
        <v>0</v>
      </c>
      <c r="K216" s="225">
        <v>0</v>
      </c>
      <c r="L216" s="225">
        <v>0</v>
      </c>
      <c r="M216" s="225">
        <v>0</v>
      </c>
      <c r="N216" s="225">
        <v>0</v>
      </c>
      <c r="O216" s="225">
        <v>0</v>
      </c>
      <c r="P216" s="225">
        <v>0</v>
      </c>
      <c r="Q216" s="225">
        <v>0</v>
      </c>
      <c r="R216" s="225">
        <v>0</v>
      </c>
      <c r="S216" s="225">
        <v>0</v>
      </c>
      <c r="T216" s="225"/>
      <c r="U216" s="225"/>
      <c r="V216" s="226">
        <f t="shared" si="9"/>
        <v>0</v>
      </c>
      <c r="W216" s="73">
        <f t="shared" si="6"/>
        <v>0</v>
      </c>
      <c r="X216" s="89"/>
      <c r="Y216" s="225"/>
      <c r="Z216" s="225"/>
      <c r="AA216" s="225"/>
      <c r="AB216" s="225"/>
      <c r="AC216" s="225"/>
      <c r="AD216" s="225"/>
      <c r="AE216" s="225"/>
      <c r="AF216" s="225"/>
      <c r="AG216" s="225"/>
      <c r="AH216" s="225"/>
      <c r="AI216" s="225"/>
      <c r="AJ216" s="225"/>
      <c r="AK216" s="65">
        <f t="shared" si="10"/>
        <v>0</v>
      </c>
      <c r="AL216" s="73">
        <f t="shared" si="11"/>
        <v>0</v>
      </c>
      <c r="AM216" s="14">
        <f t="shared" si="12"/>
        <v>0</v>
      </c>
      <c r="AN216" s="89"/>
      <c r="AS216" s="65">
        <v>0</v>
      </c>
    </row>
    <row r="217" spans="1:45" ht="15" customHeight="1" outlineLevel="1">
      <c r="A217" s="12"/>
      <c r="I217" s="137" t="s">
        <v>175</v>
      </c>
      <c r="J217" s="225">
        <v>0</v>
      </c>
      <c r="K217" s="225">
        <v>0</v>
      </c>
      <c r="L217" s="225">
        <v>0</v>
      </c>
      <c r="M217" s="225">
        <v>0</v>
      </c>
      <c r="N217" s="225">
        <v>0</v>
      </c>
      <c r="O217" s="225">
        <v>0</v>
      </c>
      <c r="P217" s="225">
        <v>0</v>
      </c>
      <c r="Q217" s="225">
        <v>0</v>
      </c>
      <c r="R217" s="225">
        <v>0</v>
      </c>
      <c r="S217" s="225">
        <v>0</v>
      </c>
      <c r="T217" s="225"/>
      <c r="U217" s="225"/>
      <c r="V217" s="226">
        <f t="shared" si="9"/>
        <v>0</v>
      </c>
      <c r="W217" s="73">
        <f t="shared" si="6"/>
        <v>0</v>
      </c>
      <c r="X217" s="89"/>
      <c r="Y217" s="225"/>
      <c r="Z217" s="225"/>
      <c r="AA217" s="225"/>
      <c r="AB217" s="225"/>
      <c r="AC217" s="225"/>
      <c r="AD217" s="225"/>
      <c r="AE217" s="225"/>
      <c r="AF217" s="225"/>
      <c r="AG217" s="225"/>
      <c r="AH217" s="225"/>
      <c r="AI217" s="225"/>
      <c r="AJ217" s="225"/>
      <c r="AK217" s="65">
        <f t="shared" si="10"/>
        <v>0</v>
      </c>
      <c r="AL217" s="73">
        <f t="shared" si="11"/>
        <v>0</v>
      </c>
      <c r="AM217" s="14">
        <f t="shared" si="12"/>
        <v>0</v>
      </c>
      <c r="AN217" s="89"/>
      <c r="AS217" s="65">
        <v>0</v>
      </c>
    </row>
    <row r="218" spans="1:45" collapsed="1">
      <c r="A218" s="12" t="s">
        <v>195</v>
      </c>
      <c r="B218" s="8" t="s">
        <v>370</v>
      </c>
      <c r="E218" s="1"/>
      <c r="I218" s="123" t="s">
        <v>196</v>
      </c>
      <c r="J218" s="222">
        <f t="shared" ref="J218:U218" si="13">SUM(J219:J234)</f>
        <v>0</v>
      </c>
      <c r="K218" s="222">
        <f t="shared" si="13"/>
        <v>0</v>
      </c>
      <c r="L218" s="222">
        <f t="shared" si="13"/>
        <v>0</v>
      </c>
      <c r="M218" s="222">
        <f t="shared" si="13"/>
        <v>0</v>
      </c>
      <c r="N218" s="222">
        <f t="shared" si="13"/>
        <v>0</v>
      </c>
      <c r="O218" s="222">
        <f t="shared" si="13"/>
        <v>0</v>
      </c>
      <c r="P218" s="222">
        <f t="shared" si="13"/>
        <v>0</v>
      </c>
      <c r="Q218" s="222">
        <f t="shared" si="13"/>
        <v>0</v>
      </c>
      <c r="R218" s="222">
        <f t="shared" si="13"/>
        <v>0</v>
      </c>
      <c r="S218" s="222">
        <f t="shared" si="13"/>
        <v>0</v>
      </c>
      <c r="T218" s="222">
        <f t="shared" si="13"/>
        <v>0</v>
      </c>
      <c r="U218" s="222">
        <f t="shared" si="13"/>
        <v>0</v>
      </c>
      <c r="V218" s="222">
        <f>SUM(V219:V234)</f>
        <v>0</v>
      </c>
      <c r="W218" s="72">
        <f t="shared" si="6"/>
        <v>0</v>
      </c>
      <c r="X218" s="89"/>
      <c r="Y218" s="222">
        <f t="shared" ref="Y218:AK218" si="14">SUM(Y219:Y234)</f>
        <v>0</v>
      </c>
      <c r="Z218" s="222">
        <f t="shared" si="14"/>
        <v>0</v>
      </c>
      <c r="AA218" s="222">
        <f t="shared" si="14"/>
        <v>0</v>
      </c>
      <c r="AB218" s="222">
        <f t="shared" si="14"/>
        <v>0</v>
      </c>
      <c r="AC218" s="222">
        <f t="shared" si="14"/>
        <v>0</v>
      </c>
      <c r="AD218" s="222">
        <f t="shared" si="14"/>
        <v>0</v>
      </c>
      <c r="AE218" s="222">
        <f t="shared" si="14"/>
        <v>0</v>
      </c>
      <c r="AF218" s="222">
        <f t="shared" si="14"/>
        <v>0</v>
      </c>
      <c r="AG218" s="222">
        <f t="shared" si="14"/>
        <v>0</v>
      </c>
      <c r="AH218" s="222">
        <f t="shared" si="14"/>
        <v>0</v>
      </c>
      <c r="AI218" s="222">
        <f t="shared" si="14"/>
        <v>0</v>
      </c>
      <c r="AJ218" s="222">
        <f t="shared" si="14"/>
        <v>0</v>
      </c>
      <c r="AK218" s="15">
        <f>SUM(AK219:AK234)</f>
        <v>0</v>
      </c>
      <c r="AL218" s="187">
        <v>1.1385056996728093E-2</v>
      </c>
      <c r="AM218" s="10">
        <f t="shared" si="12"/>
        <v>0</v>
      </c>
      <c r="AN218" s="89"/>
      <c r="AS218" s="15">
        <v>0</v>
      </c>
    </row>
    <row r="219" spans="1:45" ht="15" hidden="1" customHeight="1" outlineLevel="1">
      <c r="A219" s="12" t="s">
        <v>195</v>
      </c>
      <c r="B219" s="8" t="s">
        <v>370</v>
      </c>
      <c r="E219"/>
      <c r="I219" t="s">
        <v>197</v>
      </c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6">
        <f>SUM(J219:U219)</f>
        <v>0</v>
      </c>
      <c r="W219" s="73">
        <f t="shared" si="6"/>
        <v>0</v>
      </c>
      <c r="X219" s="89"/>
      <c r="Y219" s="225"/>
      <c r="Z219" s="225"/>
      <c r="AA219" s="225"/>
      <c r="AB219" s="225"/>
      <c r="AC219" s="225"/>
      <c r="AD219" s="225"/>
      <c r="AE219" s="225"/>
      <c r="AF219" s="225"/>
      <c r="AG219" s="225"/>
      <c r="AH219" s="225"/>
      <c r="AI219" s="225"/>
      <c r="AJ219" s="225"/>
      <c r="AK219" s="65">
        <f t="shared" si="10"/>
        <v>0</v>
      </c>
      <c r="AL219" s="73">
        <f t="shared" si="11"/>
        <v>0</v>
      </c>
      <c r="AM219" s="14">
        <f t="shared" si="12"/>
        <v>0</v>
      </c>
      <c r="AN219" s="89"/>
      <c r="AS219" s="65">
        <v>0</v>
      </c>
    </row>
    <row r="220" spans="1:45" ht="15" hidden="1" customHeight="1" outlineLevel="1">
      <c r="A220" s="12" t="s">
        <v>195</v>
      </c>
      <c r="B220" s="8" t="s">
        <v>370</v>
      </c>
      <c r="E220"/>
      <c r="I220" t="s">
        <v>198</v>
      </c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6">
        <f t="shared" ref="V220:V239" si="15">SUM(J220:U220)</f>
        <v>0</v>
      </c>
      <c r="W220" s="73">
        <f t="shared" si="6"/>
        <v>0</v>
      </c>
      <c r="X220" s="89"/>
      <c r="Y220" s="225"/>
      <c r="Z220" s="225"/>
      <c r="AA220" s="225"/>
      <c r="AB220" s="225"/>
      <c r="AC220" s="225"/>
      <c r="AD220" s="225"/>
      <c r="AE220" s="225"/>
      <c r="AF220" s="225"/>
      <c r="AG220" s="225"/>
      <c r="AH220" s="225"/>
      <c r="AI220" s="225"/>
      <c r="AJ220" s="225"/>
      <c r="AK220" s="65">
        <f t="shared" si="10"/>
        <v>0</v>
      </c>
      <c r="AL220" s="73">
        <f t="shared" si="11"/>
        <v>0</v>
      </c>
      <c r="AM220" s="14">
        <f t="shared" si="12"/>
        <v>0</v>
      </c>
      <c r="AN220" s="89"/>
      <c r="AS220" s="65">
        <v>0</v>
      </c>
    </row>
    <row r="221" spans="1:45" ht="15" hidden="1" customHeight="1" outlineLevel="1">
      <c r="A221" s="12" t="s">
        <v>195</v>
      </c>
      <c r="B221" s="8" t="s">
        <v>370</v>
      </c>
      <c r="E221"/>
      <c r="I221" t="s">
        <v>199</v>
      </c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6">
        <f t="shared" si="15"/>
        <v>0</v>
      </c>
      <c r="W221" s="73">
        <f t="shared" si="6"/>
        <v>0</v>
      </c>
      <c r="X221" s="89"/>
      <c r="Y221" s="225"/>
      <c r="Z221" s="225"/>
      <c r="AA221" s="225"/>
      <c r="AB221" s="225"/>
      <c r="AC221" s="225"/>
      <c r="AD221" s="225"/>
      <c r="AE221" s="225"/>
      <c r="AF221" s="225"/>
      <c r="AG221" s="225"/>
      <c r="AH221" s="225"/>
      <c r="AI221" s="225"/>
      <c r="AJ221" s="225"/>
      <c r="AK221" s="65">
        <f t="shared" si="10"/>
        <v>0</v>
      </c>
      <c r="AL221" s="73">
        <f t="shared" si="11"/>
        <v>0</v>
      </c>
      <c r="AM221" s="14">
        <f t="shared" si="12"/>
        <v>0</v>
      </c>
      <c r="AN221" s="89"/>
      <c r="AS221" s="65">
        <v>0</v>
      </c>
    </row>
    <row r="222" spans="1:45" ht="15" hidden="1" customHeight="1" outlineLevel="1">
      <c r="A222" s="12" t="s">
        <v>195</v>
      </c>
      <c r="B222" s="8" t="s">
        <v>370</v>
      </c>
      <c r="E222"/>
      <c r="I222" t="s">
        <v>200</v>
      </c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6">
        <f t="shared" si="15"/>
        <v>0</v>
      </c>
      <c r="W222" s="73">
        <f t="shared" si="6"/>
        <v>0</v>
      </c>
      <c r="X222" s="89"/>
      <c r="Y222" s="225"/>
      <c r="Z222" s="225"/>
      <c r="AA222" s="225"/>
      <c r="AB222" s="225"/>
      <c r="AC222" s="225"/>
      <c r="AD222" s="225"/>
      <c r="AE222" s="225"/>
      <c r="AF222" s="225"/>
      <c r="AG222" s="225"/>
      <c r="AH222" s="225"/>
      <c r="AI222" s="225"/>
      <c r="AJ222" s="225"/>
      <c r="AK222" s="65">
        <f t="shared" si="10"/>
        <v>0</v>
      </c>
      <c r="AL222" s="73">
        <f t="shared" si="11"/>
        <v>0</v>
      </c>
      <c r="AM222" s="14">
        <f t="shared" si="12"/>
        <v>0</v>
      </c>
      <c r="AN222" s="89"/>
      <c r="AS222" s="65">
        <v>0</v>
      </c>
    </row>
    <row r="223" spans="1:45" ht="15" hidden="1" customHeight="1" outlineLevel="1">
      <c r="A223" s="12" t="s">
        <v>195</v>
      </c>
      <c r="B223" s="8" t="s">
        <v>370</v>
      </c>
      <c r="E223"/>
      <c r="I223" t="s">
        <v>201</v>
      </c>
      <c r="J223" s="225"/>
      <c r="K223" s="225"/>
      <c r="L223" s="225"/>
      <c r="M223" s="225"/>
      <c r="N223" s="225"/>
      <c r="O223" s="225"/>
      <c r="P223" s="225"/>
      <c r="Q223" s="225"/>
      <c r="R223" s="225"/>
      <c r="S223" s="225"/>
      <c r="T223" s="225"/>
      <c r="U223" s="225"/>
      <c r="V223" s="226">
        <f t="shared" si="15"/>
        <v>0</v>
      </c>
      <c r="W223" s="73">
        <f t="shared" si="6"/>
        <v>0</v>
      </c>
      <c r="X223" s="89"/>
      <c r="Y223" s="225"/>
      <c r="Z223" s="225"/>
      <c r="AA223" s="225"/>
      <c r="AB223" s="225"/>
      <c r="AC223" s="225"/>
      <c r="AD223" s="225"/>
      <c r="AE223" s="225"/>
      <c r="AF223" s="225"/>
      <c r="AG223" s="225"/>
      <c r="AH223" s="225"/>
      <c r="AI223" s="225"/>
      <c r="AJ223" s="225"/>
      <c r="AK223" s="65">
        <f t="shared" si="10"/>
        <v>0</v>
      </c>
      <c r="AL223" s="73">
        <f t="shared" si="11"/>
        <v>0</v>
      </c>
      <c r="AM223" s="14">
        <f t="shared" si="12"/>
        <v>0</v>
      </c>
      <c r="AN223" s="89"/>
      <c r="AS223" s="65">
        <v>0</v>
      </c>
    </row>
    <row r="224" spans="1:45" ht="15" hidden="1" customHeight="1" outlineLevel="1">
      <c r="A224" s="12" t="s">
        <v>195</v>
      </c>
      <c r="B224" s="8" t="s">
        <v>370</v>
      </c>
      <c r="E224"/>
      <c r="I224" t="s">
        <v>209</v>
      </c>
      <c r="J224" s="225"/>
      <c r="K224" s="225"/>
      <c r="L224" s="225"/>
      <c r="M224" s="225"/>
      <c r="N224" s="225"/>
      <c r="O224" s="225"/>
      <c r="P224" s="225"/>
      <c r="Q224" s="225"/>
      <c r="R224" s="225"/>
      <c r="S224" s="225"/>
      <c r="T224" s="225"/>
      <c r="U224" s="225"/>
      <c r="V224" s="226">
        <f t="shared" si="15"/>
        <v>0</v>
      </c>
      <c r="W224" s="73">
        <f t="shared" si="6"/>
        <v>0</v>
      </c>
      <c r="X224" s="89"/>
      <c r="Y224" s="225"/>
      <c r="Z224" s="225"/>
      <c r="AA224" s="225"/>
      <c r="AB224" s="225"/>
      <c r="AC224" s="225"/>
      <c r="AD224" s="225"/>
      <c r="AE224" s="225"/>
      <c r="AF224" s="225"/>
      <c r="AG224" s="225"/>
      <c r="AH224" s="225"/>
      <c r="AI224" s="225"/>
      <c r="AJ224" s="225"/>
      <c r="AK224" s="65">
        <f t="shared" si="10"/>
        <v>0</v>
      </c>
      <c r="AL224" s="73">
        <f t="shared" si="11"/>
        <v>0</v>
      </c>
      <c r="AM224" s="14">
        <f t="shared" si="12"/>
        <v>0</v>
      </c>
      <c r="AN224" s="89"/>
      <c r="AS224" s="65">
        <v>0</v>
      </c>
    </row>
    <row r="225" spans="1:45" ht="15" hidden="1" customHeight="1" outlineLevel="1">
      <c r="A225" s="12" t="s">
        <v>195</v>
      </c>
      <c r="B225" s="8" t="s">
        <v>370</v>
      </c>
      <c r="E225"/>
      <c r="I225" t="s">
        <v>202</v>
      </c>
      <c r="J225" s="225"/>
      <c r="K225" s="225"/>
      <c r="L225" s="225"/>
      <c r="M225" s="225"/>
      <c r="N225" s="225"/>
      <c r="O225" s="225"/>
      <c r="P225" s="225"/>
      <c r="Q225" s="225"/>
      <c r="R225" s="225"/>
      <c r="S225" s="225"/>
      <c r="T225" s="225"/>
      <c r="U225" s="225"/>
      <c r="V225" s="226">
        <f t="shared" si="15"/>
        <v>0</v>
      </c>
      <c r="W225" s="73">
        <f t="shared" si="6"/>
        <v>0</v>
      </c>
      <c r="X225" s="89"/>
      <c r="Y225" s="225"/>
      <c r="Z225" s="225"/>
      <c r="AA225" s="225"/>
      <c r="AB225" s="225"/>
      <c r="AC225" s="225"/>
      <c r="AD225" s="225"/>
      <c r="AE225" s="225"/>
      <c r="AF225" s="225"/>
      <c r="AG225" s="225"/>
      <c r="AH225" s="225"/>
      <c r="AI225" s="225"/>
      <c r="AJ225" s="225"/>
      <c r="AK225" s="65">
        <f t="shared" si="10"/>
        <v>0</v>
      </c>
      <c r="AL225" s="73">
        <f t="shared" si="11"/>
        <v>0</v>
      </c>
      <c r="AM225" s="14">
        <f t="shared" si="12"/>
        <v>0</v>
      </c>
      <c r="AN225" s="89"/>
      <c r="AS225" s="65">
        <v>0</v>
      </c>
    </row>
    <row r="226" spans="1:45" ht="15" hidden="1" customHeight="1" outlineLevel="1">
      <c r="A226" s="12" t="s">
        <v>195</v>
      </c>
      <c r="B226" s="8" t="s">
        <v>370</v>
      </c>
      <c r="E226"/>
      <c r="I226" t="s">
        <v>203</v>
      </c>
      <c r="J226" s="225"/>
      <c r="K226" s="225"/>
      <c r="L226" s="225"/>
      <c r="M226" s="225"/>
      <c r="N226" s="225"/>
      <c r="O226" s="225"/>
      <c r="P226" s="225"/>
      <c r="Q226" s="225"/>
      <c r="R226" s="225"/>
      <c r="S226" s="225"/>
      <c r="T226" s="225"/>
      <c r="U226" s="225"/>
      <c r="V226" s="226">
        <f t="shared" si="15"/>
        <v>0</v>
      </c>
      <c r="W226" s="73">
        <f t="shared" si="6"/>
        <v>0</v>
      </c>
      <c r="X226" s="89"/>
      <c r="Y226" s="225"/>
      <c r="Z226" s="225"/>
      <c r="AA226" s="225"/>
      <c r="AB226" s="225"/>
      <c r="AC226" s="225"/>
      <c r="AD226" s="225"/>
      <c r="AE226" s="225"/>
      <c r="AF226" s="225"/>
      <c r="AG226" s="225"/>
      <c r="AH226" s="225"/>
      <c r="AI226" s="225"/>
      <c r="AJ226" s="225"/>
      <c r="AK226" s="65">
        <f t="shared" si="10"/>
        <v>0</v>
      </c>
      <c r="AL226" s="73">
        <f t="shared" si="11"/>
        <v>0</v>
      </c>
      <c r="AM226" s="14">
        <f t="shared" si="12"/>
        <v>0</v>
      </c>
      <c r="AN226" s="89"/>
      <c r="AS226" s="65">
        <v>0</v>
      </c>
    </row>
    <row r="227" spans="1:45" ht="15" hidden="1" customHeight="1" outlineLevel="1">
      <c r="A227" s="12" t="s">
        <v>195</v>
      </c>
      <c r="B227" s="8" t="s">
        <v>370</v>
      </c>
      <c r="E227"/>
      <c r="I227" t="s">
        <v>204</v>
      </c>
      <c r="J227" s="225"/>
      <c r="K227" s="225"/>
      <c r="L227" s="225"/>
      <c r="M227" s="225"/>
      <c r="N227" s="225"/>
      <c r="O227" s="225"/>
      <c r="P227" s="225"/>
      <c r="Q227" s="225"/>
      <c r="R227" s="225"/>
      <c r="S227" s="225"/>
      <c r="T227" s="225"/>
      <c r="U227" s="225"/>
      <c r="V227" s="226">
        <f t="shared" si="15"/>
        <v>0</v>
      </c>
      <c r="W227" s="73">
        <f t="shared" si="6"/>
        <v>0</v>
      </c>
      <c r="X227" s="89"/>
      <c r="Y227" s="225"/>
      <c r="Z227" s="225"/>
      <c r="AA227" s="225"/>
      <c r="AB227" s="225"/>
      <c r="AC227" s="225"/>
      <c r="AD227" s="225"/>
      <c r="AE227" s="225"/>
      <c r="AF227" s="225"/>
      <c r="AG227" s="225"/>
      <c r="AH227" s="225"/>
      <c r="AI227" s="225"/>
      <c r="AJ227" s="225"/>
      <c r="AK227" s="65">
        <f t="shared" si="10"/>
        <v>0</v>
      </c>
      <c r="AL227" s="73">
        <f t="shared" si="11"/>
        <v>0</v>
      </c>
      <c r="AM227" s="14">
        <f t="shared" si="12"/>
        <v>0</v>
      </c>
      <c r="AN227" s="89"/>
      <c r="AS227" s="65">
        <v>0</v>
      </c>
    </row>
    <row r="228" spans="1:45" ht="15" hidden="1" customHeight="1" outlineLevel="1">
      <c r="A228" s="12" t="s">
        <v>195</v>
      </c>
      <c r="B228" s="8" t="s">
        <v>370</v>
      </c>
      <c r="E228"/>
      <c r="I228" t="s">
        <v>205</v>
      </c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6">
        <f t="shared" si="15"/>
        <v>0</v>
      </c>
      <c r="W228" s="73">
        <f t="shared" si="6"/>
        <v>0</v>
      </c>
      <c r="X228" s="89"/>
      <c r="Y228" s="225"/>
      <c r="Z228" s="225"/>
      <c r="AA228" s="225"/>
      <c r="AB228" s="225"/>
      <c r="AC228" s="225"/>
      <c r="AD228" s="225"/>
      <c r="AE228" s="225"/>
      <c r="AF228" s="225"/>
      <c r="AG228" s="225"/>
      <c r="AH228" s="225"/>
      <c r="AI228" s="225"/>
      <c r="AJ228" s="225"/>
      <c r="AK228" s="65">
        <f t="shared" si="10"/>
        <v>0</v>
      </c>
      <c r="AL228" s="73">
        <f t="shared" si="11"/>
        <v>0</v>
      </c>
      <c r="AM228" s="14">
        <f t="shared" si="12"/>
        <v>0</v>
      </c>
      <c r="AN228" s="89"/>
      <c r="AS228" s="65">
        <v>0</v>
      </c>
    </row>
    <row r="229" spans="1:45" ht="15" hidden="1" customHeight="1" outlineLevel="1">
      <c r="A229" s="12" t="s">
        <v>195</v>
      </c>
      <c r="B229" s="8" t="s">
        <v>370</v>
      </c>
      <c r="E229"/>
      <c r="I229" t="s">
        <v>207</v>
      </c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6">
        <f t="shared" si="15"/>
        <v>0</v>
      </c>
      <c r="W229" s="73">
        <f t="shared" si="6"/>
        <v>0</v>
      </c>
      <c r="X229" s="89"/>
      <c r="Y229" s="225"/>
      <c r="Z229" s="225"/>
      <c r="AA229" s="225"/>
      <c r="AB229" s="225"/>
      <c r="AC229" s="225"/>
      <c r="AD229" s="225"/>
      <c r="AE229" s="225"/>
      <c r="AF229" s="225"/>
      <c r="AG229" s="225"/>
      <c r="AH229" s="225"/>
      <c r="AI229" s="225"/>
      <c r="AJ229" s="225"/>
      <c r="AK229" s="65">
        <f t="shared" si="10"/>
        <v>0</v>
      </c>
      <c r="AL229" s="73">
        <f t="shared" si="11"/>
        <v>0</v>
      </c>
      <c r="AM229" s="14">
        <f t="shared" si="12"/>
        <v>0</v>
      </c>
      <c r="AN229" s="89"/>
      <c r="AS229" s="65">
        <v>0</v>
      </c>
    </row>
    <row r="230" spans="1:45" ht="15" hidden="1" customHeight="1" outlineLevel="1">
      <c r="A230" s="12" t="s">
        <v>195</v>
      </c>
      <c r="B230" s="8" t="s">
        <v>370</v>
      </c>
      <c r="E230"/>
      <c r="I230" t="s">
        <v>208</v>
      </c>
      <c r="J230" s="225"/>
      <c r="K230" s="225"/>
      <c r="L230" s="225"/>
      <c r="M230" s="225"/>
      <c r="N230" s="225"/>
      <c r="O230" s="225"/>
      <c r="P230" s="225"/>
      <c r="Q230" s="225"/>
      <c r="R230" s="225"/>
      <c r="S230" s="225"/>
      <c r="T230" s="225"/>
      <c r="U230" s="225"/>
      <c r="V230" s="226">
        <v>0</v>
      </c>
      <c r="W230" s="73">
        <f t="shared" si="6"/>
        <v>0</v>
      </c>
      <c r="X230" s="89"/>
      <c r="Y230" s="225"/>
      <c r="Z230" s="225"/>
      <c r="AA230" s="225"/>
      <c r="AB230" s="225"/>
      <c r="AC230" s="225"/>
      <c r="AD230" s="225"/>
      <c r="AE230" s="225"/>
      <c r="AF230" s="225"/>
      <c r="AG230" s="225"/>
      <c r="AH230" s="225"/>
      <c r="AI230" s="225"/>
      <c r="AJ230" s="225"/>
      <c r="AK230" s="65">
        <f t="shared" si="10"/>
        <v>0</v>
      </c>
      <c r="AL230" s="73">
        <f t="shared" si="11"/>
        <v>0</v>
      </c>
      <c r="AM230" s="14">
        <f t="shared" si="12"/>
        <v>0</v>
      </c>
      <c r="AN230" s="89"/>
      <c r="AS230" s="65">
        <v>0</v>
      </c>
    </row>
    <row r="231" spans="1:45" ht="15" hidden="1" customHeight="1" outlineLevel="1">
      <c r="A231" s="12" t="s">
        <v>195</v>
      </c>
      <c r="B231" s="8" t="s">
        <v>370</v>
      </c>
      <c r="E231"/>
      <c r="I231" t="s">
        <v>289</v>
      </c>
      <c r="J231" s="225"/>
      <c r="K231" s="225"/>
      <c r="L231" s="225"/>
      <c r="M231" s="225"/>
      <c r="N231" s="225"/>
      <c r="O231" s="225"/>
      <c r="P231" s="225"/>
      <c r="Q231" s="225"/>
      <c r="R231" s="225"/>
      <c r="S231" s="225"/>
      <c r="T231" s="225"/>
      <c r="U231" s="225"/>
      <c r="V231" s="226">
        <f t="shared" si="15"/>
        <v>0</v>
      </c>
      <c r="W231" s="73">
        <f t="shared" si="6"/>
        <v>0</v>
      </c>
      <c r="X231" s="89"/>
      <c r="Y231" s="225"/>
      <c r="Z231" s="225"/>
      <c r="AA231" s="225"/>
      <c r="AB231" s="225"/>
      <c r="AC231" s="225"/>
      <c r="AD231" s="225"/>
      <c r="AE231" s="225"/>
      <c r="AF231" s="225"/>
      <c r="AG231" s="225"/>
      <c r="AH231" s="225"/>
      <c r="AI231" s="225"/>
      <c r="AJ231" s="225"/>
      <c r="AK231" s="65">
        <f t="shared" si="10"/>
        <v>0</v>
      </c>
      <c r="AL231" s="73">
        <f t="shared" si="11"/>
        <v>0</v>
      </c>
      <c r="AM231" s="14">
        <f t="shared" si="12"/>
        <v>0</v>
      </c>
      <c r="AN231" s="89"/>
      <c r="AS231" s="65">
        <v>0</v>
      </c>
    </row>
    <row r="232" spans="1:45" ht="15" hidden="1" customHeight="1" outlineLevel="1">
      <c r="A232" s="12" t="s">
        <v>195</v>
      </c>
      <c r="B232" s="8" t="s">
        <v>370</v>
      </c>
      <c r="E232"/>
      <c r="I232" t="s">
        <v>211</v>
      </c>
      <c r="J232" s="225"/>
      <c r="K232" s="225"/>
      <c r="L232" s="225"/>
      <c r="M232" s="225"/>
      <c r="N232" s="225"/>
      <c r="O232" s="225"/>
      <c r="P232" s="225"/>
      <c r="Q232" s="225"/>
      <c r="R232" s="225"/>
      <c r="S232" s="225"/>
      <c r="T232" s="225"/>
      <c r="U232" s="225"/>
      <c r="V232" s="226">
        <f t="shared" si="15"/>
        <v>0</v>
      </c>
      <c r="W232" s="73">
        <f t="shared" si="6"/>
        <v>0</v>
      </c>
      <c r="X232" s="89"/>
      <c r="Y232" s="225"/>
      <c r="Z232" s="225"/>
      <c r="AA232" s="225"/>
      <c r="AB232" s="225"/>
      <c r="AC232" s="225"/>
      <c r="AD232" s="225"/>
      <c r="AE232" s="225"/>
      <c r="AF232" s="225"/>
      <c r="AG232" s="225"/>
      <c r="AH232" s="225"/>
      <c r="AI232" s="225"/>
      <c r="AJ232" s="225"/>
      <c r="AK232" s="65">
        <f t="shared" si="10"/>
        <v>0</v>
      </c>
      <c r="AL232" s="73">
        <f t="shared" si="11"/>
        <v>0</v>
      </c>
      <c r="AM232" s="14">
        <f t="shared" si="12"/>
        <v>0</v>
      </c>
      <c r="AN232" s="89"/>
      <c r="AS232" s="65">
        <v>0</v>
      </c>
    </row>
    <row r="233" spans="1:45" ht="15" hidden="1" customHeight="1" outlineLevel="1">
      <c r="A233" s="12" t="s">
        <v>195</v>
      </c>
      <c r="B233" s="8" t="s">
        <v>370</v>
      </c>
      <c r="E233"/>
      <c r="I233" t="s">
        <v>213</v>
      </c>
      <c r="J233" s="225"/>
      <c r="K233" s="225"/>
      <c r="L233" s="225"/>
      <c r="M233" s="225"/>
      <c r="N233" s="225"/>
      <c r="O233" s="225"/>
      <c r="P233" s="225"/>
      <c r="Q233" s="225"/>
      <c r="R233" s="225"/>
      <c r="S233" s="225"/>
      <c r="T233" s="225"/>
      <c r="U233" s="225"/>
      <c r="V233" s="226">
        <f t="shared" si="15"/>
        <v>0</v>
      </c>
      <c r="W233" s="73">
        <f t="shared" si="6"/>
        <v>0</v>
      </c>
      <c r="X233" s="89"/>
      <c r="Y233" s="225"/>
      <c r="Z233" s="225"/>
      <c r="AA233" s="225"/>
      <c r="AB233" s="225"/>
      <c r="AC233" s="225"/>
      <c r="AD233" s="225"/>
      <c r="AE233" s="225"/>
      <c r="AF233" s="225"/>
      <c r="AG233" s="225"/>
      <c r="AH233" s="225"/>
      <c r="AI233" s="225"/>
      <c r="AJ233" s="225"/>
      <c r="AK233" s="65">
        <f t="shared" ref="AK233:AK256" si="16">SUM(Y233:AJ233)</f>
        <v>0</v>
      </c>
      <c r="AL233" s="73">
        <f t="shared" ref="AL233:AL256" si="17">AK233/AK$6</f>
        <v>0</v>
      </c>
      <c r="AM233" s="14">
        <f t="shared" ref="AM233:AM257" si="18">IFERROR(AK233/V233-1,0)</f>
        <v>0</v>
      </c>
      <c r="AN233" s="89"/>
      <c r="AS233" s="65">
        <v>0</v>
      </c>
    </row>
    <row r="234" spans="1:45" ht="15" hidden="1" customHeight="1" outlineLevel="1">
      <c r="A234" s="12" t="s">
        <v>195</v>
      </c>
      <c r="B234" s="8" t="s">
        <v>370</v>
      </c>
      <c r="E234"/>
      <c r="I234" t="s">
        <v>214</v>
      </c>
      <c r="J234" s="225"/>
      <c r="K234" s="225"/>
      <c r="L234" s="225"/>
      <c r="M234" s="225"/>
      <c r="N234" s="225"/>
      <c r="O234" s="225"/>
      <c r="P234" s="225"/>
      <c r="Q234" s="225"/>
      <c r="R234" s="225"/>
      <c r="S234" s="225"/>
      <c r="T234" s="225"/>
      <c r="U234" s="225"/>
      <c r="V234" s="226">
        <f t="shared" si="15"/>
        <v>0</v>
      </c>
      <c r="W234" s="73">
        <f t="shared" si="6"/>
        <v>0</v>
      </c>
      <c r="X234" s="89"/>
      <c r="Y234" s="225"/>
      <c r="Z234" s="225"/>
      <c r="AA234" s="225"/>
      <c r="AB234" s="225"/>
      <c r="AC234" s="225"/>
      <c r="AD234" s="225"/>
      <c r="AE234" s="225"/>
      <c r="AF234" s="225"/>
      <c r="AG234" s="225"/>
      <c r="AH234" s="225"/>
      <c r="AI234" s="225"/>
      <c r="AJ234" s="225"/>
      <c r="AK234" s="65">
        <f t="shared" si="16"/>
        <v>0</v>
      </c>
      <c r="AL234" s="73">
        <f t="shared" si="17"/>
        <v>0</v>
      </c>
      <c r="AM234" s="14">
        <f t="shared" si="18"/>
        <v>0</v>
      </c>
      <c r="AN234" s="89"/>
      <c r="AS234" s="65">
        <v>0</v>
      </c>
    </row>
    <row r="235" spans="1:45" collapsed="1">
      <c r="A235" s="12" t="s">
        <v>215</v>
      </c>
      <c r="B235" s="8" t="s">
        <v>370</v>
      </c>
      <c r="I235" s="167" t="s">
        <v>216</v>
      </c>
      <c r="J235" s="222">
        <f t="shared" ref="J235:U235" si="19">SUM(J236:J239)</f>
        <v>0</v>
      </c>
      <c r="K235" s="222">
        <f t="shared" si="19"/>
        <v>0</v>
      </c>
      <c r="L235" s="222">
        <f t="shared" si="19"/>
        <v>0</v>
      </c>
      <c r="M235" s="222">
        <f t="shared" si="19"/>
        <v>0</v>
      </c>
      <c r="N235" s="222">
        <f t="shared" si="19"/>
        <v>0</v>
      </c>
      <c r="O235" s="222">
        <f t="shared" si="19"/>
        <v>0</v>
      </c>
      <c r="P235" s="222">
        <f t="shared" si="19"/>
        <v>0</v>
      </c>
      <c r="Q235" s="222">
        <f t="shared" si="19"/>
        <v>0</v>
      </c>
      <c r="R235" s="222">
        <f t="shared" si="19"/>
        <v>0</v>
      </c>
      <c r="S235" s="222">
        <f t="shared" si="19"/>
        <v>0</v>
      </c>
      <c r="T235" s="222">
        <f t="shared" si="19"/>
        <v>0</v>
      </c>
      <c r="U235" s="222">
        <f t="shared" si="19"/>
        <v>0</v>
      </c>
      <c r="V235" s="222">
        <f>SUM(V236:V239)</f>
        <v>0</v>
      </c>
      <c r="W235" s="72">
        <f t="shared" si="6"/>
        <v>0</v>
      </c>
      <c r="X235" s="89"/>
      <c r="Y235" s="222">
        <f t="shared" ref="Y235:AJ235" si="20">SUM(Y236:Y239)</f>
        <v>0</v>
      </c>
      <c r="Z235" s="222">
        <f t="shared" si="20"/>
        <v>0</v>
      </c>
      <c r="AA235" s="222">
        <f t="shared" si="20"/>
        <v>0</v>
      </c>
      <c r="AB235" s="222">
        <f t="shared" si="20"/>
        <v>0</v>
      </c>
      <c r="AC235" s="222">
        <f t="shared" si="20"/>
        <v>0</v>
      </c>
      <c r="AD235" s="222">
        <f t="shared" si="20"/>
        <v>0</v>
      </c>
      <c r="AE235" s="222">
        <f t="shared" si="20"/>
        <v>0</v>
      </c>
      <c r="AF235" s="222">
        <f t="shared" si="20"/>
        <v>0</v>
      </c>
      <c r="AG235" s="222">
        <f t="shared" si="20"/>
        <v>0</v>
      </c>
      <c r="AH235" s="222">
        <f t="shared" si="20"/>
        <v>0</v>
      </c>
      <c r="AI235" s="222">
        <f t="shared" si="20"/>
        <v>0</v>
      </c>
      <c r="AJ235" s="222">
        <f t="shared" si="20"/>
        <v>0</v>
      </c>
      <c r="AK235" s="15">
        <f>SUM(AK236:AK239)</f>
        <v>0</v>
      </c>
      <c r="AL235" s="187">
        <v>2.3363017458018841E-3</v>
      </c>
      <c r="AM235" s="10">
        <f t="shared" si="18"/>
        <v>0</v>
      </c>
      <c r="AN235" s="89"/>
      <c r="AS235" s="15">
        <v>0</v>
      </c>
    </row>
    <row r="236" spans="1:45" ht="15" hidden="1" customHeight="1" outlineLevel="1">
      <c r="A236" s="12" t="s">
        <v>215</v>
      </c>
      <c r="B236" s="8" t="s">
        <v>370</v>
      </c>
      <c r="I236" s="137" t="s">
        <v>217</v>
      </c>
      <c r="J236" s="225"/>
      <c r="K236" s="225"/>
      <c r="L236" s="225"/>
      <c r="M236" s="225"/>
      <c r="N236" s="225"/>
      <c r="O236" s="225"/>
      <c r="P236" s="225"/>
      <c r="Q236" s="225"/>
      <c r="R236" s="225"/>
      <c r="S236" s="225"/>
      <c r="T236" s="225"/>
      <c r="U236" s="225"/>
      <c r="V236" s="226">
        <f t="shared" si="15"/>
        <v>0</v>
      </c>
      <c r="W236" s="73">
        <f t="shared" si="6"/>
        <v>0</v>
      </c>
      <c r="X236" s="89"/>
      <c r="Y236" s="225"/>
      <c r="Z236" s="225"/>
      <c r="AA236" s="225"/>
      <c r="AB236" s="225"/>
      <c r="AC236" s="225"/>
      <c r="AD236" s="225"/>
      <c r="AE236" s="225"/>
      <c r="AF236" s="225"/>
      <c r="AG236" s="225"/>
      <c r="AH236" s="225"/>
      <c r="AI236" s="225"/>
      <c r="AJ236" s="225"/>
      <c r="AK236" s="65">
        <f t="shared" si="16"/>
        <v>0</v>
      </c>
      <c r="AL236" s="73">
        <f t="shared" si="17"/>
        <v>0</v>
      </c>
      <c r="AM236" s="14">
        <f t="shared" si="18"/>
        <v>0</v>
      </c>
      <c r="AN236" s="89"/>
      <c r="AS236" s="65">
        <v>0</v>
      </c>
    </row>
    <row r="237" spans="1:45" ht="15" hidden="1" customHeight="1" outlineLevel="1">
      <c r="A237" s="12" t="s">
        <v>215</v>
      </c>
      <c r="B237" s="8" t="s">
        <v>370</v>
      </c>
      <c r="I237" s="137" t="s">
        <v>218</v>
      </c>
      <c r="J237" s="225"/>
      <c r="K237" s="225"/>
      <c r="L237" s="225"/>
      <c r="M237" s="225"/>
      <c r="N237" s="225"/>
      <c r="O237" s="225"/>
      <c r="P237" s="225"/>
      <c r="Q237" s="225"/>
      <c r="R237" s="225"/>
      <c r="S237" s="225"/>
      <c r="T237" s="225"/>
      <c r="U237" s="225"/>
      <c r="V237" s="226">
        <f t="shared" si="15"/>
        <v>0</v>
      </c>
      <c r="W237" s="73">
        <f t="shared" si="6"/>
        <v>0</v>
      </c>
      <c r="X237" s="89"/>
      <c r="Y237" s="225"/>
      <c r="Z237" s="225"/>
      <c r="AA237" s="225"/>
      <c r="AB237" s="225"/>
      <c r="AC237" s="225"/>
      <c r="AD237" s="225"/>
      <c r="AE237" s="225"/>
      <c r="AF237" s="225"/>
      <c r="AG237" s="225"/>
      <c r="AH237" s="225"/>
      <c r="AI237" s="225"/>
      <c r="AJ237" s="225"/>
      <c r="AK237" s="65">
        <f t="shared" si="16"/>
        <v>0</v>
      </c>
      <c r="AL237" s="73">
        <f t="shared" si="17"/>
        <v>0</v>
      </c>
      <c r="AM237" s="14">
        <f t="shared" si="18"/>
        <v>0</v>
      </c>
      <c r="AN237" s="89"/>
      <c r="AS237" s="65">
        <v>0</v>
      </c>
    </row>
    <row r="238" spans="1:45" ht="15" hidden="1" customHeight="1" outlineLevel="1">
      <c r="A238" s="12" t="s">
        <v>215</v>
      </c>
      <c r="B238" s="8" t="s">
        <v>370</v>
      </c>
      <c r="I238" s="137" t="s">
        <v>219</v>
      </c>
      <c r="J238" s="225"/>
      <c r="K238" s="225"/>
      <c r="L238" s="225"/>
      <c r="M238" s="225"/>
      <c r="N238" s="225"/>
      <c r="O238" s="225"/>
      <c r="P238" s="225"/>
      <c r="Q238" s="225"/>
      <c r="R238" s="225"/>
      <c r="S238" s="225"/>
      <c r="T238" s="225"/>
      <c r="U238" s="225"/>
      <c r="V238" s="226">
        <f t="shared" si="15"/>
        <v>0</v>
      </c>
      <c r="W238" s="73">
        <f t="shared" si="6"/>
        <v>0</v>
      </c>
      <c r="X238" s="89"/>
      <c r="Y238" s="225"/>
      <c r="Z238" s="225"/>
      <c r="AA238" s="225"/>
      <c r="AB238" s="225"/>
      <c r="AC238" s="225"/>
      <c r="AD238" s="225"/>
      <c r="AE238" s="225"/>
      <c r="AF238" s="225"/>
      <c r="AG238" s="225"/>
      <c r="AH238" s="225"/>
      <c r="AI238" s="225"/>
      <c r="AJ238" s="225"/>
      <c r="AK238" s="65">
        <f t="shared" si="16"/>
        <v>0</v>
      </c>
      <c r="AL238" s="73">
        <f t="shared" si="17"/>
        <v>0</v>
      </c>
      <c r="AM238" s="14">
        <f t="shared" si="18"/>
        <v>0</v>
      </c>
      <c r="AN238" s="89"/>
      <c r="AS238" s="65">
        <v>0</v>
      </c>
    </row>
    <row r="239" spans="1:45" ht="15" hidden="1" customHeight="1" outlineLevel="1">
      <c r="A239" s="12" t="s">
        <v>215</v>
      </c>
      <c r="B239" s="8" t="s">
        <v>370</v>
      </c>
      <c r="I239" s="137" t="s">
        <v>290</v>
      </c>
      <c r="J239" s="225"/>
      <c r="K239" s="225"/>
      <c r="L239" s="225"/>
      <c r="M239" s="225"/>
      <c r="N239" s="225"/>
      <c r="O239" s="225"/>
      <c r="P239" s="225"/>
      <c r="Q239" s="225"/>
      <c r="R239" s="225"/>
      <c r="S239" s="225"/>
      <c r="T239" s="225"/>
      <c r="U239" s="225"/>
      <c r="V239" s="226">
        <f t="shared" si="15"/>
        <v>0</v>
      </c>
      <c r="W239" s="73">
        <f t="shared" si="6"/>
        <v>0</v>
      </c>
      <c r="X239" s="89"/>
      <c r="Y239" s="225"/>
      <c r="Z239" s="225"/>
      <c r="AA239" s="225"/>
      <c r="AB239" s="225"/>
      <c r="AC239" s="225"/>
      <c r="AD239" s="225"/>
      <c r="AE239" s="225"/>
      <c r="AF239" s="225"/>
      <c r="AG239" s="225"/>
      <c r="AH239" s="225"/>
      <c r="AI239" s="225"/>
      <c r="AJ239" s="225"/>
      <c r="AK239" s="65">
        <f t="shared" si="16"/>
        <v>0</v>
      </c>
      <c r="AL239" s="73">
        <f t="shared" si="17"/>
        <v>0</v>
      </c>
      <c r="AM239" s="14">
        <f t="shared" si="18"/>
        <v>0</v>
      </c>
      <c r="AN239" s="89"/>
      <c r="AS239" s="65">
        <v>0</v>
      </c>
    </row>
    <row r="240" spans="1:45" collapsed="1">
      <c r="A240" s="12" t="s">
        <v>221</v>
      </c>
      <c r="B240" s="8" t="s">
        <v>370</v>
      </c>
      <c r="I240" s="121" t="s">
        <v>223</v>
      </c>
      <c r="J240" s="222">
        <f t="shared" ref="J240:V240" si="21">SUM(J241:J245)</f>
        <v>0</v>
      </c>
      <c r="K240" s="222">
        <f t="shared" si="21"/>
        <v>0</v>
      </c>
      <c r="L240" s="222">
        <f t="shared" si="21"/>
        <v>0</v>
      </c>
      <c r="M240" s="222">
        <f t="shared" si="21"/>
        <v>0</v>
      </c>
      <c r="N240" s="222">
        <f t="shared" si="21"/>
        <v>0</v>
      </c>
      <c r="O240" s="222">
        <f t="shared" si="21"/>
        <v>0</v>
      </c>
      <c r="P240" s="222">
        <f t="shared" si="21"/>
        <v>0</v>
      </c>
      <c r="Q240" s="222">
        <f t="shared" si="21"/>
        <v>0</v>
      </c>
      <c r="R240" s="222">
        <f t="shared" si="21"/>
        <v>0</v>
      </c>
      <c r="S240" s="222">
        <f t="shared" si="21"/>
        <v>0</v>
      </c>
      <c r="T240" s="222">
        <f t="shared" si="21"/>
        <v>0</v>
      </c>
      <c r="U240" s="222">
        <f t="shared" si="21"/>
        <v>0</v>
      </c>
      <c r="V240" s="222">
        <f t="shared" si="21"/>
        <v>0</v>
      </c>
      <c r="W240" s="72">
        <f t="shared" si="6"/>
        <v>0</v>
      </c>
      <c r="X240" s="89"/>
      <c r="Y240" s="222">
        <f t="shared" ref="Y240:AJ240" si="22">SUM(Y241:Y245)</f>
        <v>0</v>
      </c>
      <c r="Z240" s="222">
        <f t="shared" si="22"/>
        <v>0</v>
      </c>
      <c r="AA240" s="222">
        <f t="shared" si="22"/>
        <v>0</v>
      </c>
      <c r="AB240" s="222">
        <f t="shared" si="22"/>
        <v>0</v>
      </c>
      <c r="AC240" s="222">
        <f t="shared" si="22"/>
        <v>0</v>
      </c>
      <c r="AD240" s="222">
        <f t="shared" si="22"/>
        <v>0</v>
      </c>
      <c r="AE240" s="222">
        <f t="shared" si="22"/>
        <v>0</v>
      </c>
      <c r="AF240" s="222">
        <f t="shared" si="22"/>
        <v>0</v>
      </c>
      <c r="AG240" s="222">
        <f t="shared" si="22"/>
        <v>0</v>
      </c>
      <c r="AH240" s="222">
        <f t="shared" si="22"/>
        <v>0</v>
      </c>
      <c r="AI240" s="222">
        <f t="shared" si="22"/>
        <v>0</v>
      </c>
      <c r="AJ240" s="222">
        <f t="shared" si="22"/>
        <v>0</v>
      </c>
      <c r="AK240" s="15">
        <f>SUM(AK241:AK249)</f>
        <v>0</v>
      </c>
      <c r="AL240" s="72">
        <v>3.2771313704025679E-4</v>
      </c>
      <c r="AM240" s="10">
        <f t="shared" si="18"/>
        <v>0</v>
      </c>
      <c r="AN240" s="89"/>
      <c r="AS240" s="15">
        <v>0</v>
      </c>
    </row>
    <row r="241" spans="1:45" ht="15" hidden="1" customHeight="1" outlineLevel="1">
      <c r="A241" s="12" t="s">
        <v>221</v>
      </c>
      <c r="B241" s="8" t="s">
        <v>370</v>
      </c>
      <c r="I241" s="137" t="s">
        <v>237</v>
      </c>
      <c r="J241" s="225"/>
      <c r="K241" s="225"/>
      <c r="L241" s="225"/>
      <c r="M241" s="225"/>
      <c r="N241" s="225"/>
      <c r="O241" s="225"/>
      <c r="P241" s="225"/>
      <c r="Q241" s="225"/>
      <c r="R241" s="225"/>
      <c r="S241" s="225"/>
      <c r="T241" s="225"/>
      <c r="U241" s="225"/>
      <c r="V241" s="226">
        <f t="shared" ref="V241:V249" si="23">SUM(J241:U241)</f>
        <v>0</v>
      </c>
      <c r="W241" s="73">
        <f t="shared" si="6"/>
        <v>0</v>
      </c>
      <c r="X241" s="89"/>
      <c r="Y241" s="225"/>
      <c r="Z241" s="225"/>
      <c r="AA241" s="225"/>
      <c r="AB241" s="225"/>
      <c r="AC241" s="225"/>
      <c r="AD241" s="225"/>
      <c r="AE241" s="225"/>
      <c r="AF241" s="225"/>
      <c r="AG241" s="225"/>
      <c r="AH241" s="225"/>
      <c r="AI241" s="225"/>
      <c r="AJ241" s="225"/>
      <c r="AK241" s="65">
        <f t="shared" si="16"/>
        <v>0</v>
      </c>
      <c r="AL241" s="73">
        <f t="shared" si="17"/>
        <v>0</v>
      </c>
      <c r="AM241" s="14">
        <f t="shared" si="18"/>
        <v>0</v>
      </c>
      <c r="AN241" s="89"/>
      <c r="AS241" s="65">
        <v>0</v>
      </c>
    </row>
    <row r="242" spans="1:45" ht="15" hidden="1" customHeight="1" outlineLevel="1">
      <c r="A242" s="12" t="s">
        <v>221</v>
      </c>
      <c r="B242" s="8" t="s">
        <v>370</v>
      </c>
      <c r="I242" s="137" t="s">
        <v>227</v>
      </c>
      <c r="J242" s="225"/>
      <c r="K242" s="225"/>
      <c r="L242" s="225"/>
      <c r="M242" s="225"/>
      <c r="N242" s="225"/>
      <c r="O242" s="225"/>
      <c r="P242" s="225"/>
      <c r="Q242" s="225"/>
      <c r="R242" s="225"/>
      <c r="S242" s="225"/>
      <c r="T242" s="225"/>
      <c r="U242" s="225"/>
      <c r="V242" s="226">
        <f t="shared" si="23"/>
        <v>0</v>
      </c>
      <c r="W242" s="73">
        <f t="shared" ref="W242:W355" si="24">V242/V$6</f>
        <v>0</v>
      </c>
      <c r="X242" s="89"/>
      <c r="Y242" s="225"/>
      <c r="Z242" s="225"/>
      <c r="AA242" s="225"/>
      <c r="AB242" s="225"/>
      <c r="AC242" s="225"/>
      <c r="AD242" s="225"/>
      <c r="AE242" s="225"/>
      <c r="AF242" s="225"/>
      <c r="AG242" s="225"/>
      <c r="AH242" s="225"/>
      <c r="AI242" s="225"/>
      <c r="AJ242" s="225"/>
      <c r="AK242" s="65">
        <f t="shared" si="16"/>
        <v>0</v>
      </c>
      <c r="AL242" s="73">
        <f t="shared" si="17"/>
        <v>0</v>
      </c>
      <c r="AM242" s="14">
        <f t="shared" si="18"/>
        <v>0</v>
      </c>
      <c r="AN242" s="89"/>
      <c r="AS242" s="65">
        <v>0</v>
      </c>
    </row>
    <row r="243" spans="1:45" ht="15" hidden="1" customHeight="1" outlineLevel="1">
      <c r="A243" s="12" t="s">
        <v>221</v>
      </c>
      <c r="B243" s="8" t="s">
        <v>370</v>
      </c>
      <c r="I243" s="137" t="s">
        <v>291</v>
      </c>
      <c r="J243" s="225"/>
      <c r="K243" s="225"/>
      <c r="L243" s="225"/>
      <c r="M243" s="225"/>
      <c r="N243" s="225"/>
      <c r="O243" s="225"/>
      <c r="P243" s="225"/>
      <c r="Q243" s="225"/>
      <c r="R243" s="225"/>
      <c r="S243" s="225"/>
      <c r="T243" s="225"/>
      <c r="U243" s="225"/>
      <c r="V243" s="226">
        <f t="shared" si="23"/>
        <v>0</v>
      </c>
      <c r="W243" s="73">
        <f t="shared" si="24"/>
        <v>0</v>
      </c>
      <c r="X243" s="89"/>
      <c r="Y243" s="225"/>
      <c r="Z243" s="225"/>
      <c r="AA243" s="225"/>
      <c r="AB243" s="225"/>
      <c r="AC243" s="225"/>
      <c r="AD243" s="225"/>
      <c r="AE243" s="225"/>
      <c r="AF243" s="225"/>
      <c r="AG243" s="225"/>
      <c r="AH243" s="225"/>
      <c r="AI243" s="225"/>
      <c r="AJ243" s="225"/>
      <c r="AK243" s="65">
        <f t="shared" si="16"/>
        <v>0</v>
      </c>
      <c r="AL243" s="73">
        <f t="shared" si="17"/>
        <v>0</v>
      </c>
      <c r="AM243" s="14">
        <f t="shared" si="18"/>
        <v>0</v>
      </c>
      <c r="AN243" s="89"/>
      <c r="AS243" s="65">
        <v>0</v>
      </c>
    </row>
    <row r="244" spans="1:45" ht="15" hidden="1" customHeight="1" outlineLevel="1">
      <c r="A244" s="12" t="s">
        <v>221</v>
      </c>
      <c r="B244" s="8" t="s">
        <v>370</v>
      </c>
      <c r="I244" s="137" t="s">
        <v>225</v>
      </c>
      <c r="J244" s="225"/>
      <c r="K244" s="225"/>
      <c r="L244" s="225"/>
      <c r="M244" s="225"/>
      <c r="N244" s="225"/>
      <c r="O244" s="225"/>
      <c r="P244" s="225"/>
      <c r="Q244" s="225"/>
      <c r="R244" s="225"/>
      <c r="S244" s="225"/>
      <c r="T244" s="225"/>
      <c r="U244" s="225"/>
      <c r="V244" s="226">
        <f t="shared" si="23"/>
        <v>0</v>
      </c>
      <c r="W244" s="73">
        <f t="shared" si="24"/>
        <v>0</v>
      </c>
      <c r="X244" s="89"/>
      <c r="Y244" s="225"/>
      <c r="Z244" s="225"/>
      <c r="AA244" s="225"/>
      <c r="AB244" s="225"/>
      <c r="AC244" s="225"/>
      <c r="AD244" s="225"/>
      <c r="AE244" s="225"/>
      <c r="AF244" s="225"/>
      <c r="AG244" s="225"/>
      <c r="AH244" s="225"/>
      <c r="AI244" s="225"/>
      <c r="AJ244" s="225"/>
      <c r="AK244" s="65">
        <f t="shared" si="16"/>
        <v>0</v>
      </c>
      <c r="AL244" s="73">
        <f t="shared" si="17"/>
        <v>0</v>
      </c>
      <c r="AM244" s="14">
        <f t="shared" si="18"/>
        <v>0</v>
      </c>
      <c r="AN244" s="89"/>
      <c r="AS244" s="65">
        <v>0</v>
      </c>
    </row>
    <row r="245" spans="1:45" ht="15" hidden="1" customHeight="1" outlineLevel="1">
      <c r="A245" s="12" t="s">
        <v>221</v>
      </c>
      <c r="B245" s="8" t="s">
        <v>370</v>
      </c>
      <c r="I245" s="137" t="s">
        <v>234</v>
      </c>
      <c r="J245" s="225"/>
      <c r="K245" s="225"/>
      <c r="L245" s="225"/>
      <c r="M245" s="225"/>
      <c r="N245" s="225"/>
      <c r="O245" s="225"/>
      <c r="P245" s="225"/>
      <c r="Q245" s="225"/>
      <c r="R245" s="225"/>
      <c r="S245" s="225"/>
      <c r="T245" s="225"/>
      <c r="U245" s="225"/>
      <c r="V245" s="226">
        <f t="shared" si="23"/>
        <v>0</v>
      </c>
      <c r="W245" s="73">
        <f t="shared" si="24"/>
        <v>0</v>
      </c>
      <c r="X245" s="89"/>
      <c r="Y245" s="225"/>
      <c r="Z245" s="225"/>
      <c r="AA245" s="225"/>
      <c r="AB245" s="225"/>
      <c r="AC245" s="225"/>
      <c r="AD245" s="225"/>
      <c r="AE245" s="225"/>
      <c r="AF245" s="225"/>
      <c r="AG245" s="225"/>
      <c r="AH245" s="225"/>
      <c r="AI245" s="225"/>
      <c r="AJ245" s="225"/>
      <c r="AK245" s="65">
        <f t="shared" si="16"/>
        <v>0</v>
      </c>
      <c r="AL245" s="73">
        <f t="shared" si="17"/>
        <v>0</v>
      </c>
      <c r="AM245" s="14">
        <f t="shared" si="18"/>
        <v>0</v>
      </c>
      <c r="AN245" s="89"/>
      <c r="AS245" s="65">
        <v>0</v>
      </c>
    </row>
    <row r="246" spans="1:45" ht="15" hidden="1" customHeight="1" outlineLevel="1">
      <c r="A246" s="12"/>
      <c r="I246" s="137" t="s">
        <v>232</v>
      </c>
      <c r="J246" s="225"/>
      <c r="K246" s="225"/>
      <c r="L246" s="225"/>
      <c r="M246" s="225"/>
      <c r="N246" s="225"/>
      <c r="O246" s="225"/>
      <c r="P246" s="225"/>
      <c r="Q246" s="225"/>
      <c r="R246" s="225"/>
      <c r="S246" s="225"/>
      <c r="T246" s="225"/>
      <c r="U246" s="225"/>
      <c r="V246" s="226">
        <f t="shared" si="23"/>
        <v>0</v>
      </c>
      <c r="W246" s="73">
        <f t="shared" si="24"/>
        <v>0</v>
      </c>
      <c r="X246" s="89"/>
      <c r="Y246" s="225"/>
      <c r="Z246" s="225"/>
      <c r="AA246" s="225"/>
      <c r="AB246" s="225"/>
      <c r="AC246" s="225"/>
      <c r="AD246" s="225"/>
      <c r="AE246" s="225"/>
      <c r="AF246" s="225"/>
      <c r="AG246" s="225"/>
      <c r="AH246" s="225"/>
      <c r="AI246" s="225"/>
      <c r="AJ246" s="225"/>
      <c r="AK246" s="65">
        <f t="shared" si="16"/>
        <v>0</v>
      </c>
      <c r="AL246" s="73">
        <f t="shared" si="17"/>
        <v>0</v>
      </c>
      <c r="AM246" s="14">
        <f t="shared" si="18"/>
        <v>0</v>
      </c>
      <c r="AN246" s="89"/>
      <c r="AS246" s="65">
        <v>0</v>
      </c>
    </row>
    <row r="247" spans="1:45" ht="15" hidden="1" customHeight="1" outlineLevel="1">
      <c r="A247" s="12"/>
      <c r="I247" s="137" t="s">
        <v>233</v>
      </c>
      <c r="J247" s="225"/>
      <c r="K247" s="225"/>
      <c r="L247" s="225"/>
      <c r="M247" s="225"/>
      <c r="N247" s="225"/>
      <c r="O247" s="225"/>
      <c r="P247" s="225"/>
      <c r="Q247" s="225"/>
      <c r="R247" s="225"/>
      <c r="S247" s="225"/>
      <c r="T247" s="225"/>
      <c r="U247" s="225"/>
      <c r="V247" s="226">
        <f t="shared" si="23"/>
        <v>0</v>
      </c>
      <c r="W247" s="73">
        <f t="shared" si="24"/>
        <v>0</v>
      </c>
      <c r="X247" s="89"/>
      <c r="Y247" s="225"/>
      <c r="Z247" s="225"/>
      <c r="AA247" s="225"/>
      <c r="AB247" s="225"/>
      <c r="AC247" s="225"/>
      <c r="AD247" s="225"/>
      <c r="AE247" s="225"/>
      <c r="AF247" s="225"/>
      <c r="AG247" s="225"/>
      <c r="AH247" s="225"/>
      <c r="AI247" s="225"/>
      <c r="AJ247" s="225"/>
      <c r="AK247" s="65">
        <f t="shared" si="16"/>
        <v>0</v>
      </c>
      <c r="AL247" s="73">
        <f t="shared" si="17"/>
        <v>0</v>
      </c>
      <c r="AM247" s="14">
        <f t="shared" si="18"/>
        <v>0</v>
      </c>
      <c r="AN247" s="89"/>
      <c r="AS247" s="65">
        <v>0</v>
      </c>
    </row>
    <row r="248" spans="1:45" ht="15" hidden="1" customHeight="1" outlineLevel="1">
      <c r="A248" s="12"/>
      <c r="I248" s="137" t="s">
        <v>231</v>
      </c>
      <c r="J248" s="225"/>
      <c r="K248" s="225"/>
      <c r="L248" s="225"/>
      <c r="M248" s="225"/>
      <c r="N248" s="225"/>
      <c r="O248" s="225"/>
      <c r="P248" s="225"/>
      <c r="Q248" s="225"/>
      <c r="R248" s="225"/>
      <c r="S248" s="225"/>
      <c r="T248" s="225"/>
      <c r="U248" s="225"/>
      <c r="V248" s="226">
        <f t="shared" si="23"/>
        <v>0</v>
      </c>
      <c r="W248" s="73">
        <f t="shared" si="24"/>
        <v>0</v>
      </c>
      <c r="X248" s="89"/>
      <c r="Y248" s="225"/>
      <c r="Z248" s="225"/>
      <c r="AA248" s="225"/>
      <c r="AB248" s="225"/>
      <c r="AC248" s="225"/>
      <c r="AD248" s="225"/>
      <c r="AE248" s="225"/>
      <c r="AF248" s="225"/>
      <c r="AG248" s="225"/>
      <c r="AH248" s="225"/>
      <c r="AI248" s="225"/>
      <c r="AJ248" s="225"/>
      <c r="AK248" s="65">
        <f t="shared" si="16"/>
        <v>0</v>
      </c>
      <c r="AL248" s="73">
        <f t="shared" si="17"/>
        <v>0</v>
      </c>
      <c r="AM248" s="14">
        <f t="shared" si="18"/>
        <v>0</v>
      </c>
      <c r="AN248" s="89"/>
      <c r="AS248" s="65">
        <v>0</v>
      </c>
    </row>
    <row r="249" spans="1:45" ht="15" hidden="1" customHeight="1" outlineLevel="1">
      <c r="A249" s="12"/>
      <c r="I249" s="137" t="s">
        <v>222</v>
      </c>
      <c r="J249" s="225"/>
      <c r="K249" s="225"/>
      <c r="L249" s="225"/>
      <c r="M249" s="225"/>
      <c r="N249" s="225"/>
      <c r="O249" s="225"/>
      <c r="P249" s="225"/>
      <c r="Q249" s="225"/>
      <c r="R249" s="225"/>
      <c r="S249" s="225"/>
      <c r="T249" s="225"/>
      <c r="U249" s="225"/>
      <c r="V249" s="226">
        <f t="shared" si="23"/>
        <v>0</v>
      </c>
      <c r="W249" s="73">
        <f t="shared" si="24"/>
        <v>0</v>
      </c>
      <c r="X249" s="89"/>
      <c r="Y249" s="225"/>
      <c r="Z249" s="225"/>
      <c r="AA249" s="225"/>
      <c r="AB249" s="225"/>
      <c r="AC249" s="225"/>
      <c r="AD249" s="225"/>
      <c r="AE249" s="225"/>
      <c r="AF249" s="225"/>
      <c r="AG249" s="225"/>
      <c r="AH249" s="225"/>
      <c r="AI249" s="225"/>
      <c r="AJ249" s="225"/>
      <c r="AK249" s="65">
        <f t="shared" si="16"/>
        <v>0</v>
      </c>
      <c r="AL249" s="73">
        <f t="shared" si="17"/>
        <v>0</v>
      </c>
      <c r="AM249" s="14">
        <f t="shared" si="18"/>
        <v>0</v>
      </c>
      <c r="AN249" s="89"/>
      <c r="AS249" s="65">
        <v>0</v>
      </c>
    </row>
    <row r="250" spans="1:45" collapsed="1">
      <c r="A250" s="12" t="s">
        <v>263</v>
      </c>
      <c r="B250" s="8" t="s">
        <v>370</v>
      </c>
      <c r="E250" s="1"/>
      <c r="I250" s="122" t="s">
        <v>264</v>
      </c>
      <c r="J250" s="222">
        <f t="shared" ref="J250:U250" si="25">SUM(J251:J256)</f>
        <v>0</v>
      </c>
      <c r="K250" s="222">
        <f t="shared" si="25"/>
        <v>0</v>
      </c>
      <c r="L250" s="222">
        <f t="shared" si="25"/>
        <v>0</v>
      </c>
      <c r="M250" s="222">
        <f t="shared" si="25"/>
        <v>0</v>
      </c>
      <c r="N250" s="222">
        <f t="shared" si="25"/>
        <v>0</v>
      </c>
      <c r="O250" s="222">
        <f t="shared" si="25"/>
        <v>0</v>
      </c>
      <c r="P250" s="222">
        <f t="shared" si="25"/>
        <v>0</v>
      </c>
      <c r="Q250" s="222">
        <f t="shared" si="25"/>
        <v>0</v>
      </c>
      <c r="R250" s="222">
        <f t="shared" si="25"/>
        <v>0</v>
      </c>
      <c r="S250" s="222">
        <f t="shared" si="25"/>
        <v>0</v>
      </c>
      <c r="T250" s="222">
        <f t="shared" si="25"/>
        <v>0</v>
      </c>
      <c r="U250" s="222">
        <f t="shared" si="25"/>
        <v>0</v>
      </c>
      <c r="V250" s="222">
        <f>SUM(V251:V256)</f>
        <v>0</v>
      </c>
      <c r="W250" s="72">
        <f t="shared" si="24"/>
        <v>0</v>
      </c>
      <c r="X250" s="89"/>
      <c r="Y250" s="222">
        <f t="shared" ref="Y250:AJ250" si="26">SUM(Y251:Y256)</f>
        <v>0</v>
      </c>
      <c r="Z250" s="222">
        <f t="shared" si="26"/>
        <v>0</v>
      </c>
      <c r="AA250" s="222">
        <f t="shared" si="26"/>
        <v>0</v>
      </c>
      <c r="AB250" s="222">
        <f t="shared" si="26"/>
        <v>0</v>
      </c>
      <c r="AC250" s="222">
        <f t="shared" si="26"/>
        <v>0</v>
      </c>
      <c r="AD250" s="222">
        <f t="shared" si="26"/>
        <v>0</v>
      </c>
      <c r="AE250" s="222">
        <f t="shared" si="26"/>
        <v>0</v>
      </c>
      <c r="AF250" s="222">
        <f t="shared" si="26"/>
        <v>0</v>
      </c>
      <c r="AG250" s="222">
        <f t="shared" si="26"/>
        <v>0</v>
      </c>
      <c r="AH250" s="222">
        <f t="shared" si="26"/>
        <v>0</v>
      </c>
      <c r="AI250" s="222">
        <f t="shared" si="26"/>
        <v>0</v>
      </c>
      <c r="AJ250" s="222">
        <f t="shared" si="26"/>
        <v>0</v>
      </c>
      <c r="AK250" s="15">
        <f>SUM(AK251:AK256)</f>
        <v>0</v>
      </c>
      <c r="AL250" s="72">
        <v>1.270129193641356E-3</v>
      </c>
      <c r="AM250" s="10">
        <f t="shared" si="18"/>
        <v>0</v>
      </c>
      <c r="AN250" s="89"/>
      <c r="AS250" s="15">
        <v>0</v>
      </c>
    </row>
    <row r="251" spans="1:45" ht="15" hidden="1" customHeight="1" outlineLevel="1">
      <c r="A251" s="12" t="s">
        <v>263</v>
      </c>
      <c r="B251" s="8" t="s">
        <v>370</v>
      </c>
      <c r="E251" s="137" t="s">
        <v>270</v>
      </c>
      <c r="I251" s="137" t="s">
        <v>270</v>
      </c>
      <c r="J251" s="225"/>
      <c r="K251" s="225"/>
      <c r="L251" s="225"/>
      <c r="M251" s="225"/>
      <c r="N251" s="225"/>
      <c r="O251" s="225"/>
      <c r="P251" s="225"/>
      <c r="Q251" s="225"/>
      <c r="R251" s="225"/>
      <c r="S251" s="225"/>
      <c r="T251" s="225"/>
      <c r="U251" s="225"/>
      <c r="V251" s="226">
        <f t="shared" ref="V251:V256" si="27">SUM(J251:U251)</f>
        <v>0</v>
      </c>
      <c r="W251" s="73">
        <f t="shared" si="24"/>
        <v>0</v>
      </c>
      <c r="X251" s="89"/>
      <c r="Y251" s="225"/>
      <c r="Z251" s="225"/>
      <c r="AA251" s="225"/>
      <c r="AB251" s="225"/>
      <c r="AC251" s="225"/>
      <c r="AD251" s="225"/>
      <c r="AE251" s="225"/>
      <c r="AF251" s="225"/>
      <c r="AG251" s="225"/>
      <c r="AH251" s="225"/>
      <c r="AI251" s="225"/>
      <c r="AJ251" s="225"/>
      <c r="AK251" s="65">
        <f t="shared" si="16"/>
        <v>0</v>
      </c>
      <c r="AL251" s="73">
        <f t="shared" si="17"/>
        <v>0</v>
      </c>
      <c r="AM251" s="14">
        <f t="shared" si="18"/>
        <v>0</v>
      </c>
      <c r="AN251" s="89"/>
      <c r="AS251" s="65">
        <v>0</v>
      </c>
    </row>
    <row r="252" spans="1:45" ht="15" hidden="1" customHeight="1" outlineLevel="1">
      <c r="A252" s="12" t="s">
        <v>263</v>
      </c>
      <c r="B252" s="8" t="s">
        <v>370</v>
      </c>
      <c r="C252" s="19" t="s">
        <v>369</v>
      </c>
      <c r="E252" s="137" t="s">
        <v>292</v>
      </c>
      <c r="I252" s="137" t="s">
        <v>292</v>
      </c>
      <c r="J252" s="225"/>
      <c r="K252" s="225"/>
      <c r="L252" s="225"/>
      <c r="M252" s="225"/>
      <c r="N252" s="225"/>
      <c r="O252" s="225"/>
      <c r="P252" s="225"/>
      <c r="Q252" s="225"/>
      <c r="R252" s="225"/>
      <c r="S252" s="225"/>
      <c r="T252" s="225"/>
      <c r="U252" s="225"/>
      <c r="V252" s="226">
        <f t="shared" si="27"/>
        <v>0</v>
      </c>
      <c r="W252" s="73">
        <f t="shared" si="24"/>
        <v>0</v>
      </c>
      <c r="X252" s="89"/>
      <c r="Y252" s="225"/>
      <c r="Z252" s="225"/>
      <c r="AA252" s="225"/>
      <c r="AB252" s="225"/>
      <c r="AC252" s="225"/>
      <c r="AD252" s="225"/>
      <c r="AE252" s="225"/>
      <c r="AF252" s="225"/>
      <c r="AG252" s="225"/>
      <c r="AH252" s="225"/>
      <c r="AI252" s="225"/>
      <c r="AJ252" s="225"/>
      <c r="AK252" s="65">
        <f t="shared" si="16"/>
        <v>0</v>
      </c>
      <c r="AL252" s="73">
        <f t="shared" si="17"/>
        <v>0</v>
      </c>
      <c r="AM252" s="14">
        <f t="shared" si="18"/>
        <v>0</v>
      </c>
      <c r="AN252" s="89"/>
      <c r="AS252" s="65">
        <v>0</v>
      </c>
    </row>
    <row r="253" spans="1:45" ht="15" hidden="1" customHeight="1" outlineLevel="1">
      <c r="A253" s="12" t="s">
        <v>263</v>
      </c>
      <c r="B253" s="8" t="s">
        <v>370</v>
      </c>
      <c r="E253" s="137" t="s">
        <v>293</v>
      </c>
      <c r="I253" s="137" t="s">
        <v>293</v>
      </c>
      <c r="J253" s="225"/>
      <c r="K253" s="225"/>
      <c r="L253" s="225"/>
      <c r="M253" s="225"/>
      <c r="N253" s="225"/>
      <c r="O253" s="225"/>
      <c r="P253" s="225"/>
      <c r="Q253" s="225"/>
      <c r="R253" s="225"/>
      <c r="S253" s="225"/>
      <c r="T253" s="225"/>
      <c r="U253" s="225"/>
      <c r="V253" s="226">
        <f t="shared" si="27"/>
        <v>0</v>
      </c>
      <c r="W253" s="73">
        <f t="shared" si="24"/>
        <v>0</v>
      </c>
      <c r="X253" s="89"/>
      <c r="Y253" s="225"/>
      <c r="Z253" s="225"/>
      <c r="AA253" s="225"/>
      <c r="AB253" s="225"/>
      <c r="AC253" s="225"/>
      <c r="AD253" s="225"/>
      <c r="AE253" s="225"/>
      <c r="AF253" s="225"/>
      <c r="AG253" s="225"/>
      <c r="AH253" s="225"/>
      <c r="AI253" s="225"/>
      <c r="AJ253" s="225"/>
      <c r="AK253" s="65">
        <f t="shared" si="16"/>
        <v>0</v>
      </c>
      <c r="AL253" s="73">
        <f t="shared" si="17"/>
        <v>0</v>
      </c>
      <c r="AM253" s="14">
        <f t="shared" si="18"/>
        <v>0</v>
      </c>
      <c r="AN253" s="89"/>
      <c r="AS253" s="65">
        <v>0</v>
      </c>
    </row>
    <row r="254" spans="1:45" ht="15" hidden="1" customHeight="1" outlineLevel="1">
      <c r="A254" s="12" t="s">
        <v>263</v>
      </c>
      <c r="B254" s="8" t="s">
        <v>370</v>
      </c>
      <c r="E254" s="137" t="s">
        <v>269</v>
      </c>
      <c r="I254" s="137" t="s">
        <v>269</v>
      </c>
      <c r="J254" s="225"/>
      <c r="K254" s="225"/>
      <c r="L254" s="225"/>
      <c r="M254" s="225"/>
      <c r="N254" s="225"/>
      <c r="O254" s="225"/>
      <c r="P254" s="225"/>
      <c r="Q254" s="225"/>
      <c r="R254" s="225"/>
      <c r="S254" s="225"/>
      <c r="T254" s="225"/>
      <c r="U254" s="225"/>
      <c r="V254" s="226">
        <f t="shared" si="27"/>
        <v>0</v>
      </c>
      <c r="W254" s="73">
        <f t="shared" si="24"/>
        <v>0</v>
      </c>
      <c r="X254" s="89"/>
      <c r="Y254" s="225"/>
      <c r="Z254" s="225"/>
      <c r="AA254" s="225"/>
      <c r="AB254" s="225"/>
      <c r="AC254" s="225"/>
      <c r="AD254" s="225"/>
      <c r="AE254" s="225"/>
      <c r="AF254" s="225"/>
      <c r="AG254" s="225"/>
      <c r="AH254" s="225"/>
      <c r="AI254" s="225"/>
      <c r="AJ254" s="225"/>
      <c r="AK254" s="65">
        <f t="shared" si="16"/>
        <v>0</v>
      </c>
      <c r="AL254" s="73">
        <f t="shared" si="17"/>
        <v>0</v>
      </c>
      <c r="AM254" s="14">
        <f t="shared" si="18"/>
        <v>0</v>
      </c>
      <c r="AN254" s="89"/>
      <c r="AS254" s="65">
        <v>0</v>
      </c>
    </row>
    <row r="255" spans="1:45" ht="15" hidden="1" customHeight="1" outlineLevel="1">
      <c r="A255" s="12" t="s">
        <v>263</v>
      </c>
      <c r="B255" s="8" t="s">
        <v>370</v>
      </c>
      <c r="E255" s="137" t="s">
        <v>266</v>
      </c>
      <c r="I255" s="137" t="s">
        <v>266</v>
      </c>
      <c r="J255" s="225"/>
      <c r="K255" s="225"/>
      <c r="L255" s="225"/>
      <c r="M255" s="225"/>
      <c r="N255" s="225"/>
      <c r="O255" s="225"/>
      <c r="P255" s="225"/>
      <c r="Q255" s="225"/>
      <c r="R255" s="225"/>
      <c r="S255" s="225"/>
      <c r="T255" s="225"/>
      <c r="U255" s="225"/>
      <c r="V255" s="226">
        <f t="shared" si="27"/>
        <v>0</v>
      </c>
      <c r="W255" s="73">
        <f t="shared" si="24"/>
        <v>0</v>
      </c>
      <c r="X255" s="89"/>
      <c r="Y255" s="225"/>
      <c r="Z255" s="225"/>
      <c r="AA255" s="225"/>
      <c r="AB255" s="225"/>
      <c r="AC255" s="225"/>
      <c r="AD255" s="225"/>
      <c r="AE255" s="225"/>
      <c r="AF255" s="225"/>
      <c r="AG255" s="225"/>
      <c r="AH255" s="225"/>
      <c r="AI255" s="225"/>
      <c r="AJ255" s="225"/>
      <c r="AK255" s="65">
        <f t="shared" si="16"/>
        <v>0</v>
      </c>
      <c r="AL255" s="73">
        <f t="shared" si="17"/>
        <v>0</v>
      </c>
      <c r="AM255" s="14">
        <f t="shared" si="18"/>
        <v>0</v>
      </c>
      <c r="AN255" s="89"/>
      <c r="AS255" s="65">
        <v>0</v>
      </c>
    </row>
    <row r="256" spans="1:45" ht="15" hidden="1" customHeight="1" outlineLevel="1">
      <c r="A256" s="12" t="s">
        <v>263</v>
      </c>
      <c r="B256" s="8" t="s">
        <v>370</v>
      </c>
      <c r="E256" s="137" t="s">
        <v>294</v>
      </c>
      <c r="I256" s="137" t="s">
        <v>294</v>
      </c>
      <c r="J256" s="225"/>
      <c r="K256" s="225"/>
      <c r="L256" s="225"/>
      <c r="M256" s="225"/>
      <c r="N256" s="225"/>
      <c r="O256" s="225"/>
      <c r="P256" s="225"/>
      <c r="Q256" s="225"/>
      <c r="R256" s="225"/>
      <c r="S256" s="225"/>
      <c r="T256" s="225"/>
      <c r="U256" s="225"/>
      <c r="V256" s="226">
        <f t="shared" si="27"/>
        <v>0</v>
      </c>
      <c r="W256" s="73">
        <f t="shared" si="24"/>
        <v>0</v>
      </c>
      <c r="X256" s="89"/>
      <c r="Y256" s="225"/>
      <c r="Z256" s="225"/>
      <c r="AA256" s="225"/>
      <c r="AB256" s="225"/>
      <c r="AC256" s="225"/>
      <c r="AD256" s="225"/>
      <c r="AE256" s="225"/>
      <c r="AF256" s="225"/>
      <c r="AG256" s="225"/>
      <c r="AH256" s="225"/>
      <c r="AI256" s="225"/>
      <c r="AJ256" s="225"/>
      <c r="AK256" s="65">
        <f t="shared" si="16"/>
        <v>0</v>
      </c>
      <c r="AL256" s="73">
        <f t="shared" si="17"/>
        <v>0</v>
      </c>
      <c r="AM256" s="14">
        <f t="shared" si="18"/>
        <v>0</v>
      </c>
      <c r="AN256" s="89"/>
      <c r="AS256" s="65">
        <v>0</v>
      </c>
    </row>
    <row r="257" spans="9:45" ht="16.5" customHeight="1">
      <c r="I257" s="128" t="s">
        <v>295</v>
      </c>
      <c r="J257" s="222">
        <f t="shared" ref="J257:V257" si="28">J168+J218+J235+J240+J250</f>
        <v>81142</v>
      </c>
      <c r="K257" s="222">
        <f t="shared" si="28"/>
        <v>75000</v>
      </c>
      <c r="L257" s="222">
        <f t="shared" si="28"/>
        <v>192390</v>
      </c>
      <c r="M257" s="222">
        <f t="shared" si="28"/>
        <v>-21349</v>
      </c>
      <c r="N257" s="222">
        <f t="shared" si="28"/>
        <v>120596</v>
      </c>
      <c r="O257" s="222">
        <f t="shared" si="28"/>
        <v>54358</v>
      </c>
      <c r="P257" s="222">
        <f t="shared" si="28"/>
        <v>82485</v>
      </c>
      <c r="Q257" s="222">
        <f t="shared" si="28"/>
        <v>0</v>
      </c>
      <c r="R257" s="222">
        <f t="shared" si="28"/>
        <v>42533</v>
      </c>
      <c r="S257" s="222">
        <f t="shared" si="28"/>
        <v>98201</v>
      </c>
      <c r="T257" s="222">
        <f t="shared" si="28"/>
        <v>0</v>
      </c>
      <c r="U257" s="222">
        <f t="shared" si="28"/>
        <v>0</v>
      </c>
      <c r="V257" s="222">
        <f t="shared" si="28"/>
        <v>725356</v>
      </c>
      <c r="W257" s="72">
        <f t="shared" si="24"/>
        <v>8.0940105610628971E-4</v>
      </c>
      <c r="X257" s="89"/>
      <c r="Y257" s="222">
        <f>Y168+Y218+Y235+Y240+Y250</f>
        <v>58822.2</v>
      </c>
      <c r="Z257" s="222">
        <f t="shared" ref="Z257:AJ257" si="29">Z168+Z218+Z235+Z240+Z250</f>
        <v>57731.369999999995</v>
      </c>
      <c r="AA257" s="222">
        <f t="shared" si="29"/>
        <v>63215.864999999998</v>
      </c>
      <c r="AB257" s="222">
        <f t="shared" si="29"/>
        <v>59552.294999999998</v>
      </c>
      <c r="AC257" s="222">
        <f t="shared" si="29"/>
        <v>67717.875</v>
      </c>
      <c r="AD257" s="222">
        <f t="shared" si="29"/>
        <v>66702.225000000006</v>
      </c>
      <c r="AE257" s="222">
        <f t="shared" si="29"/>
        <v>65733.614999999991</v>
      </c>
      <c r="AF257" s="222">
        <f t="shared" si="29"/>
        <v>66594.345000000001</v>
      </c>
      <c r="AG257" s="222">
        <f t="shared" si="29"/>
        <v>65173.799999999996</v>
      </c>
      <c r="AH257" s="222">
        <f t="shared" si="29"/>
        <v>66143.459999999992</v>
      </c>
      <c r="AI257" s="222">
        <f t="shared" si="29"/>
        <v>63897.824999999997</v>
      </c>
      <c r="AJ257" s="222">
        <f t="shared" si="29"/>
        <v>60380.1</v>
      </c>
      <c r="AK257" s="222">
        <f>+AK250+AK240+AK235+AK218+AK168</f>
        <v>761664.97499999986</v>
      </c>
      <c r="AL257" s="72">
        <v>2.3465277082662508E-2</v>
      </c>
      <c r="AM257" s="10">
        <f t="shared" si="18"/>
        <v>5.0056765229762767E-2</v>
      </c>
      <c r="AN257" s="89"/>
      <c r="AS257" s="222">
        <v>761664.97499999986</v>
      </c>
    </row>
    <row r="258" spans="9:45" ht="16.5" customHeight="1">
      <c r="I258" s="128"/>
      <c r="J258" s="222"/>
      <c r="K258" s="222"/>
      <c r="L258" s="222"/>
      <c r="M258" s="222"/>
      <c r="N258" s="222"/>
      <c r="O258" s="222"/>
      <c r="P258" s="222"/>
      <c r="Q258" s="222"/>
      <c r="R258" s="222"/>
      <c r="S258" s="222"/>
      <c r="T258" s="222"/>
      <c r="U258" s="222"/>
      <c r="V258" s="222"/>
      <c r="W258" s="72"/>
      <c r="X258" s="89"/>
      <c r="Y258" s="222"/>
      <c r="Z258" s="222"/>
      <c r="AA258" s="222"/>
      <c r="AB258" s="222"/>
      <c r="AC258" s="222"/>
      <c r="AD258" s="222"/>
      <c r="AE258" s="222"/>
      <c r="AF258" s="222"/>
      <c r="AG258" s="222"/>
      <c r="AH258" s="222"/>
      <c r="AI258" s="222"/>
      <c r="AJ258" s="222"/>
      <c r="AK258" s="222"/>
      <c r="AL258" s="72"/>
      <c r="AM258" s="10"/>
      <c r="AN258" s="89"/>
      <c r="AS258" s="222"/>
    </row>
    <row r="259" spans="9:45" ht="16.5" customHeight="1">
      <c r="I259" s="257" t="s">
        <v>296</v>
      </c>
      <c r="J259" s="222"/>
      <c r="K259" s="222"/>
      <c r="L259" s="222"/>
      <c r="M259" s="222"/>
      <c r="N259" s="222"/>
      <c r="O259" s="222"/>
      <c r="P259" s="222"/>
      <c r="Q259" s="222"/>
      <c r="R259" s="222"/>
      <c r="S259" s="222"/>
      <c r="T259" s="222"/>
      <c r="U259" s="222"/>
      <c r="V259" s="222"/>
      <c r="W259" s="72"/>
      <c r="X259" s="89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72"/>
      <c r="AM259" s="10"/>
      <c r="AN259" s="89"/>
      <c r="AS259" s="222"/>
    </row>
    <row r="260" spans="9:45" ht="16.5" customHeight="1">
      <c r="I260" s="264" t="s">
        <v>467</v>
      </c>
      <c r="J260" s="222"/>
      <c r="K260" s="222"/>
      <c r="L260" s="222"/>
      <c r="M260" s="222"/>
      <c r="N260" s="222"/>
      <c r="O260" s="222"/>
      <c r="P260" s="222"/>
      <c r="Q260" s="222"/>
      <c r="R260" s="222"/>
      <c r="S260" s="222"/>
      <c r="T260" s="222"/>
      <c r="U260" s="222"/>
      <c r="V260" s="222"/>
      <c r="W260" s="72"/>
      <c r="X260" s="89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72"/>
      <c r="AM260" s="10"/>
      <c r="AN260" s="89"/>
      <c r="AS260" s="222"/>
    </row>
    <row r="261" spans="9:45" ht="16.5" customHeight="1" collapsed="1">
      <c r="I261" s="167" t="s">
        <v>146</v>
      </c>
      <c r="J261" s="222">
        <f>SUM(J262:J307)</f>
        <v>0</v>
      </c>
      <c r="K261" s="222">
        <f t="shared" ref="K261:U261" si="30">SUM(K262:K307)</f>
        <v>0</v>
      </c>
      <c r="L261" s="222">
        <f t="shared" si="30"/>
        <v>0</v>
      </c>
      <c r="M261" s="222">
        <f t="shared" si="30"/>
        <v>0</v>
      </c>
      <c r="N261" s="222">
        <f t="shared" si="30"/>
        <v>0</v>
      </c>
      <c r="O261" s="222">
        <f t="shared" si="30"/>
        <v>0</v>
      </c>
      <c r="P261" s="222">
        <f t="shared" si="30"/>
        <v>0</v>
      </c>
      <c r="Q261" s="222">
        <f t="shared" si="30"/>
        <v>0</v>
      </c>
      <c r="R261" s="222">
        <f t="shared" si="30"/>
        <v>0</v>
      </c>
      <c r="S261" s="222">
        <f t="shared" si="30"/>
        <v>0</v>
      </c>
      <c r="T261" s="222">
        <f t="shared" si="30"/>
        <v>0</v>
      </c>
      <c r="U261" s="222">
        <f t="shared" si="30"/>
        <v>0</v>
      </c>
      <c r="V261" s="222">
        <f>SUM(J261:U261)</f>
        <v>0</v>
      </c>
      <c r="W261" s="72">
        <f>V261/V$6</f>
        <v>0</v>
      </c>
      <c r="X261" s="89"/>
      <c r="Y261" s="15">
        <f t="shared" ref="Y261:AJ261" si="31">SUM(Y262:Y307)</f>
        <v>0</v>
      </c>
      <c r="Z261" s="15">
        <f t="shared" si="31"/>
        <v>0</v>
      </c>
      <c r="AA261" s="15">
        <f t="shared" si="31"/>
        <v>0</v>
      </c>
      <c r="AB261" s="15">
        <f t="shared" si="31"/>
        <v>0</v>
      </c>
      <c r="AC261" s="15">
        <f t="shared" si="31"/>
        <v>0</v>
      </c>
      <c r="AD261" s="15">
        <f t="shared" si="31"/>
        <v>0</v>
      </c>
      <c r="AE261" s="15">
        <f t="shared" si="31"/>
        <v>0</v>
      </c>
      <c r="AF261" s="15">
        <f t="shared" si="31"/>
        <v>0</v>
      </c>
      <c r="AG261" s="15">
        <f t="shared" si="31"/>
        <v>0</v>
      </c>
      <c r="AH261" s="15">
        <f t="shared" si="31"/>
        <v>0</v>
      </c>
      <c r="AI261" s="15">
        <f t="shared" si="31"/>
        <v>0</v>
      </c>
      <c r="AJ261" s="15">
        <f t="shared" si="31"/>
        <v>0</v>
      </c>
      <c r="AK261" s="15">
        <f>SUM(AK262:AK307)</f>
        <v>0</v>
      </c>
      <c r="AL261" s="72">
        <f t="shared" ref="AL261:AL324" si="32">AK261/AK$6</f>
        <v>0</v>
      </c>
      <c r="AM261" s="10">
        <f t="shared" ref="AM261:AM307" si="33">IFERROR(AK261/V261-1,0)</f>
        <v>0</v>
      </c>
      <c r="AN261" s="89"/>
      <c r="AS261" s="15">
        <v>0</v>
      </c>
    </row>
    <row r="262" spans="9:45" ht="16.5" hidden="1" customHeight="1" outlineLevel="1">
      <c r="I262" s="246" t="s">
        <v>159</v>
      </c>
      <c r="J262" s="279"/>
      <c r="K262" s="279"/>
      <c r="L262" s="279"/>
      <c r="M262" s="279"/>
      <c r="N262" s="279"/>
      <c r="O262" s="279"/>
      <c r="P262" s="279"/>
      <c r="Q262" s="279"/>
      <c r="R262" s="279"/>
      <c r="S262" s="279"/>
      <c r="T262" s="279"/>
      <c r="U262" s="279"/>
      <c r="V262" s="222">
        <f t="shared" ref="V262:V325" si="34">SUM(J262:U262)</f>
        <v>0</v>
      </c>
      <c r="W262" s="72">
        <f>V262/V$6</f>
        <v>0</v>
      </c>
      <c r="X262" s="89"/>
      <c r="Y262" s="222"/>
      <c r="Z262" s="222"/>
      <c r="AA262" s="222"/>
      <c r="AB262" s="222"/>
      <c r="AC262" s="222"/>
      <c r="AD262" s="222"/>
      <c r="AE262" s="222"/>
      <c r="AF262" s="222"/>
      <c r="AG262" s="222"/>
      <c r="AH262" s="222"/>
      <c r="AI262" s="222"/>
      <c r="AJ262" s="222"/>
      <c r="AK262" s="222">
        <v>0</v>
      </c>
      <c r="AL262" s="72">
        <f t="shared" si="32"/>
        <v>0</v>
      </c>
      <c r="AM262" s="10">
        <f t="shared" si="33"/>
        <v>0</v>
      </c>
      <c r="AN262" s="89"/>
      <c r="AS262" s="222">
        <v>0</v>
      </c>
    </row>
    <row r="263" spans="9:45" ht="16.5" hidden="1" customHeight="1" outlineLevel="1">
      <c r="I263" s="246" t="s">
        <v>153</v>
      </c>
      <c r="J263" s="279"/>
      <c r="K263" s="279"/>
      <c r="L263" s="279"/>
      <c r="M263" s="279"/>
      <c r="N263" s="279"/>
      <c r="O263" s="279"/>
      <c r="P263" s="279"/>
      <c r="Q263" s="279"/>
      <c r="R263" s="279"/>
      <c r="S263" s="279"/>
      <c r="T263" s="279"/>
      <c r="U263" s="279"/>
      <c r="V263" s="222">
        <f t="shared" si="34"/>
        <v>0</v>
      </c>
      <c r="W263" s="72">
        <f>V263/V$6</f>
        <v>0</v>
      </c>
      <c r="X263" s="89"/>
      <c r="Y263" s="222"/>
      <c r="Z263" s="222"/>
      <c r="AA263" s="222"/>
      <c r="AB263" s="222"/>
      <c r="AC263" s="222"/>
      <c r="AD263" s="222"/>
      <c r="AE263" s="222"/>
      <c r="AF263" s="222"/>
      <c r="AG263" s="222"/>
      <c r="AH263" s="222"/>
      <c r="AI263" s="222"/>
      <c r="AJ263" s="222"/>
      <c r="AK263" s="222">
        <v>0</v>
      </c>
      <c r="AL263" s="72">
        <f t="shared" si="32"/>
        <v>0</v>
      </c>
      <c r="AM263" s="10">
        <f t="shared" si="33"/>
        <v>0</v>
      </c>
      <c r="AN263" s="89"/>
      <c r="AS263" s="222">
        <v>0</v>
      </c>
    </row>
    <row r="264" spans="9:45" ht="16.5" hidden="1" customHeight="1" outlineLevel="1">
      <c r="I264" s="246" t="s">
        <v>276</v>
      </c>
      <c r="J264" s="279"/>
      <c r="K264" s="279"/>
      <c r="L264" s="279"/>
      <c r="M264" s="279"/>
      <c r="N264" s="279"/>
      <c r="O264" s="279"/>
      <c r="P264" s="279"/>
      <c r="Q264" s="279"/>
      <c r="R264" s="279"/>
      <c r="S264" s="279"/>
      <c r="T264" s="279"/>
      <c r="U264" s="279"/>
      <c r="V264" s="222">
        <f t="shared" si="34"/>
        <v>0</v>
      </c>
      <c r="W264" s="72">
        <f>V264/V$6</f>
        <v>0</v>
      </c>
      <c r="X264" s="89"/>
      <c r="Y264" s="222"/>
      <c r="Z264" s="222"/>
      <c r="AA264" s="222"/>
      <c r="AB264" s="222"/>
      <c r="AC264" s="222"/>
      <c r="AD264" s="222"/>
      <c r="AE264" s="222"/>
      <c r="AF264" s="222"/>
      <c r="AG264" s="222"/>
      <c r="AH264" s="222"/>
      <c r="AI264" s="222"/>
      <c r="AJ264" s="222"/>
      <c r="AK264" s="222">
        <v>0</v>
      </c>
      <c r="AL264" s="72">
        <f t="shared" si="32"/>
        <v>0</v>
      </c>
      <c r="AM264" s="10">
        <f t="shared" si="33"/>
        <v>0</v>
      </c>
      <c r="AN264" s="89"/>
      <c r="AS264" s="222">
        <v>0</v>
      </c>
    </row>
    <row r="265" spans="9:45" ht="16.5" hidden="1" customHeight="1" outlineLevel="1">
      <c r="I265" s="246" t="s">
        <v>183</v>
      </c>
      <c r="J265" s="279"/>
      <c r="K265" s="279"/>
      <c r="L265" s="279"/>
      <c r="M265" s="279"/>
      <c r="N265" s="279"/>
      <c r="O265" s="279"/>
      <c r="P265" s="279"/>
      <c r="Q265" s="279"/>
      <c r="R265" s="279"/>
      <c r="S265" s="279"/>
      <c r="T265" s="279"/>
      <c r="U265" s="279"/>
      <c r="V265" s="222">
        <f t="shared" si="34"/>
        <v>0</v>
      </c>
      <c r="W265" s="72">
        <f>V265/V$6</f>
        <v>0</v>
      </c>
      <c r="X265" s="89"/>
      <c r="Y265" s="222"/>
      <c r="Z265" s="222"/>
      <c r="AA265" s="222"/>
      <c r="AB265" s="222"/>
      <c r="AC265" s="222"/>
      <c r="AD265" s="222"/>
      <c r="AE265" s="222"/>
      <c r="AF265" s="222"/>
      <c r="AG265" s="222"/>
      <c r="AH265" s="222"/>
      <c r="AI265" s="222"/>
      <c r="AJ265" s="222"/>
      <c r="AK265" s="222">
        <v>0</v>
      </c>
      <c r="AL265" s="72">
        <f t="shared" si="32"/>
        <v>0</v>
      </c>
      <c r="AM265" s="10">
        <f t="shared" si="33"/>
        <v>0</v>
      </c>
      <c r="AN265" s="89"/>
      <c r="AS265" s="222">
        <v>0</v>
      </c>
    </row>
    <row r="266" spans="9:45" ht="16.5" hidden="1" customHeight="1" outlineLevel="1">
      <c r="I266" s="246" t="s">
        <v>162</v>
      </c>
      <c r="J266" s="279"/>
      <c r="K266" s="279"/>
      <c r="L266" s="279"/>
      <c r="M266" s="279"/>
      <c r="N266" s="279"/>
      <c r="O266" s="279"/>
      <c r="P266" s="279"/>
      <c r="Q266" s="279"/>
      <c r="R266" s="279"/>
      <c r="S266" s="279"/>
      <c r="T266" s="279"/>
      <c r="U266" s="279"/>
      <c r="V266" s="222">
        <f t="shared" si="34"/>
        <v>0</v>
      </c>
      <c r="W266" s="72">
        <f>V266/V$6</f>
        <v>0</v>
      </c>
      <c r="X266" s="89"/>
      <c r="Y266" s="65">
        <f>+VLOOKUP($I$266,[2]Resumen!$V$7:$AH$8,Y1,0)</f>
        <v>0</v>
      </c>
      <c r="Z266" s="65">
        <f>+VLOOKUP($I$266,[2]Resumen!$V$7:$AH$8,Z1,0)</f>
        <v>0</v>
      </c>
      <c r="AA266" s="65">
        <f>+VLOOKUP($I$266,[2]Resumen!$V$7:$AH$8,AA1,0)</f>
        <v>0</v>
      </c>
      <c r="AB266" s="65">
        <f>+VLOOKUP($I$266,[2]Resumen!$V$7:$AH$8,AB1,0)</f>
        <v>0</v>
      </c>
      <c r="AC266" s="65">
        <f>+VLOOKUP($I$266,[2]Resumen!$V$7:$AH$8,AC1,0)</f>
        <v>0</v>
      </c>
      <c r="AD266" s="65">
        <f>+VLOOKUP($I$266,[2]Resumen!$V$7:$AH$8,AD1,0)</f>
        <v>0</v>
      </c>
      <c r="AE266" s="65">
        <f>+VLOOKUP($I$266,[2]Resumen!$V$7:$AH$8,AE1,0)</f>
        <v>0</v>
      </c>
      <c r="AF266" s="65">
        <f>+VLOOKUP($I$266,[2]Resumen!$V$7:$AH$8,AF1,0)</f>
        <v>0</v>
      </c>
      <c r="AG266" s="65">
        <f>+VLOOKUP($I$266,[2]Resumen!$V$7:$AH$8,AG1,0)</f>
        <v>0</v>
      </c>
      <c r="AH266" s="65">
        <f>+VLOOKUP($I$266,[2]Resumen!$V$7:$AH$8,AH1,0)</f>
        <v>0</v>
      </c>
      <c r="AI266" s="65">
        <f>+VLOOKUP($I$266,[2]Resumen!$V$7:$AH$8,AI1,0)</f>
        <v>0</v>
      </c>
      <c r="AJ266" s="65">
        <f>+VLOOKUP($I$266,[2]Resumen!$V$7:$AH$8,AJ1,0)</f>
        <v>0</v>
      </c>
      <c r="AK266" s="65">
        <f t="shared" ref="AK266" si="35">SUM(Y266:AJ266)</f>
        <v>0</v>
      </c>
      <c r="AL266" s="72">
        <f t="shared" si="32"/>
        <v>0</v>
      </c>
      <c r="AM266" s="10">
        <f t="shared" si="33"/>
        <v>0</v>
      </c>
      <c r="AN266" s="89"/>
      <c r="AS266" s="65">
        <v>0</v>
      </c>
    </row>
    <row r="267" spans="9:45" ht="16.5" hidden="1" customHeight="1" outlineLevel="1">
      <c r="I267" s="246" t="s">
        <v>161</v>
      </c>
      <c r="J267" s="279"/>
      <c r="K267" s="279"/>
      <c r="L267" s="279"/>
      <c r="M267" s="279"/>
      <c r="N267" s="279"/>
      <c r="O267" s="279"/>
      <c r="P267" s="279"/>
      <c r="Q267" s="279"/>
      <c r="R267" s="279"/>
      <c r="S267" s="279"/>
      <c r="T267" s="279"/>
      <c r="U267" s="279"/>
      <c r="V267" s="222">
        <f t="shared" si="34"/>
        <v>0</v>
      </c>
      <c r="W267" s="72">
        <f>V267/V$6</f>
        <v>0</v>
      </c>
      <c r="X267" s="89"/>
      <c r="Y267" s="222"/>
      <c r="Z267" s="222"/>
      <c r="AA267" s="222"/>
      <c r="AB267" s="222"/>
      <c r="AC267" s="222"/>
      <c r="AD267" s="222"/>
      <c r="AE267" s="222"/>
      <c r="AF267" s="222"/>
      <c r="AG267" s="222"/>
      <c r="AH267" s="222"/>
      <c r="AI267" s="222"/>
      <c r="AJ267" s="222"/>
      <c r="AK267" s="222">
        <v>0</v>
      </c>
      <c r="AL267" s="72">
        <f t="shared" si="32"/>
        <v>0</v>
      </c>
      <c r="AM267" s="10">
        <f t="shared" si="33"/>
        <v>0</v>
      </c>
      <c r="AN267" s="89"/>
      <c r="AS267" s="222">
        <v>0</v>
      </c>
    </row>
    <row r="268" spans="9:45" ht="16.5" hidden="1" customHeight="1" outlineLevel="1">
      <c r="I268" s="246" t="s">
        <v>188</v>
      </c>
      <c r="J268" s="279"/>
      <c r="K268" s="279"/>
      <c r="L268" s="279"/>
      <c r="M268" s="279"/>
      <c r="N268" s="279"/>
      <c r="O268" s="279"/>
      <c r="P268" s="279"/>
      <c r="Q268" s="279"/>
      <c r="R268" s="279"/>
      <c r="S268" s="279"/>
      <c r="T268" s="279"/>
      <c r="U268" s="279"/>
      <c r="V268" s="222">
        <f t="shared" si="34"/>
        <v>0</v>
      </c>
      <c r="W268" s="72">
        <f>V268/V$6</f>
        <v>0</v>
      </c>
      <c r="X268" s="89"/>
      <c r="Y268" s="222"/>
      <c r="Z268" s="222"/>
      <c r="AA268" s="222"/>
      <c r="AB268" s="222"/>
      <c r="AC268" s="222"/>
      <c r="AD268" s="222"/>
      <c r="AE268" s="222"/>
      <c r="AF268" s="222"/>
      <c r="AG268" s="222"/>
      <c r="AH268" s="222"/>
      <c r="AI268" s="222"/>
      <c r="AJ268" s="222"/>
      <c r="AK268" s="222">
        <v>0</v>
      </c>
      <c r="AL268" s="72">
        <f t="shared" si="32"/>
        <v>0</v>
      </c>
      <c r="AM268" s="10">
        <f t="shared" si="33"/>
        <v>0</v>
      </c>
      <c r="AN268" s="89"/>
      <c r="AS268" s="222">
        <v>0</v>
      </c>
    </row>
    <row r="269" spans="9:45" ht="16.5" hidden="1" customHeight="1" outlineLevel="1">
      <c r="I269" s="246" t="s">
        <v>277</v>
      </c>
      <c r="J269" s="279"/>
      <c r="K269" s="279"/>
      <c r="L269" s="279"/>
      <c r="M269" s="279"/>
      <c r="N269" s="279"/>
      <c r="O269" s="279"/>
      <c r="P269" s="279"/>
      <c r="Q269" s="279"/>
      <c r="R269" s="279"/>
      <c r="S269" s="279"/>
      <c r="T269" s="279"/>
      <c r="U269" s="279"/>
      <c r="V269" s="222">
        <f t="shared" si="34"/>
        <v>0</v>
      </c>
      <c r="W269" s="72">
        <f>V269/V$6</f>
        <v>0</v>
      </c>
      <c r="X269" s="89"/>
      <c r="Y269" s="222"/>
      <c r="Z269" s="222"/>
      <c r="AA269" s="222"/>
      <c r="AB269" s="222"/>
      <c r="AC269" s="222"/>
      <c r="AD269" s="222"/>
      <c r="AE269" s="222"/>
      <c r="AF269" s="222"/>
      <c r="AG269" s="222"/>
      <c r="AH269" s="222"/>
      <c r="AI269" s="222"/>
      <c r="AJ269" s="222"/>
      <c r="AK269" s="222">
        <v>0</v>
      </c>
      <c r="AL269" s="72">
        <f t="shared" si="32"/>
        <v>0</v>
      </c>
      <c r="AM269" s="10">
        <f t="shared" si="33"/>
        <v>0</v>
      </c>
      <c r="AN269" s="89"/>
      <c r="AS269" s="222">
        <v>0</v>
      </c>
    </row>
    <row r="270" spans="9:45" ht="16.5" hidden="1" customHeight="1" outlineLevel="1">
      <c r="I270" s="246" t="s">
        <v>278</v>
      </c>
      <c r="J270" s="279"/>
      <c r="K270" s="279"/>
      <c r="L270" s="279"/>
      <c r="M270" s="279"/>
      <c r="N270" s="279"/>
      <c r="O270" s="279"/>
      <c r="P270" s="279"/>
      <c r="Q270" s="279"/>
      <c r="R270" s="279"/>
      <c r="S270" s="279"/>
      <c r="T270" s="279"/>
      <c r="U270" s="279"/>
      <c r="V270" s="222">
        <f t="shared" si="34"/>
        <v>0</v>
      </c>
      <c r="W270" s="72">
        <f>V270/V$6</f>
        <v>0</v>
      </c>
      <c r="X270" s="89"/>
      <c r="Y270" s="222"/>
      <c r="Z270" s="222"/>
      <c r="AA270" s="222"/>
      <c r="AB270" s="222"/>
      <c r="AC270" s="222"/>
      <c r="AD270" s="222"/>
      <c r="AE270" s="222"/>
      <c r="AF270" s="222"/>
      <c r="AG270" s="222"/>
      <c r="AH270" s="222"/>
      <c r="AI270" s="222"/>
      <c r="AJ270" s="222"/>
      <c r="AK270" s="222">
        <v>0</v>
      </c>
      <c r="AL270" s="72">
        <f t="shared" si="32"/>
        <v>0</v>
      </c>
      <c r="AM270" s="10">
        <f t="shared" si="33"/>
        <v>0</v>
      </c>
      <c r="AN270" s="89"/>
      <c r="AS270" s="222">
        <v>0</v>
      </c>
    </row>
    <row r="271" spans="9:45" ht="16.5" hidden="1" customHeight="1" outlineLevel="1">
      <c r="I271" s="246" t="s">
        <v>187</v>
      </c>
      <c r="J271" s="279"/>
      <c r="K271" s="279"/>
      <c r="L271" s="279"/>
      <c r="M271" s="279"/>
      <c r="N271" s="279"/>
      <c r="O271" s="279"/>
      <c r="P271" s="279"/>
      <c r="Q271" s="279"/>
      <c r="R271" s="279"/>
      <c r="S271" s="279"/>
      <c r="T271" s="279"/>
      <c r="U271" s="279"/>
      <c r="V271" s="222">
        <f t="shared" si="34"/>
        <v>0</v>
      </c>
      <c r="W271" s="72">
        <f>V271/V$6</f>
        <v>0</v>
      </c>
      <c r="X271" s="89"/>
      <c r="Y271" s="222"/>
      <c r="Z271" s="222"/>
      <c r="AA271" s="222"/>
      <c r="AB271" s="222"/>
      <c r="AC271" s="222"/>
      <c r="AD271" s="222"/>
      <c r="AE271" s="222"/>
      <c r="AF271" s="222"/>
      <c r="AG271" s="222"/>
      <c r="AH271" s="222"/>
      <c r="AI271" s="222"/>
      <c r="AJ271" s="222"/>
      <c r="AK271" s="222">
        <v>0</v>
      </c>
      <c r="AL271" s="72">
        <f t="shared" si="32"/>
        <v>0</v>
      </c>
      <c r="AM271" s="10">
        <f t="shared" si="33"/>
        <v>0</v>
      </c>
      <c r="AN271" s="89"/>
      <c r="AS271" s="222">
        <v>0</v>
      </c>
    </row>
    <row r="272" spans="9:45" ht="16.5" hidden="1" customHeight="1" outlineLevel="1">
      <c r="I272" s="246" t="s">
        <v>279</v>
      </c>
      <c r="J272" s="279"/>
      <c r="K272" s="279"/>
      <c r="L272" s="279"/>
      <c r="M272" s="279"/>
      <c r="N272" s="279"/>
      <c r="O272" s="279"/>
      <c r="P272" s="279"/>
      <c r="Q272" s="279"/>
      <c r="R272" s="279"/>
      <c r="S272" s="279"/>
      <c r="T272" s="279"/>
      <c r="U272" s="279"/>
      <c r="V272" s="222">
        <f t="shared" si="34"/>
        <v>0</v>
      </c>
      <c r="W272" s="72">
        <f>V272/V$6</f>
        <v>0</v>
      </c>
      <c r="X272" s="89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>
        <v>0</v>
      </c>
      <c r="AL272" s="72">
        <f t="shared" si="32"/>
        <v>0</v>
      </c>
      <c r="AM272" s="10">
        <f t="shared" si="33"/>
        <v>0</v>
      </c>
      <c r="AN272" s="89"/>
      <c r="AS272" s="222">
        <v>0</v>
      </c>
    </row>
    <row r="273" spans="9:45" ht="16.5" hidden="1" customHeight="1" outlineLevel="1">
      <c r="I273" s="246" t="s">
        <v>164</v>
      </c>
      <c r="J273" s="279"/>
      <c r="K273" s="279"/>
      <c r="L273" s="279"/>
      <c r="M273" s="279"/>
      <c r="N273" s="279"/>
      <c r="O273" s="279"/>
      <c r="P273" s="279"/>
      <c r="Q273" s="279"/>
      <c r="R273" s="279"/>
      <c r="S273" s="279"/>
      <c r="T273" s="279"/>
      <c r="U273" s="279"/>
      <c r="V273" s="222">
        <f t="shared" si="34"/>
        <v>0</v>
      </c>
      <c r="W273" s="72">
        <f>V273/V$6</f>
        <v>0</v>
      </c>
      <c r="X273" s="89"/>
      <c r="Y273" s="222"/>
      <c r="Z273" s="222"/>
      <c r="AA273" s="222"/>
      <c r="AB273" s="222"/>
      <c r="AC273" s="222"/>
      <c r="AD273" s="222"/>
      <c r="AE273" s="222"/>
      <c r="AF273" s="222"/>
      <c r="AG273" s="222"/>
      <c r="AH273" s="222"/>
      <c r="AI273" s="222"/>
      <c r="AJ273" s="222"/>
      <c r="AK273" s="222">
        <v>0</v>
      </c>
      <c r="AL273" s="72">
        <f t="shared" si="32"/>
        <v>0</v>
      </c>
      <c r="AM273" s="10">
        <f t="shared" si="33"/>
        <v>0</v>
      </c>
      <c r="AN273" s="89"/>
      <c r="AS273" s="222">
        <v>0</v>
      </c>
    </row>
    <row r="274" spans="9:45" ht="16.5" hidden="1" customHeight="1" outlineLevel="1">
      <c r="I274" s="246" t="s">
        <v>182</v>
      </c>
      <c r="J274" s="279"/>
      <c r="K274" s="279"/>
      <c r="L274" s="279"/>
      <c r="M274" s="279"/>
      <c r="N274" s="279"/>
      <c r="O274" s="279"/>
      <c r="P274" s="279"/>
      <c r="Q274" s="279"/>
      <c r="R274" s="279"/>
      <c r="S274" s="279"/>
      <c r="T274" s="279"/>
      <c r="U274" s="279"/>
      <c r="V274" s="222">
        <f t="shared" si="34"/>
        <v>0</v>
      </c>
      <c r="W274" s="72">
        <f>V274/V$6</f>
        <v>0</v>
      </c>
      <c r="X274" s="89"/>
      <c r="Y274" s="222"/>
      <c r="Z274" s="222"/>
      <c r="AA274" s="222"/>
      <c r="AB274" s="222"/>
      <c r="AC274" s="222"/>
      <c r="AD274" s="222"/>
      <c r="AE274" s="222"/>
      <c r="AF274" s="222"/>
      <c r="AG274" s="222"/>
      <c r="AH274" s="222"/>
      <c r="AI274" s="222"/>
      <c r="AJ274" s="222"/>
      <c r="AK274" s="222">
        <v>0</v>
      </c>
      <c r="AL274" s="72">
        <f t="shared" si="32"/>
        <v>0</v>
      </c>
      <c r="AM274" s="10">
        <f t="shared" si="33"/>
        <v>0</v>
      </c>
      <c r="AN274" s="89"/>
      <c r="AS274" s="222">
        <v>0</v>
      </c>
    </row>
    <row r="275" spans="9:45" ht="16.5" hidden="1" customHeight="1" outlineLevel="1">
      <c r="I275" s="246" t="s">
        <v>280</v>
      </c>
      <c r="J275" s="279"/>
      <c r="K275" s="279"/>
      <c r="L275" s="279"/>
      <c r="M275" s="279"/>
      <c r="N275" s="279"/>
      <c r="O275" s="279"/>
      <c r="P275" s="279"/>
      <c r="Q275" s="279"/>
      <c r="R275" s="279"/>
      <c r="S275" s="279"/>
      <c r="T275" s="279"/>
      <c r="U275" s="279"/>
      <c r="V275" s="222">
        <f t="shared" si="34"/>
        <v>0</v>
      </c>
      <c r="W275" s="72">
        <f>V275/V$6</f>
        <v>0</v>
      </c>
      <c r="X275" s="89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>
        <v>0</v>
      </c>
      <c r="AL275" s="72">
        <f t="shared" si="32"/>
        <v>0</v>
      </c>
      <c r="AM275" s="10">
        <f t="shared" si="33"/>
        <v>0</v>
      </c>
      <c r="AN275" s="89"/>
      <c r="AS275" s="222">
        <v>0</v>
      </c>
    </row>
    <row r="276" spans="9:45" ht="16.5" hidden="1" customHeight="1" outlineLevel="1">
      <c r="I276" s="246" t="s">
        <v>148</v>
      </c>
      <c r="J276" s="279"/>
      <c r="K276" s="279"/>
      <c r="L276" s="279"/>
      <c r="M276" s="279"/>
      <c r="N276" s="279"/>
      <c r="O276" s="279"/>
      <c r="P276" s="279"/>
      <c r="Q276" s="279"/>
      <c r="R276" s="279"/>
      <c r="S276" s="279"/>
      <c r="T276" s="279"/>
      <c r="U276" s="279"/>
      <c r="V276" s="222">
        <f t="shared" si="34"/>
        <v>0</v>
      </c>
      <c r="W276" s="72">
        <f>V276/V$6</f>
        <v>0</v>
      </c>
      <c r="X276" s="89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>
        <v>0</v>
      </c>
      <c r="AL276" s="72">
        <f t="shared" si="32"/>
        <v>0</v>
      </c>
      <c r="AM276" s="10">
        <f t="shared" si="33"/>
        <v>0</v>
      </c>
      <c r="AN276" s="89"/>
      <c r="AS276" s="222">
        <v>0</v>
      </c>
    </row>
    <row r="277" spans="9:45" ht="16.5" hidden="1" customHeight="1" outlineLevel="1">
      <c r="I277" s="246" t="s">
        <v>185</v>
      </c>
      <c r="J277" s="279"/>
      <c r="K277" s="279"/>
      <c r="L277" s="279"/>
      <c r="M277" s="279"/>
      <c r="N277" s="279"/>
      <c r="O277" s="279"/>
      <c r="P277" s="279"/>
      <c r="Q277" s="279"/>
      <c r="R277" s="279"/>
      <c r="S277" s="279"/>
      <c r="T277" s="279"/>
      <c r="U277" s="279"/>
      <c r="V277" s="222">
        <f t="shared" si="34"/>
        <v>0</v>
      </c>
      <c r="W277" s="72">
        <f>V277/V$6</f>
        <v>0</v>
      </c>
      <c r="X277" s="89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>
        <v>0</v>
      </c>
      <c r="AL277" s="72">
        <f t="shared" si="32"/>
        <v>0</v>
      </c>
      <c r="AM277" s="10">
        <f t="shared" si="33"/>
        <v>0</v>
      </c>
      <c r="AN277" s="89"/>
      <c r="AS277" s="222">
        <v>0</v>
      </c>
    </row>
    <row r="278" spans="9:45" ht="16.5" hidden="1" customHeight="1" outlineLevel="1">
      <c r="I278" s="246" t="s">
        <v>184</v>
      </c>
      <c r="J278" s="279"/>
      <c r="K278" s="279"/>
      <c r="L278" s="279"/>
      <c r="M278" s="279"/>
      <c r="N278" s="279"/>
      <c r="O278" s="279"/>
      <c r="P278" s="279"/>
      <c r="Q278" s="279"/>
      <c r="R278" s="279"/>
      <c r="S278" s="279"/>
      <c r="T278" s="279"/>
      <c r="U278" s="279"/>
      <c r="V278" s="222">
        <f t="shared" si="34"/>
        <v>0</v>
      </c>
      <c r="W278" s="72">
        <f>V278/V$6</f>
        <v>0</v>
      </c>
      <c r="X278" s="89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>
        <v>0</v>
      </c>
      <c r="AL278" s="72">
        <f t="shared" si="32"/>
        <v>0</v>
      </c>
      <c r="AM278" s="10">
        <f t="shared" si="33"/>
        <v>0</v>
      </c>
      <c r="AN278" s="89"/>
      <c r="AS278" s="222">
        <v>0</v>
      </c>
    </row>
    <row r="279" spans="9:45" ht="16.5" hidden="1" customHeight="1" outlineLevel="1">
      <c r="I279" s="246" t="s">
        <v>172</v>
      </c>
      <c r="J279" s="279"/>
      <c r="K279" s="279"/>
      <c r="L279" s="279"/>
      <c r="M279" s="279"/>
      <c r="N279" s="279"/>
      <c r="O279" s="279"/>
      <c r="P279" s="279"/>
      <c r="Q279" s="279"/>
      <c r="R279" s="279"/>
      <c r="S279" s="279"/>
      <c r="T279" s="279"/>
      <c r="U279" s="279"/>
      <c r="V279" s="222">
        <f t="shared" si="34"/>
        <v>0</v>
      </c>
      <c r="W279" s="72">
        <f>V279/V$6</f>
        <v>0</v>
      </c>
      <c r="X279" s="89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>
        <v>0</v>
      </c>
      <c r="AL279" s="72">
        <f t="shared" si="32"/>
        <v>0</v>
      </c>
      <c r="AM279" s="10">
        <f t="shared" si="33"/>
        <v>0</v>
      </c>
      <c r="AN279" s="89"/>
      <c r="AS279" s="222">
        <v>0</v>
      </c>
    </row>
    <row r="280" spans="9:45" ht="16.5" hidden="1" customHeight="1" outlineLevel="1">
      <c r="I280" s="246" t="s">
        <v>158</v>
      </c>
      <c r="J280" s="279"/>
      <c r="K280" s="279"/>
      <c r="L280" s="279"/>
      <c r="M280" s="279"/>
      <c r="N280" s="279"/>
      <c r="O280" s="279"/>
      <c r="P280" s="279"/>
      <c r="Q280" s="279"/>
      <c r="R280" s="279"/>
      <c r="S280" s="279"/>
      <c r="T280" s="279"/>
      <c r="U280" s="279"/>
      <c r="V280" s="222">
        <f t="shared" si="34"/>
        <v>0</v>
      </c>
      <c r="W280" s="72">
        <f>V280/V$6</f>
        <v>0</v>
      </c>
      <c r="X280" s="89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>
        <v>0</v>
      </c>
      <c r="AL280" s="72">
        <f t="shared" si="32"/>
        <v>0</v>
      </c>
      <c r="AM280" s="10">
        <f t="shared" si="33"/>
        <v>0</v>
      </c>
      <c r="AN280" s="89"/>
      <c r="AS280" s="222">
        <v>0</v>
      </c>
    </row>
    <row r="281" spans="9:45" ht="16.5" hidden="1" customHeight="1" outlineLevel="1">
      <c r="I281" s="246" t="s">
        <v>170</v>
      </c>
      <c r="J281" s="279"/>
      <c r="K281" s="279"/>
      <c r="L281" s="279"/>
      <c r="M281" s="279"/>
      <c r="N281" s="279"/>
      <c r="O281" s="279"/>
      <c r="P281" s="279"/>
      <c r="Q281" s="279"/>
      <c r="R281" s="279"/>
      <c r="S281" s="279"/>
      <c r="T281" s="279"/>
      <c r="U281" s="279"/>
      <c r="V281" s="222">
        <f t="shared" si="34"/>
        <v>0</v>
      </c>
      <c r="W281" s="72">
        <f>V281/V$6</f>
        <v>0</v>
      </c>
      <c r="X281" s="89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>
        <v>0</v>
      </c>
      <c r="AL281" s="72">
        <f t="shared" si="32"/>
        <v>0</v>
      </c>
      <c r="AM281" s="10">
        <f t="shared" si="33"/>
        <v>0</v>
      </c>
      <c r="AN281" s="89"/>
      <c r="AS281" s="222">
        <v>0</v>
      </c>
    </row>
    <row r="282" spans="9:45" ht="16.5" hidden="1" customHeight="1" outlineLevel="1">
      <c r="I282" s="246" t="s">
        <v>179</v>
      </c>
      <c r="J282" s="279"/>
      <c r="K282" s="279"/>
      <c r="L282" s="279"/>
      <c r="M282" s="279"/>
      <c r="N282" s="279"/>
      <c r="O282" s="279"/>
      <c r="P282" s="279"/>
      <c r="Q282" s="279"/>
      <c r="R282" s="279"/>
      <c r="S282" s="279"/>
      <c r="T282" s="279"/>
      <c r="U282" s="279"/>
      <c r="V282" s="222">
        <f t="shared" si="34"/>
        <v>0</v>
      </c>
      <c r="W282" s="72">
        <f>V282/V$6</f>
        <v>0</v>
      </c>
      <c r="X282" s="89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>
        <v>0</v>
      </c>
      <c r="AL282" s="72">
        <f t="shared" si="32"/>
        <v>0</v>
      </c>
      <c r="AM282" s="10">
        <f t="shared" si="33"/>
        <v>0</v>
      </c>
      <c r="AN282" s="89"/>
      <c r="AS282" s="222">
        <v>0</v>
      </c>
    </row>
    <row r="283" spans="9:45" ht="16.5" hidden="1" customHeight="1" outlineLevel="1">
      <c r="I283" s="246" t="s">
        <v>178</v>
      </c>
      <c r="J283" s="279"/>
      <c r="K283" s="279"/>
      <c r="L283" s="279"/>
      <c r="M283" s="279"/>
      <c r="N283" s="279"/>
      <c r="O283" s="279"/>
      <c r="P283" s="279"/>
      <c r="Q283" s="279"/>
      <c r="R283" s="279"/>
      <c r="S283" s="279"/>
      <c r="T283" s="279"/>
      <c r="U283" s="279"/>
      <c r="V283" s="222">
        <f t="shared" si="34"/>
        <v>0</v>
      </c>
      <c r="W283" s="72">
        <f>V283/V$6</f>
        <v>0</v>
      </c>
      <c r="X283" s="89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>
        <v>0</v>
      </c>
      <c r="AL283" s="72">
        <f t="shared" si="32"/>
        <v>0</v>
      </c>
      <c r="AM283" s="10">
        <f t="shared" si="33"/>
        <v>0</v>
      </c>
      <c r="AN283" s="89"/>
      <c r="AS283" s="222">
        <v>0</v>
      </c>
    </row>
    <row r="284" spans="9:45" ht="16.5" hidden="1" customHeight="1" outlineLevel="1">
      <c r="I284" s="246" t="s">
        <v>281</v>
      </c>
      <c r="J284" s="279"/>
      <c r="K284" s="279"/>
      <c r="L284" s="279"/>
      <c r="M284" s="279"/>
      <c r="N284" s="279"/>
      <c r="O284" s="279"/>
      <c r="P284" s="279"/>
      <c r="Q284" s="279"/>
      <c r="R284" s="279"/>
      <c r="S284" s="279"/>
      <c r="T284" s="279"/>
      <c r="U284" s="279"/>
      <c r="V284" s="222">
        <f t="shared" si="34"/>
        <v>0</v>
      </c>
      <c r="W284" s="72">
        <f>V284/V$6</f>
        <v>0</v>
      </c>
      <c r="X284" s="89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>
        <v>0</v>
      </c>
      <c r="AL284" s="72">
        <f t="shared" si="32"/>
        <v>0</v>
      </c>
      <c r="AM284" s="10">
        <f t="shared" si="33"/>
        <v>0</v>
      </c>
      <c r="AN284" s="89"/>
      <c r="AS284" s="222">
        <v>0</v>
      </c>
    </row>
    <row r="285" spans="9:45" ht="16.5" hidden="1" customHeight="1" outlineLevel="1">
      <c r="I285" s="246" t="s">
        <v>282</v>
      </c>
      <c r="J285" s="279"/>
      <c r="K285" s="279"/>
      <c r="L285" s="279"/>
      <c r="M285" s="279"/>
      <c r="N285" s="279"/>
      <c r="O285" s="279"/>
      <c r="P285" s="279"/>
      <c r="Q285" s="279"/>
      <c r="R285" s="279"/>
      <c r="S285" s="279"/>
      <c r="T285" s="279"/>
      <c r="U285" s="279"/>
      <c r="V285" s="222">
        <f t="shared" si="34"/>
        <v>0</v>
      </c>
      <c r="W285" s="72">
        <f>V285/V$6</f>
        <v>0</v>
      </c>
      <c r="X285" s="89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>
        <v>0</v>
      </c>
      <c r="AL285" s="72">
        <f t="shared" si="32"/>
        <v>0</v>
      </c>
      <c r="AM285" s="10">
        <f t="shared" si="33"/>
        <v>0</v>
      </c>
      <c r="AN285" s="89"/>
      <c r="AS285" s="222">
        <v>0</v>
      </c>
    </row>
    <row r="286" spans="9:45" ht="16.5" hidden="1" customHeight="1" outlineLevel="1">
      <c r="I286" s="246" t="s">
        <v>283</v>
      </c>
      <c r="J286" s="279"/>
      <c r="K286" s="279"/>
      <c r="L286" s="279"/>
      <c r="M286" s="279"/>
      <c r="N286" s="279"/>
      <c r="O286" s="279"/>
      <c r="P286" s="279"/>
      <c r="Q286" s="279"/>
      <c r="R286" s="279"/>
      <c r="S286" s="279"/>
      <c r="T286" s="279"/>
      <c r="U286" s="279"/>
      <c r="V286" s="222">
        <f t="shared" si="34"/>
        <v>0</v>
      </c>
      <c r="W286" s="72">
        <f>V286/V$6</f>
        <v>0</v>
      </c>
      <c r="X286" s="89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>
        <v>0</v>
      </c>
      <c r="AL286" s="72">
        <f t="shared" si="32"/>
        <v>0</v>
      </c>
      <c r="AM286" s="10">
        <f t="shared" si="33"/>
        <v>0</v>
      </c>
      <c r="AN286" s="89"/>
      <c r="AS286" s="222">
        <v>0</v>
      </c>
    </row>
    <row r="287" spans="9:45" ht="16.5" hidden="1" customHeight="1" outlineLevel="1">
      <c r="I287" s="246" t="s">
        <v>284</v>
      </c>
      <c r="J287" s="279"/>
      <c r="K287" s="279"/>
      <c r="L287" s="279"/>
      <c r="M287" s="279"/>
      <c r="N287" s="279"/>
      <c r="O287" s="279"/>
      <c r="P287" s="279"/>
      <c r="Q287" s="279"/>
      <c r="R287" s="279"/>
      <c r="S287" s="279"/>
      <c r="T287" s="279"/>
      <c r="U287" s="279"/>
      <c r="V287" s="222">
        <f t="shared" si="34"/>
        <v>0</v>
      </c>
      <c r="W287" s="72">
        <f>V287/V$6</f>
        <v>0</v>
      </c>
      <c r="X287" s="89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>
        <v>0</v>
      </c>
      <c r="AL287" s="72">
        <f t="shared" si="32"/>
        <v>0</v>
      </c>
      <c r="AM287" s="10">
        <f t="shared" si="33"/>
        <v>0</v>
      </c>
      <c r="AN287" s="89"/>
      <c r="AS287" s="222">
        <v>0</v>
      </c>
    </row>
    <row r="288" spans="9:45" ht="16.5" hidden="1" customHeight="1" outlineLevel="1">
      <c r="I288" s="246" t="s">
        <v>285</v>
      </c>
      <c r="J288" s="279"/>
      <c r="K288" s="279"/>
      <c r="L288" s="279"/>
      <c r="M288" s="279"/>
      <c r="N288" s="279"/>
      <c r="O288" s="279"/>
      <c r="P288" s="279"/>
      <c r="Q288" s="279"/>
      <c r="R288" s="279"/>
      <c r="S288" s="279"/>
      <c r="T288" s="279"/>
      <c r="U288" s="279"/>
      <c r="V288" s="222">
        <f t="shared" si="34"/>
        <v>0</v>
      </c>
      <c r="W288" s="72">
        <f>V288/V$6</f>
        <v>0</v>
      </c>
      <c r="X288" s="89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>
        <v>0</v>
      </c>
      <c r="AL288" s="72">
        <f t="shared" si="32"/>
        <v>0</v>
      </c>
      <c r="AM288" s="10">
        <f t="shared" si="33"/>
        <v>0</v>
      </c>
      <c r="AN288" s="89"/>
      <c r="AS288" s="222">
        <v>0</v>
      </c>
    </row>
    <row r="289" spans="9:45" ht="16.5" hidden="1" customHeight="1" outlineLevel="1">
      <c r="I289" s="246" t="s">
        <v>190</v>
      </c>
      <c r="J289" s="279"/>
      <c r="K289" s="279"/>
      <c r="L289" s="279"/>
      <c r="M289" s="279"/>
      <c r="N289" s="279"/>
      <c r="O289" s="279"/>
      <c r="P289" s="279"/>
      <c r="Q289" s="279"/>
      <c r="R289" s="279"/>
      <c r="S289" s="279"/>
      <c r="T289" s="279"/>
      <c r="U289" s="279"/>
      <c r="V289" s="222">
        <f t="shared" si="34"/>
        <v>0</v>
      </c>
      <c r="W289" s="72">
        <f>V289/V$6</f>
        <v>0</v>
      </c>
      <c r="X289" s="89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>
        <v>0</v>
      </c>
      <c r="AL289" s="72">
        <f t="shared" si="32"/>
        <v>0</v>
      </c>
      <c r="AM289" s="10">
        <f t="shared" si="33"/>
        <v>0</v>
      </c>
      <c r="AN289" s="89"/>
      <c r="AS289" s="222">
        <v>0</v>
      </c>
    </row>
    <row r="290" spans="9:45" ht="16.5" hidden="1" customHeight="1" outlineLevel="1">
      <c r="I290" s="246" t="s">
        <v>173</v>
      </c>
      <c r="J290" s="279"/>
      <c r="K290" s="279"/>
      <c r="L290" s="279"/>
      <c r="M290" s="279"/>
      <c r="N290" s="279"/>
      <c r="O290" s="279"/>
      <c r="P290" s="279"/>
      <c r="Q290" s="279"/>
      <c r="R290" s="279"/>
      <c r="S290" s="279"/>
      <c r="T290" s="279"/>
      <c r="U290" s="279"/>
      <c r="V290" s="222">
        <f t="shared" si="34"/>
        <v>0</v>
      </c>
      <c r="W290" s="72">
        <f>V290/V$6</f>
        <v>0</v>
      </c>
      <c r="X290" s="89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>
        <v>0</v>
      </c>
      <c r="AL290" s="72">
        <f t="shared" si="32"/>
        <v>0</v>
      </c>
      <c r="AM290" s="10">
        <f t="shared" si="33"/>
        <v>0</v>
      </c>
      <c r="AN290" s="89"/>
      <c r="AS290" s="222">
        <v>0</v>
      </c>
    </row>
    <row r="291" spans="9:45" ht="16.5" hidden="1" customHeight="1" outlineLevel="1">
      <c r="I291" s="246" t="s">
        <v>176</v>
      </c>
      <c r="J291" s="279"/>
      <c r="K291" s="279"/>
      <c r="L291" s="279"/>
      <c r="M291" s="279"/>
      <c r="N291" s="279"/>
      <c r="O291" s="279"/>
      <c r="P291" s="279"/>
      <c r="Q291" s="279"/>
      <c r="R291" s="279"/>
      <c r="S291" s="279"/>
      <c r="T291" s="279"/>
      <c r="U291" s="279"/>
      <c r="V291" s="222">
        <f t="shared" si="34"/>
        <v>0</v>
      </c>
      <c r="W291" s="72">
        <f>V291/V$6</f>
        <v>0</v>
      </c>
      <c r="X291" s="89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>
        <v>0</v>
      </c>
      <c r="AL291" s="72">
        <f t="shared" si="32"/>
        <v>0</v>
      </c>
      <c r="AM291" s="10">
        <f t="shared" si="33"/>
        <v>0</v>
      </c>
      <c r="AN291" s="89"/>
      <c r="AS291" s="222">
        <v>0</v>
      </c>
    </row>
    <row r="292" spans="9:45" ht="16.5" hidden="1" customHeight="1" outlineLevel="1">
      <c r="I292" s="246" t="s">
        <v>174</v>
      </c>
      <c r="J292" s="279"/>
      <c r="K292" s="279"/>
      <c r="L292" s="279"/>
      <c r="M292" s="279"/>
      <c r="N292" s="279"/>
      <c r="O292" s="279"/>
      <c r="P292" s="279"/>
      <c r="Q292" s="279"/>
      <c r="R292" s="279"/>
      <c r="S292" s="279"/>
      <c r="T292" s="279"/>
      <c r="U292" s="279"/>
      <c r="V292" s="222">
        <f t="shared" si="34"/>
        <v>0</v>
      </c>
      <c r="W292" s="72">
        <f>V292/V$6</f>
        <v>0</v>
      </c>
      <c r="X292" s="89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>
        <v>0</v>
      </c>
      <c r="AL292" s="72">
        <f t="shared" si="32"/>
        <v>0</v>
      </c>
      <c r="AM292" s="10">
        <f t="shared" si="33"/>
        <v>0</v>
      </c>
      <c r="AN292" s="89"/>
      <c r="AS292" s="222">
        <v>0</v>
      </c>
    </row>
    <row r="293" spans="9:45" ht="16.5" hidden="1" customHeight="1" outlineLevel="1">
      <c r="I293" s="246" t="s">
        <v>165</v>
      </c>
      <c r="J293" s="279"/>
      <c r="K293" s="279"/>
      <c r="L293" s="279"/>
      <c r="M293" s="279"/>
      <c r="N293" s="279"/>
      <c r="O293" s="279"/>
      <c r="P293" s="279"/>
      <c r="Q293" s="279"/>
      <c r="R293" s="279"/>
      <c r="S293" s="279"/>
      <c r="T293" s="279"/>
      <c r="U293" s="279"/>
      <c r="V293" s="222">
        <f t="shared" si="34"/>
        <v>0</v>
      </c>
      <c r="W293" s="72">
        <f>V293/V$6</f>
        <v>0</v>
      </c>
      <c r="X293" s="89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>
        <v>0</v>
      </c>
      <c r="AL293" s="72">
        <f t="shared" si="32"/>
        <v>0</v>
      </c>
      <c r="AM293" s="10">
        <f t="shared" si="33"/>
        <v>0</v>
      </c>
      <c r="AN293" s="89"/>
      <c r="AS293" s="222">
        <v>0</v>
      </c>
    </row>
    <row r="294" spans="9:45" ht="16.5" hidden="1" customHeight="1" outlineLevel="1">
      <c r="I294" s="246" t="s">
        <v>168</v>
      </c>
      <c r="J294" s="279"/>
      <c r="K294" s="279"/>
      <c r="L294" s="279"/>
      <c r="M294" s="279"/>
      <c r="N294" s="279"/>
      <c r="O294" s="279"/>
      <c r="P294" s="279"/>
      <c r="Q294" s="279"/>
      <c r="R294" s="279"/>
      <c r="S294" s="279"/>
      <c r="T294" s="279"/>
      <c r="U294" s="279"/>
      <c r="V294" s="222">
        <f t="shared" si="34"/>
        <v>0</v>
      </c>
      <c r="W294" s="72">
        <f>V294/V$6</f>
        <v>0</v>
      </c>
      <c r="X294" s="89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>
        <v>0</v>
      </c>
      <c r="AL294" s="72">
        <f t="shared" si="32"/>
        <v>0</v>
      </c>
      <c r="AM294" s="10">
        <f t="shared" si="33"/>
        <v>0</v>
      </c>
      <c r="AN294" s="89"/>
      <c r="AS294" s="222">
        <v>0</v>
      </c>
    </row>
    <row r="295" spans="9:45" ht="16.5" hidden="1" customHeight="1" outlineLevel="1">
      <c r="I295" s="246" t="s">
        <v>156</v>
      </c>
      <c r="J295" s="279"/>
      <c r="K295" s="279"/>
      <c r="L295" s="279"/>
      <c r="M295" s="279"/>
      <c r="N295" s="279"/>
      <c r="O295" s="279"/>
      <c r="P295" s="279"/>
      <c r="Q295" s="279"/>
      <c r="R295" s="279"/>
      <c r="S295" s="279"/>
      <c r="T295" s="279"/>
      <c r="U295" s="279"/>
      <c r="V295" s="222">
        <f t="shared" si="34"/>
        <v>0</v>
      </c>
      <c r="W295" s="72">
        <f>V295/V$6</f>
        <v>0</v>
      </c>
      <c r="X295" s="89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>
        <v>0</v>
      </c>
      <c r="AL295" s="72">
        <f t="shared" si="32"/>
        <v>0</v>
      </c>
      <c r="AM295" s="10">
        <f t="shared" si="33"/>
        <v>0</v>
      </c>
      <c r="AN295" s="89"/>
      <c r="AS295" s="222">
        <v>0</v>
      </c>
    </row>
    <row r="296" spans="9:45" ht="16.5" hidden="1" customHeight="1" outlineLevel="1">
      <c r="I296" s="246" t="s">
        <v>286</v>
      </c>
      <c r="J296" s="279"/>
      <c r="K296" s="279"/>
      <c r="L296" s="279"/>
      <c r="M296" s="279"/>
      <c r="N296" s="279"/>
      <c r="O296" s="279"/>
      <c r="P296" s="279"/>
      <c r="Q296" s="279"/>
      <c r="R296" s="279"/>
      <c r="S296" s="279"/>
      <c r="T296" s="279"/>
      <c r="U296" s="279"/>
      <c r="V296" s="222">
        <f t="shared" si="34"/>
        <v>0</v>
      </c>
      <c r="W296" s="72">
        <f>V296/V$6</f>
        <v>0</v>
      </c>
      <c r="X296" s="89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>
        <v>0</v>
      </c>
      <c r="AL296" s="72">
        <f t="shared" si="32"/>
        <v>0</v>
      </c>
      <c r="AM296" s="10">
        <f t="shared" si="33"/>
        <v>0</v>
      </c>
      <c r="AN296" s="89"/>
      <c r="AS296" s="222">
        <v>0</v>
      </c>
    </row>
    <row r="297" spans="9:45" ht="16.5" hidden="1" customHeight="1" outlineLevel="1">
      <c r="I297" s="246" t="s">
        <v>287</v>
      </c>
      <c r="J297" s="279"/>
      <c r="K297" s="279"/>
      <c r="L297" s="279"/>
      <c r="M297" s="279"/>
      <c r="N297" s="279"/>
      <c r="O297" s="279"/>
      <c r="P297" s="279"/>
      <c r="Q297" s="279"/>
      <c r="R297" s="279"/>
      <c r="S297" s="279"/>
      <c r="T297" s="279"/>
      <c r="U297" s="279"/>
      <c r="V297" s="222">
        <f t="shared" si="34"/>
        <v>0</v>
      </c>
      <c r="W297" s="72">
        <f>V297/V$6</f>
        <v>0</v>
      </c>
      <c r="X297" s="89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>
        <v>0</v>
      </c>
      <c r="AL297" s="72">
        <f t="shared" si="32"/>
        <v>0</v>
      </c>
      <c r="AM297" s="10">
        <f t="shared" si="33"/>
        <v>0</v>
      </c>
      <c r="AN297" s="89"/>
      <c r="AS297" s="222">
        <v>0</v>
      </c>
    </row>
    <row r="298" spans="9:45" ht="16.5" hidden="1" customHeight="1" outlineLevel="1">
      <c r="I298" s="246" t="s">
        <v>149</v>
      </c>
      <c r="J298" s="279"/>
      <c r="K298" s="279"/>
      <c r="L298" s="279"/>
      <c r="M298" s="279"/>
      <c r="N298" s="279"/>
      <c r="O298" s="279"/>
      <c r="P298" s="279"/>
      <c r="Q298" s="279"/>
      <c r="R298" s="279"/>
      <c r="S298" s="279"/>
      <c r="T298" s="279"/>
      <c r="U298" s="279"/>
      <c r="V298" s="222">
        <f t="shared" si="34"/>
        <v>0</v>
      </c>
      <c r="W298" s="72">
        <f>V298/V$6</f>
        <v>0</v>
      </c>
      <c r="X298" s="89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>
        <v>0</v>
      </c>
      <c r="AL298" s="72">
        <f t="shared" si="32"/>
        <v>0</v>
      </c>
      <c r="AM298" s="10">
        <f t="shared" si="33"/>
        <v>0</v>
      </c>
      <c r="AN298" s="89"/>
      <c r="AS298" s="222">
        <v>0</v>
      </c>
    </row>
    <row r="299" spans="9:45" ht="16.5" hidden="1" customHeight="1" outlineLevel="1">
      <c r="I299" s="246" t="s">
        <v>152</v>
      </c>
      <c r="J299" s="279"/>
      <c r="K299" s="279"/>
      <c r="L299" s="279"/>
      <c r="M299" s="279"/>
      <c r="N299" s="279"/>
      <c r="O299" s="279"/>
      <c r="P299" s="279"/>
      <c r="Q299" s="279"/>
      <c r="R299" s="279"/>
      <c r="S299" s="279"/>
      <c r="T299" s="279"/>
      <c r="U299" s="279"/>
      <c r="V299" s="222">
        <f t="shared" si="34"/>
        <v>0</v>
      </c>
      <c r="W299" s="72">
        <f>V299/V$6</f>
        <v>0</v>
      </c>
      <c r="X299" s="89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>
        <v>0</v>
      </c>
      <c r="AL299" s="72">
        <f t="shared" si="32"/>
        <v>0</v>
      </c>
      <c r="AM299" s="10">
        <f t="shared" si="33"/>
        <v>0</v>
      </c>
      <c r="AN299" s="89"/>
      <c r="AS299" s="222">
        <v>0</v>
      </c>
    </row>
    <row r="300" spans="9:45" ht="16.5" hidden="1" customHeight="1" outlineLevel="1">
      <c r="I300" s="246" t="s">
        <v>180</v>
      </c>
      <c r="J300" s="279"/>
      <c r="K300" s="279"/>
      <c r="L300" s="279"/>
      <c r="M300" s="279"/>
      <c r="N300" s="279"/>
      <c r="O300" s="279"/>
      <c r="P300" s="279"/>
      <c r="Q300" s="279"/>
      <c r="R300" s="279"/>
      <c r="S300" s="279"/>
      <c r="T300" s="279"/>
      <c r="U300" s="279"/>
      <c r="V300" s="222">
        <f t="shared" si="34"/>
        <v>0</v>
      </c>
      <c r="W300" s="72">
        <f>V300/V$6</f>
        <v>0</v>
      </c>
      <c r="X300" s="89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>
        <v>0</v>
      </c>
      <c r="AL300" s="72">
        <f t="shared" si="32"/>
        <v>0</v>
      </c>
      <c r="AM300" s="10">
        <f t="shared" si="33"/>
        <v>0</v>
      </c>
      <c r="AN300" s="89"/>
      <c r="AS300" s="222">
        <v>0</v>
      </c>
    </row>
    <row r="301" spans="9:45" ht="16.5" hidden="1" customHeight="1" outlineLevel="1">
      <c r="I301" s="246" t="s">
        <v>288</v>
      </c>
      <c r="J301" s="279"/>
      <c r="K301" s="279"/>
      <c r="L301" s="279"/>
      <c r="M301" s="279"/>
      <c r="N301" s="279"/>
      <c r="O301" s="279"/>
      <c r="P301" s="279"/>
      <c r="Q301" s="279"/>
      <c r="R301" s="279"/>
      <c r="S301" s="279"/>
      <c r="T301" s="279"/>
      <c r="U301" s="279"/>
      <c r="V301" s="222">
        <f t="shared" si="34"/>
        <v>0</v>
      </c>
      <c r="W301" s="72">
        <f>V301/V$6</f>
        <v>0</v>
      </c>
      <c r="X301" s="89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>
        <v>0</v>
      </c>
      <c r="AL301" s="72">
        <f t="shared" si="32"/>
        <v>0</v>
      </c>
      <c r="AM301" s="10">
        <f t="shared" si="33"/>
        <v>0</v>
      </c>
      <c r="AN301" s="89"/>
      <c r="AS301" s="222">
        <v>0</v>
      </c>
    </row>
    <row r="302" spans="9:45" ht="16.5" hidden="1" customHeight="1" outlineLevel="1">
      <c r="I302" s="246" t="s">
        <v>186</v>
      </c>
      <c r="J302" s="279"/>
      <c r="K302" s="279"/>
      <c r="L302" s="279"/>
      <c r="M302" s="279"/>
      <c r="N302" s="279"/>
      <c r="O302" s="279"/>
      <c r="P302" s="279"/>
      <c r="Q302" s="279"/>
      <c r="R302" s="279"/>
      <c r="S302" s="279"/>
      <c r="T302" s="279"/>
      <c r="U302" s="279"/>
      <c r="V302" s="222">
        <f t="shared" si="34"/>
        <v>0</v>
      </c>
      <c r="W302" s="72">
        <f>V302/V$6</f>
        <v>0</v>
      </c>
      <c r="X302" s="89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>
        <v>0</v>
      </c>
      <c r="AL302" s="72">
        <f t="shared" si="32"/>
        <v>0</v>
      </c>
      <c r="AM302" s="10">
        <f t="shared" si="33"/>
        <v>0</v>
      </c>
      <c r="AN302" s="89"/>
      <c r="AS302" s="222">
        <v>0</v>
      </c>
    </row>
    <row r="303" spans="9:45" ht="16.5" hidden="1" customHeight="1" outlineLevel="1">
      <c r="I303" s="246" t="s">
        <v>228</v>
      </c>
      <c r="J303" s="279"/>
      <c r="K303" s="279"/>
      <c r="L303" s="279"/>
      <c r="M303" s="279"/>
      <c r="N303" s="279"/>
      <c r="O303" s="279"/>
      <c r="P303" s="279"/>
      <c r="Q303" s="279"/>
      <c r="R303" s="279"/>
      <c r="S303" s="279"/>
      <c r="T303" s="279"/>
      <c r="U303" s="279"/>
      <c r="V303" s="222">
        <f t="shared" si="34"/>
        <v>0</v>
      </c>
      <c r="W303" s="72">
        <f>V303/V$6</f>
        <v>0</v>
      </c>
      <c r="X303" s="89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>
        <v>0</v>
      </c>
      <c r="AL303" s="72">
        <f t="shared" si="32"/>
        <v>0</v>
      </c>
      <c r="AM303" s="10">
        <f t="shared" si="33"/>
        <v>0</v>
      </c>
      <c r="AN303" s="89"/>
      <c r="AS303" s="222">
        <v>0</v>
      </c>
    </row>
    <row r="304" spans="9:45" ht="16.5" hidden="1" customHeight="1" outlineLevel="1">
      <c r="I304" s="246" t="s">
        <v>167</v>
      </c>
      <c r="J304" s="279"/>
      <c r="K304" s="279"/>
      <c r="L304" s="279"/>
      <c r="M304" s="279"/>
      <c r="N304" s="279"/>
      <c r="O304" s="279"/>
      <c r="P304" s="279"/>
      <c r="Q304" s="279"/>
      <c r="R304" s="279"/>
      <c r="S304" s="279"/>
      <c r="T304" s="279"/>
      <c r="U304" s="279"/>
      <c r="V304" s="222">
        <f t="shared" si="34"/>
        <v>0</v>
      </c>
      <c r="W304" s="72">
        <f>V304/V$6</f>
        <v>0</v>
      </c>
      <c r="X304" s="89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>
        <v>0</v>
      </c>
      <c r="AL304" s="72">
        <f t="shared" si="32"/>
        <v>0</v>
      </c>
      <c r="AM304" s="10">
        <f t="shared" si="33"/>
        <v>0</v>
      </c>
      <c r="AN304" s="89"/>
      <c r="AS304" s="222">
        <v>0</v>
      </c>
    </row>
    <row r="305" spans="9:45" ht="16.5" hidden="1" customHeight="1" outlineLevel="1">
      <c r="I305" s="258" t="s">
        <v>233</v>
      </c>
      <c r="J305" s="279"/>
      <c r="K305" s="279"/>
      <c r="L305" s="279"/>
      <c r="M305" s="279"/>
      <c r="N305" s="279"/>
      <c r="O305" s="279"/>
      <c r="P305" s="279"/>
      <c r="Q305" s="279"/>
      <c r="R305" s="279"/>
      <c r="S305" s="279"/>
      <c r="T305" s="279"/>
      <c r="U305" s="279"/>
      <c r="V305" s="222">
        <f t="shared" si="34"/>
        <v>0</v>
      </c>
      <c r="W305" s="72">
        <f>V305/V$6</f>
        <v>0</v>
      </c>
      <c r="X305" s="89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>
        <v>0</v>
      </c>
      <c r="AL305" s="72">
        <f t="shared" si="32"/>
        <v>0</v>
      </c>
      <c r="AM305" s="10">
        <f t="shared" si="33"/>
        <v>0</v>
      </c>
      <c r="AN305" s="89"/>
      <c r="AS305" s="222">
        <v>0</v>
      </c>
    </row>
    <row r="306" spans="9:45" ht="16.5" hidden="1" customHeight="1" outlineLevel="1">
      <c r="I306" s="258" t="s">
        <v>194</v>
      </c>
      <c r="J306" s="279"/>
      <c r="K306" s="279"/>
      <c r="L306" s="279"/>
      <c r="M306" s="279"/>
      <c r="N306" s="279"/>
      <c r="O306" s="279"/>
      <c r="P306" s="279"/>
      <c r="Q306" s="279"/>
      <c r="R306" s="279"/>
      <c r="S306" s="279"/>
      <c r="T306" s="279"/>
      <c r="U306" s="279"/>
      <c r="V306" s="222">
        <f t="shared" si="34"/>
        <v>0</v>
      </c>
      <c r="W306" s="72">
        <f>V306/V$6</f>
        <v>0</v>
      </c>
      <c r="X306" s="89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>
        <v>0</v>
      </c>
      <c r="AL306" s="72">
        <f t="shared" si="32"/>
        <v>0</v>
      </c>
      <c r="AM306" s="10">
        <f t="shared" si="33"/>
        <v>0</v>
      </c>
      <c r="AN306" s="89"/>
      <c r="AS306" s="222">
        <v>0</v>
      </c>
    </row>
    <row r="307" spans="9:45" ht="16.5" hidden="1" customHeight="1" outlineLevel="1">
      <c r="I307" s="262" t="s">
        <v>298</v>
      </c>
      <c r="J307" s="279"/>
      <c r="K307" s="279"/>
      <c r="L307" s="279"/>
      <c r="M307" s="279"/>
      <c r="N307" s="279"/>
      <c r="O307" s="279"/>
      <c r="P307" s="279"/>
      <c r="Q307" s="279"/>
      <c r="R307" s="279"/>
      <c r="S307" s="279"/>
      <c r="T307" s="279"/>
      <c r="U307" s="279"/>
      <c r="V307" s="222">
        <f t="shared" si="34"/>
        <v>0</v>
      </c>
      <c r="W307" s="72">
        <f>V307/V$6</f>
        <v>0</v>
      </c>
      <c r="X307" s="89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>
        <v>0</v>
      </c>
      <c r="AL307" s="72">
        <f t="shared" si="32"/>
        <v>0</v>
      </c>
      <c r="AM307" s="10">
        <f t="shared" si="33"/>
        <v>0</v>
      </c>
      <c r="AN307" s="89"/>
      <c r="AS307" s="222">
        <v>0</v>
      </c>
    </row>
    <row r="308" spans="9:45" ht="16.5" customHeight="1" collapsed="1">
      <c r="I308" s="167" t="s">
        <v>196</v>
      </c>
      <c r="J308" s="222">
        <f>SUM(J309:J324)</f>
        <v>0</v>
      </c>
      <c r="K308" s="222">
        <f t="shared" ref="K308:U308" si="36">SUM(K309:K324)</f>
        <v>0</v>
      </c>
      <c r="L308" s="222">
        <f t="shared" si="36"/>
        <v>0</v>
      </c>
      <c r="M308" s="222">
        <f t="shared" si="36"/>
        <v>0</v>
      </c>
      <c r="N308" s="222">
        <f t="shared" si="36"/>
        <v>0</v>
      </c>
      <c r="O308" s="222">
        <f t="shared" si="36"/>
        <v>0</v>
      </c>
      <c r="P308" s="222">
        <f t="shared" si="36"/>
        <v>0</v>
      </c>
      <c r="Q308" s="222">
        <f t="shared" si="36"/>
        <v>0</v>
      </c>
      <c r="R308" s="222">
        <f t="shared" si="36"/>
        <v>0</v>
      </c>
      <c r="S308" s="222">
        <f t="shared" si="36"/>
        <v>0</v>
      </c>
      <c r="T308" s="222">
        <f t="shared" si="36"/>
        <v>0</v>
      </c>
      <c r="U308" s="222">
        <f t="shared" si="36"/>
        <v>0</v>
      </c>
      <c r="V308" s="222">
        <f t="shared" si="34"/>
        <v>0</v>
      </c>
      <c r="W308" s="72">
        <f>V308/V$6</f>
        <v>0</v>
      </c>
      <c r="X308" s="89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>
        <f>SUM(AK309:AK324)</f>
        <v>0</v>
      </c>
      <c r="AL308" s="72">
        <f t="shared" si="32"/>
        <v>0</v>
      </c>
      <c r="AM308" s="10">
        <f t="shared" ref="AM308:AM348" si="37">IFERROR(AK308/V308-1,0)</f>
        <v>0</v>
      </c>
      <c r="AN308" s="89"/>
      <c r="AS308" s="222">
        <v>0</v>
      </c>
    </row>
    <row r="309" spans="9:45" ht="16.5" hidden="1" customHeight="1" outlineLevel="1">
      <c r="I309" s="246" t="s">
        <v>197</v>
      </c>
      <c r="J309" s="279"/>
      <c r="K309" s="279"/>
      <c r="L309" s="279"/>
      <c r="M309" s="279"/>
      <c r="N309" s="279"/>
      <c r="O309" s="279"/>
      <c r="P309" s="279"/>
      <c r="Q309" s="279"/>
      <c r="R309" s="279"/>
      <c r="S309" s="279"/>
      <c r="T309" s="279"/>
      <c r="U309" s="279"/>
      <c r="V309" s="222">
        <f t="shared" si="34"/>
        <v>0</v>
      </c>
      <c r="W309" s="72">
        <f>V309/V$6</f>
        <v>0</v>
      </c>
      <c r="X309" s="89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>
        <v>0</v>
      </c>
      <c r="AL309" s="72">
        <f t="shared" si="32"/>
        <v>0</v>
      </c>
      <c r="AM309" s="10">
        <f t="shared" si="37"/>
        <v>0</v>
      </c>
      <c r="AN309" s="89"/>
      <c r="AS309" s="222">
        <v>0</v>
      </c>
    </row>
    <row r="310" spans="9:45" ht="16.5" hidden="1" customHeight="1" outlineLevel="1">
      <c r="I310" s="246" t="s">
        <v>198</v>
      </c>
      <c r="J310" s="279"/>
      <c r="K310" s="279"/>
      <c r="L310" s="279"/>
      <c r="M310" s="279"/>
      <c r="N310" s="279"/>
      <c r="O310" s="279"/>
      <c r="P310" s="279"/>
      <c r="Q310" s="279"/>
      <c r="R310" s="279"/>
      <c r="S310" s="279"/>
      <c r="T310" s="279"/>
      <c r="U310" s="279"/>
      <c r="V310" s="222">
        <f t="shared" si="34"/>
        <v>0</v>
      </c>
      <c r="W310" s="72">
        <f>V310/V$6</f>
        <v>0</v>
      </c>
      <c r="X310" s="89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>
        <v>0</v>
      </c>
      <c r="AL310" s="72">
        <f t="shared" si="32"/>
        <v>0</v>
      </c>
      <c r="AM310" s="10">
        <f t="shared" si="37"/>
        <v>0</v>
      </c>
      <c r="AN310" s="89"/>
      <c r="AS310" s="222">
        <v>0</v>
      </c>
    </row>
    <row r="311" spans="9:45" ht="16.5" hidden="1" customHeight="1" outlineLevel="1">
      <c r="I311" s="246" t="s">
        <v>199</v>
      </c>
      <c r="J311" s="279"/>
      <c r="K311" s="279"/>
      <c r="L311" s="279"/>
      <c r="M311" s="279"/>
      <c r="N311" s="279"/>
      <c r="O311" s="279"/>
      <c r="P311" s="279"/>
      <c r="Q311" s="279"/>
      <c r="R311" s="279"/>
      <c r="S311" s="279"/>
      <c r="T311" s="279"/>
      <c r="U311" s="279"/>
      <c r="V311" s="222">
        <f t="shared" si="34"/>
        <v>0</v>
      </c>
      <c r="W311" s="72">
        <f>V311/V$6</f>
        <v>0</v>
      </c>
      <c r="X311" s="89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>
        <v>0</v>
      </c>
      <c r="AL311" s="72">
        <f t="shared" si="32"/>
        <v>0</v>
      </c>
      <c r="AM311" s="10">
        <f t="shared" si="37"/>
        <v>0</v>
      </c>
      <c r="AN311" s="89"/>
      <c r="AS311" s="222">
        <v>0</v>
      </c>
    </row>
    <row r="312" spans="9:45" ht="16.5" hidden="1" customHeight="1" outlineLevel="1">
      <c r="I312" s="246" t="s">
        <v>200</v>
      </c>
      <c r="J312" s="279"/>
      <c r="K312" s="279"/>
      <c r="L312" s="279"/>
      <c r="M312" s="279"/>
      <c r="N312" s="279"/>
      <c r="O312" s="279"/>
      <c r="P312" s="279"/>
      <c r="Q312" s="279"/>
      <c r="R312" s="279"/>
      <c r="S312" s="279"/>
      <c r="T312" s="279"/>
      <c r="U312" s="279"/>
      <c r="V312" s="222">
        <f t="shared" si="34"/>
        <v>0</v>
      </c>
      <c r="W312" s="72">
        <f>V312/V$6</f>
        <v>0</v>
      </c>
      <c r="X312" s="89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>
        <v>0</v>
      </c>
      <c r="AL312" s="72">
        <f t="shared" si="32"/>
        <v>0</v>
      </c>
      <c r="AM312" s="10">
        <f t="shared" si="37"/>
        <v>0</v>
      </c>
      <c r="AN312" s="89"/>
      <c r="AS312" s="222">
        <v>0</v>
      </c>
    </row>
    <row r="313" spans="9:45" ht="16.5" hidden="1" customHeight="1" outlineLevel="1">
      <c r="I313" s="246" t="s">
        <v>201</v>
      </c>
      <c r="J313" s="279"/>
      <c r="K313" s="279"/>
      <c r="L313" s="279"/>
      <c r="M313" s="279"/>
      <c r="N313" s="279"/>
      <c r="O313" s="279"/>
      <c r="P313" s="279"/>
      <c r="Q313" s="279"/>
      <c r="R313" s="279"/>
      <c r="S313" s="279"/>
      <c r="T313" s="279"/>
      <c r="U313" s="279"/>
      <c r="V313" s="222">
        <f t="shared" si="34"/>
        <v>0</v>
      </c>
      <c r="W313" s="72">
        <f>V313/V$6</f>
        <v>0</v>
      </c>
      <c r="X313" s="89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>
        <v>0</v>
      </c>
      <c r="AL313" s="72">
        <f t="shared" si="32"/>
        <v>0</v>
      </c>
      <c r="AM313" s="10">
        <f t="shared" si="37"/>
        <v>0</v>
      </c>
      <c r="AN313" s="89"/>
      <c r="AS313" s="222">
        <v>0</v>
      </c>
    </row>
    <row r="314" spans="9:45" ht="16.5" hidden="1" customHeight="1" outlineLevel="1">
      <c r="I314" s="246" t="s">
        <v>209</v>
      </c>
      <c r="J314" s="279"/>
      <c r="K314" s="279"/>
      <c r="L314" s="279"/>
      <c r="M314" s="279"/>
      <c r="N314" s="279"/>
      <c r="O314" s="279"/>
      <c r="P314" s="279"/>
      <c r="Q314" s="279"/>
      <c r="R314" s="279"/>
      <c r="S314" s="279"/>
      <c r="T314" s="279"/>
      <c r="U314" s="279"/>
      <c r="V314" s="222">
        <f t="shared" si="34"/>
        <v>0</v>
      </c>
      <c r="W314" s="72">
        <f>V314/V$6</f>
        <v>0</v>
      </c>
      <c r="X314" s="89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>
        <v>0</v>
      </c>
      <c r="AL314" s="72">
        <f t="shared" si="32"/>
        <v>0</v>
      </c>
      <c r="AM314" s="10">
        <f t="shared" si="37"/>
        <v>0</v>
      </c>
      <c r="AN314" s="89"/>
      <c r="AS314" s="222">
        <v>0</v>
      </c>
    </row>
    <row r="315" spans="9:45" ht="16.5" hidden="1" customHeight="1" outlineLevel="1">
      <c r="I315" s="246" t="s">
        <v>202</v>
      </c>
      <c r="J315" s="279"/>
      <c r="K315" s="279"/>
      <c r="L315" s="279"/>
      <c r="M315" s="279"/>
      <c r="N315" s="279"/>
      <c r="O315" s="279"/>
      <c r="P315" s="279"/>
      <c r="Q315" s="279"/>
      <c r="R315" s="279"/>
      <c r="S315" s="279"/>
      <c r="T315" s="279"/>
      <c r="U315" s="279"/>
      <c r="V315" s="222">
        <f t="shared" si="34"/>
        <v>0</v>
      </c>
      <c r="W315" s="72">
        <f>V315/V$6</f>
        <v>0</v>
      </c>
      <c r="X315" s="89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>
        <v>0</v>
      </c>
      <c r="AL315" s="72">
        <f t="shared" si="32"/>
        <v>0</v>
      </c>
      <c r="AM315" s="10">
        <f t="shared" si="37"/>
        <v>0</v>
      </c>
      <c r="AN315" s="89"/>
      <c r="AS315" s="222">
        <v>0</v>
      </c>
    </row>
    <row r="316" spans="9:45" ht="16.5" hidden="1" customHeight="1" outlineLevel="1">
      <c r="I316" s="246" t="s">
        <v>203</v>
      </c>
      <c r="J316" s="279"/>
      <c r="K316" s="279"/>
      <c r="L316" s="279"/>
      <c r="M316" s="279"/>
      <c r="N316" s="279"/>
      <c r="O316" s="279"/>
      <c r="P316" s="279"/>
      <c r="Q316" s="279"/>
      <c r="R316" s="279"/>
      <c r="S316" s="279"/>
      <c r="T316" s="279"/>
      <c r="U316" s="279"/>
      <c r="V316" s="222">
        <f t="shared" si="34"/>
        <v>0</v>
      </c>
      <c r="W316" s="72">
        <f>V316/V$6</f>
        <v>0</v>
      </c>
      <c r="X316" s="89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>
        <v>0</v>
      </c>
      <c r="AL316" s="72">
        <f t="shared" si="32"/>
        <v>0</v>
      </c>
      <c r="AM316" s="10">
        <f t="shared" si="37"/>
        <v>0</v>
      </c>
      <c r="AN316" s="89"/>
      <c r="AS316" s="222">
        <v>0</v>
      </c>
    </row>
    <row r="317" spans="9:45" ht="16.5" hidden="1" customHeight="1" outlineLevel="1">
      <c r="I317" s="246" t="s">
        <v>204</v>
      </c>
      <c r="J317" s="279"/>
      <c r="K317" s="279"/>
      <c r="L317" s="279"/>
      <c r="M317" s="279"/>
      <c r="N317" s="279"/>
      <c r="O317" s="279"/>
      <c r="P317" s="279"/>
      <c r="Q317" s="279"/>
      <c r="R317" s="279"/>
      <c r="S317" s="279"/>
      <c r="T317" s="279"/>
      <c r="U317" s="279"/>
      <c r="V317" s="222">
        <f t="shared" si="34"/>
        <v>0</v>
      </c>
      <c r="W317" s="72">
        <f>V317/V$6</f>
        <v>0</v>
      </c>
      <c r="X317" s="89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>
        <v>0</v>
      </c>
      <c r="AL317" s="72">
        <f t="shared" si="32"/>
        <v>0</v>
      </c>
      <c r="AM317" s="10">
        <f t="shared" si="37"/>
        <v>0</v>
      </c>
      <c r="AN317" s="89"/>
      <c r="AS317" s="222">
        <v>0</v>
      </c>
    </row>
    <row r="318" spans="9:45" ht="16.5" hidden="1" customHeight="1" outlineLevel="1">
      <c r="I318" s="246" t="s">
        <v>205</v>
      </c>
      <c r="J318" s="279"/>
      <c r="K318" s="279"/>
      <c r="L318" s="279"/>
      <c r="M318" s="279"/>
      <c r="N318" s="279"/>
      <c r="O318" s="279"/>
      <c r="P318" s="279"/>
      <c r="Q318" s="279"/>
      <c r="R318" s="279"/>
      <c r="S318" s="279"/>
      <c r="T318" s="279"/>
      <c r="U318" s="279"/>
      <c r="V318" s="222">
        <f t="shared" si="34"/>
        <v>0</v>
      </c>
      <c r="W318" s="72">
        <f>V318/V$6</f>
        <v>0</v>
      </c>
      <c r="X318" s="89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>
        <v>0</v>
      </c>
      <c r="AL318" s="72">
        <f t="shared" si="32"/>
        <v>0</v>
      </c>
      <c r="AM318" s="10">
        <f t="shared" si="37"/>
        <v>0</v>
      </c>
      <c r="AN318" s="89"/>
      <c r="AS318" s="222">
        <v>0</v>
      </c>
    </row>
    <row r="319" spans="9:45" ht="16.5" hidden="1" customHeight="1" outlineLevel="1">
      <c r="I319" s="246" t="s">
        <v>207</v>
      </c>
      <c r="J319" s="279"/>
      <c r="K319" s="279"/>
      <c r="L319" s="279"/>
      <c r="M319" s="279"/>
      <c r="N319" s="279"/>
      <c r="O319" s="279"/>
      <c r="P319" s="279"/>
      <c r="Q319" s="279"/>
      <c r="R319" s="279"/>
      <c r="S319" s="279"/>
      <c r="T319" s="279"/>
      <c r="U319" s="279"/>
      <c r="V319" s="222">
        <f t="shared" si="34"/>
        <v>0</v>
      </c>
      <c r="W319" s="72">
        <f>V319/V$6</f>
        <v>0</v>
      </c>
      <c r="X319" s="89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>
        <v>0</v>
      </c>
      <c r="AL319" s="72">
        <f t="shared" si="32"/>
        <v>0</v>
      </c>
      <c r="AM319" s="10">
        <f t="shared" si="37"/>
        <v>0</v>
      </c>
      <c r="AN319" s="89"/>
      <c r="AS319" s="222">
        <v>0</v>
      </c>
    </row>
    <row r="320" spans="9:45" ht="16.5" hidden="1" customHeight="1" outlineLevel="1">
      <c r="I320" s="246" t="s">
        <v>208</v>
      </c>
      <c r="J320" s="279"/>
      <c r="K320" s="279"/>
      <c r="L320" s="279"/>
      <c r="M320" s="279"/>
      <c r="N320" s="279"/>
      <c r="O320" s="279"/>
      <c r="P320" s="279"/>
      <c r="Q320" s="279"/>
      <c r="R320" s="279"/>
      <c r="S320" s="279"/>
      <c r="T320" s="279"/>
      <c r="U320" s="279"/>
      <c r="V320" s="222">
        <f t="shared" si="34"/>
        <v>0</v>
      </c>
      <c r="W320" s="72">
        <f>V320/V$6</f>
        <v>0</v>
      </c>
      <c r="X320" s="89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>
        <v>0</v>
      </c>
      <c r="AL320" s="72">
        <f t="shared" si="32"/>
        <v>0</v>
      </c>
      <c r="AM320" s="10">
        <f t="shared" si="37"/>
        <v>0</v>
      </c>
      <c r="AN320" s="89"/>
      <c r="AS320" s="222">
        <v>0</v>
      </c>
    </row>
    <row r="321" spans="9:45" ht="16.5" hidden="1" customHeight="1" outlineLevel="1">
      <c r="I321" s="246" t="s">
        <v>289</v>
      </c>
      <c r="J321" s="279"/>
      <c r="K321" s="279"/>
      <c r="L321" s="279"/>
      <c r="M321" s="279"/>
      <c r="N321" s="279"/>
      <c r="O321" s="279"/>
      <c r="P321" s="279"/>
      <c r="Q321" s="279"/>
      <c r="R321" s="279"/>
      <c r="S321" s="279"/>
      <c r="T321" s="279"/>
      <c r="U321" s="279"/>
      <c r="V321" s="222">
        <f t="shared" si="34"/>
        <v>0</v>
      </c>
      <c r="W321" s="72">
        <f>V321/V$6</f>
        <v>0</v>
      </c>
      <c r="X321" s="89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>
        <v>0</v>
      </c>
      <c r="AL321" s="72">
        <f t="shared" si="32"/>
        <v>0</v>
      </c>
      <c r="AM321" s="10">
        <f t="shared" si="37"/>
        <v>0</v>
      </c>
      <c r="AN321" s="89"/>
      <c r="AS321" s="222">
        <v>0</v>
      </c>
    </row>
    <row r="322" spans="9:45" ht="16.5" hidden="1" customHeight="1" outlineLevel="1">
      <c r="I322" s="246" t="s">
        <v>211</v>
      </c>
      <c r="J322" s="279"/>
      <c r="K322" s="279"/>
      <c r="L322" s="279"/>
      <c r="M322" s="279"/>
      <c r="N322" s="279"/>
      <c r="O322" s="279"/>
      <c r="P322" s="279"/>
      <c r="Q322" s="279"/>
      <c r="R322" s="279"/>
      <c r="S322" s="279"/>
      <c r="T322" s="279"/>
      <c r="U322" s="279"/>
      <c r="V322" s="222">
        <f t="shared" si="34"/>
        <v>0</v>
      </c>
      <c r="W322" s="72">
        <f>V322/V$6</f>
        <v>0</v>
      </c>
      <c r="X322" s="89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>
        <v>0</v>
      </c>
      <c r="AL322" s="72">
        <f t="shared" si="32"/>
        <v>0</v>
      </c>
      <c r="AM322" s="10">
        <f t="shared" si="37"/>
        <v>0</v>
      </c>
      <c r="AN322" s="89"/>
      <c r="AS322" s="222">
        <v>0</v>
      </c>
    </row>
    <row r="323" spans="9:45" ht="16.5" hidden="1" customHeight="1" outlineLevel="1">
      <c r="I323" s="246" t="s">
        <v>213</v>
      </c>
      <c r="J323" s="279"/>
      <c r="K323" s="279"/>
      <c r="L323" s="279"/>
      <c r="M323" s="279"/>
      <c r="N323" s="279"/>
      <c r="O323" s="279"/>
      <c r="P323" s="279"/>
      <c r="Q323" s="279"/>
      <c r="R323" s="279"/>
      <c r="S323" s="279"/>
      <c r="T323" s="279"/>
      <c r="U323" s="279"/>
      <c r="V323" s="222">
        <f t="shared" si="34"/>
        <v>0</v>
      </c>
      <c r="W323" s="72">
        <f>V323/V$6</f>
        <v>0</v>
      </c>
      <c r="X323" s="89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>
        <v>0</v>
      </c>
      <c r="AL323" s="72">
        <f t="shared" si="32"/>
        <v>0</v>
      </c>
      <c r="AM323" s="10">
        <f t="shared" si="37"/>
        <v>0</v>
      </c>
      <c r="AN323" s="89"/>
      <c r="AS323" s="222">
        <v>0</v>
      </c>
    </row>
    <row r="324" spans="9:45" ht="16.5" hidden="1" customHeight="1" outlineLevel="1">
      <c r="I324" s="246" t="s">
        <v>214</v>
      </c>
      <c r="J324" s="279"/>
      <c r="K324" s="279"/>
      <c r="L324" s="279"/>
      <c r="M324" s="279"/>
      <c r="N324" s="279"/>
      <c r="O324" s="279"/>
      <c r="P324" s="279"/>
      <c r="Q324" s="279"/>
      <c r="R324" s="279"/>
      <c r="S324" s="279"/>
      <c r="T324" s="279"/>
      <c r="U324" s="279"/>
      <c r="V324" s="222">
        <f t="shared" si="34"/>
        <v>0</v>
      </c>
      <c r="W324" s="72">
        <f>V324/V$6</f>
        <v>0</v>
      </c>
      <c r="X324" s="89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>
        <v>0</v>
      </c>
      <c r="AL324" s="72">
        <f t="shared" si="32"/>
        <v>0</v>
      </c>
      <c r="AM324" s="10">
        <f t="shared" si="37"/>
        <v>0</v>
      </c>
      <c r="AN324" s="89"/>
      <c r="AS324" s="222">
        <v>0</v>
      </c>
    </row>
    <row r="325" spans="9:45" ht="16.5" customHeight="1" collapsed="1">
      <c r="I325" s="167" t="s">
        <v>216</v>
      </c>
      <c r="J325" s="222">
        <f>SUM(J326:J329)</f>
        <v>0</v>
      </c>
      <c r="K325" s="222">
        <f t="shared" ref="K325:U325" si="38">SUM(K326:K329)</f>
        <v>0</v>
      </c>
      <c r="L325" s="222">
        <f t="shared" si="38"/>
        <v>0</v>
      </c>
      <c r="M325" s="222">
        <f t="shared" si="38"/>
        <v>0</v>
      </c>
      <c r="N325" s="222">
        <f t="shared" si="38"/>
        <v>0</v>
      </c>
      <c r="O325" s="222">
        <f t="shared" si="38"/>
        <v>0</v>
      </c>
      <c r="P325" s="222">
        <f t="shared" si="38"/>
        <v>0</v>
      </c>
      <c r="Q325" s="222">
        <f t="shared" si="38"/>
        <v>0</v>
      </c>
      <c r="R325" s="222">
        <f t="shared" si="38"/>
        <v>0</v>
      </c>
      <c r="S325" s="222">
        <f t="shared" si="38"/>
        <v>0</v>
      </c>
      <c r="T325" s="222">
        <f t="shared" si="38"/>
        <v>0</v>
      </c>
      <c r="U325" s="222">
        <f t="shared" si="38"/>
        <v>0</v>
      </c>
      <c r="V325" s="222">
        <f t="shared" si="34"/>
        <v>0</v>
      </c>
      <c r="W325" s="72">
        <f>V325/V$6</f>
        <v>0</v>
      </c>
      <c r="X325" s="89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>
        <f>SUM(AK326:AK329)</f>
        <v>0</v>
      </c>
      <c r="AL325" s="72">
        <f t="shared" ref="AL325:AL350" si="39">AK325/AK$6</f>
        <v>0</v>
      </c>
      <c r="AM325" s="10">
        <f t="shared" si="37"/>
        <v>0</v>
      </c>
      <c r="AN325" s="89"/>
      <c r="AS325" s="222">
        <v>0</v>
      </c>
    </row>
    <row r="326" spans="9:45" ht="16.5" hidden="1" customHeight="1" outlineLevel="1">
      <c r="I326" s="246" t="s">
        <v>217</v>
      </c>
      <c r="J326" s="279"/>
      <c r="K326" s="279"/>
      <c r="L326" s="279"/>
      <c r="M326" s="279"/>
      <c r="N326" s="279"/>
      <c r="O326" s="279"/>
      <c r="P326" s="279"/>
      <c r="Q326" s="279"/>
      <c r="R326" s="279"/>
      <c r="S326" s="279"/>
      <c r="T326" s="279"/>
      <c r="U326" s="279"/>
      <c r="V326" s="222">
        <f t="shared" ref="V326:V348" si="40">SUM(J326:U326)</f>
        <v>0</v>
      </c>
      <c r="W326" s="72">
        <f>V326/V$6</f>
        <v>0</v>
      </c>
      <c r="X326" s="89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>
        <v>0</v>
      </c>
      <c r="AL326" s="72">
        <f t="shared" si="39"/>
        <v>0</v>
      </c>
      <c r="AM326" s="10">
        <f t="shared" si="37"/>
        <v>0</v>
      </c>
      <c r="AN326" s="89"/>
      <c r="AS326" s="222">
        <v>0</v>
      </c>
    </row>
    <row r="327" spans="9:45" ht="16.5" hidden="1" customHeight="1" outlineLevel="1">
      <c r="I327" s="246" t="s">
        <v>218</v>
      </c>
      <c r="J327" s="279"/>
      <c r="K327" s="279"/>
      <c r="L327" s="279"/>
      <c r="M327" s="279"/>
      <c r="N327" s="279"/>
      <c r="O327" s="279"/>
      <c r="P327" s="279"/>
      <c r="Q327" s="279"/>
      <c r="R327" s="279"/>
      <c r="S327" s="279"/>
      <c r="T327" s="279"/>
      <c r="U327" s="279"/>
      <c r="V327" s="222">
        <f t="shared" si="40"/>
        <v>0</v>
      </c>
      <c r="W327" s="72">
        <f>V327/V$6</f>
        <v>0</v>
      </c>
      <c r="X327" s="89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>
        <v>0</v>
      </c>
      <c r="AL327" s="72">
        <f t="shared" si="39"/>
        <v>0</v>
      </c>
      <c r="AM327" s="10">
        <f t="shared" si="37"/>
        <v>0</v>
      </c>
      <c r="AN327" s="89"/>
      <c r="AS327" s="222">
        <v>0</v>
      </c>
    </row>
    <row r="328" spans="9:45" ht="16.5" hidden="1" customHeight="1" outlineLevel="1">
      <c r="I328" s="246" t="s">
        <v>219</v>
      </c>
      <c r="J328" s="279"/>
      <c r="K328" s="279"/>
      <c r="L328" s="279"/>
      <c r="M328" s="279"/>
      <c r="N328" s="279"/>
      <c r="O328" s="279"/>
      <c r="P328" s="279"/>
      <c r="Q328" s="279"/>
      <c r="R328" s="279"/>
      <c r="S328" s="279"/>
      <c r="T328" s="279"/>
      <c r="U328" s="279"/>
      <c r="V328" s="222">
        <f t="shared" si="40"/>
        <v>0</v>
      </c>
      <c r="W328" s="72">
        <f>V328/V$6</f>
        <v>0</v>
      </c>
      <c r="X328" s="89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>
        <v>0</v>
      </c>
      <c r="AL328" s="72">
        <f t="shared" si="39"/>
        <v>0</v>
      </c>
      <c r="AM328" s="10">
        <f t="shared" si="37"/>
        <v>0</v>
      </c>
      <c r="AN328" s="89"/>
      <c r="AS328" s="222">
        <v>0</v>
      </c>
    </row>
    <row r="329" spans="9:45" ht="16.5" hidden="1" customHeight="1" outlineLevel="1">
      <c r="I329" s="246" t="s">
        <v>290</v>
      </c>
      <c r="J329" s="279"/>
      <c r="K329" s="279"/>
      <c r="L329" s="279"/>
      <c r="M329" s="279"/>
      <c r="N329" s="279"/>
      <c r="O329" s="279"/>
      <c r="P329" s="279"/>
      <c r="Q329" s="279"/>
      <c r="R329" s="279"/>
      <c r="S329" s="279"/>
      <c r="T329" s="279"/>
      <c r="U329" s="279"/>
      <c r="V329" s="222">
        <f t="shared" si="40"/>
        <v>0</v>
      </c>
      <c r="W329" s="72">
        <f>V329/V$6</f>
        <v>0</v>
      </c>
      <c r="X329" s="89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>
        <v>0</v>
      </c>
      <c r="AL329" s="72">
        <f t="shared" si="39"/>
        <v>0</v>
      </c>
      <c r="AM329" s="10">
        <f t="shared" si="37"/>
        <v>0</v>
      </c>
      <c r="AN329" s="89"/>
      <c r="AS329" s="222">
        <v>0</v>
      </c>
    </row>
    <row r="330" spans="9:45" ht="16.5" customHeight="1" collapsed="1">
      <c r="I330" s="167" t="s">
        <v>223</v>
      </c>
      <c r="J330" s="222">
        <f>SUM(J331:J340)</f>
        <v>0</v>
      </c>
      <c r="K330" s="222">
        <f t="shared" ref="K330:U330" si="41">SUM(K331:K340)</f>
        <v>0</v>
      </c>
      <c r="L330" s="222">
        <f t="shared" si="41"/>
        <v>0</v>
      </c>
      <c r="M330" s="222">
        <f t="shared" si="41"/>
        <v>0</v>
      </c>
      <c r="N330" s="222">
        <f t="shared" si="41"/>
        <v>0</v>
      </c>
      <c r="O330" s="222">
        <f t="shared" si="41"/>
        <v>0</v>
      </c>
      <c r="P330" s="222">
        <f t="shared" si="41"/>
        <v>0</v>
      </c>
      <c r="Q330" s="222">
        <f t="shared" si="41"/>
        <v>0</v>
      </c>
      <c r="R330" s="222">
        <f t="shared" si="41"/>
        <v>0</v>
      </c>
      <c r="S330" s="222">
        <f t="shared" si="41"/>
        <v>0</v>
      </c>
      <c r="T330" s="222">
        <f t="shared" si="41"/>
        <v>0</v>
      </c>
      <c r="U330" s="222">
        <f t="shared" si="41"/>
        <v>0</v>
      </c>
      <c r="V330" s="222">
        <f t="shared" si="40"/>
        <v>0</v>
      </c>
      <c r="W330" s="72">
        <f>V330/V$6</f>
        <v>0</v>
      </c>
      <c r="X330" s="89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>
        <f>SUM(AK331:AK340)</f>
        <v>0</v>
      </c>
      <c r="AL330" s="72">
        <f t="shared" si="39"/>
        <v>0</v>
      </c>
      <c r="AM330" s="10">
        <f t="shared" si="37"/>
        <v>0</v>
      </c>
      <c r="AN330" s="89"/>
      <c r="AS330" s="222">
        <v>0</v>
      </c>
    </row>
    <row r="331" spans="9:45" ht="16.5" hidden="1" customHeight="1" outlineLevel="1">
      <c r="I331" s="246" t="s">
        <v>237</v>
      </c>
      <c r="J331" s="279"/>
      <c r="K331" s="279"/>
      <c r="L331" s="279"/>
      <c r="M331" s="279"/>
      <c r="N331" s="279"/>
      <c r="O331" s="279"/>
      <c r="P331" s="279"/>
      <c r="Q331" s="279"/>
      <c r="R331" s="279"/>
      <c r="S331" s="279"/>
      <c r="T331" s="279"/>
      <c r="U331" s="279"/>
      <c r="V331" s="222">
        <f t="shared" si="40"/>
        <v>0</v>
      </c>
      <c r="W331" s="72">
        <f>V331/V$6</f>
        <v>0</v>
      </c>
      <c r="X331" s="89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>
        <v>0</v>
      </c>
      <c r="AL331" s="72">
        <f t="shared" si="39"/>
        <v>0</v>
      </c>
      <c r="AM331" s="10">
        <f t="shared" si="37"/>
        <v>0</v>
      </c>
      <c r="AN331" s="89"/>
      <c r="AS331" s="222">
        <v>0</v>
      </c>
    </row>
    <row r="332" spans="9:45" ht="16.5" hidden="1" customHeight="1" outlineLevel="1">
      <c r="I332" s="246" t="s">
        <v>227</v>
      </c>
      <c r="J332" s="279"/>
      <c r="K332" s="279"/>
      <c r="L332" s="279"/>
      <c r="M332" s="279"/>
      <c r="N332" s="279"/>
      <c r="O332" s="279"/>
      <c r="P332" s="279"/>
      <c r="Q332" s="279"/>
      <c r="R332" s="279"/>
      <c r="S332" s="279"/>
      <c r="T332" s="279"/>
      <c r="U332" s="279"/>
      <c r="V332" s="222">
        <f t="shared" si="40"/>
        <v>0</v>
      </c>
      <c r="W332" s="72">
        <f>V332/V$6</f>
        <v>0</v>
      </c>
      <c r="X332" s="89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>
        <v>0</v>
      </c>
      <c r="AL332" s="72">
        <f t="shared" si="39"/>
        <v>0</v>
      </c>
      <c r="AM332" s="10">
        <f t="shared" si="37"/>
        <v>0</v>
      </c>
      <c r="AN332" s="89"/>
      <c r="AS332" s="222">
        <v>0</v>
      </c>
    </row>
    <row r="333" spans="9:45" ht="16.5" hidden="1" customHeight="1" outlineLevel="1">
      <c r="I333" s="246" t="s">
        <v>262</v>
      </c>
      <c r="J333" s="279"/>
      <c r="K333" s="279"/>
      <c r="L333" s="279"/>
      <c r="M333" s="279"/>
      <c r="N333" s="279"/>
      <c r="O333" s="279"/>
      <c r="P333" s="279"/>
      <c r="Q333" s="279"/>
      <c r="R333" s="279"/>
      <c r="S333" s="279"/>
      <c r="T333" s="279"/>
      <c r="U333" s="279"/>
      <c r="V333" s="222">
        <f t="shared" si="40"/>
        <v>0</v>
      </c>
      <c r="W333" s="72">
        <f>V333/V$6</f>
        <v>0</v>
      </c>
      <c r="X333" s="89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>
        <v>0</v>
      </c>
      <c r="AL333" s="72">
        <f t="shared" si="39"/>
        <v>0</v>
      </c>
      <c r="AM333" s="10">
        <f t="shared" si="37"/>
        <v>0</v>
      </c>
      <c r="AN333" s="89"/>
      <c r="AS333" s="222">
        <v>0</v>
      </c>
    </row>
    <row r="334" spans="9:45" ht="16.5" hidden="1" customHeight="1" outlineLevel="1">
      <c r="I334" s="246" t="s">
        <v>291</v>
      </c>
      <c r="J334" s="279"/>
      <c r="K334" s="279"/>
      <c r="L334" s="279"/>
      <c r="M334" s="279"/>
      <c r="N334" s="279"/>
      <c r="O334" s="279"/>
      <c r="P334" s="279"/>
      <c r="Q334" s="279"/>
      <c r="R334" s="279"/>
      <c r="S334" s="279"/>
      <c r="T334" s="279"/>
      <c r="U334" s="279"/>
      <c r="V334" s="222">
        <f t="shared" si="40"/>
        <v>0</v>
      </c>
      <c r="W334" s="72">
        <f>V334/V$6</f>
        <v>0</v>
      </c>
      <c r="X334" s="89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>
        <v>0</v>
      </c>
      <c r="AL334" s="72">
        <f t="shared" si="39"/>
        <v>0</v>
      </c>
      <c r="AM334" s="10">
        <f t="shared" si="37"/>
        <v>0</v>
      </c>
      <c r="AN334" s="89"/>
      <c r="AS334" s="222">
        <v>0</v>
      </c>
    </row>
    <row r="335" spans="9:45" ht="16.5" hidden="1" customHeight="1" outlineLevel="1">
      <c r="I335" s="246" t="s">
        <v>225</v>
      </c>
      <c r="J335" s="279"/>
      <c r="K335" s="279"/>
      <c r="L335" s="279"/>
      <c r="M335" s="279"/>
      <c r="N335" s="279"/>
      <c r="O335" s="279"/>
      <c r="P335" s="279"/>
      <c r="Q335" s="279"/>
      <c r="R335" s="279"/>
      <c r="S335" s="279"/>
      <c r="T335" s="279"/>
      <c r="U335" s="279"/>
      <c r="V335" s="222">
        <f t="shared" si="40"/>
        <v>0</v>
      </c>
      <c r="W335" s="72">
        <f>V335/V$6</f>
        <v>0</v>
      </c>
      <c r="X335" s="89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>
        <v>0</v>
      </c>
      <c r="AL335" s="72">
        <f t="shared" si="39"/>
        <v>0</v>
      </c>
      <c r="AM335" s="10">
        <f t="shared" si="37"/>
        <v>0</v>
      </c>
      <c r="AN335" s="89"/>
      <c r="AS335" s="222">
        <v>0</v>
      </c>
    </row>
    <row r="336" spans="9:45" ht="16.5" hidden="1" customHeight="1" outlineLevel="1">
      <c r="I336" s="246" t="s">
        <v>234</v>
      </c>
      <c r="J336" s="279"/>
      <c r="K336" s="279"/>
      <c r="L336" s="279"/>
      <c r="M336" s="279"/>
      <c r="N336" s="279"/>
      <c r="O336" s="279"/>
      <c r="P336" s="279"/>
      <c r="Q336" s="279"/>
      <c r="R336" s="279"/>
      <c r="S336" s="279"/>
      <c r="T336" s="279"/>
      <c r="U336" s="279"/>
      <c r="V336" s="222">
        <f t="shared" si="40"/>
        <v>0</v>
      </c>
      <c r="W336" s="72">
        <f>V336/V$6</f>
        <v>0</v>
      </c>
      <c r="X336" s="89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>
        <v>0</v>
      </c>
      <c r="AL336" s="72">
        <f t="shared" si="39"/>
        <v>0</v>
      </c>
      <c r="AM336" s="10">
        <f t="shared" si="37"/>
        <v>0</v>
      </c>
      <c r="AN336" s="89"/>
      <c r="AS336" s="222">
        <v>0</v>
      </c>
    </row>
    <row r="337" spans="5:45" ht="16.5" hidden="1" customHeight="1" outlineLevel="1">
      <c r="I337" s="246" t="s">
        <v>232</v>
      </c>
      <c r="J337" s="279"/>
      <c r="K337" s="279"/>
      <c r="L337" s="279"/>
      <c r="M337" s="279"/>
      <c r="N337" s="279"/>
      <c r="O337" s="279"/>
      <c r="P337" s="279"/>
      <c r="Q337" s="279"/>
      <c r="R337" s="279"/>
      <c r="S337" s="279"/>
      <c r="T337" s="279"/>
      <c r="U337" s="279"/>
      <c r="V337" s="222">
        <f t="shared" si="40"/>
        <v>0</v>
      </c>
      <c r="W337" s="72">
        <f>V337/V$6</f>
        <v>0</v>
      </c>
      <c r="X337" s="89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>
        <v>0</v>
      </c>
      <c r="AL337" s="72">
        <f t="shared" si="39"/>
        <v>0</v>
      </c>
      <c r="AM337" s="10">
        <f t="shared" si="37"/>
        <v>0</v>
      </c>
      <c r="AN337" s="89"/>
      <c r="AS337" s="222">
        <v>0</v>
      </c>
    </row>
    <row r="338" spans="5:45" ht="16.5" hidden="1" customHeight="1" outlineLevel="1">
      <c r="I338" s="246" t="s">
        <v>233</v>
      </c>
      <c r="J338" s="279"/>
      <c r="K338" s="279"/>
      <c r="L338" s="279"/>
      <c r="M338" s="279"/>
      <c r="N338" s="279"/>
      <c r="O338" s="279"/>
      <c r="P338" s="279"/>
      <c r="Q338" s="279"/>
      <c r="R338" s="279"/>
      <c r="S338" s="279"/>
      <c r="T338" s="279"/>
      <c r="U338" s="279"/>
      <c r="V338" s="222">
        <f t="shared" si="40"/>
        <v>0</v>
      </c>
      <c r="W338" s="72">
        <f>V338/V$6</f>
        <v>0</v>
      </c>
      <c r="X338" s="89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>
        <v>0</v>
      </c>
      <c r="AL338" s="72">
        <f t="shared" si="39"/>
        <v>0</v>
      </c>
      <c r="AM338" s="10">
        <f t="shared" si="37"/>
        <v>0</v>
      </c>
      <c r="AN338" s="89"/>
      <c r="AS338" s="222">
        <v>0</v>
      </c>
    </row>
    <row r="339" spans="5:45" ht="16.5" hidden="1" customHeight="1" outlineLevel="1">
      <c r="I339" s="246" t="s">
        <v>255</v>
      </c>
      <c r="J339" s="279"/>
      <c r="K339" s="279"/>
      <c r="L339" s="279"/>
      <c r="M339" s="279"/>
      <c r="N339" s="279"/>
      <c r="O339" s="279"/>
      <c r="P339" s="279"/>
      <c r="Q339" s="279"/>
      <c r="R339" s="279"/>
      <c r="S339" s="279"/>
      <c r="T339" s="279"/>
      <c r="U339" s="279"/>
      <c r="V339" s="222">
        <f t="shared" si="40"/>
        <v>0</v>
      </c>
      <c r="W339" s="72">
        <f>V339/V$6</f>
        <v>0</v>
      </c>
      <c r="X339" s="89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>
        <v>0</v>
      </c>
      <c r="AL339" s="72">
        <f t="shared" si="39"/>
        <v>0</v>
      </c>
      <c r="AM339" s="10">
        <f t="shared" si="37"/>
        <v>0</v>
      </c>
      <c r="AN339" s="89"/>
      <c r="AS339" s="222">
        <v>0</v>
      </c>
    </row>
    <row r="340" spans="5:45" ht="16.5" hidden="1" customHeight="1" outlineLevel="1">
      <c r="I340" s="246" t="s">
        <v>231</v>
      </c>
      <c r="J340" s="279"/>
      <c r="K340" s="279"/>
      <c r="L340" s="279"/>
      <c r="M340" s="279"/>
      <c r="N340" s="279"/>
      <c r="O340" s="279"/>
      <c r="P340" s="279"/>
      <c r="Q340" s="279"/>
      <c r="R340" s="279"/>
      <c r="S340" s="279"/>
      <c r="T340" s="279"/>
      <c r="U340" s="279"/>
      <c r="V340" s="222">
        <f t="shared" si="40"/>
        <v>0</v>
      </c>
      <c r="W340" s="72">
        <f>V340/V$6</f>
        <v>0</v>
      </c>
      <c r="X340" s="89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>
        <v>0</v>
      </c>
      <c r="AL340" s="72">
        <f t="shared" si="39"/>
        <v>0</v>
      </c>
      <c r="AM340" s="10">
        <f t="shared" si="37"/>
        <v>0</v>
      </c>
      <c r="AN340" s="89"/>
      <c r="AS340" s="222">
        <v>0</v>
      </c>
    </row>
    <row r="341" spans="5:45" ht="16.5" customHeight="1" collapsed="1">
      <c r="I341" s="167" t="s">
        <v>264</v>
      </c>
      <c r="J341" s="222">
        <f>SUM(J342:J347)</f>
        <v>0</v>
      </c>
      <c r="K341" s="222">
        <f t="shared" ref="K341:U341" si="42">SUM(K342:K347)</f>
        <v>0</v>
      </c>
      <c r="L341" s="222">
        <f t="shared" si="42"/>
        <v>0</v>
      </c>
      <c r="M341" s="222">
        <f t="shared" si="42"/>
        <v>0</v>
      </c>
      <c r="N341" s="222">
        <f t="shared" si="42"/>
        <v>0</v>
      </c>
      <c r="O341" s="222">
        <f t="shared" si="42"/>
        <v>0</v>
      </c>
      <c r="P341" s="222">
        <f t="shared" si="42"/>
        <v>0</v>
      </c>
      <c r="Q341" s="222">
        <f t="shared" si="42"/>
        <v>0</v>
      </c>
      <c r="R341" s="222">
        <f t="shared" si="42"/>
        <v>0</v>
      </c>
      <c r="S341" s="222">
        <f t="shared" si="42"/>
        <v>0</v>
      </c>
      <c r="T341" s="222">
        <f t="shared" si="42"/>
        <v>0</v>
      </c>
      <c r="U341" s="222">
        <f t="shared" si="42"/>
        <v>0</v>
      </c>
      <c r="V341" s="222">
        <f t="shared" si="40"/>
        <v>0</v>
      </c>
      <c r="W341" s="72">
        <f>V341/V$6</f>
        <v>0</v>
      </c>
      <c r="X341" s="89"/>
      <c r="Y341" s="222">
        <f t="shared" ref="Y341:AJ341" si="43">+SUM(Y342:Y347)</f>
        <v>0</v>
      </c>
      <c r="Z341" s="222">
        <f t="shared" si="43"/>
        <v>0</v>
      </c>
      <c r="AA341" s="222">
        <f t="shared" si="43"/>
        <v>0</v>
      </c>
      <c r="AB341" s="222">
        <f t="shared" si="43"/>
        <v>0</v>
      </c>
      <c r="AC341" s="222">
        <f t="shared" si="43"/>
        <v>0</v>
      </c>
      <c r="AD341" s="222">
        <f t="shared" si="43"/>
        <v>0</v>
      </c>
      <c r="AE341" s="222">
        <f t="shared" si="43"/>
        <v>0</v>
      </c>
      <c r="AF341" s="222">
        <f t="shared" si="43"/>
        <v>0</v>
      </c>
      <c r="AG341" s="222">
        <f t="shared" si="43"/>
        <v>0</v>
      </c>
      <c r="AH341" s="222">
        <f t="shared" si="43"/>
        <v>0</v>
      </c>
      <c r="AI341" s="222">
        <f t="shared" si="43"/>
        <v>0</v>
      </c>
      <c r="AJ341" s="222">
        <f t="shared" si="43"/>
        <v>0</v>
      </c>
      <c r="AK341" s="222">
        <f>+SUM(AK342:AK347)</f>
        <v>0</v>
      </c>
      <c r="AL341" s="72">
        <f t="shared" si="39"/>
        <v>0</v>
      </c>
      <c r="AM341" s="10">
        <f t="shared" si="37"/>
        <v>0</v>
      </c>
      <c r="AN341" s="89"/>
      <c r="AS341" s="222">
        <v>0</v>
      </c>
    </row>
    <row r="342" spans="5:45" ht="16.5" hidden="1" customHeight="1" outlineLevel="1">
      <c r="I342" s="246" t="s">
        <v>270</v>
      </c>
      <c r="J342" s="279"/>
      <c r="K342" s="279"/>
      <c r="L342" s="279"/>
      <c r="M342" s="279"/>
      <c r="N342" s="279"/>
      <c r="O342" s="279"/>
      <c r="P342" s="279"/>
      <c r="Q342" s="279"/>
      <c r="R342" s="279"/>
      <c r="S342" s="279"/>
      <c r="T342" s="279"/>
      <c r="U342" s="279"/>
      <c r="V342" s="222">
        <f t="shared" si="40"/>
        <v>0</v>
      </c>
      <c r="W342" s="72">
        <f>V342/V$6</f>
        <v>0</v>
      </c>
      <c r="X342" s="89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>
        <v>0</v>
      </c>
      <c r="AL342" s="72">
        <f t="shared" si="39"/>
        <v>0</v>
      </c>
      <c r="AM342" s="10">
        <f t="shared" si="37"/>
        <v>0</v>
      </c>
      <c r="AN342" s="89"/>
      <c r="AS342" s="222">
        <v>0</v>
      </c>
    </row>
    <row r="343" spans="5:45" ht="16.5" hidden="1" customHeight="1" outlineLevel="1">
      <c r="I343" s="246" t="s">
        <v>292</v>
      </c>
      <c r="J343" s="279"/>
      <c r="K343" s="279"/>
      <c r="L343" s="279"/>
      <c r="M343" s="279"/>
      <c r="N343" s="279"/>
      <c r="O343" s="279"/>
      <c r="P343" s="279"/>
      <c r="Q343" s="279"/>
      <c r="R343" s="279"/>
      <c r="S343" s="279"/>
      <c r="T343" s="279"/>
      <c r="U343" s="279"/>
      <c r="V343" s="222">
        <f t="shared" si="40"/>
        <v>0</v>
      </c>
      <c r="W343" s="72">
        <f>V343/V$6</f>
        <v>0</v>
      </c>
      <c r="X343" s="89"/>
      <c r="Y343" s="225">
        <f>+VLOOKUP($I$343,[2]Detalle!$C$12:$O$13,Y1,0)</f>
        <v>0</v>
      </c>
      <c r="Z343" s="225">
        <f>+VLOOKUP($I$343,[2]Detalle!$C$12:$O$13,Z1,0)</f>
        <v>0</v>
      </c>
      <c r="AA343" s="225">
        <f>+VLOOKUP($I$343,[2]Detalle!$C$12:$O$13,AA1,0)</f>
        <v>0</v>
      </c>
      <c r="AB343" s="225">
        <f>+VLOOKUP($I$343,[2]Detalle!$C$12:$O$13,AB1,0)</f>
        <v>0</v>
      </c>
      <c r="AC343" s="225">
        <f>+VLOOKUP($I$343,[2]Detalle!$C$12:$O$13,AC1,0)</f>
        <v>0</v>
      </c>
      <c r="AD343" s="225">
        <f>+VLOOKUP($I$343,[2]Detalle!$C$12:$O$13,AD1,0)</f>
        <v>0</v>
      </c>
      <c r="AE343" s="225">
        <f>+VLOOKUP($I$343,[2]Detalle!$C$12:$O$13,AE1,0)</f>
        <v>0</v>
      </c>
      <c r="AF343" s="225">
        <f>+VLOOKUP($I$343,[2]Detalle!$C$12:$O$13,AF1,0)</f>
        <v>0</v>
      </c>
      <c r="AG343" s="225">
        <f>+VLOOKUP($I$343,[2]Detalle!$C$12:$O$13,AG1,0)</f>
        <v>0</v>
      </c>
      <c r="AH343" s="225">
        <f>+VLOOKUP($I$343,[2]Detalle!$C$12:$O$13,AH1,0)</f>
        <v>0</v>
      </c>
      <c r="AI343" s="225">
        <f>+VLOOKUP($I$343,[2]Detalle!$C$12:$O$13,AI1,0)</f>
        <v>0</v>
      </c>
      <c r="AJ343" s="225">
        <f>+VLOOKUP($I$343,[2]Detalle!$C$12:$O$13,AJ1,0)</f>
        <v>0</v>
      </c>
      <c r="AK343" s="65">
        <f t="shared" ref="AK343" si="44">SUM(Y343:AJ343)</f>
        <v>0</v>
      </c>
      <c r="AL343" s="72">
        <f t="shared" si="39"/>
        <v>0</v>
      </c>
      <c r="AM343" s="10">
        <f t="shared" si="37"/>
        <v>0</v>
      </c>
      <c r="AN343" s="89"/>
      <c r="AS343" s="65">
        <v>0</v>
      </c>
    </row>
    <row r="344" spans="5:45" ht="16.5" hidden="1" customHeight="1" outlineLevel="1">
      <c r="I344" s="246" t="s">
        <v>293</v>
      </c>
      <c r="J344" s="279"/>
      <c r="K344" s="279"/>
      <c r="L344" s="279"/>
      <c r="M344" s="279"/>
      <c r="N344" s="279"/>
      <c r="O344" s="279"/>
      <c r="P344" s="279"/>
      <c r="Q344" s="279"/>
      <c r="R344" s="279"/>
      <c r="S344" s="279"/>
      <c r="T344" s="279"/>
      <c r="U344" s="279"/>
      <c r="V344" s="222">
        <f t="shared" si="40"/>
        <v>0</v>
      </c>
      <c r="W344" s="72">
        <f>V344/V$6</f>
        <v>0</v>
      </c>
      <c r="X344" s="89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>
        <v>0</v>
      </c>
      <c r="AL344" s="72">
        <f t="shared" si="39"/>
        <v>0</v>
      </c>
      <c r="AM344" s="10">
        <f t="shared" si="37"/>
        <v>0</v>
      </c>
      <c r="AN344" s="89"/>
      <c r="AS344" s="222">
        <v>0</v>
      </c>
    </row>
    <row r="345" spans="5:45" ht="16.5" hidden="1" customHeight="1" outlineLevel="1">
      <c r="I345" s="246" t="s">
        <v>269</v>
      </c>
      <c r="J345" s="279"/>
      <c r="K345" s="279"/>
      <c r="L345" s="279"/>
      <c r="M345" s="279"/>
      <c r="N345" s="279"/>
      <c r="O345" s="279"/>
      <c r="P345" s="279"/>
      <c r="Q345" s="279"/>
      <c r="R345" s="279"/>
      <c r="S345" s="279"/>
      <c r="T345" s="279"/>
      <c r="U345" s="279"/>
      <c r="V345" s="222">
        <f t="shared" si="40"/>
        <v>0</v>
      </c>
      <c r="W345" s="72">
        <f>V345/V$6</f>
        <v>0</v>
      </c>
      <c r="X345" s="89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>
        <v>0</v>
      </c>
      <c r="AL345" s="72">
        <f t="shared" si="39"/>
        <v>0</v>
      </c>
      <c r="AM345" s="10">
        <f t="shared" si="37"/>
        <v>0</v>
      </c>
      <c r="AN345" s="89"/>
      <c r="AS345" s="222">
        <v>0</v>
      </c>
    </row>
    <row r="346" spans="5:45" ht="16.5" hidden="1" customHeight="1" outlineLevel="1">
      <c r="I346" s="246" t="s">
        <v>266</v>
      </c>
      <c r="J346" s="279"/>
      <c r="K346" s="279"/>
      <c r="L346" s="279"/>
      <c r="M346" s="279"/>
      <c r="N346" s="279"/>
      <c r="O346" s="279"/>
      <c r="P346" s="279"/>
      <c r="Q346" s="279"/>
      <c r="R346" s="279"/>
      <c r="S346" s="279"/>
      <c r="T346" s="279"/>
      <c r="U346" s="279"/>
      <c r="V346" s="222">
        <f t="shared" si="40"/>
        <v>0</v>
      </c>
      <c r="W346" s="72">
        <f>V346/V$6</f>
        <v>0</v>
      </c>
      <c r="X346" s="89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>
        <v>0</v>
      </c>
      <c r="AL346" s="72">
        <f t="shared" si="39"/>
        <v>0</v>
      </c>
      <c r="AM346" s="10">
        <f t="shared" si="37"/>
        <v>0</v>
      </c>
      <c r="AN346" s="89"/>
      <c r="AS346" s="222">
        <v>0</v>
      </c>
    </row>
    <row r="347" spans="5:45" ht="16.5" hidden="1" customHeight="1" outlineLevel="1">
      <c r="I347" s="246" t="s">
        <v>294</v>
      </c>
      <c r="J347" s="279"/>
      <c r="K347" s="279"/>
      <c r="L347" s="279"/>
      <c r="M347" s="279"/>
      <c r="N347" s="279"/>
      <c r="O347" s="279"/>
      <c r="P347" s="279"/>
      <c r="Q347" s="279"/>
      <c r="R347" s="279"/>
      <c r="S347" s="279"/>
      <c r="T347" s="279"/>
      <c r="U347" s="279"/>
      <c r="V347" s="222">
        <f t="shared" si="40"/>
        <v>0</v>
      </c>
      <c r="W347" s="72">
        <f>V347/V$6</f>
        <v>0</v>
      </c>
      <c r="X347" s="89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>
        <v>0</v>
      </c>
      <c r="AL347" s="72">
        <f t="shared" si="39"/>
        <v>0</v>
      </c>
      <c r="AM347" s="10">
        <f t="shared" si="37"/>
        <v>0</v>
      </c>
      <c r="AN347" s="89"/>
      <c r="AS347" s="222">
        <v>0</v>
      </c>
    </row>
    <row r="348" spans="5:45" ht="16.5" customHeight="1">
      <c r="I348" s="259" t="s">
        <v>300</v>
      </c>
      <c r="J348" s="222">
        <f>+J341+J330+J325+J308+J261</f>
        <v>0</v>
      </c>
      <c r="K348" s="222">
        <f t="shared" ref="K348:U348" si="45">+K341+K330+K325+K308+K261</f>
        <v>0</v>
      </c>
      <c r="L348" s="222">
        <f t="shared" si="45"/>
        <v>0</v>
      </c>
      <c r="M348" s="222">
        <f t="shared" si="45"/>
        <v>0</v>
      </c>
      <c r="N348" s="222">
        <f t="shared" si="45"/>
        <v>0</v>
      </c>
      <c r="O348" s="222">
        <f t="shared" si="45"/>
        <v>0</v>
      </c>
      <c r="P348" s="222">
        <f t="shared" si="45"/>
        <v>0</v>
      </c>
      <c r="Q348" s="222">
        <f t="shared" si="45"/>
        <v>0</v>
      </c>
      <c r="R348" s="222">
        <f t="shared" si="45"/>
        <v>0</v>
      </c>
      <c r="S348" s="222">
        <f t="shared" si="45"/>
        <v>0</v>
      </c>
      <c r="T348" s="222">
        <f t="shared" si="45"/>
        <v>0</v>
      </c>
      <c r="U348" s="222">
        <f t="shared" si="45"/>
        <v>0</v>
      </c>
      <c r="V348" s="222">
        <f t="shared" si="40"/>
        <v>0</v>
      </c>
      <c r="W348" s="72">
        <f>V348/V$6</f>
        <v>0</v>
      </c>
      <c r="X348" s="89"/>
      <c r="Y348" s="222">
        <f t="shared" ref="Y348:AJ348" si="46">+Y341+Y330+Y325+Y308+Y261</f>
        <v>0</v>
      </c>
      <c r="Z348" s="222">
        <f t="shared" si="46"/>
        <v>0</v>
      </c>
      <c r="AA348" s="222">
        <f t="shared" si="46"/>
        <v>0</v>
      </c>
      <c r="AB348" s="222">
        <f t="shared" si="46"/>
        <v>0</v>
      </c>
      <c r="AC348" s="222">
        <f t="shared" si="46"/>
        <v>0</v>
      </c>
      <c r="AD348" s="222">
        <f t="shared" si="46"/>
        <v>0</v>
      </c>
      <c r="AE348" s="222">
        <f t="shared" si="46"/>
        <v>0</v>
      </c>
      <c r="AF348" s="222">
        <f t="shared" si="46"/>
        <v>0</v>
      </c>
      <c r="AG348" s="222">
        <f t="shared" si="46"/>
        <v>0</v>
      </c>
      <c r="AH348" s="222">
        <f t="shared" si="46"/>
        <v>0</v>
      </c>
      <c r="AI348" s="222">
        <f t="shared" si="46"/>
        <v>0</v>
      </c>
      <c r="AJ348" s="222">
        <f t="shared" si="46"/>
        <v>0</v>
      </c>
      <c r="AK348" s="222">
        <f>+AK341+AK330+AK325+AK308+AK261</f>
        <v>0</v>
      </c>
      <c r="AL348" s="72">
        <f t="shared" si="39"/>
        <v>0</v>
      </c>
      <c r="AM348" s="10">
        <f t="shared" si="37"/>
        <v>0</v>
      </c>
      <c r="AN348" s="89"/>
      <c r="AS348" s="222">
        <v>0</v>
      </c>
    </row>
    <row r="349" spans="5:45" ht="16.5" customHeight="1">
      <c r="I349" s="260"/>
      <c r="J349" s="222"/>
      <c r="K349" s="222"/>
      <c r="L349" s="222"/>
      <c r="M349" s="222"/>
      <c r="N349" s="222"/>
      <c r="O349" s="222"/>
      <c r="P349" s="222"/>
      <c r="Q349" s="222"/>
      <c r="R349" s="222"/>
      <c r="S349" s="222"/>
      <c r="T349" s="222"/>
      <c r="U349" s="222"/>
      <c r="V349" s="222"/>
      <c r="W349" s="72"/>
      <c r="X349" s="89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72"/>
      <c r="AM349" s="10"/>
      <c r="AN349" s="89"/>
      <c r="AS349" s="222"/>
    </row>
    <row r="350" spans="5:45" ht="16.5" customHeight="1">
      <c r="I350" s="259" t="s">
        <v>301</v>
      </c>
      <c r="J350" s="222">
        <f t="shared" ref="J350:U350" si="47">+J257+J161</f>
        <v>5733305</v>
      </c>
      <c r="K350" s="222">
        <f t="shared" si="47"/>
        <v>4107778</v>
      </c>
      <c r="L350" s="222">
        <f t="shared" si="47"/>
        <v>5236700</v>
      </c>
      <c r="M350" s="222">
        <f t="shared" si="47"/>
        <v>4975665</v>
      </c>
      <c r="N350" s="222">
        <f t="shared" si="47"/>
        <v>5249228</v>
      </c>
      <c r="O350" s="222">
        <f t="shared" si="47"/>
        <v>5049177</v>
      </c>
      <c r="P350" s="222">
        <f t="shared" si="47"/>
        <v>5106640</v>
      </c>
      <c r="Q350" s="222">
        <f t="shared" si="47"/>
        <v>5476286</v>
      </c>
      <c r="R350" s="222">
        <f t="shared" si="47"/>
        <v>4531317</v>
      </c>
      <c r="S350" s="222">
        <f t="shared" si="47"/>
        <v>4929043.1123097129</v>
      </c>
      <c r="T350" s="222">
        <f t="shared" si="47"/>
        <v>5169712.3183103073</v>
      </c>
      <c r="U350" s="222">
        <f t="shared" si="47"/>
        <v>4810868.5963266399</v>
      </c>
      <c r="V350" s="222">
        <f>+V257+V161</f>
        <v>65459808.249168888</v>
      </c>
      <c r="W350" s="72"/>
      <c r="X350" s="89"/>
      <c r="Y350" s="222">
        <f t="shared" ref="Y350:AJ350" si="48">+Y257+Y161</f>
        <v>6088373.0509129446</v>
      </c>
      <c r="Z350" s="222">
        <f t="shared" si="48"/>
        <v>5665751.4045038093</v>
      </c>
      <c r="AA350" s="222">
        <f t="shared" si="48"/>
        <v>6213889.7287056511</v>
      </c>
      <c r="AB350" s="222">
        <f t="shared" si="48"/>
        <v>5372316.6727627153</v>
      </c>
      <c r="AC350" s="222">
        <f t="shared" si="48"/>
        <v>5618310.5749140028</v>
      </c>
      <c r="AD350" s="222">
        <f t="shared" si="48"/>
        <v>5576751.332145581</v>
      </c>
      <c r="AE350" s="222">
        <f t="shared" si="48"/>
        <v>5928123.4097264707</v>
      </c>
      <c r="AF350" s="222">
        <f t="shared" si="48"/>
        <v>5961553.3999487879</v>
      </c>
      <c r="AG350" s="222">
        <f t="shared" si="48"/>
        <v>5841913.9823966464</v>
      </c>
      <c r="AH350" s="222">
        <f t="shared" si="48"/>
        <v>5924947.8357001636</v>
      </c>
      <c r="AI350" s="222">
        <f t="shared" si="48"/>
        <v>5806566.7300480539</v>
      </c>
      <c r="AJ350" s="222">
        <f t="shared" si="48"/>
        <v>5695385.2734523686</v>
      </c>
      <c r="AK350" s="222">
        <f>+AK257+AK161</f>
        <v>69693883.39521718</v>
      </c>
      <c r="AL350" s="72">
        <f t="shared" si="39"/>
        <v>7.2358238240652503E-2</v>
      </c>
      <c r="AM350" s="10">
        <f>IFERROR(AK350/V350-1,0)</f>
        <v>6.4682058492006922E-2</v>
      </c>
      <c r="AN350" s="89"/>
      <c r="AS350" s="222">
        <v>69693883.39521718</v>
      </c>
    </row>
    <row r="351" spans="5:45">
      <c r="E351" s="180" t="s">
        <v>374</v>
      </c>
      <c r="I351" s="186" t="s">
        <v>468</v>
      </c>
      <c r="J351" s="232">
        <f>+J257/J39</f>
        <v>2.1926898268887839E-2</v>
      </c>
      <c r="K351" s="232">
        <f>+K257/K39</f>
        <v>2.06455846802054E-2</v>
      </c>
      <c r="L351" s="232">
        <f>+L257/L39</f>
        <v>4.8239940484264915E-2</v>
      </c>
      <c r="M351" s="232">
        <f>+M257/M39</f>
        <v>-5.7026166486809915E-3</v>
      </c>
      <c r="N351" s="232">
        <f>+N257/N39</f>
        <v>2.8202399855943163E-2</v>
      </c>
      <c r="O351" s="232">
        <f>+O257/O39</f>
        <v>1.2760716955194056E-2</v>
      </c>
      <c r="P351" s="232">
        <f>+P257/P39</f>
        <v>1.9630629541449819E-2</v>
      </c>
      <c r="Q351" s="232">
        <f>+Q257/Q39</f>
        <v>0</v>
      </c>
      <c r="R351" s="232">
        <f>+R257/R39</f>
        <v>1.08048279669075E-2</v>
      </c>
      <c r="S351" s="232">
        <f>+S257/S39</f>
        <v>2.3041995838873796E-2</v>
      </c>
      <c r="T351" s="232">
        <f>+T257/T39</f>
        <v>0</v>
      </c>
      <c r="U351" s="232">
        <f>+U257/U39</f>
        <v>0</v>
      </c>
      <c r="V351" s="232">
        <f>+V257/V39</f>
        <v>1.5176494464867444E-2</v>
      </c>
      <c r="W351" s="73">
        <f t="shared" si="24"/>
        <v>1.6934954212627962E-11</v>
      </c>
      <c r="X351" s="89"/>
      <c r="Y351" s="232">
        <f>+Y257/Y39</f>
        <v>1.5392518081999644E-2</v>
      </c>
      <c r="Z351" s="232">
        <f>+Z257/Z39</f>
        <v>1.5400132523891911E-2</v>
      </c>
      <c r="AA351" s="232">
        <f>+AA257/AA39</f>
        <v>1.5364574003783306E-2</v>
      </c>
      <c r="AB351" s="232">
        <f>+AB257/AB39</f>
        <v>1.5387581576232257E-2</v>
      </c>
      <c r="AC351" s="232">
        <f>+AC257/AC39</f>
        <v>1.5339787406346096E-2</v>
      </c>
      <c r="AD351" s="232">
        <f>+AD257/AD39</f>
        <v>1.5345080248411769E-2</v>
      </c>
      <c r="AE351" s="232">
        <f>+AE257/AE39</f>
        <v>1.5350283881733885E-2</v>
      </c>
      <c r="AF351" s="232">
        <f>+AF257/AF39</f>
        <v>1.534565214535917E-2</v>
      </c>
      <c r="AG351" s="232">
        <f>+AG257/AG39</f>
        <v>1.5353363549843105E-2</v>
      </c>
      <c r="AH351" s="232">
        <f>+AH257/AH39</f>
        <v>1.5348063052318051E-2</v>
      </c>
      <c r="AI351" s="232">
        <f>+AI257/AI39</f>
        <v>1.5360589491701031E-2</v>
      </c>
      <c r="AJ351" s="232">
        <f>+AJ257/AJ39</f>
        <v>1.53821325031717E-2</v>
      </c>
      <c r="AK351" s="232">
        <f>+AK257/AK39</f>
        <v>1.5363066715626882E-2</v>
      </c>
      <c r="AL351" s="73">
        <f t="shared" ref="AL351" si="49">AK351/AK$6</f>
        <v>1.5950387428011458E-11</v>
      </c>
      <c r="AM351" s="14">
        <f t="shared" ref="AM351" si="50">IFERROR(AK351/V351-1,0)</f>
        <v>1.2293501057924816E-2</v>
      </c>
      <c r="AN351" s="89"/>
      <c r="AS351" s="232">
        <v>1.5363066715626882E-2</v>
      </c>
    </row>
    <row r="352" spans="5:45">
      <c r="E352" s="180" t="s">
        <v>272</v>
      </c>
      <c r="I352" s="186" t="s">
        <v>469</v>
      </c>
      <c r="J352" s="232">
        <f t="shared" ref="J352:U352" si="51">+J257+J161</f>
        <v>5733305</v>
      </c>
      <c r="K352" s="232">
        <f t="shared" si="51"/>
        <v>4107778</v>
      </c>
      <c r="L352" s="232">
        <f t="shared" si="51"/>
        <v>5236700</v>
      </c>
      <c r="M352" s="232">
        <f t="shared" si="51"/>
        <v>4975665</v>
      </c>
      <c r="N352" s="232">
        <f t="shared" si="51"/>
        <v>5249228</v>
      </c>
      <c r="O352" s="232">
        <f t="shared" si="51"/>
        <v>5049177</v>
      </c>
      <c r="P352" s="232">
        <f t="shared" si="51"/>
        <v>5106640</v>
      </c>
      <c r="Q352" s="232">
        <f t="shared" si="51"/>
        <v>5476286</v>
      </c>
      <c r="R352" s="232">
        <f t="shared" si="51"/>
        <v>4531317</v>
      </c>
      <c r="S352" s="232">
        <f t="shared" si="51"/>
        <v>4929043.1123097129</v>
      </c>
      <c r="T352" s="232">
        <f t="shared" si="51"/>
        <v>5169712.3183103073</v>
      </c>
      <c r="U352" s="232">
        <f t="shared" si="51"/>
        <v>4810868.5963266399</v>
      </c>
      <c r="V352" s="274">
        <f>+V257+V161</f>
        <v>65459808.249168888</v>
      </c>
      <c r="W352" s="74"/>
      <c r="X352" s="90"/>
      <c r="Y352" s="232">
        <f>+Y161+Y257</f>
        <v>6088373.0509129446</v>
      </c>
      <c r="Z352" s="232">
        <f t="shared" ref="Z352:AJ352" si="52">+Z161+Z257</f>
        <v>5665751.4045038093</v>
      </c>
      <c r="AA352" s="232">
        <f t="shared" si="52"/>
        <v>6213889.7287056511</v>
      </c>
      <c r="AB352" s="232">
        <f t="shared" si="52"/>
        <v>5372316.6727627153</v>
      </c>
      <c r="AC352" s="232">
        <f t="shared" si="52"/>
        <v>5618310.5749140028</v>
      </c>
      <c r="AD352" s="232">
        <f t="shared" si="52"/>
        <v>5576751.332145581</v>
      </c>
      <c r="AE352" s="232">
        <f t="shared" si="52"/>
        <v>5928123.4097264707</v>
      </c>
      <c r="AF352" s="232">
        <f t="shared" si="52"/>
        <v>5961553.3999487879</v>
      </c>
      <c r="AG352" s="232">
        <f t="shared" si="52"/>
        <v>5841913.9823966464</v>
      </c>
      <c r="AH352" s="232">
        <f t="shared" si="52"/>
        <v>5924947.8357001636</v>
      </c>
      <c r="AI352" s="232">
        <f t="shared" si="52"/>
        <v>5806566.7300480539</v>
      </c>
      <c r="AJ352" s="232">
        <f t="shared" si="52"/>
        <v>5695385.2734523686</v>
      </c>
      <c r="AK352" s="274">
        <f>+AK257+AK161</f>
        <v>69693883.39521718</v>
      </c>
      <c r="AL352" s="73">
        <f t="shared" ref="AL352:AL354" si="53">AK352/AK$6</f>
        <v>7.2358238240652503E-2</v>
      </c>
      <c r="AM352" s="14">
        <f t="shared" ref="AM352:AM353" si="54">IFERROR(AK352/V352-1,0)</f>
        <v>6.4682058492006922E-2</v>
      </c>
      <c r="AN352" s="90"/>
      <c r="AS352" s="274">
        <v>69693883.39521718</v>
      </c>
    </row>
    <row r="353" spans="5:45">
      <c r="E353" s="180" t="s">
        <v>303</v>
      </c>
      <c r="I353" s="186" t="s">
        <v>304</v>
      </c>
      <c r="J353" s="232">
        <f>+J352/J39</f>
        <v>1.5493036341168074</v>
      </c>
      <c r="K353" s="232">
        <f>+K352/K39</f>
        <v>1.130766380619797</v>
      </c>
      <c r="L353" s="232">
        <f>+L352/L39</f>
        <v>1.3130521146314782</v>
      </c>
      <c r="M353" s="232">
        <f>+M352/M39</f>
        <v>1.3290697488060004</v>
      </c>
      <c r="N353" s="232">
        <f>+N352/N39</f>
        <v>1.2275765945057284</v>
      </c>
      <c r="O353" s="232">
        <f>+O352/O39</f>
        <v>1.1853106912262383</v>
      </c>
      <c r="P353" s="232">
        <f>+P352/P39</f>
        <v>1.2153307636727806</v>
      </c>
      <c r="Q353" s="232">
        <f>+Q352/Q39</f>
        <v>1.4135393269157801</v>
      </c>
      <c r="R353" s="232">
        <f>+R352/R39</f>
        <v>1.1511085662549876</v>
      </c>
      <c r="S353" s="232">
        <f>+S352/S39</f>
        <v>1.1565563577099007</v>
      </c>
      <c r="T353" s="232">
        <f>+T352/T39</f>
        <v>1.2706472792404762</v>
      </c>
      <c r="U353" s="232">
        <f>+U352/U39</f>
        <v>1.2493458599392424</v>
      </c>
      <c r="V353" s="232">
        <f>+V352/V39</f>
        <v>1.369603915270289</v>
      </c>
      <c r="W353" s="74">
        <f>V353/V$6</f>
        <v>1.5282962510368443E-9</v>
      </c>
      <c r="X353" s="90"/>
      <c r="Y353" s="232">
        <f>+Y352/Y39</f>
        <v>1.5931976749617804</v>
      </c>
      <c r="Z353" s="232">
        <f>+Z352/Z39</f>
        <v>1.5113676061521735</v>
      </c>
      <c r="AA353" s="232">
        <f>+AA352/AA39</f>
        <v>1.5102817716414534</v>
      </c>
      <c r="AB353" s="232">
        <f>+AB352/AB39</f>
        <v>1.3881406426988068</v>
      </c>
      <c r="AC353" s="232">
        <f>+AC352/AC39</f>
        <v>1.2726874521979155</v>
      </c>
      <c r="AD353" s="232">
        <f>+AD352/AD39</f>
        <v>1.2829511566849707</v>
      </c>
      <c r="AE353" s="232">
        <f>+AE352/AE39</f>
        <v>1.3843507195710074</v>
      </c>
      <c r="AF353" s="232">
        <f>+AF352/AF39</f>
        <v>1.3737491482437041</v>
      </c>
      <c r="AG353" s="232">
        <f>+AG352/AG39</f>
        <v>1.376212975131839</v>
      </c>
      <c r="AH353" s="232">
        <f>+AH352/AH39</f>
        <v>1.3748369523460293</v>
      </c>
      <c r="AI353" s="232">
        <f>+AI352/AI39</f>
        <v>1.3958579638107709</v>
      </c>
      <c r="AJ353" s="232">
        <f>+AJ352/AJ39</f>
        <v>1.4509278873810596</v>
      </c>
      <c r="AK353" s="232">
        <f>+AK352/AK39</f>
        <v>1.4057516301991468</v>
      </c>
      <c r="AL353" s="73">
        <f t="shared" si="53"/>
        <v>1.4594926614767456E-9</v>
      </c>
      <c r="AM353" s="14">
        <f t="shared" si="54"/>
        <v>2.6392823885673655E-2</v>
      </c>
      <c r="AN353" s="90"/>
      <c r="AS353" s="232">
        <v>1.4057516301991468</v>
      </c>
    </row>
    <row r="354" spans="5:45" ht="15.75">
      <c r="E354" s="180" t="s">
        <v>307</v>
      </c>
      <c r="I354" s="140" t="s">
        <v>303</v>
      </c>
      <c r="J354" s="135">
        <f>+J34-J352</f>
        <v>3936068</v>
      </c>
      <c r="K354" s="135">
        <f>+K34-K352</f>
        <v>6294646</v>
      </c>
      <c r="L354" s="135">
        <f>+L34-L352</f>
        <v>5395248</v>
      </c>
      <c r="M354" s="135">
        <f>+M34-M352</f>
        <v>5199414</v>
      </c>
      <c r="N354" s="135">
        <f>+N34-N352</f>
        <v>7222449</v>
      </c>
      <c r="O354" s="135">
        <f>+O34-O352</f>
        <v>5850198</v>
      </c>
      <c r="P354" s="135">
        <f>+P34-P352</f>
        <v>5134463</v>
      </c>
      <c r="Q354" s="135">
        <f>+Q34-Q352</f>
        <v>3821903</v>
      </c>
      <c r="R354" s="135">
        <f>+R34-R352</f>
        <v>5614904.666666666</v>
      </c>
      <c r="S354" s="135">
        <f>+S34-S352</f>
        <v>4966127.1099125091</v>
      </c>
      <c r="T354" s="135">
        <f>+T34-T352</f>
        <v>4610148.3113193233</v>
      </c>
      <c r="U354" s="135">
        <f>+U34-U352</f>
        <v>5129548.9098462015</v>
      </c>
      <c r="V354" s="135">
        <f>+V34-V352</f>
        <v>58091022.775522485</v>
      </c>
      <c r="W354" s="168">
        <f t="shared" si="24"/>
        <v>6.4821873927840154E-2</v>
      </c>
      <c r="X354" s="91"/>
      <c r="Y354" s="135">
        <f>+Y34-Y352</f>
        <v>3478865.3190870453</v>
      </c>
      <c r="Z354" s="135">
        <f>+Z34-Z352</f>
        <v>3644085.6354962047</v>
      </c>
      <c r="AA354" s="135">
        <f>+AA34-AA352</f>
        <v>4430122.5412943373</v>
      </c>
      <c r="AB354" s="135">
        <f>+AB34-AB352</f>
        <v>4087982.0772372996</v>
      </c>
      <c r="AC354" s="135">
        <f>+AC34-AC352</f>
        <v>5938699.2150859889</v>
      </c>
      <c r="AD354" s="135">
        <f>+AD34-AD352</f>
        <v>5220363.6578544285</v>
      </c>
      <c r="AE354" s="135">
        <f>+AE34-AE352</f>
        <v>4728065.5702735335</v>
      </c>
      <c r="AF354" s="135">
        <f>+AF34-AF352</f>
        <v>5035478.1600511996</v>
      </c>
      <c r="AG354" s="135">
        <f>+AG34-AG352</f>
        <v>4695690.5876033613</v>
      </c>
      <c r="AH354" s="135">
        <f>+AH34-AH352</f>
        <v>4942043.6142998394</v>
      </c>
      <c r="AI354" s="135">
        <f>+AI34-AI352</f>
        <v>4486421.6499519413</v>
      </c>
      <c r="AJ354" s="135">
        <f>+AJ34-AJ352</f>
        <v>3918429.6665476291</v>
      </c>
      <c r="AK354" s="135">
        <f>+AK34-AK352</f>
        <v>54606247.694782853</v>
      </c>
      <c r="AL354" s="168">
        <f t="shared" si="53"/>
        <v>5.6693811388308077E-2</v>
      </c>
      <c r="AM354" s="154">
        <f>AK354/V354-1</f>
        <v>-5.9988186026705526E-2</v>
      </c>
      <c r="AN354" s="91"/>
      <c r="AS354" s="135">
        <v>54556693.694782853</v>
      </c>
    </row>
    <row r="355" spans="5:45">
      <c r="E355" s="180" t="s">
        <v>308</v>
      </c>
      <c r="I355" s="18" t="s">
        <v>305</v>
      </c>
      <c r="J355" s="232">
        <f>IFERROR(J354/J33,0)</f>
        <v>0</v>
      </c>
      <c r="K355" s="232">
        <f>IFERROR(K354/K33,0)</f>
        <v>0</v>
      </c>
      <c r="L355" s="232">
        <f>IFERROR(L354/L33,0)</f>
        <v>0</v>
      </c>
      <c r="M355" s="232">
        <f>IFERROR(M354/M33,0)</f>
        <v>0</v>
      </c>
      <c r="N355" s="232">
        <f>IFERROR(N354/N33,0)</f>
        <v>0</v>
      </c>
      <c r="O355" s="232">
        <f>IFERROR(O354/O33,0)</f>
        <v>0</v>
      </c>
      <c r="P355" s="232">
        <f>IFERROR(P354/P33,0)</f>
        <v>0</v>
      </c>
      <c r="Q355" s="232">
        <f>IFERROR(Q354/Q33,0)</f>
        <v>0</v>
      </c>
      <c r="R355" s="232">
        <f>IFERROR(R354/R33,0)</f>
        <v>0</v>
      </c>
      <c r="S355" s="232">
        <f>IFERROR(S354/S33,0)</f>
        <v>0</v>
      </c>
      <c r="T355" s="232">
        <f>IFERROR(T354/T33,0)</f>
        <v>0</v>
      </c>
      <c r="U355" s="232">
        <f>IFERROR(U354/U33,0)</f>
        <v>0</v>
      </c>
      <c r="V355" s="232">
        <f>+V354/V39</f>
        <v>1.2154281285481965</v>
      </c>
      <c r="W355" s="74">
        <f t="shared" si="24"/>
        <v>1.3562565290260251E-9</v>
      </c>
      <c r="X355" s="90"/>
      <c r="Y355" s="232">
        <f>+Y354/Y39</f>
        <v>0.91034502838875131</v>
      </c>
      <c r="Z355" s="232">
        <f>+Z354/Z39</f>
        <v>0.97207812173957475</v>
      </c>
      <c r="AA355" s="232">
        <f>+AA354/AA39</f>
        <v>1.0767383414202338</v>
      </c>
      <c r="AB355" s="232">
        <f>+AB354/AB39</f>
        <v>1.0562843580699004</v>
      </c>
      <c r="AC355" s="232">
        <f>+AC354/AC39</f>
        <v>1.3452634689091101</v>
      </c>
      <c r="AD355" s="232">
        <f>+AD354/AD39</f>
        <v>1.200962925234782</v>
      </c>
      <c r="AE355" s="232">
        <f>+AE354/AE39</f>
        <v>1.10411010736517</v>
      </c>
      <c r="AF355" s="232">
        <f>+AF354/AF39</f>
        <v>1.1603492192872975</v>
      </c>
      <c r="AG355" s="232">
        <f>+AG354/AG39</f>
        <v>1.1061905966669245</v>
      </c>
      <c r="AH355" s="232">
        <f>+AH354/AH39</f>
        <v>1.1467618567214315</v>
      </c>
      <c r="AI355" s="232">
        <f>+AI354/AI39</f>
        <v>1.0785043348751198</v>
      </c>
      <c r="AJ355" s="232">
        <f>+AJ354/AJ39</f>
        <v>0.99823955798672959</v>
      </c>
      <c r="AK355" s="232">
        <f>+AK354/AK39</f>
        <v>1.1014283890696113</v>
      </c>
      <c r="AL355" s="73">
        <f t="shared" ref="AL355" si="55">AK355/AK$6</f>
        <v>1.1435353276179519E-9</v>
      </c>
      <c r="AM355" s="14">
        <f t="shared" ref="AM355" si="56">IFERROR(AK355/V355-1,0)</f>
        <v>-9.3793895995113674E-2</v>
      </c>
      <c r="AN355" s="90"/>
      <c r="AS355" s="232">
        <v>1.1004288664014905</v>
      </c>
    </row>
    <row r="356" spans="5:45">
      <c r="AK356" s="245"/>
      <c r="AS356" s="245"/>
    </row>
    <row r="357" spans="5:45" collapsed="1">
      <c r="I357" s="280" t="s">
        <v>310</v>
      </c>
      <c r="J357" s="275">
        <f>SUM(J358:J371)</f>
        <v>51905</v>
      </c>
      <c r="K357" s="275">
        <f t="shared" ref="K357:V357" si="57">SUM(K358:K371)</f>
        <v>62229</v>
      </c>
      <c r="L357" s="275">
        <f t="shared" si="57"/>
        <v>122327</v>
      </c>
      <c r="M357" s="275">
        <f t="shared" si="57"/>
        <v>66447</v>
      </c>
      <c r="N357" s="275">
        <f t="shared" si="57"/>
        <v>297012</v>
      </c>
      <c r="O357" s="275">
        <f t="shared" si="57"/>
        <v>360930</v>
      </c>
      <c r="P357" s="275">
        <f t="shared" si="57"/>
        <v>76510</v>
      </c>
      <c r="Q357" s="275">
        <f t="shared" si="57"/>
        <v>400856</v>
      </c>
      <c r="R357" s="275">
        <f t="shared" si="57"/>
        <v>44684</v>
      </c>
      <c r="S357" s="275">
        <f t="shared" si="57"/>
        <v>90147</v>
      </c>
      <c r="T357" s="275">
        <f t="shared" si="57"/>
        <v>157304.70000000001</v>
      </c>
      <c r="U357" s="275">
        <f t="shared" si="57"/>
        <v>167844.67</v>
      </c>
      <c r="V357" s="275">
        <f t="shared" si="57"/>
        <v>1898196.3699999999</v>
      </c>
      <c r="Y357" s="275">
        <f>SUM(Y358:Y371)</f>
        <v>53851.437500000007</v>
      </c>
      <c r="Z357" s="275">
        <f t="shared" ref="Z357" si="58">SUM(Z358:Z371)</f>
        <v>64562.587500000001</v>
      </c>
      <c r="AA357" s="275">
        <f t="shared" ref="AA357" si="59">SUM(AA358:AA371)</f>
        <v>126914.26250000001</v>
      </c>
      <c r="AB357" s="275">
        <f t="shared" ref="AB357" si="60">SUM(AB358:AB371)</f>
        <v>68938.762500000012</v>
      </c>
      <c r="AC357" s="275">
        <f t="shared" ref="AC357" si="61">SUM(AC358:AC371)</f>
        <v>308149.95</v>
      </c>
      <c r="AD357" s="275">
        <f t="shared" ref="AD357" si="62">SUM(AD358:AD371)</f>
        <v>374464.875</v>
      </c>
      <c r="AE357" s="275">
        <f t="shared" ref="AE357" si="63">SUM(AE358:AE371)</f>
        <v>79379.125000000015</v>
      </c>
      <c r="AF357" s="275">
        <f t="shared" ref="AF357" si="64">SUM(AF358:AF371)</f>
        <v>415888.10000000003</v>
      </c>
      <c r="AG357" s="275">
        <f t="shared" ref="AG357" si="65">SUM(AG358:AG371)</f>
        <v>46359.65</v>
      </c>
      <c r="AH357" s="275">
        <f t="shared" ref="AH357" si="66">SUM(AH358:AH371)</f>
        <v>93527.512499999997</v>
      </c>
      <c r="AI357" s="275">
        <f t="shared" ref="AI357" si="67">SUM(AI358:AI371)</f>
        <v>163203.62625000003</v>
      </c>
      <c r="AJ357" s="275">
        <f t="shared" ref="AJ357" si="68">SUM(AJ358:AJ371)</f>
        <v>174138.84512499999</v>
      </c>
      <c r="AK357" s="275">
        <f t="shared" ref="AK357" si="69">SUM(AK358:AK371)</f>
        <v>1969378.7338749999</v>
      </c>
      <c r="AL357" s="72">
        <f t="shared" ref="AL357" si="70">AK357/AK$6</f>
        <v>2.0446668871027655E-3</v>
      </c>
      <c r="AM357" s="10">
        <f t="shared" ref="AM357:AM371" si="71">IFERROR(AK357/V357-1,0)</f>
        <v>3.7500000000000089E-2</v>
      </c>
      <c r="AS357" s="275">
        <v>1969378.7338749999</v>
      </c>
    </row>
    <row r="358" spans="5:45" hidden="1" outlineLevel="1">
      <c r="I358" s="246" t="s">
        <v>311</v>
      </c>
      <c r="J358" s="277">
        <v>45138</v>
      </c>
      <c r="K358" s="279">
        <v>52386</v>
      </c>
      <c r="L358" s="279">
        <v>99137</v>
      </c>
      <c r="M358" s="279">
        <v>49222</v>
      </c>
      <c r="N358" s="279">
        <v>34060</v>
      </c>
      <c r="O358" s="279">
        <v>30579</v>
      </c>
      <c r="P358" s="279">
        <v>48601</v>
      </c>
      <c r="Q358" s="279">
        <v>50001</v>
      </c>
      <c r="R358" s="279">
        <v>26981</v>
      </c>
      <c r="S358" s="279">
        <v>54532</v>
      </c>
      <c r="T358" s="279">
        <f>+AVERAGE(J358:S358)</f>
        <v>49063.7</v>
      </c>
      <c r="U358" s="279">
        <f>+AVERAGE(K358:T358)</f>
        <v>49456.270000000004</v>
      </c>
      <c r="V358" s="124">
        <f>SUM(J358:U358)</f>
        <v>589156.97</v>
      </c>
      <c r="W358" s="74">
        <f>V358/V$6</f>
        <v>6.5742100944967937E-4</v>
      </c>
      <c r="Y358" s="277">
        <f>+J358*1.0375</f>
        <v>46830.675000000003</v>
      </c>
      <c r="Z358" s="277">
        <f>+K358*1.0375</f>
        <v>54350.475000000006</v>
      </c>
      <c r="AA358" s="277">
        <f>+L358*1.0375</f>
        <v>102854.63750000001</v>
      </c>
      <c r="AB358" s="277">
        <f>+M358*1.0375</f>
        <v>51067.825000000004</v>
      </c>
      <c r="AC358" s="277">
        <f>+N358*1.0375</f>
        <v>35337.25</v>
      </c>
      <c r="AD358" s="277">
        <f>+O358*1.0375</f>
        <v>31725.712500000001</v>
      </c>
      <c r="AE358" s="277">
        <f>+P358*1.0375</f>
        <v>50423.537500000006</v>
      </c>
      <c r="AF358" s="277">
        <f>+Q358*1.0375</f>
        <v>51876.037500000006</v>
      </c>
      <c r="AG358" s="277">
        <f>+R358*1.0375</f>
        <v>27992.787500000002</v>
      </c>
      <c r="AH358" s="277">
        <f>+S358*1.0375</f>
        <v>56576.950000000004</v>
      </c>
      <c r="AI358" s="277">
        <f>+T358*1.0375</f>
        <v>50903.588750000003</v>
      </c>
      <c r="AJ358" s="277">
        <f>+U358*1.0375</f>
        <v>51310.880125000011</v>
      </c>
      <c r="AK358" s="124">
        <f>SUM(Y358:AJ358)</f>
        <v>611250.35637500009</v>
      </c>
      <c r="AL358" s="74">
        <f>AK358/AK$6</f>
        <v>6.3461808635994674E-4</v>
      </c>
      <c r="AM358" s="14">
        <f t="shared" si="71"/>
        <v>3.7500000000000311E-2</v>
      </c>
      <c r="AS358" s="124">
        <v>611250.35637500009</v>
      </c>
    </row>
    <row r="359" spans="5:45" hidden="1" outlineLevel="1">
      <c r="I359" s="246" t="s">
        <v>312</v>
      </c>
      <c r="J359" s="277">
        <v>429</v>
      </c>
      <c r="K359" s="278">
        <v>157</v>
      </c>
      <c r="L359" s="279">
        <v>3213</v>
      </c>
      <c r="M359" s="279">
        <v>3134</v>
      </c>
      <c r="N359" s="279">
        <v>258015</v>
      </c>
      <c r="O359" s="279">
        <v>5503</v>
      </c>
      <c r="P359" s="279">
        <v>5558</v>
      </c>
      <c r="Q359" s="279">
        <v>341038</v>
      </c>
      <c r="R359" s="279">
        <v>1059</v>
      </c>
      <c r="S359" s="279">
        <v>23468</v>
      </c>
      <c r="T359" s="302">
        <f>+AVERAGE(J359:S359)</f>
        <v>64157.4</v>
      </c>
      <c r="U359" s="279">
        <f>+AVERAGE(K359:T359)</f>
        <v>70530.240000000005</v>
      </c>
      <c r="V359" s="124">
        <f t="shared" ref="V359:V371" si="72">SUM(J359:U359)</f>
        <v>776261.64</v>
      </c>
      <c r="W359" s="74">
        <f t="shared" ref="W359:W371" si="73">V359/V$6</f>
        <v>8.6620499620986176E-4</v>
      </c>
      <c r="Y359" s="277">
        <f>+J359*1.0375</f>
        <v>445.08750000000003</v>
      </c>
      <c r="Z359" s="277">
        <f>+K359*1.0375</f>
        <v>162.88750000000002</v>
      </c>
      <c r="AA359" s="277">
        <f>+L359*1.0375</f>
        <v>3333.4875000000002</v>
      </c>
      <c r="AB359" s="277">
        <f>+M359*1.0375</f>
        <v>3251.5250000000001</v>
      </c>
      <c r="AC359" s="277">
        <f>+N359*1.0375</f>
        <v>267690.5625</v>
      </c>
      <c r="AD359" s="277">
        <f>+O359*1.0375</f>
        <v>5709.3625000000002</v>
      </c>
      <c r="AE359" s="277">
        <f>+P359*1.0375</f>
        <v>5766.4250000000002</v>
      </c>
      <c r="AF359" s="277">
        <f>+Q359*1.0375</f>
        <v>353826.92500000005</v>
      </c>
      <c r="AG359" s="277">
        <f>+R359*1.0375</f>
        <v>1098.7125000000001</v>
      </c>
      <c r="AH359" s="277">
        <f>+S359*1.0375</f>
        <v>24348.050000000003</v>
      </c>
      <c r="AI359" s="277">
        <f>+T359*1.0375</f>
        <v>66563.302500000005</v>
      </c>
      <c r="AJ359" s="277">
        <f>+U359*1.0375</f>
        <v>73175.124000000011</v>
      </c>
      <c r="AK359" s="124">
        <f t="shared" ref="AK359:AK371" si="74">SUM(Y359:AJ359)</f>
        <v>805371.45149999997</v>
      </c>
      <c r="AL359" s="74">
        <f t="shared" ref="AL359:AL371" si="75">AK359/AK$6</f>
        <v>8.361603130850405E-4</v>
      </c>
      <c r="AM359" s="14">
        <f t="shared" si="71"/>
        <v>3.7499999999999867E-2</v>
      </c>
      <c r="AS359" s="124">
        <v>805371.45149999997</v>
      </c>
    </row>
    <row r="360" spans="5:45" hidden="1" outlineLevel="1">
      <c r="I360" s="246" t="s">
        <v>313</v>
      </c>
      <c r="J360" s="276"/>
      <c r="K360" s="278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124">
        <f t="shared" si="72"/>
        <v>0</v>
      </c>
      <c r="W360" s="74">
        <f t="shared" si="73"/>
        <v>0</v>
      </c>
      <c r="Y360" s="277"/>
      <c r="Z360" s="277"/>
      <c r="AA360" s="277"/>
      <c r="AB360" s="277"/>
      <c r="AC360" s="277"/>
      <c r="AD360" s="277"/>
      <c r="AE360" s="277"/>
      <c r="AF360" s="277"/>
      <c r="AG360" s="277"/>
      <c r="AH360" s="277"/>
      <c r="AI360" s="277"/>
      <c r="AJ360" s="277"/>
      <c r="AK360" s="124">
        <f t="shared" si="74"/>
        <v>0</v>
      </c>
      <c r="AL360" s="74">
        <f t="shared" si="75"/>
        <v>0</v>
      </c>
      <c r="AM360" s="14">
        <f t="shared" si="71"/>
        <v>0</v>
      </c>
      <c r="AS360" s="124">
        <v>0</v>
      </c>
    </row>
    <row r="361" spans="5:45" hidden="1" outlineLevel="1">
      <c r="I361" s="246" t="s">
        <v>314</v>
      </c>
      <c r="J361" s="277">
        <v>6338</v>
      </c>
      <c r="K361" s="279">
        <v>9686</v>
      </c>
      <c r="L361" s="279">
        <v>4133</v>
      </c>
      <c r="M361" s="279">
        <v>3467</v>
      </c>
      <c r="N361" s="279">
        <v>4937</v>
      </c>
      <c r="O361" s="279">
        <v>8079</v>
      </c>
      <c r="P361" s="279">
        <v>21110</v>
      </c>
      <c r="Q361" s="279">
        <v>3915</v>
      </c>
      <c r="R361" s="279">
        <v>11288</v>
      </c>
      <c r="S361" s="279">
        <v>12147</v>
      </c>
      <c r="T361" s="279">
        <f>+AVERAGE(J361:S361)</f>
        <v>8510</v>
      </c>
      <c r="U361" s="279">
        <f>+AVERAGE(K361:T361)</f>
        <v>8727.2000000000007</v>
      </c>
      <c r="V361" s="124">
        <f t="shared" si="72"/>
        <v>102337.2</v>
      </c>
      <c r="W361" s="74">
        <f t="shared" si="73"/>
        <v>1.1419473714832522E-4</v>
      </c>
      <c r="Y361" s="277">
        <f>+J361*1.0375</f>
        <v>6575.6750000000002</v>
      </c>
      <c r="Z361" s="277">
        <f>+K361*1.0375</f>
        <v>10049.225</v>
      </c>
      <c r="AA361" s="277">
        <f>+L361*1.0375</f>
        <v>4287.9875000000002</v>
      </c>
      <c r="AB361" s="277">
        <f>+M361*1.0375</f>
        <v>3597.0125000000003</v>
      </c>
      <c r="AC361" s="277">
        <f>+N361*1.0375</f>
        <v>5122.1375000000007</v>
      </c>
      <c r="AD361" s="277">
        <f>+O361*1.0375</f>
        <v>8381.9625000000015</v>
      </c>
      <c r="AE361" s="277">
        <f>+P361*1.0375</f>
        <v>21901.625000000004</v>
      </c>
      <c r="AF361" s="277">
        <f>+Q361*1.0375</f>
        <v>4061.8125000000005</v>
      </c>
      <c r="AG361" s="277">
        <f>+R361*1.0375</f>
        <v>11711.300000000001</v>
      </c>
      <c r="AH361" s="277">
        <f>+S361*1.0375</f>
        <v>12602.512500000001</v>
      </c>
      <c r="AI361" s="277">
        <f>+T361*1.0375</f>
        <v>8829.125</v>
      </c>
      <c r="AJ361" s="277">
        <f>+U361*1.0375</f>
        <v>9054.4700000000012</v>
      </c>
      <c r="AK361" s="124">
        <f t="shared" si="74"/>
        <v>106174.845</v>
      </c>
      <c r="AL361" s="74">
        <f t="shared" si="75"/>
        <v>1.102338448570593E-4</v>
      </c>
      <c r="AM361" s="14">
        <f t="shared" si="71"/>
        <v>3.7500000000000089E-2</v>
      </c>
      <c r="AS361" s="124">
        <v>106174.845</v>
      </c>
    </row>
    <row r="362" spans="5:45" hidden="1" outlineLevel="1">
      <c r="I362" s="246" t="s">
        <v>315</v>
      </c>
      <c r="J362" s="276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124">
        <f t="shared" si="72"/>
        <v>0</v>
      </c>
      <c r="W362" s="74">
        <f t="shared" si="73"/>
        <v>0</v>
      </c>
      <c r="Y362" s="277"/>
      <c r="Z362" s="277"/>
      <c r="AA362" s="277"/>
      <c r="AB362" s="277"/>
      <c r="AC362" s="277"/>
      <c r="AD362" s="277"/>
      <c r="AE362" s="277"/>
      <c r="AF362" s="277"/>
      <c r="AG362" s="277"/>
      <c r="AH362" s="277"/>
      <c r="AI362" s="277"/>
      <c r="AJ362" s="277"/>
      <c r="AK362" s="124">
        <f t="shared" si="74"/>
        <v>0</v>
      </c>
      <c r="AL362" s="74">
        <f t="shared" si="75"/>
        <v>0</v>
      </c>
      <c r="AM362" s="14">
        <f t="shared" si="71"/>
        <v>0</v>
      </c>
      <c r="AS362" s="124">
        <v>0</v>
      </c>
    </row>
    <row r="363" spans="5:45" hidden="1" outlineLevel="1">
      <c r="I363" s="246" t="s">
        <v>316</v>
      </c>
      <c r="J363" s="276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124">
        <f t="shared" si="72"/>
        <v>0</v>
      </c>
      <c r="W363" s="74">
        <f t="shared" si="73"/>
        <v>0</v>
      </c>
      <c r="Y363" s="277"/>
      <c r="Z363" s="277"/>
      <c r="AA363" s="277"/>
      <c r="AB363" s="277"/>
      <c r="AC363" s="277"/>
      <c r="AD363" s="277"/>
      <c r="AE363" s="277"/>
      <c r="AF363" s="277"/>
      <c r="AG363" s="277"/>
      <c r="AH363" s="277"/>
      <c r="AI363" s="277"/>
      <c r="AJ363" s="277"/>
      <c r="AK363" s="124">
        <f t="shared" si="74"/>
        <v>0</v>
      </c>
      <c r="AL363" s="74">
        <f t="shared" si="75"/>
        <v>0</v>
      </c>
      <c r="AM363" s="14">
        <f t="shared" si="71"/>
        <v>0</v>
      </c>
      <c r="AS363" s="124">
        <v>0</v>
      </c>
    </row>
    <row r="364" spans="5:45" hidden="1" outlineLevel="1">
      <c r="I364" s="246" t="s">
        <v>317</v>
      </c>
      <c r="J364" s="276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124">
        <f t="shared" si="72"/>
        <v>0</v>
      </c>
      <c r="W364" s="74">
        <f t="shared" si="73"/>
        <v>0</v>
      </c>
      <c r="Y364" s="277"/>
      <c r="Z364" s="277"/>
      <c r="AA364" s="277"/>
      <c r="AB364" s="277"/>
      <c r="AC364" s="277"/>
      <c r="AD364" s="277"/>
      <c r="AE364" s="277"/>
      <c r="AF364" s="277"/>
      <c r="AG364" s="277"/>
      <c r="AH364" s="277"/>
      <c r="AI364" s="277"/>
      <c r="AJ364" s="277"/>
      <c r="AK364" s="124">
        <f t="shared" si="74"/>
        <v>0</v>
      </c>
      <c r="AL364" s="74">
        <f t="shared" si="75"/>
        <v>0</v>
      </c>
      <c r="AM364" s="14">
        <f t="shared" si="71"/>
        <v>0</v>
      </c>
      <c r="AS364" s="124">
        <v>0</v>
      </c>
    </row>
    <row r="365" spans="5:45" hidden="1" outlineLevel="1">
      <c r="I365" s="246" t="s">
        <v>318</v>
      </c>
      <c r="J365" s="276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124">
        <f t="shared" si="72"/>
        <v>0</v>
      </c>
      <c r="W365" s="74">
        <f t="shared" si="73"/>
        <v>0</v>
      </c>
      <c r="Y365" s="277"/>
      <c r="Z365" s="277"/>
      <c r="AA365" s="277"/>
      <c r="AB365" s="277"/>
      <c r="AC365" s="277"/>
      <c r="AD365" s="277"/>
      <c r="AE365" s="277"/>
      <c r="AF365" s="277"/>
      <c r="AG365" s="277"/>
      <c r="AH365" s="277"/>
      <c r="AI365" s="277"/>
      <c r="AJ365" s="277"/>
      <c r="AK365" s="124">
        <f t="shared" si="74"/>
        <v>0</v>
      </c>
      <c r="AL365" s="74">
        <f t="shared" si="75"/>
        <v>0</v>
      </c>
      <c r="AM365" s="14">
        <f t="shared" si="71"/>
        <v>0</v>
      </c>
      <c r="AS365" s="124">
        <v>0</v>
      </c>
    </row>
    <row r="366" spans="5:45" hidden="1" outlineLevel="1">
      <c r="I366" s="246" t="s">
        <v>319</v>
      </c>
      <c r="J366" s="277">
        <v>0</v>
      </c>
      <c r="K366" s="279">
        <v>0</v>
      </c>
      <c r="L366" s="279">
        <v>15844</v>
      </c>
      <c r="M366" s="279">
        <v>10624</v>
      </c>
      <c r="N366" s="278">
        <v>0</v>
      </c>
      <c r="O366" s="279">
        <v>316769</v>
      </c>
      <c r="P366" s="279">
        <v>1241</v>
      </c>
      <c r="Q366" s="279">
        <v>5902</v>
      </c>
      <c r="R366" s="279">
        <v>5356</v>
      </c>
      <c r="S366" s="278">
        <v>0</v>
      </c>
      <c r="T366" s="279">
        <f>+AVERAGE(J366:S366)</f>
        <v>35573.599999999999</v>
      </c>
      <c r="U366" s="279">
        <f>+AVERAGE(K366:T366)</f>
        <v>39130.959999999999</v>
      </c>
      <c r="V366" s="124">
        <f t="shared" si="72"/>
        <v>430440.56</v>
      </c>
      <c r="W366" s="74">
        <f t="shared" si="73"/>
        <v>4.803145543084813E-4</v>
      </c>
      <c r="Y366" s="277">
        <f>+J366*1.0375</f>
        <v>0</v>
      </c>
      <c r="Z366" s="277">
        <f>+K366*1.0375</f>
        <v>0</v>
      </c>
      <c r="AA366" s="277">
        <f>+L366*1.0375</f>
        <v>16438.150000000001</v>
      </c>
      <c r="AB366" s="277">
        <f>+M366*1.0375</f>
        <v>11022.400000000001</v>
      </c>
      <c r="AC366" s="277">
        <f>+N366*1.0375</f>
        <v>0</v>
      </c>
      <c r="AD366" s="277">
        <f>+O366*1.0375</f>
        <v>328647.83750000002</v>
      </c>
      <c r="AE366" s="277">
        <f>+P366*1.0375</f>
        <v>1287.5375000000001</v>
      </c>
      <c r="AF366" s="277">
        <f>+Q366*1.0375</f>
        <v>6123.3250000000007</v>
      </c>
      <c r="AG366" s="277">
        <f>+R366*1.0375</f>
        <v>5556.85</v>
      </c>
      <c r="AH366" s="277">
        <f>+S366*1.0375</f>
        <v>0</v>
      </c>
      <c r="AI366" s="277">
        <f>+T366*1.0375</f>
        <v>36907.61</v>
      </c>
      <c r="AJ366" s="277">
        <f>+U366*1.0375</f>
        <v>40598.370999999999</v>
      </c>
      <c r="AK366" s="124">
        <f t="shared" si="74"/>
        <v>446582.08099999995</v>
      </c>
      <c r="AL366" s="74">
        <f t="shared" si="75"/>
        <v>4.6365464280071877E-4</v>
      </c>
      <c r="AM366" s="14">
        <f t="shared" si="71"/>
        <v>3.7499999999999867E-2</v>
      </c>
      <c r="AS366" s="124">
        <v>446582.08099999995</v>
      </c>
    </row>
    <row r="367" spans="5:45" hidden="1" outlineLevel="1">
      <c r="I367" s="246" t="s">
        <v>112</v>
      </c>
      <c r="J367" s="276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124">
        <f t="shared" si="72"/>
        <v>0</v>
      </c>
      <c r="W367" s="74">
        <f t="shared" si="73"/>
        <v>0</v>
      </c>
      <c r="Y367" s="277"/>
      <c r="Z367" s="277"/>
      <c r="AA367" s="277"/>
      <c r="AB367" s="277"/>
      <c r="AC367" s="277"/>
      <c r="AD367" s="277"/>
      <c r="AE367" s="277"/>
      <c r="AF367" s="277"/>
      <c r="AG367" s="277"/>
      <c r="AH367" s="277"/>
      <c r="AI367" s="277"/>
      <c r="AJ367" s="277"/>
      <c r="AK367" s="124">
        <f t="shared" si="74"/>
        <v>0</v>
      </c>
      <c r="AL367" s="74">
        <f t="shared" si="75"/>
        <v>0</v>
      </c>
      <c r="AM367" s="14">
        <f t="shared" si="71"/>
        <v>0</v>
      </c>
      <c r="AS367" s="124">
        <v>0</v>
      </c>
    </row>
    <row r="368" spans="5:45" hidden="1" outlineLevel="1">
      <c r="I368" s="246" t="s">
        <v>320</v>
      </c>
      <c r="J368" s="276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124">
        <f t="shared" si="72"/>
        <v>0</v>
      </c>
      <c r="W368" s="74">
        <f t="shared" si="73"/>
        <v>0</v>
      </c>
      <c r="Y368" s="277"/>
      <c r="Z368" s="277"/>
      <c r="AA368" s="277"/>
      <c r="AB368" s="277"/>
      <c r="AC368" s="277"/>
      <c r="AD368" s="277"/>
      <c r="AE368" s="277"/>
      <c r="AF368" s="277"/>
      <c r="AG368" s="277"/>
      <c r="AH368" s="277"/>
      <c r="AI368" s="277"/>
      <c r="AJ368" s="277"/>
      <c r="AK368" s="124">
        <f t="shared" si="74"/>
        <v>0</v>
      </c>
      <c r="AL368" s="74">
        <f t="shared" si="75"/>
        <v>0</v>
      </c>
      <c r="AM368" s="14">
        <f t="shared" si="71"/>
        <v>0</v>
      </c>
      <c r="AS368" s="124">
        <v>0</v>
      </c>
    </row>
    <row r="369" spans="9:45" hidden="1" outlineLevel="1">
      <c r="I369" s="246" t="s">
        <v>321</v>
      </c>
      <c r="J369" s="276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124">
        <f t="shared" si="72"/>
        <v>0</v>
      </c>
      <c r="W369" s="74">
        <f t="shared" si="73"/>
        <v>0</v>
      </c>
      <c r="Y369" s="277"/>
      <c r="Z369" s="277"/>
      <c r="AA369" s="277"/>
      <c r="AB369" s="277"/>
      <c r="AC369" s="277"/>
      <c r="AD369" s="277"/>
      <c r="AE369" s="277"/>
      <c r="AF369" s="277"/>
      <c r="AG369" s="277"/>
      <c r="AH369" s="277"/>
      <c r="AI369" s="277"/>
      <c r="AJ369" s="277"/>
      <c r="AK369" s="124">
        <f t="shared" si="74"/>
        <v>0</v>
      </c>
      <c r="AL369" s="74">
        <f t="shared" si="75"/>
        <v>0</v>
      </c>
      <c r="AM369" s="14">
        <f t="shared" si="71"/>
        <v>0</v>
      </c>
      <c r="AS369" s="124">
        <v>0</v>
      </c>
    </row>
    <row r="370" spans="9:45" hidden="1" outlineLevel="1">
      <c r="I370" s="246" t="s">
        <v>322</v>
      </c>
      <c r="J370" s="276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124">
        <f t="shared" si="72"/>
        <v>0</v>
      </c>
      <c r="W370" s="74">
        <f t="shared" si="73"/>
        <v>0</v>
      </c>
      <c r="Y370" s="277"/>
      <c r="Z370" s="277"/>
      <c r="AA370" s="277"/>
      <c r="AB370" s="277"/>
      <c r="AC370" s="277"/>
      <c r="AD370" s="277"/>
      <c r="AE370" s="277"/>
      <c r="AF370" s="277"/>
      <c r="AG370" s="277"/>
      <c r="AH370" s="277"/>
      <c r="AI370" s="277"/>
      <c r="AJ370" s="277"/>
      <c r="AK370" s="124">
        <f t="shared" si="74"/>
        <v>0</v>
      </c>
      <c r="AL370" s="74">
        <f t="shared" si="75"/>
        <v>0</v>
      </c>
      <c r="AM370" s="14">
        <f t="shared" si="71"/>
        <v>0</v>
      </c>
      <c r="AS370" s="124">
        <v>0</v>
      </c>
    </row>
    <row r="371" spans="9:45" hidden="1" outlineLevel="1">
      <c r="I371" s="246" t="s">
        <v>323</v>
      </c>
      <c r="J371" s="276"/>
      <c r="K371" s="278"/>
      <c r="L371" s="278"/>
      <c r="M371" s="278"/>
      <c r="N371" s="279"/>
      <c r="O371" s="279"/>
      <c r="P371" s="278"/>
      <c r="Q371" s="278"/>
      <c r="R371" s="278"/>
      <c r="S371" s="278"/>
      <c r="T371" s="278"/>
      <c r="U371" s="279"/>
      <c r="V371" s="124">
        <f t="shared" si="72"/>
        <v>0</v>
      </c>
      <c r="W371" s="74">
        <f t="shared" si="73"/>
        <v>0</v>
      </c>
      <c r="Y371" s="277"/>
      <c r="Z371" s="277"/>
      <c r="AA371" s="277"/>
      <c r="AB371" s="277"/>
      <c r="AC371" s="277"/>
      <c r="AD371" s="277"/>
      <c r="AE371" s="277"/>
      <c r="AF371" s="277"/>
      <c r="AG371" s="277"/>
      <c r="AH371" s="277"/>
      <c r="AI371" s="277"/>
      <c r="AJ371" s="277"/>
      <c r="AK371" s="124">
        <f t="shared" si="74"/>
        <v>0</v>
      </c>
      <c r="AL371" s="74">
        <f t="shared" si="75"/>
        <v>0</v>
      </c>
      <c r="AM371" s="14">
        <f t="shared" si="71"/>
        <v>0</v>
      </c>
      <c r="AS371" s="124">
        <v>0</v>
      </c>
    </row>
    <row r="372" spans="9:45">
      <c r="I372" s="137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S372" s="4"/>
    </row>
    <row r="373" spans="9:45" collapsed="1">
      <c r="I373" s="280" t="s">
        <v>324</v>
      </c>
      <c r="J373" s="275">
        <f>SUM(J374:J379)</f>
        <v>146733</v>
      </c>
      <c r="K373" s="275">
        <f t="shared" ref="K373:V373" si="76">SUM(K374:K379)</f>
        <v>132788</v>
      </c>
      <c r="L373" s="275">
        <f t="shared" si="76"/>
        <v>66620</v>
      </c>
      <c r="M373" s="275">
        <f t="shared" si="76"/>
        <v>19287</v>
      </c>
      <c r="N373" s="275">
        <f t="shared" si="76"/>
        <v>50621</v>
      </c>
      <c r="O373" s="275">
        <f t="shared" si="76"/>
        <v>108122</v>
      </c>
      <c r="P373" s="275">
        <f t="shared" si="76"/>
        <v>7341</v>
      </c>
      <c r="Q373" s="275">
        <f t="shared" si="76"/>
        <v>42417</v>
      </c>
      <c r="R373" s="275">
        <f t="shared" si="76"/>
        <v>38508</v>
      </c>
      <c r="S373" s="275">
        <f t="shared" si="76"/>
        <v>421754</v>
      </c>
      <c r="T373" s="275">
        <f t="shared" si="76"/>
        <v>103419.1</v>
      </c>
      <c r="U373" s="275">
        <f t="shared" si="76"/>
        <v>99087.709999999992</v>
      </c>
      <c r="V373" s="275">
        <f t="shared" si="76"/>
        <v>1236697.81</v>
      </c>
      <c r="W373" s="72">
        <f>V373/V$6</f>
        <v>1.3799906714748835E-3</v>
      </c>
      <c r="X373" s="89"/>
      <c r="Y373" s="275">
        <f>SUM(Y374:Y379)</f>
        <v>152235.48750000002</v>
      </c>
      <c r="Z373" s="275">
        <f t="shared" ref="Z373" si="77">SUM(Z374:Z379)</f>
        <v>137767.55000000002</v>
      </c>
      <c r="AA373" s="275">
        <f t="shared" ref="AA373" si="78">SUM(AA374:AA379)</f>
        <v>69118.250000000015</v>
      </c>
      <c r="AB373" s="275">
        <f t="shared" ref="AB373" si="79">SUM(AB374:AB379)</f>
        <v>20010.262499999997</v>
      </c>
      <c r="AC373" s="275">
        <f t="shared" ref="AC373" si="80">SUM(AC374:AC379)</f>
        <v>52519.287500000006</v>
      </c>
      <c r="AD373" s="275">
        <f t="shared" ref="AD373" si="81">SUM(AD374:AD379)</f>
        <v>112176.57500000001</v>
      </c>
      <c r="AE373" s="275">
        <f t="shared" ref="AE373" si="82">SUM(AE374:AE379)</f>
        <v>7616.2875000000004</v>
      </c>
      <c r="AF373" s="275">
        <f t="shared" ref="AF373" si="83">SUM(AF374:AF379)</f>
        <v>44007.637500000004</v>
      </c>
      <c r="AG373" s="275">
        <f t="shared" ref="AG373" si="84">SUM(AG374:AG379)</f>
        <v>39952.050000000003</v>
      </c>
      <c r="AH373" s="275">
        <f t="shared" ref="AH373" si="85">SUM(AH374:AH379)</f>
        <v>437569.77500000008</v>
      </c>
      <c r="AI373" s="275">
        <f t="shared" ref="AI373" si="86">SUM(AI374:AI379)</f>
        <v>107297.31625000002</v>
      </c>
      <c r="AJ373" s="275">
        <f t="shared" ref="AJ373" si="87">SUM(AJ374:AJ379)</f>
        <v>102803.499125</v>
      </c>
      <c r="AK373" s="275">
        <f t="shared" ref="AK373" si="88">SUM(AK374:AK379)</f>
        <v>1283073.9778750001</v>
      </c>
      <c r="AL373" s="72">
        <f>AK373/AK$6</f>
        <v>1.3321251169917195E-3</v>
      </c>
      <c r="AM373" s="10">
        <f t="shared" ref="AM373:AM390" si="89">IFERROR(AK373/V373-1,0)</f>
        <v>3.7500000000000089E-2</v>
      </c>
      <c r="AS373" s="275">
        <v>1283073.9778750001</v>
      </c>
    </row>
    <row r="374" spans="9:45" hidden="1" outlineLevel="1">
      <c r="I374" s="246" t="s">
        <v>325</v>
      </c>
      <c r="J374" s="279">
        <v>17390</v>
      </c>
      <c r="K374" s="279">
        <v>3630</v>
      </c>
      <c r="L374" s="279">
        <v>3881</v>
      </c>
      <c r="M374" s="279">
        <v>60962</v>
      </c>
      <c r="N374" s="279">
        <v>28800</v>
      </c>
      <c r="O374" s="279">
        <v>85801</v>
      </c>
      <c r="P374" s="279">
        <v>7142</v>
      </c>
      <c r="Q374" s="279">
        <v>42417</v>
      </c>
      <c r="R374" s="279">
        <v>38327</v>
      </c>
      <c r="S374" s="279">
        <v>8954</v>
      </c>
      <c r="T374" s="279">
        <f>+AVERAGE(J374:S374)</f>
        <v>29730.400000000001</v>
      </c>
      <c r="U374" s="279">
        <f>+AVERAGE(K374:T374)</f>
        <v>30964.440000000002</v>
      </c>
      <c r="V374" s="226">
        <f>SUM(J374:U374)</f>
        <v>357998.84</v>
      </c>
      <c r="W374" s="73">
        <f>V374/V$6</f>
        <v>3.9947920632189799E-4</v>
      </c>
      <c r="X374" s="89"/>
      <c r="Y374" s="277">
        <f>+J374*1.0375</f>
        <v>18042.125</v>
      </c>
      <c r="Z374" s="277">
        <f>+K374*1.0375</f>
        <v>3766.1250000000005</v>
      </c>
      <c r="AA374" s="277">
        <f>+L374*1.0375</f>
        <v>4026.5375000000004</v>
      </c>
      <c r="AB374" s="277">
        <f>+M374*1.0375</f>
        <v>63248.075000000004</v>
      </c>
      <c r="AC374" s="277">
        <f>+N374*1.0375</f>
        <v>29880.000000000004</v>
      </c>
      <c r="AD374" s="277">
        <f>+O374*1.0375</f>
        <v>89018.537500000006</v>
      </c>
      <c r="AE374" s="277">
        <f>+P374*1.0375</f>
        <v>7409.8250000000007</v>
      </c>
      <c r="AF374" s="277">
        <f>+Q374*1.0375</f>
        <v>44007.637500000004</v>
      </c>
      <c r="AG374" s="277">
        <f>+R374*1.0375</f>
        <v>39764.262500000004</v>
      </c>
      <c r="AH374" s="277">
        <f>+S374*1.0375</f>
        <v>9289.7750000000015</v>
      </c>
      <c r="AI374" s="277">
        <f>+T374*1.0375</f>
        <v>30845.290000000005</v>
      </c>
      <c r="AJ374" s="277">
        <f>+U374*1.0375</f>
        <v>32125.606500000005</v>
      </c>
      <c r="AK374" s="226">
        <f>SUM(Y374:AJ374)</f>
        <v>371423.79650000005</v>
      </c>
      <c r="AL374" s="73">
        <f>AK374/AK$6</f>
        <v>3.8562310271892525E-4</v>
      </c>
      <c r="AM374" s="14">
        <f t="shared" si="89"/>
        <v>3.7500000000000089E-2</v>
      </c>
      <c r="AS374" s="226">
        <v>371423.79650000005</v>
      </c>
    </row>
    <row r="375" spans="9:45" hidden="1" outlineLevel="1">
      <c r="I375" s="246" t="s">
        <v>326</v>
      </c>
      <c r="J375" s="278">
        <v>0</v>
      </c>
      <c r="K375" s="278">
        <v>0</v>
      </c>
      <c r="L375" s="278">
        <v>0</v>
      </c>
      <c r="M375" s="278">
        <v>0</v>
      </c>
      <c r="N375" s="278">
        <v>0</v>
      </c>
      <c r="O375" s="278">
        <v>0</v>
      </c>
      <c r="P375" s="278">
        <v>0</v>
      </c>
      <c r="Q375" s="278">
        <v>0</v>
      </c>
      <c r="R375" s="278">
        <v>0</v>
      </c>
      <c r="S375" s="278">
        <v>0</v>
      </c>
      <c r="T375" s="278">
        <v>0</v>
      </c>
      <c r="U375" s="278">
        <v>0</v>
      </c>
      <c r="V375" s="226">
        <f t="shared" ref="V375:V379" si="90">SUM(J375:U375)</f>
        <v>0</v>
      </c>
      <c r="W375" s="73">
        <f t="shared" ref="W375:W379" si="91">V375/V$6</f>
        <v>0</v>
      </c>
      <c r="X375" s="89"/>
      <c r="Y375" s="277"/>
      <c r="Z375" s="277"/>
      <c r="AA375" s="277"/>
      <c r="AB375" s="277"/>
      <c r="AC375" s="277"/>
      <c r="AD375" s="277"/>
      <c r="AE375" s="277"/>
      <c r="AF375" s="277"/>
      <c r="AG375" s="277"/>
      <c r="AH375" s="277"/>
      <c r="AI375" s="277"/>
      <c r="AJ375" s="277"/>
      <c r="AK375" s="226">
        <f t="shared" ref="AK375:AK379" si="92">SUM(Y375:AJ375)</f>
        <v>0</v>
      </c>
      <c r="AL375" s="73">
        <f t="shared" ref="AL375:AL379" si="93">AK375/AK$6</f>
        <v>0</v>
      </c>
      <c r="AM375" s="14">
        <f t="shared" si="89"/>
        <v>0</v>
      </c>
      <c r="AS375" s="226">
        <v>0</v>
      </c>
    </row>
    <row r="376" spans="9:45" hidden="1" outlineLevel="1">
      <c r="I376" s="246" t="s">
        <v>327</v>
      </c>
      <c r="J376" s="278">
        <v>0</v>
      </c>
      <c r="K376" s="278">
        <v>0</v>
      </c>
      <c r="L376" s="278">
        <v>0</v>
      </c>
      <c r="M376" s="278">
        <v>0</v>
      </c>
      <c r="N376" s="278">
        <v>0</v>
      </c>
      <c r="O376" s="278">
        <v>0</v>
      </c>
      <c r="P376" s="278">
        <v>0</v>
      </c>
      <c r="Q376" s="278">
        <v>0</v>
      </c>
      <c r="R376" s="278">
        <v>0</v>
      </c>
      <c r="S376" s="278">
        <v>0</v>
      </c>
      <c r="T376" s="278">
        <v>0</v>
      </c>
      <c r="U376" s="278">
        <v>0</v>
      </c>
      <c r="V376" s="226">
        <f t="shared" si="90"/>
        <v>0</v>
      </c>
      <c r="W376" s="73">
        <f t="shared" si="91"/>
        <v>0</v>
      </c>
      <c r="X376" s="89"/>
      <c r="Y376" s="277"/>
      <c r="Z376" s="277"/>
      <c r="AA376" s="277"/>
      <c r="AB376" s="277"/>
      <c r="AC376" s="277"/>
      <c r="AD376" s="277"/>
      <c r="AE376" s="277"/>
      <c r="AF376" s="277"/>
      <c r="AG376" s="277"/>
      <c r="AH376" s="277"/>
      <c r="AI376" s="277"/>
      <c r="AJ376" s="277"/>
      <c r="AK376" s="226">
        <f t="shared" si="92"/>
        <v>0</v>
      </c>
      <c r="AL376" s="73">
        <f t="shared" si="93"/>
        <v>0</v>
      </c>
      <c r="AM376" s="14">
        <f t="shared" si="89"/>
        <v>0</v>
      </c>
      <c r="AS376" s="226">
        <v>0</v>
      </c>
    </row>
    <row r="377" spans="9:45" hidden="1" outlineLevel="1">
      <c r="I377" s="246" t="s">
        <v>167</v>
      </c>
      <c r="J377" s="278">
        <v>0</v>
      </c>
      <c r="K377" s="278">
        <v>0</v>
      </c>
      <c r="L377" s="278">
        <v>0</v>
      </c>
      <c r="M377" s="278">
        <v>0</v>
      </c>
      <c r="N377" s="278">
        <v>0</v>
      </c>
      <c r="O377" s="278">
        <v>0</v>
      </c>
      <c r="P377" s="278">
        <v>0</v>
      </c>
      <c r="Q377" s="278">
        <v>0</v>
      </c>
      <c r="R377" s="278">
        <v>0</v>
      </c>
      <c r="S377" s="278">
        <v>0</v>
      </c>
      <c r="T377" s="278">
        <v>0</v>
      </c>
      <c r="U377" s="278">
        <v>0</v>
      </c>
      <c r="V377" s="226">
        <f t="shared" si="90"/>
        <v>0</v>
      </c>
      <c r="W377" s="73">
        <f t="shared" si="91"/>
        <v>0</v>
      </c>
      <c r="X377" s="89"/>
      <c r="Y377" s="277"/>
      <c r="Z377" s="277"/>
      <c r="AA377" s="277"/>
      <c r="AB377" s="277"/>
      <c r="AC377" s="277"/>
      <c r="AD377" s="277"/>
      <c r="AE377" s="277"/>
      <c r="AF377" s="277"/>
      <c r="AG377" s="277"/>
      <c r="AH377" s="277"/>
      <c r="AI377" s="277"/>
      <c r="AJ377" s="277"/>
      <c r="AK377" s="226">
        <f t="shared" si="92"/>
        <v>0</v>
      </c>
      <c r="AL377" s="73">
        <f t="shared" si="93"/>
        <v>0</v>
      </c>
      <c r="AM377" s="14">
        <f t="shared" si="89"/>
        <v>0</v>
      </c>
      <c r="AS377" s="226">
        <v>0</v>
      </c>
    </row>
    <row r="378" spans="9:45" hidden="1" outlineLevel="1">
      <c r="I378" s="246" t="s">
        <v>328</v>
      </c>
      <c r="J378" s="279"/>
      <c r="K378" s="279"/>
      <c r="L378" s="279"/>
      <c r="M378" s="279"/>
      <c r="N378" s="279"/>
      <c r="O378" s="279"/>
      <c r="P378" s="279"/>
      <c r="Q378" s="279"/>
      <c r="R378" s="279"/>
      <c r="S378" s="279"/>
      <c r="T378" s="279"/>
      <c r="U378" s="279"/>
      <c r="V378" s="226">
        <f t="shared" si="90"/>
        <v>0</v>
      </c>
      <c r="W378" s="73">
        <f t="shared" si="91"/>
        <v>0</v>
      </c>
      <c r="X378" s="89"/>
      <c r="Y378" s="277"/>
      <c r="Z378" s="277"/>
      <c r="AA378" s="277"/>
      <c r="AB378" s="277"/>
      <c r="AC378" s="277"/>
      <c r="AD378" s="277"/>
      <c r="AE378" s="277"/>
      <c r="AF378" s="277"/>
      <c r="AG378" s="277"/>
      <c r="AH378" s="277"/>
      <c r="AI378" s="277"/>
      <c r="AJ378" s="277"/>
      <c r="AK378" s="226">
        <f t="shared" si="92"/>
        <v>0</v>
      </c>
      <c r="AL378" s="73">
        <f t="shared" si="93"/>
        <v>0</v>
      </c>
      <c r="AM378" s="14">
        <f t="shared" si="89"/>
        <v>0</v>
      </c>
      <c r="AS378" s="226">
        <v>0</v>
      </c>
    </row>
    <row r="379" spans="9:45" hidden="1" outlineLevel="1">
      <c r="I379" s="246" t="s">
        <v>329</v>
      </c>
      <c r="J379" s="298">
        <v>129343</v>
      </c>
      <c r="K379" s="300">
        <v>129158</v>
      </c>
      <c r="L379" s="300">
        <v>62739</v>
      </c>
      <c r="M379" s="301">
        <v>-41675</v>
      </c>
      <c r="N379" s="300">
        <v>21821</v>
      </c>
      <c r="O379" s="300">
        <v>22321</v>
      </c>
      <c r="P379" s="299">
        <v>199</v>
      </c>
      <c r="Q379" s="299">
        <v>0</v>
      </c>
      <c r="R379" s="299">
        <v>181</v>
      </c>
      <c r="S379" s="300">
        <v>412800</v>
      </c>
      <c r="T379" s="279">
        <f>+AVERAGE(J379:S379)</f>
        <v>73688.7</v>
      </c>
      <c r="U379" s="279">
        <f>+AVERAGE(K379:T379)</f>
        <v>68123.26999999999</v>
      </c>
      <c r="V379" s="226">
        <f t="shared" si="90"/>
        <v>878698.97</v>
      </c>
      <c r="W379" s="73">
        <f t="shared" si="91"/>
        <v>9.8051146515298546E-4</v>
      </c>
      <c r="X379" s="89"/>
      <c r="Y379" s="277">
        <f>+J379*1.0375</f>
        <v>134193.36250000002</v>
      </c>
      <c r="Z379" s="277">
        <f>+K379*1.0375</f>
        <v>134001.42500000002</v>
      </c>
      <c r="AA379" s="277">
        <f>+L379*1.0375</f>
        <v>65091.712500000009</v>
      </c>
      <c r="AB379" s="277">
        <f>+M379*1.0375</f>
        <v>-43237.812500000007</v>
      </c>
      <c r="AC379" s="277">
        <f>+N379*1.0375</f>
        <v>22639.287500000002</v>
      </c>
      <c r="AD379" s="277">
        <f>+O379*1.0375</f>
        <v>23158.037500000002</v>
      </c>
      <c r="AE379" s="277">
        <f>+P379*1.0375</f>
        <v>206.46250000000001</v>
      </c>
      <c r="AF379" s="277">
        <f>+Q379*1.0375</f>
        <v>0</v>
      </c>
      <c r="AG379" s="277">
        <f>+R379*1.0375</f>
        <v>187.78750000000002</v>
      </c>
      <c r="AH379" s="277">
        <f>+S379*1.0375</f>
        <v>428280.00000000006</v>
      </c>
      <c r="AI379" s="277">
        <f>+T379*1.0375</f>
        <v>76452.02625000001</v>
      </c>
      <c r="AJ379" s="277">
        <f>+U379*1.0375</f>
        <v>70677.892624999993</v>
      </c>
      <c r="AK379" s="226">
        <f t="shared" si="92"/>
        <v>911650.18137500004</v>
      </c>
      <c r="AL379" s="73">
        <f t="shared" si="93"/>
        <v>9.4650201427279432E-4</v>
      </c>
      <c r="AM379" s="14">
        <f t="shared" si="89"/>
        <v>3.7500000000000089E-2</v>
      </c>
      <c r="AS379" s="226">
        <v>911650.18137500004</v>
      </c>
    </row>
    <row r="380" spans="9:45">
      <c r="I380" s="246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89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S380" s="251"/>
    </row>
    <row r="381" spans="9:45" collapsed="1">
      <c r="I381" s="280" t="s">
        <v>330</v>
      </c>
      <c r="J381" s="282">
        <f>SUM(J382:J388)</f>
        <v>23274</v>
      </c>
      <c r="K381" s="282">
        <f t="shared" ref="K381:V381" si="94">SUM(K382:K388)</f>
        <v>374857</v>
      </c>
      <c r="L381" s="282">
        <f t="shared" si="94"/>
        <v>193204</v>
      </c>
      <c r="M381" s="282">
        <f t="shared" si="94"/>
        <v>197195</v>
      </c>
      <c r="N381" s="282">
        <f t="shared" si="94"/>
        <v>-346086</v>
      </c>
      <c r="O381" s="282">
        <f t="shared" si="94"/>
        <v>88463</v>
      </c>
      <c r="P381" s="282">
        <f t="shared" si="94"/>
        <v>112418</v>
      </c>
      <c r="Q381" s="282">
        <f t="shared" si="94"/>
        <v>112418</v>
      </c>
      <c r="R381" s="282">
        <f t="shared" si="94"/>
        <v>112418</v>
      </c>
      <c r="S381" s="282">
        <f t="shared" si="94"/>
        <v>131118</v>
      </c>
      <c r="T381" s="282">
        <f t="shared" si="94"/>
        <v>118651.33333333333</v>
      </c>
      <c r="U381" s="282">
        <f t="shared" si="94"/>
        <v>120729.11111111111</v>
      </c>
      <c r="V381" s="282">
        <f t="shared" si="94"/>
        <v>1238659.4444444445</v>
      </c>
      <c r="W381" s="164"/>
      <c r="X381" s="89"/>
      <c r="Y381" s="282">
        <f>SUM(Y382:Y388)</f>
        <v>24162.237499999996</v>
      </c>
      <c r="Z381" s="282">
        <f t="shared" ref="Z381" si="95">SUM(Z382:Z388)</f>
        <v>388929.6</v>
      </c>
      <c r="AA381" s="282">
        <f t="shared" ref="AA381" si="96">SUM(AA382:AA388)</f>
        <v>200464.61250000002</v>
      </c>
      <c r="AB381" s="282">
        <f t="shared" ref="AB381" si="97">SUM(AB382:AB388)</f>
        <v>204605.27499999999</v>
      </c>
      <c r="AC381" s="282">
        <f t="shared" ref="AC381" si="98">SUM(AC382:AC388)</f>
        <v>-359048.76250000001</v>
      </c>
      <c r="AD381" s="282">
        <f t="shared" ref="AD381" si="99">SUM(AD382:AD388)</f>
        <v>91795.825000000012</v>
      </c>
      <c r="AE381" s="282">
        <f t="shared" ref="AE381" si="100">SUM(AE382:AE388)</f>
        <v>116649.13750000001</v>
      </c>
      <c r="AF381" s="282">
        <f t="shared" ref="AF381" si="101">SUM(AF382:AF388)</f>
        <v>116649.13750000001</v>
      </c>
      <c r="AG381" s="282">
        <f t="shared" ref="AG381" si="102">SUM(AG382:AG388)</f>
        <v>116649.13750000001</v>
      </c>
      <c r="AH381" s="282">
        <f t="shared" ref="AH381" si="103">SUM(AH382:AH388)</f>
        <v>136050.38750000001</v>
      </c>
      <c r="AI381" s="282">
        <f t="shared" ref="AI381" si="104">SUM(AI382:AI388)</f>
        <v>123116.22083333334</v>
      </c>
      <c r="AJ381" s="282">
        <f t="shared" ref="AJ381" si="105">SUM(AJ382:AJ388)</f>
        <v>125271.91527777779</v>
      </c>
      <c r="AK381" s="282">
        <f t="shared" ref="AK381" si="106">SUM(AK382:AK388)</f>
        <v>1285294.7236111111</v>
      </c>
      <c r="AL381" s="72">
        <f t="shared" ref="AL381" si="107">AK381/AK$6</f>
        <v>1.3344307604889287E-3</v>
      </c>
      <c r="AM381" s="10">
        <f t="shared" si="89"/>
        <v>3.7649799043499854E-2</v>
      </c>
      <c r="AS381" s="282">
        <v>1285294.7236111111</v>
      </c>
    </row>
    <row r="382" spans="9:45" hidden="1" outlineLevel="1">
      <c r="I382" s="246" t="s">
        <v>331</v>
      </c>
      <c r="J382" s="283">
        <v>1237</v>
      </c>
      <c r="K382" s="283">
        <v>1237</v>
      </c>
      <c r="L382" s="285">
        <v>1237</v>
      </c>
      <c r="M382" s="285">
        <v>1237</v>
      </c>
      <c r="N382" s="285">
        <v>1237</v>
      </c>
      <c r="O382" s="285">
        <v>1237</v>
      </c>
      <c r="P382" s="285">
        <v>1237</v>
      </c>
      <c r="Q382" s="285">
        <v>1237</v>
      </c>
      <c r="R382" s="285">
        <v>1237</v>
      </c>
      <c r="S382" s="285">
        <v>1237</v>
      </c>
      <c r="T382" s="285">
        <v>1237</v>
      </c>
      <c r="U382" s="285">
        <v>1237</v>
      </c>
      <c r="V382" s="226">
        <f t="shared" ref="V382:V388" si="108">SUM(J382:U382)</f>
        <v>14844</v>
      </c>
      <c r="W382" s="73">
        <f t="shared" ref="W382:W388" si="109">V382/V$6</f>
        <v>1.6563934505045474E-5</v>
      </c>
      <c r="X382" s="89"/>
      <c r="Y382" s="277">
        <f t="shared" ref="Y382" si="110">+J382*1.05</f>
        <v>1298.8500000000001</v>
      </c>
      <c r="Z382" s="277">
        <f t="shared" ref="Z382:AJ388" si="111">+K382*1.05</f>
        <v>1298.8500000000001</v>
      </c>
      <c r="AA382" s="277">
        <f t="shared" ref="AA382:AJ388" si="112">+L382*1.05</f>
        <v>1298.8500000000001</v>
      </c>
      <c r="AB382" s="277">
        <f t="shared" ref="AB382:AJ388" si="113">+M382*1.05</f>
        <v>1298.8500000000001</v>
      </c>
      <c r="AC382" s="277">
        <f t="shared" ref="AC382:AJ388" si="114">+N382*1.05</f>
        <v>1298.8500000000001</v>
      </c>
      <c r="AD382" s="277">
        <f t="shared" ref="AD382:AJ388" si="115">+O382*1.05</f>
        <v>1298.8500000000001</v>
      </c>
      <c r="AE382" s="277">
        <f t="shared" ref="AE382:AJ388" si="116">+P382*1.05</f>
        <v>1298.8500000000001</v>
      </c>
      <c r="AF382" s="277">
        <f t="shared" ref="AF382:AJ388" si="117">+Q382*1.05</f>
        <v>1298.8500000000001</v>
      </c>
      <c r="AG382" s="277">
        <f t="shared" ref="AG382:AJ388" si="118">+R382*1.05</f>
        <v>1298.8500000000001</v>
      </c>
      <c r="AH382" s="277">
        <f t="shared" ref="AH382:AJ388" si="119">+S382*1.05</f>
        <v>1298.8500000000001</v>
      </c>
      <c r="AI382" s="277">
        <f t="shared" ref="AI382:AJ388" si="120">+T382*1.05</f>
        <v>1298.8500000000001</v>
      </c>
      <c r="AJ382" s="277">
        <f t="shared" ref="AJ382:AJ388" si="121">+U382*1.05</f>
        <v>1298.8500000000001</v>
      </c>
      <c r="AK382" s="226">
        <f t="shared" ref="AK382:AK388" si="122">SUM(Y382:AJ382)</f>
        <v>15586.200000000003</v>
      </c>
      <c r="AL382" s="73">
        <f t="shared" ref="AL382:AL388" si="123">AK382/AK$6</f>
        <v>1.6182050962363993E-5</v>
      </c>
      <c r="AM382" s="14">
        <f t="shared" si="89"/>
        <v>5.0000000000000266E-2</v>
      </c>
      <c r="AS382" s="226">
        <v>15586.200000000003</v>
      </c>
    </row>
    <row r="383" spans="9:45" hidden="1" outlineLevel="1">
      <c r="I383" s="246" t="s">
        <v>332</v>
      </c>
      <c r="J383" s="278">
        <v>0</v>
      </c>
      <c r="K383" s="278">
        <v>0</v>
      </c>
      <c r="L383" s="276">
        <v>0</v>
      </c>
      <c r="M383" s="276">
        <v>0</v>
      </c>
      <c r="N383" s="276">
        <v>0</v>
      </c>
      <c r="O383" s="276">
        <v>0</v>
      </c>
      <c r="P383" s="276">
        <v>0</v>
      </c>
      <c r="Q383" s="276">
        <v>0</v>
      </c>
      <c r="R383" s="276">
        <v>0</v>
      </c>
      <c r="S383" s="276">
        <v>0</v>
      </c>
      <c r="T383" s="276">
        <v>0</v>
      </c>
      <c r="U383" s="276">
        <v>0</v>
      </c>
      <c r="V383" s="226">
        <f t="shared" si="108"/>
        <v>0</v>
      </c>
      <c r="W383" s="73">
        <f t="shared" si="109"/>
        <v>0</v>
      </c>
      <c r="X383" s="89"/>
      <c r="Y383" s="277">
        <f t="shared" ref="Y383:AJ388" si="124">+J383*1.05</f>
        <v>0</v>
      </c>
      <c r="Z383" s="277">
        <f t="shared" si="111"/>
        <v>0</v>
      </c>
      <c r="AA383" s="277">
        <f t="shared" si="112"/>
        <v>0</v>
      </c>
      <c r="AB383" s="277">
        <f t="shared" si="113"/>
        <v>0</v>
      </c>
      <c r="AC383" s="277">
        <f t="shared" si="114"/>
        <v>0</v>
      </c>
      <c r="AD383" s="277">
        <f t="shared" si="115"/>
        <v>0</v>
      </c>
      <c r="AE383" s="277">
        <f t="shared" si="116"/>
        <v>0</v>
      </c>
      <c r="AF383" s="277">
        <f t="shared" si="117"/>
        <v>0</v>
      </c>
      <c r="AG383" s="277">
        <f t="shared" si="118"/>
        <v>0</v>
      </c>
      <c r="AH383" s="277">
        <f t="shared" si="119"/>
        <v>0</v>
      </c>
      <c r="AI383" s="277">
        <f t="shared" si="120"/>
        <v>0</v>
      </c>
      <c r="AJ383" s="277">
        <f t="shared" si="121"/>
        <v>0</v>
      </c>
      <c r="AK383" s="226">
        <f t="shared" si="122"/>
        <v>0</v>
      </c>
      <c r="AL383" s="73">
        <f t="shared" si="123"/>
        <v>0</v>
      </c>
      <c r="AM383" s="14">
        <f t="shared" si="89"/>
        <v>0</v>
      </c>
      <c r="AS383" s="226">
        <v>0</v>
      </c>
    </row>
    <row r="384" spans="9:45" hidden="1" outlineLevel="1">
      <c r="I384" s="246" t="s">
        <v>333</v>
      </c>
      <c r="J384" s="279">
        <v>16804</v>
      </c>
      <c r="K384" s="279">
        <v>138031</v>
      </c>
      <c r="L384" s="277">
        <v>69650</v>
      </c>
      <c r="M384" s="277">
        <v>74912</v>
      </c>
      <c r="N384" s="277">
        <v>74899</v>
      </c>
      <c r="O384" s="277">
        <v>75154</v>
      </c>
      <c r="P384" s="277">
        <v>77493</v>
      </c>
      <c r="Q384" s="277">
        <v>77493</v>
      </c>
      <c r="R384" s="277">
        <v>77493</v>
      </c>
      <c r="S384" s="277">
        <v>96193</v>
      </c>
      <c r="T384" s="277">
        <f>+AVERAGE(Q384:S384)</f>
        <v>83726.333333333328</v>
      </c>
      <c r="U384" s="277">
        <f>+AVERAGE(R384:T384)</f>
        <v>85804.111111111109</v>
      </c>
      <c r="V384" s="226">
        <f t="shared" si="108"/>
        <v>947652.4444444445</v>
      </c>
      <c r="W384" s="73">
        <f t="shared" si="109"/>
        <v>1.0574543939183524E-3</v>
      </c>
      <c r="X384" s="89"/>
      <c r="Y384" s="277">
        <f>+J384*1.0375</f>
        <v>17434.150000000001</v>
      </c>
      <c r="Z384" s="277">
        <f>+K384*1.0375</f>
        <v>143207.16250000001</v>
      </c>
      <c r="AA384" s="277">
        <f>+L384*1.0375</f>
        <v>72261.875</v>
      </c>
      <c r="AB384" s="277">
        <f>+M384*1.0375</f>
        <v>77721.200000000012</v>
      </c>
      <c r="AC384" s="277">
        <f>+N384*1.0375</f>
        <v>77707.712500000009</v>
      </c>
      <c r="AD384" s="277">
        <f>+O384*1.0375</f>
        <v>77972.275000000009</v>
      </c>
      <c r="AE384" s="277">
        <f>+P384*1.0375</f>
        <v>80398.987500000003</v>
      </c>
      <c r="AF384" s="277">
        <f>+Q384*1.0375</f>
        <v>80398.987500000003</v>
      </c>
      <c r="AG384" s="277">
        <f>+R384*1.0375</f>
        <v>80398.987500000003</v>
      </c>
      <c r="AH384" s="277">
        <f>+S384*1.0375</f>
        <v>99800.237500000003</v>
      </c>
      <c r="AI384" s="277">
        <f>+T384*1.0375</f>
        <v>86866.070833333331</v>
      </c>
      <c r="AJ384" s="277">
        <f>+U384*1.0375</f>
        <v>89021.765277777784</v>
      </c>
      <c r="AK384" s="226">
        <f t="shared" si="122"/>
        <v>983189.41111111129</v>
      </c>
      <c r="AL384" s="73">
        <f t="shared" si="123"/>
        <v>1.020776145324495E-3</v>
      </c>
      <c r="AM384" s="14">
        <f t="shared" si="89"/>
        <v>3.7500000000000089E-2</v>
      </c>
      <c r="AS384" s="226">
        <v>983189.41111111129</v>
      </c>
    </row>
    <row r="385" spans="9:45" hidden="1" outlineLevel="1">
      <c r="I385" s="246" t="s">
        <v>334</v>
      </c>
      <c r="J385" s="279">
        <v>4501</v>
      </c>
      <c r="K385" s="279">
        <v>9386</v>
      </c>
      <c r="L385" s="277">
        <v>8461</v>
      </c>
      <c r="M385" s="277">
        <v>7449</v>
      </c>
      <c r="N385" s="277">
        <v>7449</v>
      </c>
      <c r="O385" s="277">
        <v>7449</v>
      </c>
      <c r="P385" s="277">
        <v>29065</v>
      </c>
      <c r="Q385" s="277">
        <v>29065</v>
      </c>
      <c r="R385" s="277">
        <v>29065</v>
      </c>
      <c r="S385" s="277">
        <v>29065</v>
      </c>
      <c r="T385" s="277">
        <f>+AVERAGE(Q385:S385)</f>
        <v>29065</v>
      </c>
      <c r="U385" s="277">
        <f>+AVERAGE(R385:T385)</f>
        <v>29065</v>
      </c>
      <c r="V385" s="226">
        <f t="shared" si="108"/>
        <v>219085</v>
      </c>
      <c r="W385" s="73">
        <f t="shared" si="109"/>
        <v>2.4446979190500455E-4</v>
      </c>
      <c r="X385" s="89"/>
      <c r="Y385" s="277">
        <f>+J385*1.0375</f>
        <v>4669.7875000000004</v>
      </c>
      <c r="Z385" s="277">
        <f>+K385*1.0375</f>
        <v>9737.9750000000004</v>
      </c>
      <c r="AA385" s="277">
        <f>+L385*1.0375</f>
        <v>8778.2875000000004</v>
      </c>
      <c r="AB385" s="277">
        <f>+M385*1.0375</f>
        <v>7728.3375000000005</v>
      </c>
      <c r="AC385" s="277">
        <f>+N385*1.0375</f>
        <v>7728.3375000000005</v>
      </c>
      <c r="AD385" s="277">
        <f>+O385*1.0375</f>
        <v>7728.3375000000005</v>
      </c>
      <c r="AE385" s="277">
        <f>+P385*1.0375</f>
        <v>30154.937500000004</v>
      </c>
      <c r="AF385" s="277">
        <f>+Q385*1.0375</f>
        <v>30154.937500000004</v>
      </c>
      <c r="AG385" s="277">
        <f>+R385*1.0375</f>
        <v>30154.937500000004</v>
      </c>
      <c r="AH385" s="277">
        <f>+S385*1.0375</f>
        <v>30154.937500000004</v>
      </c>
      <c r="AI385" s="277">
        <f>+T385*1.0375</f>
        <v>30154.937500000004</v>
      </c>
      <c r="AJ385" s="277">
        <f>+U385*1.0375</f>
        <v>30154.937500000004</v>
      </c>
      <c r="AK385" s="226">
        <f t="shared" si="122"/>
        <v>227300.68750000003</v>
      </c>
      <c r="AL385" s="73">
        <f t="shared" si="123"/>
        <v>2.3599025477059015E-4</v>
      </c>
      <c r="AM385" s="14">
        <f t="shared" si="89"/>
        <v>3.7500000000000089E-2</v>
      </c>
      <c r="AS385" s="226">
        <v>227300.68750000003</v>
      </c>
    </row>
    <row r="386" spans="9:45" hidden="1" outlineLevel="1">
      <c r="I386" s="246" t="s">
        <v>335</v>
      </c>
      <c r="J386" s="279">
        <v>61</v>
      </c>
      <c r="K386" s="279">
        <v>223517</v>
      </c>
      <c r="L386" s="277">
        <v>111605</v>
      </c>
      <c r="M386" s="277">
        <v>111728</v>
      </c>
      <c r="N386" s="277">
        <v>-430473</v>
      </c>
      <c r="O386" s="277">
        <v>3288</v>
      </c>
      <c r="P386" s="277">
        <v>3288</v>
      </c>
      <c r="Q386" s="277">
        <v>3288</v>
      </c>
      <c r="R386" s="277">
        <v>3288</v>
      </c>
      <c r="S386" s="277">
        <v>3288</v>
      </c>
      <c r="T386" s="277">
        <f>+AVERAGE(Q386:S386)</f>
        <v>3288</v>
      </c>
      <c r="U386" s="277">
        <f>+AVERAGE(R386:T386)</f>
        <v>3288</v>
      </c>
      <c r="V386" s="226">
        <f t="shared" si="108"/>
        <v>39454</v>
      </c>
      <c r="W386" s="73">
        <f t="shared" si="109"/>
        <v>4.4025429261793591E-5</v>
      </c>
      <c r="X386" s="89"/>
      <c r="Y386" s="277">
        <f>+J386*1.0375</f>
        <v>63.287500000000009</v>
      </c>
      <c r="Z386" s="277">
        <f>+K386*1.0375</f>
        <v>231898.88750000001</v>
      </c>
      <c r="AA386" s="277">
        <f>+L386*1.0375</f>
        <v>115790.18750000001</v>
      </c>
      <c r="AB386" s="277">
        <f>+M386*1.0375</f>
        <v>115917.8</v>
      </c>
      <c r="AC386" s="277">
        <f>+N386*1.0375</f>
        <v>-446615.73750000005</v>
      </c>
      <c r="AD386" s="277">
        <f>+O386*1.0375</f>
        <v>3411.3</v>
      </c>
      <c r="AE386" s="277">
        <f>+P386*1.0375</f>
        <v>3411.3</v>
      </c>
      <c r="AF386" s="277">
        <f>+Q386*1.0375</f>
        <v>3411.3</v>
      </c>
      <c r="AG386" s="277">
        <f>+R386*1.0375</f>
        <v>3411.3</v>
      </c>
      <c r="AH386" s="277">
        <f>+S386*1.0375</f>
        <v>3411.3</v>
      </c>
      <c r="AI386" s="277">
        <f>+T386*1.0375</f>
        <v>3411.3</v>
      </c>
      <c r="AJ386" s="277">
        <f>+U386*1.0375</f>
        <v>3411.3</v>
      </c>
      <c r="AK386" s="226">
        <f t="shared" si="122"/>
        <v>40933.524999999994</v>
      </c>
      <c r="AL386" s="73">
        <f t="shared" si="123"/>
        <v>4.2498388806713657E-5</v>
      </c>
      <c r="AM386" s="14">
        <f t="shared" si="89"/>
        <v>3.7499999999999867E-2</v>
      </c>
      <c r="AS386" s="226">
        <v>40933.524999999994</v>
      </c>
    </row>
    <row r="387" spans="9:45" hidden="1" outlineLevel="1">
      <c r="I387" s="246" t="s">
        <v>336</v>
      </c>
      <c r="J387" s="278">
        <v>671</v>
      </c>
      <c r="K387" s="302">
        <v>2686</v>
      </c>
      <c r="L387" s="303">
        <v>2251</v>
      </c>
      <c r="M387" s="303">
        <v>1869</v>
      </c>
      <c r="N387" s="276">
        <v>802</v>
      </c>
      <c r="O387" s="303">
        <v>1335</v>
      </c>
      <c r="P387" s="303">
        <v>1335</v>
      </c>
      <c r="Q387" s="303">
        <v>1335</v>
      </c>
      <c r="R387" s="303">
        <v>1335</v>
      </c>
      <c r="S387" s="303">
        <v>1335</v>
      </c>
      <c r="T387" s="303">
        <f>+AVERAGE(Q387:S387)</f>
        <v>1335</v>
      </c>
      <c r="U387" s="303">
        <f>+AVERAGE(R387:T387)</f>
        <v>1335</v>
      </c>
      <c r="V387" s="226">
        <f t="shared" si="108"/>
        <v>17624</v>
      </c>
      <c r="W387" s="73">
        <f t="shared" si="109"/>
        <v>1.9666045655949976E-5</v>
      </c>
      <c r="X387" s="89"/>
      <c r="Y387" s="277">
        <f>+J387*1.0375</f>
        <v>696.16250000000002</v>
      </c>
      <c r="Z387" s="277">
        <f>+K387*1.0375</f>
        <v>2786.7250000000004</v>
      </c>
      <c r="AA387" s="277">
        <f>+L387*1.0375</f>
        <v>2335.4125000000004</v>
      </c>
      <c r="AB387" s="277">
        <f>+M387*1.0375</f>
        <v>1939.0875000000001</v>
      </c>
      <c r="AC387" s="277">
        <f>+N387*1.0375</f>
        <v>832.07500000000005</v>
      </c>
      <c r="AD387" s="277">
        <f>+O387*1.0375</f>
        <v>1385.0625000000002</v>
      </c>
      <c r="AE387" s="277">
        <f>+P387*1.0375</f>
        <v>1385.0625000000002</v>
      </c>
      <c r="AF387" s="277">
        <f>+Q387*1.0375</f>
        <v>1385.0625000000002</v>
      </c>
      <c r="AG387" s="277">
        <f>+R387*1.0375</f>
        <v>1385.0625000000002</v>
      </c>
      <c r="AH387" s="277">
        <f>+S387*1.0375</f>
        <v>1385.0625000000002</v>
      </c>
      <c r="AI387" s="277">
        <f>+T387*1.0375</f>
        <v>1385.0625000000002</v>
      </c>
      <c r="AJ387" s="277">
        <f>+U387*1.0375</f>
        <v>1385.0625000000002</v>
      </c>
      <c r="AK387" s="226">
        <f t="shared" si="122"/>
        <v>18284.900000000001</v>
      </c>
      <c r="AL387" s="73">
        <f t="shared" si="123"/>
        <v>1.8983920624766099E-5</v>
      </c>
      <c r="AM387" s="14">
        <f t="shared" si="89"/>
        <v>3.7500000000000089E-2</v>
      </c>
      <c r="AS387" s="226">
        <v>18284.900000000001</v>
      </c>
    </row>
    <row r="388" spans="9:45" hidden="1" outlineLevel="1">
      <c r="I388" s="263" t="s">
        <v>337</v>
      </c>
      <c r="J388" s="278">
        <v>0</v>
      </c>
      <c r="K388" s="278">
        <v>0</v>
      </c>
      <c r="L388" s="276">
        <v>0</v>
      </c>
      <c r="M388" s="276">
        <v>0</v>
      </c>
      <c r="N388" s="276">
        <v>0</v>
      </c>
      <c r="O388" s="276">
        <v>0</v>
      </c>
      <c r="P388" s="276">
        <v>0</v>
      </c>
      <c r="Q388" s="276">
        <v>0</v>
      </c>
      <c r="R388" s="276">
        <v>0</v>
      </c>
      <c r="S388" s="276">
        <v>0</v>
      </c>
      <c r="T388" s="276">
        <v>0</v>
      </c>
      <c r="U388" s="276">
        <v>0</v>
      </c>
      <c r="V388" s="226">
        <f t="shared" si="108"/>
        <v>0</v>
      </c>
      <c r="W388" s="73">
        <f t="shared" si="109"/>
        <v>0</v>
      </c>
      <c r="X388" s="89"/>
      <c r="Y388" s="277">
        <f t="shared" si="124"/>
        <v>0</v>
      </c>
      <c r="Z388" s="277">
        <f t="shared" si="111"/>
        <v>0</v>
      </c>
      <c r="AA388" s="277">
        <f t="shared" si="112"/>
        <v>0</v>
      </c>
      <c r="AB388" s="277">
        <f t="shared" si="113"/>
        <v>0</v>
      </c>
      <c r="AC388" s="277">
        <f t="shared" si="114"/>
        <v>0</v>
      </c>
      <c r="AD388" s="277">
        <f t="shared" si="115"/>
        <v>0</v>
      </c>
      <c r="AE388" s="277">
        <f t="shared" si="116"/>
        <v>0</v>
      </c>
      <c r="AF388" s="277">
        <f t="shared" si="117"/>
        <v>0</v>
      </c>
      <c r="AG388" s="277">
        <f t="shared" si="118"/>
        <v>0</v>
      </c>
      <c r="AH388" s="277">
        <f t="shared" si="119"/>
        <v>0</v>
      </c>
      <c r="AI388" s="277">
        <f t="shared" si="120"/>
        <v>0</v>
      </c>
      <c r="AJ388" s="277">
        <f t="shared" si="121"/>
        <v>0</v>
      </c>
      <c r="AK388" s="226">
        <f t="shared" si="122"/>
        <v>0</v>
      </c>
      <c r="AL388" s="73">
        <f t="shared" si="123"/>
        <v>0</v>
      </c>
      <c r="AM388" s="14">
        <f t="shared" si="89"/>
        <v>0</v>
      </c>
      <c r="AS388" s="226">
        <v>0</v>
      </c>
    </row>
    <row r="389" spans="9:45">
      <c r="I389" s="246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137"/>
      <c r="W389" s="164"/>
      <c r="X389" s="89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137"/>
      <c r="AL389" s="164"/>
      <c r="AM389" s="157"/>
      <c r="AS389" s="137"/>
    </row>
    <row r="390" spans="9:45">
      <c r="I390" s="281" t="s">
        <v>379</v>
      </c>
      <c r="J390" s="284">
        <f>+J354+J357-J373-J381</f>
        <v>3817966</v>
      </c>
      <c r="K390" s="284">
        <f t="shared" ref="K390:V390" si="125">+K354+K357-K373-K381</f>
        <v>5849230</v>
      </c>
      <c r="L390" s="284">
        <f t="shared" si="125"/>
        <v>5257751</v>
      </c>
      <c r="M390" s="284">
        <f t="shared" si="125"/>
        <v>5049379</v>
      </c>
      <c r="N390" s="284">
        <f t="shared" si="125"/>
        <v>7814926</v>
      </c>
      <c r="O390" s="284">
        <f t="shared" si="125"/>
        <v>6014543</v>
      </c>
      <c r="P390" s="284">
        <f t="shared" si="125"/>
        <v>5091214</v>
      </c>
      <c r="Q390" s="284">
        <f t="shared" si="125"/>
        <v>4067924</v>
      </c>
      <c r="R390" s="284">
        <f t="shared" si="125"/>
        <v>5508662.666666666</v>
      </c>
      <c r="S390" s="284">
        <f t="shared" si="125"/>
        <v>4503402.1099125091</v>
      </c>
      <c r="T390" s="284">
        <f t="shared" si="125"/>
        <v>4545382.5779859908</v>
      </c>
      <c r="U390" s="284">
        <f t="shared" si="125"/>
        <v>5077576.7587350905</v>
      </c>
      <c r="V390" s="284">
        <f t="shared" si="125"/>
        <v>57513861.891078033</v>
      </c>
      <c r="W390" s="168">
        <f>V390/V$6</f>
        <v>6.4177838958235464E-2</v>
      </c>
      <c r="X390" s="91"/>
      <c r="Y390" s="284">
        <f t="shared" ref="Y390:AK390" si="126">+Y354+Y357-Y373-Y381</f>
        <v>3356319.0315870456</v>
      </c>
      <c r="Z390" s="284">
        <f t="shared" si="126"/>
        <v>3181951.0729962047</v>
      </c>
      <c r="AA390" s="284">
        <f t="shared" si="126"/>
        <v>4287453.9412943376</v>
      </c>
      <c r="AB390" s="284">
        <f t="shared" si="126"/>
        <v>3932305.3022372997</v>
      </c>
      <c r="AC390" s="284">
        <f t="shared" si="126"/>
        <v>6553378.6400859896</v>
      </c>
      <c r="AD390" s="284">
        <f t="shared" si="126"/>
        <v>5390856.1328544281</v>
      </c>
      <c r="AE390" s="284">
        <f t="shared" si="126"/>
        <v>4683179.2702735336</v>
      </c>
      <c r="AF390" s="284">
        <f t="shared" si="126"/>
        <v>5290709.4850511989</v>
      </c>
      <c r="AG390" s="284">
        <f t="shared" si="126"/>
        <v>4585449.0501033617</v>
      </c>
      <c r="AH390" s="284">
        <f t="shared" si="126"/>
        <v>4461950.964299839</v>
      </c>
      <c r="AI390" s="284">
        <f t="shared" si="126"/>
        <v>4419211.7391186077</v>
      </c>
      <c r="AJ390" s="284">
        <f t="shared" si="126"/>
        <v>3864493.0972698512</v>
      </c>
      <c r="AK390" s="284">
        <f t="shared" si="126"/>
        <v>54007257.727171741</v>
      </c>
      <c r="AL390" s="168">
        <f>AK390/AK$6</f>
        <v>5.6071922397930192E-2</v>
      </c>
      <c r="AM390" s="154">
        <f t="shared" si="89"/>
        <v>-6.0969721882826011E-2</v>
      </c>
      <c r="AS390" s="284">
        <v>53957703.727171741</v>
      </c>
    </row>
    <row r="391" spans="9:45">
      <c r="AS391" s="4"/>
    </row>
    <row r="392" spans="9:45">
      <c r="AS392" s="4"/>
    </row>
    <row r="393" spans="9:45">
      <c r="AK393" s="286">
        <f>+AK354+AK357</f>
        <v>56575626.428657852</v>
      </c>
      <c r="AS393" s="286">
        <v>56526072.428657852</v>
      </c>
    </row>
    <row r="394" spans="9:45">
      <c r="AS394" s="4"/>
    </row>
    <row r="395" spans="9:45">
      <c r="AS395" s="4"/>
    </row>
    <row r="396" spans="9:45">
      <c r="AS396" s="4"/>
    </row>
    <row r="397" spans="9:45">
      <c r="AS397" s="4"/>
    </row>
    <row r="398" spans="9:45">
      <c r="AS398" s="4"/>
    </row>
    <row r="399" spans="9:45">
      <c r="AS399" s="4"/>
    </row>
    <row r="400" spans="9:45">
      <c r="AS400" s="4"/>
    </row>
    <row r="401" spans="45:45">
      <c r="AS401" s="4"/>
    </row>
    <row r="402" spans="45:45"/>
    <row r="403" spans="45:45"/>
    <row r="404" spans="45:45"/>
    <row r="405" spans="45:45"/>
    <row r="406" spans="45:45"/>
    <row r="407" spans="45:45"/>
    <row r="408" spans="45:45"/>
    <row r="409" spans="45:45"/>
    <row r="410" spans="45:45"/>
    <row r="411" spans="45:45"/>
    <row r="412" spans="45:45"/>
    <row r="413" spans="45:45"/>
    <row r="414" spans="45:45"/>
    <row r="415" spans="45:45"/>
    <row r="416" spans="45:45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</sheetData>
  <mergeCells count="4">
    <mergeCell ref="J2:U2"/>
    <mergeCell ref="V2:W2"/>
    <mergeCell ref="Y2:AJ2"/>
    <mergeCell ref="AK2:AM2"/>
  </mergeCells>
  <conditionalFormatting sqref="AM1 AM391:AM1048576 AM372 AM3:AM159 AM161:AM356">
    <cfRule type="cellIs" dxfId="33" priority="88" operator="lessThan">
      <formula>0</formula>
    </cfRule>
  </conditionalFormatting>
  <conditionalFormatting sqref="AM373:AM379 AM381:AM390">
    <cfRule type="cellIs" dxfId="32" priority="4" operator="lessThan">
      <formula>0</formula>
    </cfRule>
  </conditionalFormatting>
  <conditionalFormatting sqref="AM357:AM371">
    <cfRule type="cellIs" dxfId="31" priority="3" operator="lessThan">
      <formula>0</formula>
    </cfRule>
  </conditionalFormatting>
  <conditionalFormatting sqref="AM160">
    <cfRule type="cellIs" dxfId="3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0">
    <tabColor rgb="FFFFFF00"/>
    <outlinePr summaryBelow="0" summaryRight="0"/>
  </sheetPr>
  <dimension ref="A1:AQ168"/>
  <sheetViews>
    <sheetView showGridLines="0" tabSelected="1" zoomScale="70" zoomScaleNormal="70" workbookViewId="0">
      <pane xSplit="9" ySplit="3" topLeftCell="J5" activePane="bottomRight" state="frozen"/>
      <selection pane="bottomRight" activeCell="AK43" sqref="AK43"/>
      <selection pane="bottomLeft" activeCell="W46" sqref="W46"/>
      <selection pane="topRight" activeCell="W46" sqref="W46"/>
    </sheetView>
  </sheetViews>
  <sheetFormatPr defaultColWidth="11.42578125" defaultRowHeight="14.45" outlineLevelRow="1" outlineLevelCol="1"/>
  <cols>
    <col min="1" max="1" width="11.42578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1.42578125" style="7" customWidth="1"/>
    <col min="6" max="8" width="10.28515625" style="6" hidden="1" customWidth="1"/>
    <col min="9" max="9" width="38.5703125" style="5" customWidth="1" collapsed="1"/>
    <col min="10" max="10" width="21.140625" style="4" hidden="1" customWidth="1" outlineLevel="1"/>
    <col min="11" max="12" width="21.5703125" style="4" hidden="1" customWidth="1" outlineLevel="1"/>
    <col min="13" max="14" width="21.5703125" style="3" hidden="1" customWidth="1" outlineLevel="1"/>
    <col min="15" max="15" width="21.140625" style="3" hidden="1" customWidth="1" outlineLevel="1"/>
    <col min="16" max="16" width="21.5703125" style="3" hidden="1" customWidth="1" outlineLevel="1"/>
    <col min="17" max="17" width="21.140625" style="4" hidden="1" customWidth="1" outlineLevel="1"/>
    <col min="18" max="19" width="20.5703125" style="3" hidden="1" customWidth="1" outlineLevel="1"/>
    <col min="20" max="20" width="21.140625" style="3" hidden="1" customWidth="1" outlineLevel="1"/>
    <col min="21" max="21" width="21.140625" style="4" hidden="1" customWidth="1" outlineLevel="1"/>
    <col min="22" max="22" width="13.28515625" style="4" bestFit="1" customWidth="1"/>
    <col min="23" max="23" width="11.42578125" style="83" customWidth="1"/>
    <col min="24" max="24" width="1.42578125" style="179" customWidth="1"/>
    <col min="25" max="25" width="17.140625" style="4" customWidth="1" outlineLevel="1"/>
    <col min="26" max="26" width="19.5703125" style="4" customWidth="1" outlineLevel="1"/>
    <col min="27" max="27" width="19.140625" style="4" customWidth="1" outlineLevel="1"/>
    <col min="28" max="29" width="19.5703125" style="3" customWidth="1" outlineLevel="1"/>
    <col min="30" max="30" width="19.140625" style="3" customWidth="1" outlineLevel="1"/>
    <col min="31" max="31" width="19.5703125" style="3" customWidth="1" outlineLevel="1"/>
    <col min="32" max="32" width="19.5703125" style="4" customWidth="1" outlineLevel="1"/>
    <col min="33" max="33" width="19.5703125" style="3" customWidth="1" outlineLevel="1"/>
    <col min="34" max="35" width="19.140625" style="3" customWidth="1" outlineLevel="1"/>
    <col min="36" max="36" width="19.85546875" style="4" customWidth="1" outlineLevel="1"/>
    <col min="37" max="37" width="14.7109375" style="4" bestFit="1" customWidth="1"/>
    <col min="38" max="38" width="11.42578125" style="83" customWidth="1"/>
    <col min="39" max="39" width="11.42578125" style="2" customWidth="1"/>
    <col min="40" max="46" width="11.42578125" style="1" customWidth="1"/>
    <col min="47" max="16384" width="11.42578125" style="1"/>
  </cols>
  <sheetData>
    <row r="1" spans="1:39" s="57" customFormat="1" ht="6.75" customHeight="1">
      <c r="A1" s="6"/>
      <c r="B1" s="8"/>
      <c r="C1" s="8"/>
      <c r="D1" s="6"/>
      <c r="E1" s="7"/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39" s="52" customFormat="1" ht="18.75">
      <c r="A2" s="55"/>
      <c r="B2" s="55"/>
      <c r="C2" s="55"/>
      <c r="D2" s="55"/>
      <c r="E2" s="56"/>
      <c r="F2" s="55"/>
      <c r="G2" s="55"/>
      <c r="H2" s="55"/>
      <c r="I2" s="54"/>
      <c r="J2" s="309">
        <v>2025</v>
      </c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1"/>
      <c r="V2" s="312" t="s">
        <v>81</v>
      </c>
      <c r="W2" s="313"/>
      <c r="X2" s="85"/>
      <c r="Y2" s="309">
        <v>2026</v>
      </c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1"/>
      <c r="AK2" s="312" t="s">
        <v>81</v>
      </c>
      <c r="AL2" s="314"/>
      <c r="AM2" s="53"/>
    </row>
    <row r="3" spans="1:39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2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82</v>
      </c>
      <c r="X3" s="86"/>
      <c r="Y3" s="132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82</v>
      </c>
      <c r="AM3" s="45" t="s">
        <v>83</v>
      </c>
    </row>
    <row r="4" spans="1:39">
      <c r="I4" s="43" t="s">
        <v>84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39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39" collapsed="1">
      <c r="A6" s="12" t="s">
        <v>85</v>
      </c>
      <c r="B6" s="19"/>
      <c r="C6" s="19"/>
      <c r="D6" s="12"/>
      <c r="E6" s="7" t="s">
        <v>86</v>
      </c>
      <c r="I6" s="167" t="s">
        <v>87</v>
      </c>
      <c r="J6" s="15">
        <f t="shared" ref="J6:V6" si="1">SUM(J7:J12)</f>
        <v>69452870</v>
      </c>
      <c r="K6" s="15">
        <f t="shared" si="1"/>
        <v>68676679</v>
      </c>
      <c r="L6" s="15">
        <f t="shared" si="1"/>
        <v>74038427</v>
      </c>
      <c r="M6" s="15">
        <f t="shared" si="1"/>
        <v>69224559</v>
      </c>
      <c r="N6" s="15">
        <f t="shared" si="1"/>
        <v>77933808</v>
      </c>
      <c r="O6" s="15">
        <f t="shared" si="1"/>
        <v>77696456</v>
      </c>
      <c r="P6" s="15">
        <f t="shared" si="1"/>
        <v>76552162</v>
      </c>
      <c r="Q6" s="15">
        <f t="shared" si="1"/>
        <v>70332214</v>
      </c>
      <c r="R6" s="15">
        <f t="shared" si="1"/>
        <v>71885191</v>
      </c>
      <c r="S6" s="15">
        <f t="shared" si="1"/>
        <v>79723068.137388021</v>
      </c>
      <c r="T6" s="15">
        <f t="shared" si="1"/>
        <v>81125621.857406527</v>
      </c>
      <c r="U6" s="15">
        <f t="shared" si="1"/>
        <v>79522835.227935821</v>
      </c>
      <c r="V6" s="15">
        <f>SUM(V7:V12)</f>
        <v>896163891.22273028</v>
      </c>
      <c r="W6" s="72">
        <f t="shared" ref="W6:W34" si="2">V6/V$6</f>
        <v>1</v>
      </c>
      <c r="X6" s="89"/>
      <c r="Y6" s="15">
        <f t="shared" ref="Y6:AK6" si="3">SUM(Y7:Y12)</f>
        <v>69733029.479999989</v>
      </c>
      <c r="Z6" s="15">
        <f t="shared" si="3"/>
        <v>69139078.191288009</v>
      </c>
      <c r="AA6" s="15">
        <f t="shared" si="3"/>
        <v>76712716.706637576</v>
      </c>
      <c r="AB6" s="15">
        <f t="shared" si="3"/>
        <v>72969416.091157511</v>
      </c>
      <c r="AC6" s="15">
        <f t="shared" si="3"/>
        <v>84041095.136656061</v>
      </c>
      <c r="AD6" s="15">
        <f t="shared" si="3"/>
        <v>83841111.612472981</v>
      </c>
      <c r="AE6" s="15">
        <f t="shared" si="3"/>
        <v>83649040.243588477</v>
      </c>
      <c r="AF6" s="15">
        <f t="shared" si="3"/>
        <v>85393701.667022631</v>
      </c>
      <c r="AG6" s="15">
        <f t="shared" si="3"/>
        <v>84667179.444870025</v>
      </c>
      <c r="AH6" s="15">
        <f t="shared" si="3"/>
        <v>86983778.169820681</v>
      </c>
      <c r="AI6" s="15">
        <f t="shared" si="3"/>
        <v>84957433.985583857</v>
      </c>
      <c r="AJ6" s="15">
        <f t="shared" si="3"/>
        <v>81090698.479772866</v>
      </c>
      <c r="AK6" s="15">
        <f t="shared" si="3"/>
        <v>963178279.20887077</v>
      </c>
      <c r="AL6" s="72">
        <f t="shared" ref="AL6:AL34" si="4">AK6/AK$6</f>
        <v>1</v>
      </c>
      <c r="AM6" s="10">
        <f>IFERROR(AK6/V6-1,0)</f>
        <v>7.4779165554980986E-2</v>
      </c>
    </row>
    <row r="7" spans="1:39" ht="15" hidden="1" customHeight="1" outlineLevel="1">
      <c r="A7" s="12" t="s">
        <v>85</v>
      </c>
      <c r="B7" s="19" t="s">
        <v>88</v>
      </c>
      <c r="C7" s="19" t="s">
        <v>89</v>
      </c>
      <c r="D7" s="12" t="s">
        <v>90</v>
      </c>
      <c r="E7" s="20"/>
      <c r="F7" s="12"/>
      <c r="G7" s="12"/>
      <c r="H7" s="12"/>
      <c r="I7" s="117" t="s">
        <v>22</v>
      </c>
      <c r="J7" s="65">
        <f>SUM(A:B!J7)</f>
        <v>52024925</v>
      </c>
      <c r="K7" s="65">
        <f>SUM(A:B!K7)</f>
        <v>51666858</v>
      </c>
      <c r="L7" s="65">
        <f>SUM(A:B!L7)</f>
        <v>55424481</v>
      </c>
      <c r="M7" s="65">
        <f>SUM(A:B!M7)</f>
        <v>52126321</v>
      </c>
      <c r="N7" s="65">
        <f>SUM(A:B!N7)</f>
        <v>58611053</v>
      </c>
      <c r="O7" s="65">
        <f>SUM(A:B!O7)</f>
        <v>57223116</v>
      </c>
      <c r="P7" s="65">
        <f>SUM(A:B!P7)</f>
        <v>55837049</v>
      </c>
      <c r="Q7" s="65">
        <f>SUM(A:B!Q7)</f>
        <v>53402377</v>
      </c>
      <c r="R7" s="65">
        <f>SUM(A:B!R7)</f>
        <v>54015333</v>
      </c>
      <c r="S7" s="65">
        <f>SUM(A:B!S7)</f>
        <v>59219220.73719947</v>
      </c>
      <c r="T7" s="65">
        <f>SUM(A:B!T7)</f>
        <v>63748302.14508196</v>
      </c>
      <c r="U7" s="65">
        <f>SUM(A:B!U7)</f>
        <v>62663938.345174223</v>
      </c>
      <c r="V7" s="11">
        <f t="shared" ref="V7:V14" si="5">SUM(J7:U7)</f>
        <v>675962974.22745562</v>
      </c>
      <c r="W7" s="73">
        <f t="shared" si="2"/>
        <v>0.75428499278761219</v>
      </c>
      <c r="X7" s="89"/>
      <c r="Y7" s="65">
        <f>SUM(A:B!Y7)</f>
        <v>51376336.199999988</v>
      </c>
      <c r="Z7" s="65">
        <f>SUM(A:B!Z7)</f>
        <v>51093582.643440001</v>
      </c>
      <c r="AA7" s="65">
        <f>SUM(A:B!AA7)</f>
        <v>56927256.912454173</v>
      </c>
      <c r="AB7" s="65">
        <f>SUM(A:B!AB7)</f>
        <v>54191883.171600036</v>
      </c>
      <c r="AC7" s="65">
        <f>SUM(A:B!AC7)</f>
        <v>63090563.17294763</v>
      </c>
      <c r="AD7" s="65">
        <f>SUM(A:B!AD7)</f>
        <v>62100321.273764752</v>
      </c>
      <c r="AE7" s="65">
        <f>SUM(A:B!AE7)</f>
        <v>61646408.557971463</v>
      </c>
      <c r="AF7" s="65">
        <f>SUM(A:B!AF7)</f>
        <v>64583060.163786747</v>
      </c>
      <c r="AG7" s="65">
        <f>SUM(A:B!AG7)</f>
        <v>63257609.937570706</v>
      </c>
      <c r="AH7" s="65">
        <f>SUM(A:B!AH7)</f>
        <v>65125691.085454822</v>
      </c>
      <c r="AI7" s="65">
        <f>SUM(A:B!AI7)</f>
        <v>63526592.512250751</v>
      </c>
      <c r="AJ7" s="65">
        <f>SUM(A:B!AJ7)</f>
        <v>60670597.527093664</v>
      </c>
      <c r="AK7" s="65">
        <f t="shared" ref="AK7:AK33" si="6">SUM(Y7:AJ7)</f>
        <v>717589903.15833485</v>
      </c>
      <c r="AL7" s="73">
        <f t="shared" si="4"/>
        <v>0.74502292944951398</v>
      </c>
      <c r="AM7" s="14">
        <f t="shared" ref="AM7:AM95" si="7">IFERROR(AK7/V7-1,0)</f>
        <v>6.1581670177207171E-2</v>
      </c>
    </row>
    <row r="8" spans="1:39" ht="15" hidden="1" customHeight="1" outlineLevel="1">
      <c r="A8" s="12" t="s">
        <v>85</v>
      </c>
      <c r="B8" s="19" t="s">
        <v>88</v>
      </c>
      <c r="C8" s="19" t="s">
        <v>91</v>
      </c>
      <c r="D8" s="12" t="s">
        <v>92</v>
      </c>
      <c r="E8" s="20"/>
      <c r="F8" s="12"/>
      <c r="G8" s="12"/>
      <c r="H8" s="12"/>
      <c r="I8" s="117" t="s">
        <v>23</v>
      </c>
      <c r="J8" s="65">
        <f>SUM(A:B!J8)</f>
        <v>5468366</v>
      </c>
      <c r="K8" s="65">
        <f>SUM(A:B!K8)</f>
        <v>5650927</v>
      </c>
      <c r="L8" s="65">
        <f>SUM(A:B!L8)</f>
        <v>6229300</v>
      </c>
      <c r="M8" s="65">
        <f>SUM(A:B!M8)</f>
        <v>5959245</v>
      </c>
      <c r="N8" s="65">
        <f>SUM(A:B!N8)</f>
        <v>6580767</v>
      </c>
      <c r="O8" s="65">
        <f>SUM(A:B!O8)</f>
        <v>6797460</v>
      </c>
      <c r="P8" s="65">
        <f>SUM(A:B!P8)</f>
        <v>6511011</v>
      </c>
      <c r="Q8" s="65">
        <f>SUM(A:B!Q8)</f>
        <v>4596705</v>
      </c>
      <c r="R8" s="65">
        <f>SUM(A:B!R8)</f>
        <v>5358201</v>
      </c>
      <c r="S8" s="65">
        <f>SUM(A:B!S8)</f>
        <v>6254403</v>
      </c>
      <c r="T8" s="65">
        <f>SUM(A:B!T8)</f>
        <v>6221519.3130164351</v>
      </c>
      <c r="U8" s="65">
        <f>SUM(A:B!U8)</f>
        <v>6115975.2687260583</v>
      </c>
      <c r="V8" s="11">
        <f t="shared" si="5"/>
        <v>71743879.581742495</v>
      </c>
      <c r="W8" s="73">
        <f t="shared" si="2"/>
        <v>8.0056650668947182E-2</v>
      </c>
      <c r="X8" s="89"/>
      <c r="Y8" s="65">
        <f>SUM(A:B!Y8)</f>
        <v>5360351.76</v>
      </c>
      <c r="Z8" s="65">
        <f>SUM(A:B!Z8)</f>
        <v>5553280.3513679998</v>
      </c>
      <c r="AA8" s="65">
        <f>SUM(A:B!AA8)</f>
        <v>6278391.050546593</v>
      </c>
      <c r="AB8" s="65">
        <f>SUM(A:B!AB8)</f>
        <v>5971144.2028230336</v>
      </c>
      <c r="AC8" s="65">
        <f>SUM(A:B!AC8)</f>
        <v>6969804.5066061942</v>
      </c>
      <c r="AD8" s="65">
        <f>SUM(A:B!AD8)</f>
        <v>7376823.9556597164</v>
      </c>
      <c r="AE8" s="65">
        <f>SUM(A:B!AE8)</f>
        <v>7096503.4488426708</v>
      </c>
      <c r="AF8" s="65">
        <f>SUM(A:B!AF8)</f>
        <v>7282731.014810143</v>
      </c>
      <c r="AG8" s="65">
        <f>SUM(A:B!AG8)</f>
        <v>7198787.3718169611</v>
      </c>
      <c r="AH8" s="65">
        <f>SUM(A:B!AH8)</f>
        <v>6883910.1351395687</v>
      </c>
      <c r="AI8" s="65">
        <f>SUM(A:B!AI8)</f>
        <v>6717463.7242335156</v>
      </c>
      <c r="AJ8" s="65">
        <f>SUM(A:B!AJ8)</f>
        <v>6418291.7646252885</v>
      </c>
      <c r="AK8" s="65">
        <f t="shared" si="6"/>
        <v>79107483.286471695</v>
      </c>
      <c r="AL8" s="73">
        <f t="shared" si="4"/>
        <v>8.2131714339995804E-2</v>
      </c>
      <c r="AM8" s="14">
        <f t="shared" si="7"/>
        <v>0.10263737823571928</v>
      </c>
    </row>
    <row r="9" spans="1:39" ht="15" hidden="1" customHeight="1" outlineLevel="1">
      <c r="A9" s="12" t="s">
        <v>85</v>
      </c>
      <c r="B9" s="19" t="s">
        <v>88</v>
      </c>
      <c r="C9" s="19" t="s">
        <v>93</v>
      </c>
      <c r="D9" s="12" t="s">
        <v>94</v>
      </c>
      <c r="E9" s="20"/>
      <c r="F9" s="12"/>
      <c r="G9" s="12"/>
      <c r="H9" s="12"/>
      <c r="I9" s="117" t="s">
        <v>5</v>
      </c>
      <c r="J9" s="65">
        <f>SUM(A:B!J9)</f>
        <v>11903653</v>
      </c>
      <c r="K9" s="65">
        <f>SUM(A:B!K9)</f>
        <v>11298703</v>
      </c>
      <c r="L9" s="65">
        <f>SUM(A:B!L9)</f>
        <v>12326817</v>
      </c>
      <c r="M9" s="65">
        <f>SUM(A:B!M9)</f>
        <v>11076012</v>
      </c>
      <c r="N9" s="65">
        <f>SUM(A:B!N9)</f>
        <v>12676022</v>
      </c>
      <c r="O9" s="65">
        <f>SUM(A:B!O9)</f>
        <v>13611508</v>
      </c>
      <c r="P9" s="65">
        <f>SUM(A:B!P9)</f>
        <v>14146233</v>
      </c>
      <c r="Q9" s="65">
        <f>SUM(A:B!Q9)</f>
        <v>12274004</v>
      </c>
      <c r="R9" s="65">
        <f>SUM(A:B!R9)</f>
        <v>12458185</v>
      </c>
      <c r="S9" s="65">
        <f>SUM(A:B!S9)</f>
        <v>14188089.000188544</v>
      </c>
      <c r="T9" s="65">
        <f>SUM(A:B!T9)</f>
        <v>11089481.199308127</v>
      </c>
      <c r="U9" s="65">
        <f>SUM(A:B!U9)</f>
        <v>10676098.414035542</v>
      </c>
      <c r="V9" s="11">
        <f t="shared" si="5"/>
        <v>147724805.61353222</v>
      </c>
      <c r="W9" s="73">
        <f t="shared" si="2"/>
        <v>0.16484128300681228</v>
      </c>
      <c r="X9" s="89"/>
      <c r="Y9" s="65">
        <f>SUM(A:B!Y9)</f>
        <v>12921701.52</v>
      </c>
      <c r="Z9" s="65">
        <f>SUM(A:B!Z9)</f>
        <v>12420215.196480002</v>
      </c>
      <c r="AA9" s="65">
        <f>SUM(A:B!AA9)</f>
        <v>13411608.743636813</v>
      </c>
      <c r="AB9" s="65">
        <f>SUM(A:B!AB9)</f>
        <v>12736668.716734434</v>
      </c>
      <c r="AC9" s="65">
        <f>SUM(A:B!AC9)</f>
        <v>13904947.457102239</v>
      </c>
      <c r="AD9" s="65">
        <f>SUM(A:B!AD9)</f>
        <v>14292866.383048516</v>
      </c>
      <c r="AE9" s="65">
        <f>SUM(A:B!AE9)</f>
        <v>14834428.236774337</v>
      </c>
      <c r="AF9" s="65">
        <f>SUM(A:B!AF9)</f>
        <v>13459330.488425752</v>
      </c>
      <c r="AG9" s="65">
        <f>SUM(A:B!AG9)</f>
        <v>14141422.135482352</v>
      </c>
      <c r="AH9" s="65">
        <f>SUM(A:B!AH9)</f>
        <v>14897856.949226284</v>
      </c>
      <c r="AI9" s="65">
        <f>SUM(A:B!AI9)</f>
        <v>14634837.749099595</v>
      </c>
      <c r="AJ9" s="65">
        <f>SUM(A:B!AJ9)</f>
        <v>13925549.18805391</v>
      </c>
      <c r="AK9" s="65">
        <f t="shared" si="6"/>
        <v>165581432.76406422</v>
      </c>
      <c r="AL9" s="73">
        <f t="shared" si="4"/>
        <v>0.1719115104008247</v>
      </c>
      <c r="AM9" s="14">
        <f t="shared" si="7"/>
        <v>0.12087764865467032</v>
      </c>
    </row>
    <row r="10" spans="1:39" ht="15" hidden="1" customHeight="1" outlineLevel="1">
      <c r="A10" s="12"/>
      <c r="B10" s="19"/>
      <c r="C10" s="19"/>
      <c r="D10" s="12"/>
      <c r="E10" s="20"/>
      <c r="F10" s="12"/>
      <c r="G10" s="12"/>
      <c r="H10" s="12"/>
      <c r="I10" s="117" t="s">
        <v>95</v>
      </c>
      <c r="J10" s="65">
        <f>SUM(A:B!J10)</f>
        <v>55926</v>
      </c>
      <c r="K10" s="65">
        <f>SUM(A:B!K10)</f>
        <v>60191</v>
      </c>
      <c r="L10" s="65">
        <f>SUM(A:B!L10)</f>
        <v>57829</v>
      </c>
      <c r="M10" s="65">
        <f>SUM(A:B!M10)</f>
        <v>62981</v>
      </c>
      <c r="N10" s="65">
        <f>SUM(A:B!N10)</f>
        <v>65966</v>
      </c>
      <c r="O10" s="65">
        <f>SUM(A:B!O10)</f>
        <v>64372</v>
      </c>
      <c r="P10" s="65">
        <f>SUM(A:B!P10)</f>
        <v>57869</v>
      </c>
      <c r="Q10" s="65">
        <f>SUM(A:B!Q10)</f>
        <v>59128</v>
      </c>
      <c r="R10" s="65">
        <f>SUM(A:B!R10)</f>
        <v>53472</v>
      </c>
      <c r="S10" s="65">
        <f>SUM(A:B!S10)</f>
        <v>61355.4</v>
      </c>
      <c r="T10" s="65">
        <f>SUM(A:B!T10)</f>
        <v>66319.199999999997</v>
      </c>
      <c r="U10" s="65">
        <f>SUM(A:B!U10)</f>
        <v>66823.199999999997</v>
      </c>
      <c r="V10" s="11">
        <f t="shared" si="5"/>
        <v>732231.79999999993</v>
      </c>
      <c r="W10" s="73">
        <f t="shared" si="2"/>
        <v>8.1707353662837203E-4</v>
      </c>
      <c r="X10" s="89"/>
      <c r="Y10" s="65">
        <f>SUM(A:B!Y10)</f>
        <v>74640</v>
      </c>
      <c r="Z10" s="65">
        <f>SUM(A:B!Z10)</f>
        <v>72000</v>
      </c>
      <c r="AA10" s="65">
        <f>SUM(A:B!AA10)</f>
        <v>95460</v>
      </c>
      <c r="AB10" s="65">
        <f>SUM(A:B!AB10)</f>
        <v>69720</v>
      </c>
      <c r="AC10" s="65">
        <f>SUM(A:B!AC10)</f>
        <v>75780</v>
      </c>
      <c r="AD10" s="65">
        <f>SUM(A:B!AD10)</f>
        <v>71100</v>
      </c>
      <c r="AE10" s="65">
        <f>SUM(A:B!AE10)</f>
        <v>71700</v>
      </c>
      <c r="AF10" s="65">
        <f>SUM(A:B!AF10)</f>
        <v>68580</v>
      </c>
      <c r="AG10" s="65">
        <f>SUM(A:B!AG10)</f>
        <v>69360</v>
      </c>
      <c r="AH10" s="65">
        <f>SUM(A:B!AH10)</f>
        <v>76320</v>
      </c>
      <c r="AI10" s="65">
        <f>SUM(A:B!AI10)</f>
        <v>78540</v>
      </c>
      <c r="AJ10" s="65">
        <f>SUM(A:B!AJ10)</f>
        <v>76260</v>
      </c>
      <c r="AK10" s="65">
        <f t="shared" si="6"/>
        <v>899460</v>
      </c>
      <c r="AL10" s="73">
        <f t="shared" si="4"/>
        <v>9.3384580966546791E-4</v>
      </c>
      <c r="AM10" s="14">
        <f t="shared" si="7"/>
        <v>0.22838150432690862</v>
      </c>
    </row>
    <row r="11" spans="1:39" ht="15" hidden="1" customHeight="1" outlineLevel="1">
      <c r="A11" s="12"/>
      <c r="B11" s="19"/>
      <c r="C11" s="19"/>
      <c r="D11" s="12"/>
      <c r="E11" s="20"/>
      <c r="F11" s="12"/>
      <c r="G11" s="12"/>
      <c r="H11" s="12"/>
      <c r="I11" s="214" t="s">
        <v>96</v>
      </c>
      <c r="J11" s="65">
        <f>SUM(A:B!J11)</f>
        <v>0</v>
      </c>
      <c r="K11" s="65">
        <f>SUM(A:B!K11)</f>
        <v>0</v>
      </c>
      <c r="L11" s="65">
        <f>SUM(A:B!L11)</f>
        <v>0</v>
      </c>
      <c r="M11" s="65">
        <f>SUM(A:B!M11)</f>
        <v>0</v>
      </c>
      <c r="N11" s="65">
        <f>SUM(A:B!N11)</f>
        <v>0</v>
      </c>
      <c r="O11" s="65">
        <f>SUM(A:B!O11)</f>
        <v>0</v>
      </c>
      <c r="P11" s="65">
        <f>SUM(A:B!P11)</f>
        <v>0</v>
      </c>
      <c r="Q11" s="65">
        <f>SUM(A:B!Q11)</f>
        <v>0</v>
      </c>
      <c r="R11" s="65">
        <f>SUM(A:B!R11)</f>
        <v>0</v>
      </c>
      <c r="S11" s="65">
        <f>SUM(A:B!S11)</f>
        <v>0</v>
      </c>
      <c r="T11" s="65">
        <f>SUM(A:B!T11)</f>
        <v>0</v>
      </c>
      <c r="U11" s="65">
        <f>SUM(A:B!U11)</f>
        <v>0</v>
      </c>
      <c r="V11" s="11">
        <f t="shared" si="5"/>
        <v>0</v>
      </c>
      <c r="W11" s="73">
        <f t="shared" si="2"/>
        <v>0</v>
      </c>
      <c r="X11" s="89"/>
      <c r="Y11" s="65">
        <f>SUM(A:B!Y11)</f>
        <v>0</v>
      </c>
      <c r="Z11" s="65">
        <f>SUM(A:B!Z11)</f>
        <v>0</v>
      </c>
      <c r="AA11" s="65">
        <f>SUM(A:B!AA11)</f>
        <v>0</v>
      </c>
      <c r="AB11" s="65">
        <f>SUM(A:B!AB11)</f>
        <v>0</v>
      </c>
      <c r="AC11" s="65">
        <f>SUM(A:B!AC11)</f>
        <v>0</v>
      </c>
      <c r="AD11" s="65">
        <f>SUM(A:B!AD11)</f>
        <v>0</v>
      </c>
      <c r="AE11" s="65">
        <f>SUM(A:B!AE11)</f>
        <v>0</v>
      </c>
      <c r="AF11" s="65">
        <f>SUM(A:B!AF11)</f>
        <v>0</v>
      </c>
      <c r="AG11" s="65">
        <f>SUM(A:B!AG11)</f>
        <v>0</v>
      </c>
      <c r="AH11" s="65">
        <f>SUM(A:B!AH11)</f>
        <v>0</v>
      </c>
      <c r="AI11" s="65">
        <f>SUM(A:B!AI11)</f>
        <v>0</v>
      </c>
      <c r="AJ11" s="65">
        <f>SUM(A:B!AJ11)</f>
        <v>0</v>
      </c>
      <c r="AK11" s="65">
        <f t="shared" si="6"/>
        <v>0</v>
      </c>
      <c r="AL11" s="73">
        <f t="shared" si="4"/>
        <v>0</v>
      </c>
      <c r="AM11" s="14">
        <f t="shared" si="7"/>
        <v>0</v>
      </c>
    </row>
    <row r="12" spans="1:39" ht="15" hidden="1" customHeight="1" outlineLevel="1">
      <c r="A12" s="12"/>
      <c r="B12" s="19"/>
      <c r="C12" s="19"/>
      <c r="D12" s="12"/>
      <c r="E12" s="20"/>
      <c r="F12" s="12"/>
      <c r="G12" s="12"/>
      <c r="H12" s="12"/>
      <c r="I12" s="117"/>
      <c r="J12" s="65">
        <f>SUM(A:B!J12)</f>
        <v>0</v>
      </c>
      <c r="K12" s="65">
        <f>SUM(A:B!K12)</f>
        <v>0</v>
      </c>
      <c r="L12" s="65">
        <f>SUM(A:B!L12)</f>
        <v>0</v>
      </c>
      <c r="M12" s="65">
        <f>SUM(A:B!M12)</f>
        <v>0</v>
      </c>
      <c r="N12" s="65">
        <f>SUM(A:B!N12)</f>
        <v>0</v>
      </c>
      <c r="O12" s="65">
        <f>SUM(A:B!O12)</f>
        <v>0</v>
      </c>
      <c r="P12" s="65">
        <f>SUM(A:B!P12)</f>
        <v>0</v>
      </c>
      <c r="Q12" s="65">
        <f>SUM(A:B!Q12)</f>
        <v>0</v>
      </c>
      <c r="R12" s="65">
        <f>SUM(A:B!R12)</f>
        <v>0</v>
      </c>
      <c r="S12" s="65">
        <f>SUM(A:B!S12)</f>
        <v>0</v>
      </c>
      <c r="T12" s="65">
        <f>SUM(A:B!T12)</f>
        <v>0</v>
      </c>
      <c r="U12" s="65">
        <f>SUM(A:B!U12)</f>
        <v>0</v>
      </c>
      <c r="V12" s="11">
        <f t="shared" si="5"/>
        <v>0</v>
      </c>
      <c r="W12" s="73">
        <f t="shared" si="2"/>
        <v>0</v>
      </c>
      <c r="X12" s="89"/>
      <c r="Y12" s="65">
        <f>SUM(A:B!Y12)</f>
        <v>0</v>
      </c>
      <c r="Z12" s="65">
        <f>SUM(A:B!Z12)</f>
        <v>0</v>
      </c>
      <c r="AA12" s="65">
        <f>SUM(A:B!AA12)</f>
        <v>0</v>
      </c>
      <c r="AB12" s="65">
        <f>SUM(A:B!AB12)</f>
        <v>0</v>
      </c>
      <c r="AC12" s="65">
        <f>SUM(A:B!AC12)</f>
        <v>0</v>
      </c>
      <c r="AD12" s="65">
        <f>SUM(A:B!AD12)</f>
        <v>0</v>
      </c>
      <c r="AE12" s="65">
        <f>SUM(A:B!AE12)</f>
        <v>0</v>
      </c>
      <c r="AF12" s="65">
        <f>SUM(A:B!AF12)</f>
        <v>0</v>
      </c>
      <c r="AG12" s="65">
        <f>SUM(A:B!AG12)</f>
        <v>0</v>
      </c>
      <c r="AH12" s="65">
        <f>SUM(A:B!AH12)</f>
        <v>0</v>
      </c>
      <c r="AI12" s="65">
        <f>SUM(A:B!AI12)</f>
        <v>0</v>
      </c>
      <c r="AJ12" s="65">
        <f>SUM(A:B!AJ12)</f>
        <v>0</v>
      </c>
      <c r="AK12" s="65">
        <f t="shared" si="6"/>
        <v>0</v>
      </c>
      <c r="AL12" s="73">
        <f t="shared" si="4"/>
        <v>0</v>
      </c>
      <c r="AM12" s="14">
        <f t="shared" si="7"/>
        <v>0</v>
      </c>
    </row>
    <row r="13" spans="1:39" collapsed="1">
      <c r="A13" s="12" t="s">
        <v>97</v>
      </c>
      <c r="B13" s="19"/>
      <c r="E13" s="7" t="s">
        <v>98</v>
      </c>
      <c r="I13" s="167" t="s">
        <v>99</v>
      </c>
      <c r="J13" s="15">
        <f>SUM(J14:J33)</f>
        <v>59783497</v>
      </c>
      <c r="K13" s="15">
        <f t="shared" ref="K13:U13" si="8">SUM(K14:K33)</f>
        <v>58274255</v>
      </c>
      <c r="L13" s="15">
        <f t="shared" si="8"/>
        <v>63406479</v>
      </c>
      <c r="M13" s="15">
        <f t="shared" si="8"/>
        <v>59049480</v>
      </c>
      <c r="N13" s="15">
        <f t="shared" si="8"/>
        <v>65462131</v>
      </c>
      <c r="O13" s="15">
        <f t="shared" si="8"/>
        <v>66797081</v>
      </c>
      <c r="P13" s="15">
        <f t="shared" si="8"/>
        <v>66311059</v>
      </c>
      <c r="Q13" s="15">
        <f t="shared" si="8"/>
        <v>61034025</v>
      </c>
      <c r="R13" s="15">
        <f t="shared" si="8"/>
        <v>62477554</v>
      </c>
      <c r="S13" s="15">
        <f t="shared" si="8"/>
        <v>67457807.417388022</v>
      </c>
      <c r="T13" s="15">
        <f t="shared" si="8"/>
        <v>69565854.767406508</v>
      </c>
      <c r="U13" s="15">
        <f t="shared" si="8"/>
        <v>68305764.897935823</v>
      </c>
      <c r="V13" s="15">
        <f>SUM(V14:V33)</f>
        <v>767924988.08273041</v>
      </c>
      <c r="W13" s="72">
        <f t="shared" si="2"/>
        <v>0.85690239877325325</v>
      </c>
      <c r="X13" s="89"/>
      <c r="Y13" s="15">
        <f>SUM(Y14:Y33)</f>
        <v>60165791.109999999</v>
      </c>
      <c r="Z13" s="15">
        <f t="shared" ref="Z13:AK13" si="9">SUM(Z14:Z33)</f>
        <v>59829241.151287995</v>
      </c>
      <c r="AA13" s="15">
        <f t="shared" si="9"/>
        <v>66068704.436637588</v>
      </c>
      <c r="AB13" s="15">
        <f t="shared" si="9"/>
        <v>63509117.341157496</v>
      </c>
      <c r="AC13" s="15">
        <f t="shared" si="9"/>
        <v>72484085.346656069</v>
      </c>
      <c r="AD13" s="15">
        <f t="shared" si="9"/>
        <v>73043996.622472972</v>
      </c>
      <c r="AE13" s="15">
        <f t="shared" si="9"/>
        <v>72992851.263588473</v>
      </c>
      <c r="AF13" s="15">
        <f t="shared" si="9"/>
        <v>74396670.107022643</v>
      </c>
      <c r="AG13" s="15">
        <f t="shared" si="9"/>
        <v>74129574.874870017</v>
      </c>
      <c r="AH13" s="15">
        <f t="shared" si="9"/>
        <v>76116786.719820678</v>
      </c>
      <c r="AI13" s="15">
        <f t="shared" si="9"/>
        <v>74664445.605583861</v>
      </c>
      <c r="AJ13" s="15">
        <f t="shared" si="9"/>
        <v>71476883.539772868</v>
      </c>
      <c r="AK13" s="15">
        <f t="shared" si="9"/>
        <v>838878148.11887074</v>
      </c>
      <c r="AL13" s="72">
        <f t="shared" si="4"/>
        <v>0.87094795037103945</v>
      </c>
      <c r="AM13" s="10">
        <f t="shared" si="7"/>
        <v>9.2395951606273785E-2</v>
      </c>
    </row>
    <row r="14" spans="1:39" hidden="1" outlineLevel="1">
      <c r="A14" s="37" t="s">
        <v>97</v>
      </c>
      <c r="B14" s="39"/>
      <c r="C14" s="39" t="s">
        <v>100</v>
      </c>
      <c r="D14" s="37" t="s">
        <v>101</v>
      </c>
      <c r="E14" s="38"/>
      <c r="F14" s="37"/>
      <c r="G14" s="37"/>
      <c r="H14" s="37"/>
      <c r="I14" s="171" t="s">
        <v>102</v>
      </c>
      <c r="J14" s="65">
        <f>SUM(A:B!J14)</f>
        <v>54037503</v>
      </c>
      <c r="K14" s="65">
        <f>SUM(A:B!K14)</f>
        <v>52988836</v>
      </c>
      <c r="L14" s="65">
        <f>SUM(A:B!L14)</f>
        <v>58109663</v>
      </c>
      <c r="M14" s="65">
        <f>SUM(A:B!M14)</f>
        <v>54182667</v>
      </c>
      <c r="N14" s="65">
        <f>SUM(A:B!N14)</f>
        <v>61241981</v>
      </c>
      <c r="O14" s="65">
        <f>SUM(A:B!O14)</f>
        <v>60864148</v>
      </c>
      <c r="P14" s="65">
        <f>SUM(A:B!P14)</f>
        <v>59642077</v>
      </c>
      <c r="Q14" s="65">
        <f>SUM(A:B!Q14)</f>
        <v>56951729</v>
      </c>
      <c r="R14" s="65">
        <f>SUM(A:B!R14)</f>
        <v>57368004</v>
      </c>
      <c r="S14" s="65">
        <f>SUM(A:B!S14)</f>
        <v>59555392.517199472</v>
      </c>
      <c r="T14" s="65">
        <f>SUM(A:B!T14)</f>
        <v>54321586.985081956</v>
      </c>
      <c r="U14" s="65">
        <f>SUM(A:B!U14)</f>
        <v>53503308.565174222</v>
      </c>
      <c r="V14" s="11">
        <f t="shared" si="5"/>
        <v>682766896.06745565</v>
      </c>
      <c r="W14" s="73">
        <f t="shared" si="2"/>
        <v>0.7618772668198952</v>
      </c>
      <c r="X14" s="89"/>
      <c r="Y14" s="65">
        <f>SUM(A:B!Y14)</f>
        <v>43965152.07</v>
      </c>
      <c r="Z14" s="65">
        <f>SUM(A:B!Z14)</f>
        <v>43858766.963439994</v>
      </c>
      <c r="AA14" s="65">
        <f>SUM(A:B!AA14)</f>
        <v>48610578.482454181</v>
      </c>
      <c r="AB14" s="65">
        <f>SUM(A:B!AB14)</f>
        <v>46833763.341600031</v>
      </c>
      <c r="AC14" s="65">
        <f>SUM(A:B!AC14)</f>
        <v>53940556.53294763</v>
      </c>
      <c r="AD14" s="65">
        <f>SUM(A:B!AD14)</f>
        <v>53743510.523764744</v>
      </c>
      <c r="AE14" s="65">
        <f>SUM(A:B!AE14)</f>
        <v>53413436.587971464</v>
      </c>
      <c r="AF14" s="65">
        <f>SUM(A:B!AF14)</f>
        <v>55867225.93378675</v>
      </c>
      <c r="AG14" s="65">
        <f>SUM(A:B!AG14)</f>
        <v>55039674.8575707</v>
      </c>
      <c r="AH14" s="65">
        <f>SUM(A:B!AH14)</f>
        <v>56595564.015454821</v>
      </c>
      <c r="AI14" s="65">
        <f>SUM(A:B!AI14)</f>
        <v>55478985.102250747</v>
      </c>
      <c r="AJ14" s="65">
        <f>SUM(A:B!AJ14)</f>
        <v>53142544.947093666</v>
      </c>
      <c r="AK14" s="65">
        <f t="shared" si="6"/>
        <v>620489759.35833478</v>
      </c>
      <c r="AL14" s="73">
        <f t="shared" si="4"/>
        <v>0.6442107061093495</v>
      </c>
      <c r="AM14" s="14">
        <f t="shared" si="7"/>
        <v>-9.1212882563316389E-2</v>
      </c>
    </row>
    <row r="15" spans="1:39" hidden="1" outlineLevel="1">
      <c r="A15" s="37" t="s">
        <v>97</v>
      </c>
      <c r="B15" s="39"/>
      <c r="C15" s="39" t="s">
        <v>103</v>
      </c>
      <c r="D15" s="37" t="s">
        <v>104</v>
      </c>
      <c r="E15" s="38"/>
      <c r="F15" s="37"/>
      <c r="G15" s="37"/>
      <c r="H15" s="37"/>
      <c r="I15" s="172" t="s">
        <v>105</v>
      </c>
      <c r="J15" s="65">
        <f>SUM(A:B!J15)</f>
        <v>5319273</v>
      </c>
      <c r="K15" s="65">
        <f>SUM(A:B!K15)</f>
        <v>5477157</v>
      </c>
      <c r="L15" s="65">
        <f>SUM(A:B!L15)</f>
        <v>6024604</v>
      </c>
      <c r="M15" s="65">
        <f>SUM(A:B!M15)</f>
        <v>5759007</v>
      </c>
      <c r="N15" s="65">
        <f>SUM(A:B!N15)</f>
        <v>6417905</v>
      </c>
      <c r="O15" s="65">
        <f>SUM(A:B!O15)</f>
        <v>6709392</v>
      </c>
      <c r="P15" s="65">
        <f>SUM(A:B!P15)</f>
        <v>6539768</v>
      </c>
      <c r="Q15" s="65">
        <f>SUM(A:B!Q15)</f>
        <v>4716580</v>
      </c>
      <c r="R15" s="65">
        <f>SUM(A:B!R15)</f>
        <v>5503630</v>
      </c>
      <c r="S15" s="65">
        <f>SUM(A:B!S15)</f>
        <v>6336060</v>
      </c>
      <c r="T15" s="65">
        <f>SUM(A:B!T15)</f>
        <v>5363980.7730164351</v>
      </c>
      <c r="U15" s="65">
        <f>SUM(A:B!U15)</f>
        <v>5274244.5487260567</v>
      </c>
      <c r="V15" s="11">
        <f t="shared" ref="V15:V19" si="10">SUM(J15:U15)</f>
        <v>69441601.32174249</v>
      </c>
      <c r="W15" s="73">
        <f t="shared" si="2"/>
        <v>7.7487613595986382E-2</v>
      </c>
      <c r="X15" s="89"/>
      <c r="Y15" s="65">
        <f>SUM(A:B!Y15)</f>
        <v>4659126.84</v>
      </c>
      <c r="Z15" s="65">
        <f>SUM(A:B!Z15)</f>
        <v>4832868.1913680006</v>
      </c>
      <c r="AA15" s="65">
        <f>SUM(A:B!AA15)</f>
        <v>5459075.1605465924</v>
      </c>
      <c r="AB15" s="65">
        <f>SUM(A:B!AB15)</f>
        <v>5216593.8828230342</v>
      </c>
      <c r="AC15" s="65">
        <f>SUM(A:B!AC15)</f>
        <v>6098775.5566061949</v>
      </c>
      <c r="AD15" s="65">
        <f>SUM(A:B!AD15)</f>
        <v>6452141.9656597171</v>
      </c>
      <c r="AE15" s="65">
        <f>SUM(A:B!AE15)</f>
        <v>6245227.5888426714</v>
      </c>
      <c r="AF15" s="65">
        <f>SUM(A:B!AF15)</f>
        <v>6398892.3648101427</v>
      </c>
      <c r="AG15" s="65">
        <f>SUM(A:B!AG15)</f>
        <v>6347553.3418169618</v>
      </c>
      <c r="AH15" s="65">
        <f>SUM(A:B!AH15)</f>
        <v>6067245.9951395709</v>
      </c>
      <c r="AI15" s="65">
        <f>SUM(A:B!AI15)</f>
        <v>5940787.7542335168</v>
      </c>
      <c r="AJ15" s="65">
        <f>SUM(A:B!AJ15)</f>
        <v>5685605.9346252894</v>
      </c>
      <c r="AK15" s="65">
        <f t="shared" si="6"/>
        <v>69403894.576471686</v>
      </c>
      <c r="AL15" s="73">
        <f t="shared" si="4"/>
        <v>7.2057163325441903E-2</v>
      </c>
      <c r="AM15" s="14">
        <f t="shared" si="7"/>
        <v>-5.4299936281854144E-4</v>
      </c>
    </row>
    <row r="16" spans="1:39" hidden="1" outlineLevel="1">
      <c r="A16" s="37" t="s">
        <v>97</v>
      </c>
      <c r="B16" s="39"/>
      <c r="C16" s="39" t="s">
        <v>106</v>
      </c>
      <c r="D16" s="37" t="s">
        <v>107</v>
      </c>
      <c r="E16" s="38"/>
      <c r="F16" s="37"/>
      <c r="G16" s="37"/>
      <c r="H16" s="37"/>
      <c r="I16" s="167" t="s">
        <v>5</v>
      </c>
      <c r="J16" s="65">
        <f>SUM(A:B!J16)</f>
        <v>10212607</v>
      </c>
      <c r="K16" s="65">
        <f>SUM(A:B!K16)</f>
        <v>10010596</v>
      </c>
      <c r="L16" s="65">
        <f>SUM(A:B!L16)</f>
        <v>10864455</v>
      </c>
      <c r="M16" s="65">
        <f>SUM(A:B!M16)</f>
        <v>9847047</v>
      </c>
      <c r="N16" s="65">
        <f>SUM(A:B!N16)</f>
        <v>11207696</v>
      </c>
      <c r="O16" s="65">
        <f>SUM(A:B!O16)</f>
        <v>12305498</v>
      </c>
      <c r="P16" s="65">
        <f>SUM(A:B!P16)</f>
        <v>12857250</v>
      </c>
      <c r="Q16" s="65">
        <f>SUM(A:B!Q16)</f>
        <v>10940446</v>
      </c>
      <c r="R16" s="65">
        <f>SUM(A:B!R16)</f>
        <v>11564167</v>
      </c>
      <c r="S16" s="65">
        <f>SUM(A:B!S16)</f>
        <v>12472838.360188544</v>
      </c>
      <c r="T16" s="65">
        <f>SUM(A:B!T16)</f>
        <v>9823915.6893081274</v>
      </c>
      <c r="U16" s="65">
        <f>SUM(A:B!U16)</f>
        <v>9471412.0640355423</v>
      </c>
      <c r="V16" s="11">
        <f t="shared" si="10"/>
        <v>131577928.11353222</v>
      </c>
      <c r="W16" s="73">
        <f t="shared" si="2"/>
        <v>0.14682351007694214</v>
      </c>
      <c r="X16" s="89"/>
      <c r="Y16" s="65">
        <f>SUM(A:B!Y16)</f>
        <v>11478068.200000001</v>
      </c>
      <c r="Z16" s="65">
        <f>SUM(A:B!Z16)</f>
        <v>11076405.996480001</v>
      </c>
      <c r="AA16" s="65">
        <f>SUM(A:B!AA16)</f>
        <v>11917909.793636814</v>
      </c>
      <c r="AB16" s="65">
        <f>SUM(A:B!AB16)</f>
        <v>11399498.116734434</v>
      </c>
      <c r="AC16" s="65">
        <f>SUM(A:B!AC16)</f>
        <v>12380340.257102238</v>
      </c>
      <c r="AD16" s="65">
        <f>SUM(A:B!AD16)</f>
        <v>12787909.133048516</v>
      </c>
      <c r="AE16" s="65">
        <f>SUM(A:B!AE16)</f>
        <v>13273242.086774338</v>
      </c>
      <c r="AF16" s="65">
        <f>SUM(A:B!AF16)</f>
        <v>12072258.808425754</v>
      </c>
      <c r="AG16" s="65">
        <f>SUM(A:B!AG16)</f>
        <v>12683390.675482353</v>
      </c>
      <c r="AH16" s="65">
        <f>SUM(A:B!AH16)</f>
        <v>13389104.709226284</v>
      </c>
      <c r="AI16" s="65">
        <f>SUM(A:B!AI16)</f>
        <v>13177913.749099597</v>
      </c>
      <c r="AJ16" s="65">
        <f>SUM(A:B!AJ16)</f>
        <v>12583911.65805391</v>
      </c>
      <c r="AK16" s="65">
        <f t="shared" si="6"/>
        <v>148219953.18406424</v>
      </c>
      <c r="AL16" s="73">
        <f t="shared" si="4"/>
        <v>0.15388631199803238</v>
      </c>
      <c r="AM16" s="14">
        <f t="shared" si="7"/>
        <v>0.12648037029563519</v>
      </c>
    </row>
    <row r="17" spans="1:39" hidden="1" outlineLevel="1">
      <c r="A17" s="37" t="s">
        <v>97</v>
      </c>
      <c r="B17" s="39"/>
      <c r="C17" s="39" t="s">
        <v>108</v>
      </c>
      <c r="D17" s="37"/>
      <c r="E17" s="38"/>
      <c r="F17" s="37"/>
      <c r="G17" s="37"/>
      <c r="H17" s="37"/>
      <c r="I17" s="171" t="s">
        <v>109</v>
      </c>
      <c r="J17" s="65">
        <f>SUM(A:B!J17)</f>
        <v>667991</v>
      </c>
      <c r="K17" s="65">
        <f>SUM(A:B!K17)</f>
        <v>194258</v>
      </c>
      <c r="L17" s="65">
        <f>SUM(A:B!L17)</f>
        <v>95173</v>
      </c>
      <c r="M17" s="65">
        <f>SUM(A:B!M17)</f>
        <v>32472</v>
      </c>
      <c r="N17" s="65">
        <f>SUM(A:B!N17)</f>
        <v>0</v>
      </c>
      <c r="O17" s="65">
        <f>SUM(A:B!O17)</f>
        <v>0</v>
      </c>
      <c r="P17" s="65">
        <f>SUM(A:B!P17)</f>
        <v>0</v>
      </c>
      <c r="Q17" s="65">
        <f>SUM(A:B!Q17)</f>
        <v>0</v>
      </c>
      <c r="R17" s="65">
        <f>SUM(A:B!R17)</f>
        <v>0</v>
      </c>
      <c r="S17" s="65">
        <f>SUM(A:B!S17)</f>
        <v>0</v>
      </c>
      <c r="T17" s="65">
        <f>SUM(A:B!T17)</f>
        <v>0</v>
      </c>
      <c r="U17" s="65">
        <f>SUM(A:B!U17)</f>
        <v>0</v>
      </c>
      <c r="V17" s="11">
        <f t="shared" si="10"/>
        <v>989894</v>
      </c>
      <c r="W17" s="73">
        <f t="shared" si="2"/>
        <v>1.1045903653285828E-3</v>
      </c>
      <c r="X17" s="89"/>
      <c r="Y17" s="65">
        <f>SUM(A:B!Y17)</f>
        <v>0</v>
      </c>
      <c r="Z17" s="65">
        <f>SUM(A:B!Z17)</f>
        <v>0</v>
      </c>
      <c r="AA17" s="65">
        <f>SUM(A:B!AA17)</f>
        <v>0</v>
      </c>
      <c r="AB17" s="65">
        <f>SUM(A:B!AB17)</f>
        <v>0</v>
      </c>
      <c r="AC17" s="65">
        <f>SUM(A:B!AC17)</f>
        <v>0</v>
      </c>
      <c r="AD17" s="65">
        <f>SUM(A:B!AD17)</f>
        <v>0</v>
      </c>
      <c r="AE17" s="65">
        <f>SUM(A:B!AE17)</f>
        <v>0</v>
      </c>
      <c r="AF17" s="65">
        <f>SUM(A:B!AF17)</f>
        <v>0</v>
      </c>
      <c r="AG17" s="65">
        <f>SUM(A:B!AG17)</f>
        <v>0</v>
      </c>
      <c r="AH17" s="65">
        <f>SUM(A:B!AH17)</f>
        <v>0</v>
      </c>
      <c r="AI17" s="65">
        <f>SUM(A:B!AI17)</f>
        <v>0</v>
      </c>
      <c r="AJ17" s="65">
        <f>SUM(A:B!AJ17)</f>
        <v>0</v>
      </c>
      <c r="AK17" s="65">
        <f t="shared" si="6"/>
        <v>0</v>
      </c>
      <c r="AL17" s="73">
        <f t="shared" si="4"/>
        <v>0</v>
      </c>
      <c r="AM17" s="14">
        <f t="shared" si="7"/>
        <v>-1</v>
      </c>
    </row>
    <row r="18" spans="1:39" hidden="1" outlineLevel="1">
      <c r="A18" s="37" t="s">
        <v>97</v>
      </c>
      <c r="B18" s="39"/>
      <c r="C18" s="39" t="s">
        <v>110</v>
      </c>
      <c r="D18" s="37"/>
      <c r="E18" s="38"/>
      <c r="F18" s="37"/>
      <c r="G18" s="37"/>
      <c r="H18" s="37"/>
      <c r="I18" s="172" t="s">
        <v>111</v>
      </c>
      <c r="J18" s="65">
        <f>SUM(A:B!J18)</f>
        <v>112597</v>
      </c>
      <c r="K18" s="65">
        <f>SUM(A:B!K18)</f>
        <v>32019</v>
      </c>
      <c r="L18" s="65">
        <f>SUM(A:B!L18)</f>
        <v>-1798</v>
      </c>
      <c r="M18" s="65">
        <f>SUM(A:B!M18)</f>
        <v>5421</v>
      </c>
      <c r="N18" s="65">
        <f>SUM(A:B!N18)</f>
        <v>1054</v>
      </c>
      <c r="O18" s="65">
        <f>SUM(A:B!O18)</f>
        <v>0</v>
      </c>
      <c r="P18" s="65">
        <f>SUM(A:B!P18)</f>
        <v>4980</v>
      </c>
      <c r="Q18" s="65">
        <f>SUM(A:B!Q18)</f>
        <v>0</v>
      </c>
      <c r="R18" s="65">
        <f>SUM(A:B!R18)</f>
        <v>10470</v>
      </c>
      <c r="S18" s="65">
        <f>SUM(A:B!S18)</f>
        <v>11452</v>
      </c>
      <c r="T18" s="65">
        <f>SUM(A:B!T18)</f>
        <v>0</v>
      </c>
      <c r="U18" s="65">
        <f>SUM(A:B!U18)</f>
        <v>0</v>
      </c>
      <c r="V18" s="11">
        <f t="shared" si="10"/>
        <v>176195</v>
      </c>
      <c r="W18" s="73">
        <f t="shared" si="2"/>
        <v>1.9661024253007862E-4</v>
      </c>
      <c r="X18" s="89"/>
      <c r="Y18" s="65">
        <f>SUM(A:B!Y18)</f>
        <v>0</v>
      </c>
      <c r="Z18" s="65">
        <f>SUM(A:B!Z18)</f>
        <v>0</v>
      </c>
      <c r="AA18" s="65">
        <f>SUM(A:B!AA18)</f>
        <v>0</v>
      </c>
      <c r="AB18" s="65">
        <f>SUM(A:B!AB18)</f>
        <v>0</v>
      </c>
      <c r="AC18" s="65">
        <f>SUM(A:B!AC18)</f>
        <v>0</v>
      </c>
      <c r="AD18" s="65">
        <f>SUM(A:B!AD18)</f>
        <v>0</v>
      </c>
      <c r="AE18" s="65">
        <f>SUM(A:B!AE18)</f>
        <v>0</v>
      </c>
      <c r="AF18" s="65">
        <f>SUM(A:B!AF18)</f>
        <v>0</v>
      </c>
      <c r="AG18" s="65">
        <f>SUM(A:B!AG18)</f>
        <v>0</v>
      </c>
      <c r="AH18" s="65">
        <f>SUM(A:B!AH18)</f>
        <v>0</v>
      </c>
      <c r="AI18" s="65">
        <f>SUM(A:B!AI18)</f>
        <v>0</v>
      </c>
      <c r="AJ18" s="65">
        <f>SUM(A:B!AJ18)</f>
        <v>0</v>
      </c>
      <c r="AK18" s="65">
        <f t="shared" si="6"/>
        <v>0</v>
      </c>
      <c r="AL18" s="73">
        <f t="shared" si="4"/>
        <v>0</v>
      </c>
      <c r="AM18" s="14">
        <f t="shared" si="7"/>
        <v>-1</v>
      </c>
    </row>
    <row r="19" spans="1:39" hidden="1" outlineLevel="1">
      <c r="A19" s="37" t="s">
        <v>97</v>
      </c>
      <c r="B19" s="39"/>
      <c r="C19" s="39" t="s">
        <v>112</v>
      </c>
      <c r="D19" s="37"/>
      <c r="E19" s="38"/>
      <c r="F19" s="37"/>
      <c r="G19" s="37"/>
      <c r="H19" s="37"/>
      <c r="I19" s="167" t="s">
        <v>113</v>
      </c>
      <c r="J19" s="65">
        <f>SUM(A:B!J19)</f>
        <v>852</v>
      </c>
      <c r="K19" s="65">
        <f>SUM(A:B!K19)</f>
        <v>0</v>
      </c>
      <c r="L19" s="65">
        <f>SUM(A:B!L19)</f>
        <v>302</v>
      </c>
      <c r="M19" s="65">
        <f>SUM(A:B!M19)</f>
        <v>384</v>
      </c>
      <c r="N19" s="65">
        <f>SUM(A:B!N19)</f>
        <v>1771</v>
      </c>
      <c r="O19" s="65">
        <f>SUM(A:B!O19)</f>
        <v>0</v>
      </c>
      <c r="P19" s="65">
        <f>SUM(A:B!P19)</f>
        <v>0</v>
      </c>
      <c r="Q19" s="65">
        <f>SUM(A:B!Q19)</f>
        <v>9479</v>
      </c>
      <c r="R19" s="65">
        <f>SUM(A:B!R19)</f>
        <v>0</v>
      </c>
      <c r="S19" s="65">
        <f>SUM(A:B!S19)</f>
        <v>2184</v>
      </c>
      <c r="T19" s="65">
        <f>SUM(A:B!T19)</f>
        <v>0</v>
      </c>
      <c r="U19" s="65">
        <f>SUM(A:B!U19)</f>
        <v>0</v>
      </c>
      <c r="V19" s="11">
        <f t="shared" si="10"/>
        <v>14972</v>
      </c>
      <c r="W19" s="73">
        <f t="shared" si="2"/>
        <v>1.6706765522065537E-5</v>
      </c>
      <c r="X19" s="89"/>
      <c r="Y19" s="65">
        <f>SUM(A:B!Y19)</f>
        <v>0</v>
      </c>
      <c r="Z19" s="65">
        <f>SUM(A:B!Z19)</f>
        <v>0</v>
      </c>
      <c r="AA19" s="65">
        <f>SUM(A:B!AA19)</f>
        <v>0</v>
      </c>
      <c r="AB19" s="65">
        <f>SUM(A:B!AB19)</f>
        <v>0</v>
      </c>
      <c r="AC19" s="65">
        <f>SUM(A:B!AC19)</f>
        <v>0</v>
      </c>
      <c r="AD19" s="65">
        <f>SUM(A:B!AD19)</f>
        <v>0</v>
      </c>
      <c r="AE19" s="65">
        <f>SUM(A:B!AE19)</f>
        <v>0</v>
      </c>
      <c r="AF19" s="65">
        <f>SUM(A:B!AF19)</f>
        <v>0</v>
      </c>
      <c r="AG19" s="65">
        <f>SUM(A:B!AG19)</f>
        <v>0</v>
      </c>
      <c r="AH19" s="65">
        <f>SUM(A:B!AH19)</f>
        <v>0</v>
      </c>
      <c r="AI19" s="65">
        <f>SUM(A:B!AI19)</f>
        <v>0</v>
      </c>
      <c r="AJ19" s="65">
        <f>SUM(A:B!AJ19)</f>
        <v>0</v>
      </c>
      <c r="AK19" s="65">
        <f t="shared" si="6"/>
        <v>0</v>
      </c>
      <c r="AL19" s="73">
        <f t="shared" si="4"/>
        <v>0</v>
      </c>
      <c r="AM19" s="14">
        <f t="shared" si="7"/>
        <v>-1</v>
      </c>
    </row>
    <row r="20" spans="1:39" hidden="1" outlineLevel="1">
      <c r="A20" s="37"/>
      <c r="B20" s="39"/>
      <c r="C20" s="39"/>
      <c r="D20" s="37"/>
      <c r="E20" s="38"/>
      <c r="F20" s="37"/>
      <c r="G20" s="37"/>
      <c r="H20" s="37"/>
      <c r="I20" s="167" t="s">
        <v>114</v>
      </c>
      <c r="J20" s="65">
        <f>SUM(A:B!J20)</f>
        <v>0</v>
      </c>
      <c r="K20" s="65">
        <f>SUM(A:B!K20)</f>
        <v>-29285</v>
      </c>
      <c r="L20" s="65">
        <f>SUM(A:B!L20)</f>
        <v>-144224</v>
      </c>
      <c r="M20" s="65">
        <f>SUM(A:B!M20)</f>
        <v>-252600</v>
      </c>
      <c r="N20" s="65">
        <f>SUM(A:B!N20)</f>
        <v>-542629</v>
      </c>
      <c r="O20" s="65">
        <f>SUM(A:B!O20)</f>
        <v>-772168</v>
      </c>
      <c r="P20" s="65">
        <f>SUM(A:B!P20)</f>
        <v>-628594</v>
      </c>
      <c r="Q20" s="65">
        <f>SUM(A:B!Q20)</f>
        <v>-417439</v>
      </c>
      <c r="R20" s="65">
        <f>SUM(A:B!R20)</f>
        <v>-568617</v>
      </c>
      <c r="S20" s="65">
        <f>SUM(A:B!S20)</f>
        <v>-462556</v>
      </c>
      <c r="T20" s="65">
        <f>SUM(A:B!T20)</f>
        <v>0</v>
      </c>
      <c r="U20" s="65">
        <f>SUM(A:B!U20)</f>
        <v>0</v>
      </c>
      <c r="V20" s="11">
        <f t="shared" ref="V20:V33" si="11">SUM(J20:U20)</f>
        <v>-3818112</v>
      </c>
      <c r="W20" s="73">
        <f t="shared" ref="W20:W33" si="12">V20/V$6</f>
        <v>-4.2605064066914703E-3</v>
      </c>
      <c r="X20" s="89"/>
      <c r="Y20" s="65">
        <f>SUM(A:B!Y20)</f>
        <v>0</v>
      </c>
      <c r="Z20" s="65">
        <f>SUM(A:B!Z20)</f>
        <v>0</v>
      </c>
      <c r="AA20" s="65">
        <f>SUM(A:B!AA20)</f>
        <v>0</v>
      </c>
      <c r="AB20" s="65">
        <f>SUM(A:B!AB20)</f>
        <v>0</v>
      </c>
      <c r="AC20" s="65">
        <f>SUM(A:B!AC20)</f>
        <v>0</v>
      </c>
      <c r="AD20" s="65">
        <f>SUM(A:B!AD20)</f>
        <v>0</v>
      </c>
      <c r="AE20" s="65">
        <f>SUM(A:B!AE20)</f>
        <v>0</v>
      </c>
      <c r="AF20" s="65">
        <f>SUM(A:B!AF20)</f>
        <v>0</v>
      </c>
      <c r="AG20" s="65">
        <f>SUM(A:B!AG20)</f>
        <v>0</v>
      </c>
      <c r="AH20" s="65">
        <f>SUM(A:B!AH20)</f>
        <v>0</v>
      </c>
      <c r="AI20" s="65">
        <f>SUM(A:B!AI20)</f>
        <v>0</v>
      </c>
      <c r="AJ20" s="65">
        <f>SUM(A:B!AJ20)</f>
        <v>0</v>
      </c>
      <c r="AK20" s="65">
        <f t="shared" si="6"/>
        <v>0</v>
      </c>
      <c r="AL20" s="73">
        <f t="shared" ref="AL20:AL33" si="13">AK20/AK$6</f>
        <v>0</v>
      </c>
      <c r="AM20" s="14">
        <f t="shared" ref="AM20:AM33" si="14">IFERROR(AK20/V20-1,0)</f>
        <v>-1</v>
      </c>
    </row>
    <row r="21" spans="1:39" hidden="1" outlineLevel="1">
      <c r="A21" s="37"/>
      <c r="B21" s="39"/>
      <c r="C21" s="39"/>
      <c r="D21" s="37"/>
      <c r="E21" s="38"/>
      <c r="F21" s="37"/>
      <c r="G21" s="37"/>
      <c r="H21" s="37"/>
      <c r="I21" s="167" t="s">
        <v>115</v>
      </c>
      <c r="J21" s="65">
        <f>SUM(A:B!J21)</f>
        <v>-11558</v>
      </c>
      <c r="K21" s="65">
        <f>SUM(A:B!K21)</f>
        <v>-10191</v>
      </c>
      <c r="L21" s="65">
        <f>SUM(A:B!L21)</f>
        <v>-23886</v>
      </c>
      <c r="M21" s="65">
        <f>SUM(A:B!M21)</f>
        <v>-25404</v>
      </c>
      <c r="N21" s="65">
        <f>SUM(A:B!N21)</f>
        <v>-70527</v>
      </c>
      <c r="O21" s="65">
        <f>SUM(A:B!O21)</f>
        <v>-88473</v>
      </c>
      <c r="P21" s="65">
        <f>SUM(A:B!P21)</f>
        <v>-75995</v>
      </c>
      <c r="Q21" s="65">
        <f>SUM(A:B!Q21)</f>
        <v>-29922</v>
      </c>
      <c r="R21" s="65">
        <f>SUM(A:B!R21)</f>
        <v>-40605</v>
      </c>
      <c r="S21" s="65">
        <f>SUM(A:B!S21)</f>
        <v>-35220</v>
      </c>
      <c r="T21" s="65">
        <f>SUM(A:B!T21)</f>
        <v>0</v>
      </c>
      <c r="U21" s="65">
        <f>SUM(A:B!U21)</f>
        <v>0</v>
      </c>
      <c r="V21" s="11">
        <f t="shared" si="11"/>
        <v>-411781</v>
      </c>
      <c r="W21" s="73">
        <f t="shared" si="12"/>
        <v>-4.594929610901462E-4</v>
      </c>
      <c r="X21" s="89"/>
      <c r="Y21" s="65">
        <f>SUM(A:B!Y21)</f>
        <v>0</v>
      </c>
      <c r="Z21" s="65">
        <f>SUM(A:B!Z21)</f>
        <v>0</v>
      </c>
      <c r="AA21" s="65">
        <f>SUM(A:B!AA21)</f>
        <v>0</v>
      </c>
      <c r="AB21" s="65">
        <f>SUM(A:B!AB21)</f>
        <v>0</v>
      </c>
      <c r="AC21" s="65">
        <f>SUM(A:B!AC21)</f>
        <v>0</v>
      </c>
      <c r="AD21" s="65">
        <f>SUM(A:B!AD21)</f>
        <v>0</v>
      </c>
      <c r="AE21" s="65">
        <f>SUM(A:B!AE21)</f>
        <v>0</v>
      </c>
      <c r="AF21" s="65">
        <f>SUM(A:B!AF21)</f>
        <v>0</v>
      </c>
      <c r="AG21" s="65">
        <f>SUM(A:B!AG21)</f>
        <v>0</v>
      </c>
      <c r="AH21" s="65">
        <f>SUM(A:B!AH21)</f>
        <v>0</v>
      </c>
      <c r="AI21" s="65">
        <f>SUM(A:B!AI21)</f>
        <v>0</v>
      </c>
      <c r="AJ21" s="65">
        <f>SUM(A:B!AJ21)</f>
        <v>0</v>
      </c>
      <c r="AK21" s="65">
        <f t="shared" si="6"/>
        <v>0</v>
      </c>
      <c r="AL21" s="73">
        <f t="shared" si="13"/>
        <v>0</v>
      </c>
      <c r="AM21" s="14">
        <f t="shared" si="14"/>
        <v>-1</v>
      </c>
    </row>
    <row r="22" spans="1:39" hidden="1" outlineLevel="1">
      <c r="A22" s="37"/>
      <c r="B22" s="39"/>
      <c r="C22" s="39"/>
      <c r="D22" s="37"/>
      <c r="E22" s="38"/>
      <c r="F22" s="37"/>
      <c r="G22" s="37"/>
      <c r="H22" s="37"/>
      <c r="I22" s="167" t="s">
        <v>116</v>
      </c>
      <c r="J22" s="65">
        <f>SUM(A:B!J22)</f>
        <v>-59339</v>
      </c>
      <c r="K22" s="65">
        <f>SUM(A:B!K22)</f>
        <v>-93897</v>
      </c>
      <c r="L22" s="65">
        <f>SUM(A:B!L22)</f>
        <v>-118699</v>
      </c>
      <c r="M22" s="65">
        <f>SUM(A:B!M22)</f>
        <v>-121515</v>
      </c>
      <c r="N22" s="65">
        <f>SUM(A:B!N22)</f>
        <v>-185372</v>
      </c>
      <c r="O22" s="65">
        <f>SUM(A:B!O22)</f>
        <v>-209250</v>
      </c>
      <c r="P22" s="65">
        <f>SUM(A:B!P22)</f>
        <v>-242095</v>
      </c>
      <c r="Q22" s="65">
        <f>SUM(A:B!Q22)</f>
        <v>-81498</v>
      </c>
      <c r="R22" s="65">
        <f>SUM(A:B!R22)</f>
        <v>-262758</v>
      </c>
      <c r="S22" s="65">
        <f>SUM(A:B!S22)</f>
        <v>-141507</v>
      </c>
      <c r="T22" s="65">
        <f>SUM(A:B!T22)</f>
        <v>0</v>
      </c>
      <c r="U22" s="65">
        <f>SUM(A:B!U22)</f>
        <v>0</v>
      </c>
      <c r="V22" s="11">
        <f t="shared" si="11"/>
        <v>-1515930</v>
      </c>
      <c r="W22" s="73">
        <f t="shared" si="12"/>
        <v>-1.6915767471189426E-3</v>
      </c>
      <c r="X22" s="89"/>
      <c r="Y22" s="65">
        <f>SUM(A:B!Y22)</f>
        <v>0</v>
      </c>
      <c r="Z22" s="65">
        <f>SUM(A:B!Z22)</f>
        <v>0</v>
      </c>
      <c r="AA22" s="65">
        <f>SUM(A:B!AA22)</f>
        <v>0</v>
      </c>
      <c r="AB22" s="65">
        <f>SUM(A:B!AB22)</f>
        <v>0</v>
      </c>
      <c r="AC22" s="65">
        <f>SUM(A:B!AC22)</f>
        <v>0</v>
      </c>
      <c r="AD22" s="65">
        <f>SUM(A:B!AD22)</f>
        <v>0</v>
      </c>
      <c r="AE22" s="65">
        <f>SUM(A:B!AE22)</f>
        <v>0</v>
      </c>
      <c r="AF22" s="65">
        <f>SUM(A:B!AF22)</f>
        <v>0</v>
      </c>
      <c r="AG22" s="65">
        <f>SUM(A:B!AG22)</f>
        <v>0</v>
      </c>
      <c r="AH22" s="65">
        <f>SUM(A:B!AH22)</f>
        <v>0</v>
      </c>
      <c r="AI22" s="65">
        <f>SUM(A:B!AI22)</f>
        <v>0</v>
      </c>
      <c r="AJ22" s="65">
        <f>SUM(A:B!AJ22)</f>
        <v>0</v>
      </c>
      <c r="AK22" s="65">
        <f t="shared" si="6"/>
        <v>0</v>
      </c>
      <c r="AL22" s="73">
        <f t="shared" si="13"/>
        <v>0</v>
      </c>
      <c r="AM22" s="14">
        <f t="shared" si="14"/>
        <v>-1</v>
      </c>
    </row>
    <row r="23" spans="1:39" hidden="1" outlineLevel="1">
      <c r="A23" s="37" t="s">
        <v>97</v>
      </c>
      <c r="B23" s="39"/>
      <c r="C23" s="39" t="s">
        <v>117</v>
      </c>
      <c r="D23" s="37" t="s">
        <v>118</v>
      </c>
      <c r="E23" s="38"/>
      <c r="F23" s="37"/>
      <c r="G23" s="37"/>
      <c r="H23" s="37"/>
      <c r="I23" s="171" t="s">
        <v>119</v>
      </c>
      <c r="J23" s="65">
        <f>SUM(A:B!J23)</f>
        <v>110309</v>
      </c>
      <c r="K23" s="65">
        <f>SUM(A:B!K23)</f>
        <v>183033</v>
      </c>
      <c r="L23" s="65">
        <f>SUM(A:B!L23)</f>
        <v>118902</v>
      </c>
      <c r="M23" s="65">
        <f>SUM(A:B!M23)</f>
        <v>491588</v>
      </c>
      <c r="N23" s="65">
        <f>SUM(A:B!N23)</f>
        <v>-240501</v>
      </c>
      <c r="O23" s="65">
        <f>SUM(A:B!O23)</f>
        <v>129867</v>
      </c>
      <c r="P23" s="65">
        <f>SUM(A:B!P23)</f>
        <v>132184</v>
      </c>
      <c r="Q23" s="65">
        <f>SUM(A:B!Q23)</f>
        <v>108896</v>
      </c>
      <c r="R23" s="65">
        <f>SUM(A:B!R23)</f>
        <v>132792</v>
      </c>
      <c r="S23" s="65">
        <f>SUM(A:B!S23)</f>
        <v>105932</v>
      </c>
      <c r="T23" s="65">
        <f>SUM(A:B!T23)</f>
        <v>0</v>
      </c>
      <c r="U23" s="65">
        <f>SUM(A:B!U23)</f>
        <v>0</v>
      </c>
      <c r="V23" s="11">
        <f t="shared" si="11"/>
        <v>1273002</v>
      </c>
      <c r="W23" s="73">
        <f t="shared" si="12"/>
        <v>1.4205013306919899E-3</v>
      </c>
      <c r="X23" s="89"/>
      <c r="Y23" s="65">
        <f>SUM(A:B!Y23)</f>
        <v>0</v>
      </c>
      <c r="Z23" s="65">
        <f>SUM(A:B!Z23)</f>
        <v>0</v>
      </c>
      <c r="AA23" s="65">
        <f>SUM(A:B!AA23)</f>
        <v>0</v>
      </c>
      <c r="AB23" s="65">
        <f>SUM(A:B!AB23)</f>
        <v>0</v>
      </c>
      <c r="AC23" s="65">
        <f>SUM(A:B!AC23)</f>
        <v>0</v>
      </c>
      <c r="AD23" s="65">
        <f>SUM(A:B!AD23)</f>
        <v>0</v>
      </c>
      <c r="AE23" s="65">
        <f>SUM(A:B!AE23)</f>
        <v>0</v>
      </c>
      <c r="AF23" s="65">
        <f>SUM(A:B!AF23)</f>
        <v>0</v>
      </c>
      <c r="AG23" s="65">
        <f>SUM(A:B!AG23)</f>
        <v>0</v>
      </c>
      <c r="AH23" s="65">
        <f>SUM(A:B!AH23)</f>
        <v>0</v>
      </c>
      <c r="AI23" s="65">
        <f>SUM(A:B!AI23)</f>
        <v>0</v>
      </c>
      <c r="AJ23" s="65">
        <f>SUM(A:B!AJ23)</f>
        <v>0</v>
      </c>
      <c r="AK23" s="65">
        <f t="shared" si="6"/>
        <v>0</v>
      </c>
      <c r="AL23" s="73">
        <f t="shared" si="13"/>
        <v>0</v>
      </c>
      <c r="AM23" s="14">
        <f t="shared" si="14"/>
        <v>-1</v>
      </c>
    </row>
    <row r="24" spans="1:39" hidden="1" outlineLevel="1">
      <c r="A24" s="37" t="s">
        <v>97</v>
      </c>
      <c r="B24" s="39"/>
      <c r="C24" s="39" t="s">
        <v>120</v>
      </c>
      <c r="D24" s="37"/>
      <c r="E24" s="38"/>
      <c r="F24" s="37"/>
      <c r="G24" s="37"/>
      <c r="H24" s="37"/>
      <c r="I24" s="172" t="s">
        <v>121</v>
      </c>
      <c r="J24" s="65">
        <f>SUM(A:B!J24)</f>
        <v>10018</v>
      </c>
      <c r="K24" s="65">
        <f>SUM(A:B!K24)</f>
        <v>20216</v>
      </c>
      <c r="L24" s="65">
        <f>SUM(A:B!L24)</f>
        <v>12073</v>
      </c>
      <c r="M24" s="65">
        <f>SUM(A:B!M24)</f>
        <v>11105</v>
      </c>
      <c r="N24" s="65">
        <f>SUM(A:B!N24)</f>
        <v>12892</v>
      </c>
      <c r="O24" s="65">
        <f>SUM(A:B!O24)</f>
        <v>14241</v>
      </c>
      <c r="P24" s="65">
        <f>SUM(A:B!P24)</f>
        <v>14417</v>
      </c>
      <c r="Q24" s="65">
        <f>SUM(A:B!Q24)</f>
        <v>3951</v>
      </c>
      <c r="R24" s="65">
        <f>SUM(A:B!R24)</f>
        <v>15302</v>
      </c>
      <c r="S24" s="65">
        <f>SUM(A:B!S24)</f>
        <v>11726</v>
      </c>
      <c r="T24" s="65">
        <f>SUM(A:B!T24)</f>
        <v>0</v>
      </c>
      <c r="U24" s="65">
        <f>SUM(A:B!U24)</f>
        <v>0</v>
      </c>
      <c r="V24" s="11">
        <f t="shared" si="11"/>
        <v>125941</v>
      </c>
      <c r="W24" s="73">
        <f t="shared" si="12"/>
        <v>1.4053344620721718E-4</v>
      </c>
      <c r="X24" s="89"/>
      <c r="Y24" s="65">
        <f>SUM(A:B!Y24)</f>
        <v>0</v>
      </c>
      <c r="Z24" s="65">
        <f>SUM(A:B!Z24)</f>
        <v>0</v>
      </c>
      <c r="AA24" s="65">
        <f>SUM(A:B!AA24)</f>
        <v>0</v>
      </c>
      <c r="AB24" s="65">
        <f>SUM(A:B!AB24)</f>
        <v>0</v>
      </c>
      <c r="AC24" s="65">
        <f>SUM(A:B!AC24)</f>
        <v>0</v>
      </c>
      <c r="AD24" s="65">
        <f>SUM(A:B!AD24)</f>
        <v>0</v>
      </c>
      <c r="AE24" s="65">
        <f>SUM(A:B!AE24)</f>
        <v>0</v>
      </c>
      <c r="AF24" s="65">
        <f>SUM(A:B!AF24)</f>
        <v>0</v>
      </c>
      <c r="AG24" s="65">
        <f>SUM(A:B!AG24)</f>
        <v>0</v>
      </c>
      <c r="AH24" s="65">
        <f>SUM(A:B!AH24)</f>
        <v>0</v>
      </c>
      <c r="AI24" s="65">
        <f>SUM(A:B!AI24)</f>
        <v>0</v>
      </c>
      <c r="AJ24" s="65">
        <f>SUM(A:B!AJ24)</f>
        <v>0</v>
      </c>
      <c r="AK24" s="65">
        <f t="shared" si="6"/>
        <v>0</v>
      </c>
      <c r="AL24" s="73">
        <f t="shared" si="13"/>
        <v>0</v>
      </c>
      <c r="AM24" s="14">
        <f t="shared" si="14"/>
        <v>-1</v>
      </c>
    </row>
    <row r="25" spans="1:39" hidden="1" outlineLevel="1">
      <c r="A25" s="37" t="s">
        <v>97</v>
      </c>
      <c r="B25" s="39"/>
      <c r="C25" s="39" t="s">
        <v>122</v>
      </c>
      <c r="D25" s="37"/>
      <c r="E25" s="38"/>
      <c r="F25" s="37"/>
      <c r="G25" s="37"/>
      <c r="H25" s="37"/>
      <c r="I25" s="171" t="s">
        <v>123</v>
      </c>
      <c r="J25" s="65">
        <f>SUM(A:B!J25)</f>
        <v>0</v>
      </c>
      <c r="K25" s="65">
        <f>SUM(A:B!K25)</f>
        <v>0</v>
      </c>
      <c r="L25" s="65">
        <f>SUM(A:B!L25)</f>
        <v>0</v>
      </c>
      <c r="M25" s="65">
        <f>SUM(A:B!M25)</f>
        <v>0</v>
      </c>
      <c r="N25" s="65">
        <f>SUM(A:B!N25)</f>
        <v>1841</v>
      </c>
      <c r="O25" s="65">
        <f>SUM(A:B!O25)</f>
        <v>0</v>
      </c>
      <c r="P25" s="65">
        <f>SUM(A:B!P25)</f>
        <v>0</v>
      </c>
      <c r="Q25" s="65">
        <f>SUM(A:B!Q25)</f>
        <v>916</v>
      </c>
      <c r="R25" s="65">
        <f>SUM(A:B!R25)</f>
        <v>0</v>
      </c>
      <c r="S25" s="65">
        <f>SUM(A:B!S25)</f>
        <v>0</v>
      </c>
      <c r="T25" s="65">
        <f>SUM(A:B!T25)</f>
        <v>0</v>
      </c>
      <c r="U25" s="65">
        <f>SUM(A:B!U25)</f>
        <v>0</v>
      </c>
      <c r="V25" s="11">
        <f t="shared" si="11"/>
        <v>2757</v>
      </c>
      <c r="W25" s="73">
        <f t="shared" si="12"/>
        <v>3.0764462025337087E-6</v>
      </c>
      <c r="X25" s="89"/>
      <c r="Y25" s="65">
        <f>SUM(A:B!Y25)</f>
        <v>0</v>
      </c>
      <c r="Z25" s="65">
        <f>SUM(A:B!Z25)</f>
        <v>0</v>
      </c>
      <c r="AA25" s="65">
        <f>SUM(A:B!AA25)</f>
        <v>0</v>
      </c>
      <c r="AB25" s="65">
        <f>SUM(A:B!AB25)</f>
        <v>0</v>
      </c>
      <c r="AC25" s="65">
        <f>SUM(A:B!AC25)</f>
        <v>0</v>
      </c>
      <c r="AD25" s="65">
        <f>SUM(A:B!AD25)</f>
        <v>0</v>
      </c>
      <c r="AE25" s="65">
        <f>SUM(A:B!AE25)</f>
        <v>0</v>
      </c>
      <c r="AF25" s="65">
        <f>SUM(A:B!AF25)</f>
        <v>0</v>
      </c>
      <c r="AG25" s="65">
        <f>SUM(A:B!AG25)</f>
        <v>0</v>
      </c>
      <c r="AH25" s="65">
        <f>SUM(A:B!AH25)</f>
        <v>0</v>
      </c>
      <c r="AI25" s="65">
        <f>SUM(A:B!AI25)</f>
        <v>0</v>
      </c>
      <c r="AJ25" s="65">
        <f>SUM(A:B!AJ25)</f>
        <v>0</v>
      </c>
      <c r="AK25" s="65">
        <f t="shared" si="6"/>
        <v>0</v>
      </c>
      <c r="AL25" s="73">
        <f t="shared" si="13"/>
        <v>0</v>
      </c>
      <c r="AM25" s="14">
        <f t="shared" si="14"/>
        <v>-1</v>
      </c>
    </row>
    <row r="26" spans="1:39" hidden="1" outlineLevel="1">
      <c r="A26" s="37" t="s">
        <v>97</v>
      </c>
      <c r="B26" s="39"/>
      <c r="C26" s="39" t="s">
        <v>124</v>
      </c>
      <c r="D26" s="37"/>
      <c r="E26" s="38"/>
      <c r="F26" s="37"/>
      <c r="G26" s="37"/>
      <c r="H26" s="37"/>
      <c r="I26" s="172" t="s">
        <v>125</v>
      </c>
      <c r="J26" s="65">
        <f>SUM(A:B!J26)</f>
        <v>0</v>
      </c>
      <c r="K26" s="65">
        <f>SUM(A:B!K26)</f>
        <v>0</v>
      </c>
      <c r="L26" s="65">
        <f>SUM(A:B!L26)</f>
        <v>0</v>
      </c>
      <c r="M26" s="65">
        <f>SUM(A:B!M26)</f>
        <v>0</v>
      </c>
      <c r="N26" s="65">
        <f>SUM(A:B!N26)</f>
        <v>0</v>
      </c>
      <c r="O26" s="65">
        <f>SUM(A:B!O26)</f>
        <v>0</v>
      </c>
      <c r="P26" s="65">
        <f>SUM(A:B!P26)</f>
        <v>0</v>
      </c>
      <c r="Q26" s="65">
        <f>SUM(A:B!Q26)</f>
        <v>0</v>
      </c>
      <c r="R26" s="65">
        <f>SUM(A:B!R26)</f>
        <v>0</v>
      </c>
      <c r="S26" s="65">
        <f>SUM(A:B!S26)</f>
        <v>0</v>
      </c>
      <c r="T26" s="65">
        <f>SUM(A:B!T26)</f>
        <v>0</v>
      </c>
      <c r="U26" s="65">
        <f>SUM(A:B!U26)</f>
        <v>0</v>
      </c>
      <c r="V26" s="11">
        <f t="shared" si="11"/>
        <v>0</v>
      </c>
      <c r="W26" s="73">
        <f t="shared" si="12"/>
        <v>0</v>
      </c>
      <c r="X26" s="89"/>
      <c r="Y26" s="65">
        <f>SUM(A:B!Y26)</f>
        <v>0</v>
      </c>
      <c r="Z26" s="65">
        <f>SUM(A:B!Z26)</f>
        <v>0</v>
      </c>
      <c r="AA26" s="65">
        <f>SUM(A:B!AA26)</f>
        <v>0</v>
      </c>
      <c r="AB26" s="65">
        <f>SUM(A:B!AB26)</f>
        <v>0</v>
      </c>
      <c r="AC26" s="65">
        <f>SUM(A:B!AC26)</f>
        <v>0</v>
      </c>
      <c r="AD26" s="65">
        <f>SUM(A:B!AD26)</f>
        <v>0</v>
      </c>
      <c r="AE26" s="65">
        <f>SUM(A:B!AE26)</f>
        <v>0</v>
      </c>
      <c r="AF26" s="65">
        <f>SUM(A:B!AF26)</f>
        <v>0</v>
      </c>
      <c r="AG26" s="65">
        <f>SUM(A:B!AG26)</f>
        <v>0</v>
      </c>
      <c r="AH26" s="65">
        <f>SUM(A:B!AH26)</f>
        <v>0</v>
      </c>
      <c r="AI26" s="65">
        <f>SUM(A:B!AI26)</f>
        <v>0</v>
      </c>
      <c r="AJ26" s="65">
        <f>SUM(A:B!AJ26)</f>
        <v>0</v>
      </c>
      <c r="AK26" s="65">
        <f t="shared" si="6"/>
        <v>0</v>
      </c>
      <c r="AL26" s="73">
        <f t="shared" si="13"/>
        <v>0</v>
      </c>
      <c r="AM26" s="14">
        <f t="shared" si="14"/>
        <v>0</v>
      </c>
    </row>
    <row r="27" spans="1:39" hidden="1" outlineLevel="1">
      <c r="A27" s="37" t="s">
        <v>97</v>
      </c>
      <c r="B27" s="39"/>
      <c r="C27" s="39" t="s">
        <v>126</v>
      </c>
      <c r="D27" s="37"/>
      <c r="E27" s="38"/>
      <c r="F27" s="37"/>
      <c r="G27" s="37"/>
      <c r="H27" s="37"/>
      <c r="I27" s="167" t="s">
        <v>126</v>
      </c>
      <c r="J27" s="65">
        <f>SUM(A:B!J27)</f>
        <v>0</v>
      </c>
      <c r="K27" s="65">
        <f>SUM(A:B!K27)</f>
        <v>0</v>
      </c>
      <c r="L27" s="65">
        <f>SUM(A:B!L27)</f>
        <v>0</v>
      </c>
      <c r="M27" s="65">
        <f>SUM(A:B!M27)</f>
        <v>0</v>
      </c>
      <c r="N27" s="65">
        <f>SUM(A:B!N27)</f>
        <v>0</v>
      </c>
      <c r="O27" s="65">
        <f>SUM(A:B!O27)</f>
        <v>0</v>
      </c>
      <c r="P27" s="65">
        <f>SUM(A:B!P27)</f>
        <v>0</v>
      </c>
      <c r="Q27" s="65">
        <f>SUM(A:B!Q27)</f>
        <v>0</v>
      </c>
      <c r="R27" s="65">
        <f>SUM(A:B!R27)</f>
        <v>0</v>
      </c>
      <c r="S27" s="65">
        <f>SUM(A:B!S27)</f>
        <v>0</v>
      </c>
      <c r="T27" s="65">
        <f>SUM(A:B!T27)</f>
        <v>0</v>
      </c>
      <c r="U27" s="65">
        <f>SUM(A:B!U27)</f>
        <v>0</v>
      </c>
      <c r="V27" s="11">
        <f t="shared" si="11"/>
        <v>0</v>
      </c>
      <c r="W27" s="73">
        <f t="shared" si="12"/>
        <v>0</v>
      </c>
      <c r="X27" s="89"/>
      <c r="Y27" s="65">
        <f>SUM(A:B!Y27)</f>
        <v>0</v>
      </c>
      <c r="Z27" s="65">
        <f>SUM(A:B!Z27)</f>
        <v>0</v>
      </c>
      <c r="AA27" s="65">
        <f>SUM(A:B!AA27)</f>
        <v>0</v>
      </c>
      <c r="AB27" s="65">
        <f>SUM(A:B!AB27)</f>
        <v>0</v>
      </c>
      <c r="AC27" s="65">
        <f>SUM(A:B!AC27)</f>
        <v>0</v>
      </c>
      <c r="AD27" s="65">
        <f>SUM(A:B!AD27)</f>
        <v>0</v>
      </c>
      <c r="AE27" s="65">
        <f>SUM(A:B!AE27)</f>
        <v>0</v>
      </c>
      <c r="AF27" s="65">
        <f>SUM(A:B!AF27)</f>
        <v>0</v>
      </c>
      <c r="AG27" s="65">
        <f>SUM(A:B!AG27)</f>
        <v>0</v>
      </c>
      <c r="AH27" s="65">
        <f>SUM(A:B!AH27)</f>
        <v>0</v>
      </c>
      <c r="AI27" s="65">
        <f>SUM(A:B!AI27)</f>
        <v>0</v>
      </c>
      <c r="AJ27" s="65">
        <f>SUM(A:B!AJ27)</f>
        <v>0</v>
      </c>
      <c r="AK27" s="65">
        <f t="shared" si="6"/>
        <v>0</v>
      </c>
      <c r="AL27" s="73">
        <f t="shared" si="13"/>
        <v>0</v>
      </c>
      <c r="AM27" s="14">
        <f t="shared" si="14"/>
        <v>0</v>
      </c>
    </row>
    <row r="28" spans="1:39" hidden="1" outlineLevel="1">
      <c r="A28" s="37" t="s">
        <v>97</v>
      </c>
      <c r="B28" s="39"/>
      <c r="C28" s="39" t="s">
        <v>127</v>
      </c>
      <c r="D28" s="37" t="s">
        <v>90</v>
      </c>
      <c r="E28" s="38"/>
      <c r="F28" s="37"/>
      <c r="G28" s="37"/>
      <c r="H28" s="37"/>
      <c r="I28" s="171" t="s">
        <v>128</v>
      </c>
      <c r="J28" s="65">
        <f>SUM(A:B!J28)</f>
        <v>-9895352</v>
      </c>
      <c r="K28" s="65">
        <f>SUM(A:B!K28)</f>
        <v>-9741490</v>
      </c>
      <c r="L28" s="65">
        <f>SUM(A:B!L28)</f>
        <v>-10698216</v>
      </c>
      <c r="M28" s="65">
        <f>SUM(A:B!M28)</f>
        <v>-10091896</v>
      </c>
      <c r="N28" s="65">
        <f>SUM(A:B!N28)</f>
        <v>-11479619</v>
      </c>
      <c r="O28" s="65">
        <f>SUM(A:B!O28)</f>
        <v>-11206376</v>
      </c>
      <c r="P28" s="65">
        <f>SUM(A:B!P28)</f>
        <v>-11021279</v>
      </c>
      <c r="Q28" s="65">
        <f>SUM(A:B!Q28)</f>
        <v>-10539195</v>
      </c>
      <c r="R28" s="65">
        <f>SUM(A:B!R28)</f>
        <v>-10508948</v>
      </c>
      <c r="S28" s="65">
        <f>SUM(A:B!S28)</f>
        <v>-9535970</v>
      </c>
      <c r="T28" s="65">
        <f>SUM(A:B!T28)</f>
        <v>0</v>
      </c>
      <c r="U28" s="65">
        <f>SUM(A:B!U28)</f>
        <v>0</v>
      </c>
      <c r="V28" s="11">
        <f t="shared" si="11"/>
        <v>-104718341</v>
      </c>
      <c r="W28" s="73">
        <f t="shared" si="12"/>
        <v>-0.11685177457565468</v>
      </c>
      <c r="X28" s="89"/>
      <c r="Y28" s="65">
        <f>SUM(A:B!Y28)</f>
        <v>0</v>
      </c>
      <c r="Z28" s="65">
        <f>SUM(A:B!Z28)</f>
        <v>0</v>
      </c>
      <c r="AA28" s="65">
        <f>SUM(A:B!AA28)</f>
        <v>0</v>
      </c>
      <c r="AB28" s="65">
        <f>SUM(A:B!AB28)</f>
        <v>0</v>
      </c>
      <c r="AC28" s="65">
        <f>SUM(A:B!AC28)</f>
        <v>0</v>
      </c>
      <c r="AD28" s="65">
        <f>SUM(A:B!AD28)</f>
        <v>0</v>
      </c>
      <c r="AE28" s="65">
        <f>SUM(A:B!AE28)</f>
        <v>0</v>
      </c>
      <c r="AF28" s="65">
        <f>SUM(A:B!AF28)</f>
        <v>0</v>
      </c>
      <c r="AG28" s="65">
        <f>SUM(A:B!AG28)</f>
        <v>0</v>
      </c>
      <c r="AH28" s="65">
        <f>SUM(A:B!AH28)</f>
        <v>0</v>
      </c>
      <c r="AI28" s="65">
        <f>SUM(A:B!AI28)</f>
        <v>0</v>
      </c>
      <c r="AJ28" s="65">
        <f>SUM(A:B!AJ28)</f>
        <v>0</v>
      </c>
      <c r="AK28" s="65">
        <f t="shared" si="6"/>
        <v>0</v>
      </c>
      <c r="AL28" s="73">
        <f t="shared" si="13"/>
        <v>0</v>
      </c>
      <c r="AM28" s="14">
        <f t="shared" si="14"/>
        <v>-1</v>
      </c>
    </row>
    <row r="29" spans="1:39" hidden="1" outlineLevel="1">
      <c r="A29" s="37" t="s">
        <v>97</v>
      </c>
      <c r="B29" s="39"/>
      <c r="C29" s="39" t="s">
        <v>129</v>
      </c>
      <c r="D29" s="37" t="s">
        <v>90</v>
      </c>
      <c r="E29" s="38"/>
      <c r="F29" s="37"/>
      <c r="G29" s="37"/>
      <c r="H29" s="37"/>
      <c r="I29" s="172" t="s">
        <v>130</v>
      </c>
      <c r="J29" s="65">
        <f>SUM(A:B!J29)</f>
        <v>-775258</v>
      </c>
      <c r="K29" s="65">
        <f>SUM(A:B!K29)</f>
        <v>-798009</v>
      </c>
      <c r="L29" s="65">
        <f>SUM(A:B!L29)</f>
        <v>-878327</v>
      </c>
      <c r="M29" s="65">
        <f>SUM(A:B!M29)</f>
        <v>-837300</v>
      </c>
      <c r="N29" s="65">
        <f>SUM(A:B!N29)</f>
        <v>-954984</v>
      </c>
      <c r="O29" s="65">
        <f>SUM(A:B!O29)</f>
        <v>-999309</v>
      </c>
      <c r="P29" s="65">
        <f>SUM(A:B!P29)</f>
        <v>-956207</v>
      </c>
      <c r="Q29" s="65">
        <f>SUM(A:B!Q29)</f>
        <v>-675074</v>
      </c>
      <c r="R29" s="65">
        <f>SUM(A:B!R29)</f>
        <v>-786834</v>
      </c>
      <c r="S29" s="65">
        <f>SUM(A:B!S29)</f>
        <v>-918388</v>
      </c>
      <c r="T29" s="65">
        <f>SUM(A:B!T29)</f>
        <v>0</v>
      </c>
      <c r="U29" s="65">
        <f>SUM(A:B!U29)</f>
        <v>0</v>
      </c>
      <c r="V29" s="11">
        <f t="shared" si="11"/>
        <v>-8579690</v>
      </c>
      <c r="W29" s="73">
        <f t="shared" si="12"/>
        <v>-9.573795690756776E-3</v>
      </c>
      <c r="X29" s="89"/>
      <c r="Y29" s="65">
        <f>SUM(A:B!Y29)</f>
        <v>0</v>
      </c>
      <c r="Z29" s="65">
        <f>SUM(A:B!Z29)</f>
        <v>0</v>
      </c>
      <c r="AA29" s="65">
        <f>SUM(A:B!AA29)</f>
        <v>0</v>
      </c>
      <c r="AB29" s="65">
        <f>SUM(A:B!AB29)</f>
        <v>0</v>
      </c>
      <c r="AC29" s="65">
        <f>SUM(A:B!AC29)</f>
        <v>0</v>
      </c>
      <c r="AD29" s="65">
        <f>SUM(A:B!AD29)</f>
        <v>0</v>
      </c>
      <c r="AE29" s="65">
        <f>SUM(A:B!AE29)</f>
        <v>0</v>
      </c>
      <c r="AF29" s="65">
        <f>SUM(A:B!AF29)</f>
        <v>0</v>
      </c>
      <c r="AG29" s="65">
        <f>SUM(A:B!AG29)</f>
        <v>0</v>
      </c>
      <c r="AH29" s="65">
        <f>SUM(A:B!AH29)</f>
        <v>0</v>
      </c>
      <c r="AI29" s="65">
        <f>SUM(A:B!AI29)</f>
        <v>0</v>
      </c>
      <c r="AJ29" s="65">
        <f>SUM(A:B!AJ29)</f>
        <v>0</v>
      </c>
      <c r="AK29" s="65">
        <f t="shared" si="6"/>
        <v>0</v>
      </c>
      <c r="AL29" s="73">
        <f t="shared" si="13"/>
        <v>0</v>
      </c>
      <c r="AM29" s="14">
        <f t="shared" si="14"/>
        <v>-1</v>
      </c>
    </row>
    <row r="30" spans="1:39" hidden="1" outlineLevel="1">
      <c r="A30" s="37"/>
      <c r="B30" s="39"/>
      <c r="C30" s="39"/>
      <c r="D30" s="37"/>
      <c r="E30" s="38"/>
      <c r="F30" s="37"/>
      <c r="G30" s="37"/>
      <c r="H30" s="37"/>
      <c r="I30" s="172" t="s">
        <v>131</v>
      </c>
      <c r="J30" s="65">
        <f>SUM(A:B!J30)</f>
        <v>53854</v>
      </c>
      <c r="K30" s="65">
        <f>SUM(A:B!K30)</f>
        <v>41012</v>
      </c>
      <c r="L30" s="65">
        <f>SUM(A:B!L30)</f>
        <v>46457</v>
      </c>
      <c r="M30" s="65">
        <f>SUM(A:B!M30)</f>
        <v>48504</v>
      </c>
      <c r="N30" s="65">
        <f>SUM(A:B!N30)</f>
        <v>50623</v>
      </c>
      <c r="O30" s="65">
        <f>SUM(A:B!O30)</f>
        <v>49511</v>
      </c>
      <c r="P30" s="65">
        <f>SUM(A:B!P30)</f>
        <v>44553</v>
      </c>
      <c r="Q30" s="65">
        <f>SUM(A:B!Q30)</f>
        <v>45156</v>
      </c>
      <c r="R30" s="65">
        <f>SUM(A:B!R30)</f>
        <v>50951</v>
      </c>
      <c r="S30" s="65">
        <f>SUM(A:B!S30)</f>
        <v>55863.54</v>
      </c>
      <c r="T30" s="65">
        <f>SUM(A:B!T30)</f>
        <v>56371.32</v>
      </c>
      <c r="U30" s="65">
        <f>SUM(A:B!U30)</f>
        <v>56799.719999999994</v>
      </c>
      <c r="V30" s="11">
        <f t="shared" si="11"/>
        <v>599655.57999999996</v>
      </c>
      <c r="W30" s="73">
        <f t="shared" si="12"/>
        <v>6.691360652590309E-4</v>
      </c>
      <c r="X30" s="89"/>
      <c r="Y30" s="65">
        <f>SUM(A:B!Y30)</f>
        <v>63444</v>
      </c>
      <c r="Z30" s="65">
        <f>SUM(A:B!Z30)</f>
        <v>61200</v>
      </c>
      <c r="AA30" s="65">
        <f>SUM(A:B!AA30)</f>
        <v>81141</v>
      </c>
      <c r="AB30" s="65">
        <f>SUM(A:B!AB30)</f>
        <v>59262</v>
      </c>
      <c r="AC30" s="65">
        <f>SUM(A:B!AC30)</f>
        <v>64413</v>
      </c>
      <c r="AD30" s="65">
        <f>SUM(A:B!AD30)</f>
        <v>60435</v>
      </c>
      <c r="AE30" s="65">
        <f>SUM(A:B!AE30)</f>
        <v>60945</v>
      </c>
      <c r="AF30" s="65">
        <f>SUM(A:B!AF30)</f>
        <v>58293</v>
      </c>
      <c r="AG30" s="65">
        <f>SUM(A:B!AG30)</f>
        <v>58956</v>
      </c>
      <c r="AH30" s="65">
        <f>SUM(A:B!AH30)</f>
        <v>64872</v>
      </c>
      <c r="AI30" s="65">
        <f>SUM(A:B!AI30)</f>
        <v>66759</v>
      </c>
      <c r="AJ30" s="65">
        <f>SUM(A:B!AJ30)</f>
        <v>64821</v>
      </c>
      <c r="AK30" s="65">
        <f t="shared" si="6"/>
        <v>764541</v>
      </c>
      <c r="AL30" s="73">
        <f t="shared" si="13"/>
        <v>7.9376893821564768E-4</v>
      </c>
      <c r="AM30" s="14">
        <f t="shared" si="14"/>
        <v>0.27496687348427584</v>
      </c>
    </row>
    <row r="31" spans="1:39" hidden="1" outlineLevel="1">
      <c r="A31" s="37"/>
      <c r="B31" s="39"/>
      <c r="C31" s="39"/>
      <c r="D31" s="37"/>
      <c r="E31" s="38"/>
      <c r="F31" s="37"/>
      <c r="G31" s="37"/>
      <c r="H31" s="37"/>
      <c r="I31" s="172" t="s">
        <v>132</v>
      </c>
      <c r="J31" s="65">
        <f>SUM(A:B!J31)</f>
        <v>0</v>
      </c>
      <c r="K31" s="65">
        <f>SUM(A:B!K31)</f>
        <v>0</v>
      </c>
      <c r="L31" s="65">
        <f>SUM(A:B!L31)</f>
        <v>0</v>
      </c>
      <c r="M31" s="65">
        <f>SUM(A:B!M31)</f>
        <v>0</v>
      </c>
      <c r="N31" s="65">
        <f>SUM(A:B!N31)</f>
        <v>0</v>
      </c>
      <c r="O31" s="65">
        <f>SUM(A:B!O31)</f>
        <v>0</v>
      </c>
      <c r="P31" s="65">
        <f>SUM(A:B!P31)</f>
        <v>0</v>
      </c>
      <c r="Q31" s="65">
        <f>SUM(A:B!Q31)</f>
        <v>0</v>
      </c>
      <c r="R31" s="65">
        <f>SUM(A:B!R31)</f>
        <v>0</v>
      </c>
      <c r="S31" s="65">
        <f>SUM(A:B!S31)</f>
        <v>0</v>
      </c>
      <c r="T31" s="65">
        <f>SUM(A:B!T31)</f>
        <v>0</v>
      </c>
      <c r="U31" s="65">
        <f>SUM(A:B!U31)</f>
        <v>0</v>
      </c>
      <c r="V31" s="11">
        <f t="shared" si="11"/>
        <v>0</v>
      </c>
      <c r="W31" s="73">
        <f t="shared" si="12"/>
        <v>0</v>
      </c>
      <c r="X31" s="89"/>
      <c r="Y31" s="65">
        <f>SUM(A:B!Y31)</f>
        <v>0</v>
      </c>
      <c r="Z31" s="65">
        <f>SUM(A:B!Z31)</f>
        <v>0</v>
      </c>
      <c r="AA31" s="65">
        <f>SUM(A:B!AA31)</f>
        <v>0</v>
      </c>
      <c r="AB31" s="65">
        <f>SUM(A:B!AB31)</f>
        <v>0</v>
      </c>
      <c r="AC31" s="65">
        <f>SUM(A:B!AC31)</f>
        <v>0</v>
      </c>
      <c r="AD31" s="65">
        <f>SUM(A:B!AD31)</f>
        <v>0</v>
      </c>
      <c r="AE31" s="65">
        <f>SUM(A:B!AE31)</f>
        <v>0</v>
      </c>
      <c r="AF31" s="65">
        <f>SUM(A:B!AF31)</f>
        <v>0</v>
      </c>
      <c r="AG31" s="65">
        <f>SUM(A:B!AG31)</f>
        <v>0</v>
      </c>
      <c r="AH31" s="65">
        <f>SUM(A:B!AH31)</f>
        <v>0</v>
      </c>
      <c r="AI31" s="65">
        <f>SUM(A:B!AI31)</f>
        <v>0</v>
      </c>
      <c r="AJ31" s="65">
        <f>SUM(A:B!AJ31)</f>
        <v>0</v>
      </c>
      <c r="AK31" s="65">
        <f t="shared" si="6"/>
        <v>0</v>
      </c>
      <c r="AL31" s="73">
        <f t="shared" si="13"/>
        <v>0</v>
      </c>
      <c r="AM31" s="14">
        <f t="shared" si="14"/>
        <v>0</v>
      </c>
    </row>
    <row r="32" spans="1:39" hidden="1" outlineLevel="1">
      <c r="A32" s="37"/>
      <c r="B32" s="39"/>
      <c r="C32" s="39"/>
      <c r="D32" s="37"/>
      <c r="E32" s="38"/>
      <c r="F32" s="37"/>
      <c r="G32" s="37"/>
      <c r="H32" s="37"/>
      <c r="I32" s="172" t="s">
        <v>133</v>
      </c>
      <c r="J32" s="65">
        <f>SUM(A:B!J32)</f>
        <v>0</v>
      </c>
      <c r="K32" s="65">
        <f>SUM(A:B!K32)</f>
        <v>0</v>
      </c>
      <c r="L32" s="65">
        <f>SUM(A:B!L32)</f>
        <v>0</v>
      </c>
      <c r="M32" s="65">
        <f>SUM(A:B!M32)</f>
        <v>0</v>
      </c>
      <c r="N32" s="65">
        <f>SUM(A:B!N32)</f>
        <v>0</v>
      </c>
      <c r="O32" s="65">
        <f>SUM(A:B!O32)</f>
        <v>0</v>
      </c>
      <c r="P32" s="65">
        <f>SUM(A:B!P32)</f>
        <v>0</v>
      </c>
      <c r="Q32" s="65">
        <f>SUM(A:B!Q32)</f>
        <v>0</v>
      </c>
      <c r="R32" s="65">
        <f>SUM(A:B!R32)</f>
        <v>0</v>
      </c>
      <c r="S32" s="65">
        <f>SUM(A:B!S32)</f>
        <v>0</v>
      </c>
      <c r="T32" s="65">
        <f>SUM(A:B!T32)</f>
        <v>0</v>
      </c>
      <c r="U32" s="65">
        <f>SUM(A:B!U32)</f>
        <v>0</v>
      </c>
      <c r="V32" s="11">
        <f t="shared" si="11"/>
        <v>0</v>
      </c>
      <c r="W32" s="73">
        <f t="shared" si="12"/>
        <v>0</v>
      </c>
      <c r="X32" s="89"/>
      <c r="Y32" s="65">
        <f>SUM(A:B!Y32)</f>
        <v>0</v>
      </c>
      <c r="Z32" s="65">
        <f>SUM(A:B!Z32)</f>
        <v>0</v>
      </c>
      <c r="AA32" s="65">
        <f>SUM(A:B!AA32)</f>
        <v>0</v>
      </c>
      <c r="AB32" s="65">
        <f>SUM(A:B!AB32)</f>
        <v>0</v>
      </c>
      <c r="AC32" s="65">
        <f>SUM(A:B!AC32)</f>
        <v>0</v>
      </c>
      <c r="AD32" s="65">
        <f>SUM(A:B!AD32)</f>
        <v>0</v>
      </c>
      <c r="AE32" s="65">
        <f>SUM(A:B!AE32)</f>
        <v>0</v>
      </c>
      <c r="AF32" s="65">
        <f>SUM(A:B!AF32)</f>
        <v>0</v>
      </c>
      <c r="AG32" s="65">
        <f>SUM(A:B!AG32)</f>
        <v>0</v>
      </c>
      <c r="AH32" s="65">
        <f>SUM(A:B!AH32)</f>
        <v>0</v>
      </c>
      <c r="AI32" s="65">
        <f>SUM(A:B!AI32)</f>
        <v>0</v>
      </c>
      <c r="AJ32" s="65">
        <f>SUM(A:B!AJ32)</f>
        <v>0</v>
      </c>
      <c r="AK32" s="65">
        <f t="shared" si="6"/>
        <v>0</v>
      </c>
      <c r="AL32" s="73">
        <f t="shared" si="13"/>
        <v>0</v>
      </c>
      <c r="AM32" s="14">
        <f t="shared" si="14"/>
        <v>0</v>
      </c>
    </row>
    <row r="33" spans="1:41" hidden="1" outlineLevel="1">
      <c r="A33" s="37"/>
      <c r="B33" s="39"/>
      <c r="C33" s="39"/>
      <c r="D33" s="37"/>
      <c r="E33" s="38"/>
      <c r="F33" s="37"/>
      <c r="G33" s="37"/>
      <c r="H33" s="37"/>
      <c r="I33" s="172" t="s">
        <v>134</v>
      </c>
      <c r="J33" s="65">
        <f>SUM(A:B!J33)</f>
        <v>0</v>
      </c>
      <c r="K33" s="65">
        <f>SUM(A:B!K33)</f>
        <v>0</v>
      </c>
      <c r="L33" s="65">
        <f>SUM(A:B!L33)</f>
        <v>0</v>
      </c>
      <c r="M33" s="65">
        <f>SUM(A:B!M33)</f>
        <v>0</v>
      </c>
      <c r="N33" s="65">
        <f>SUM(A:B!N33)</f>
        <v>0</v>
      </c>
      <c r="O33" s="65">
        <f>SUM(A:B!O33)</f>
        <v>0</v>
      </c>
      <c r="P33" s="65">
        <f>SUM(A:B!P33)</f>
        <v>0</v>
      </c>
      <c r="Q33" s="65">
        <f>SUM(A:B!Q33)</f>
        <v>0</v>
      </c>
      <c r="R33" s="65">
        <f>SUM(A:B!R33)</f>
        <v>0</v>
      </c>
      <c r="S33" s="65">
        <f>SUM(A:B!S33)</f>
        <v>0</v>
      </c>
      <c r="T33" s="65">
        <f>SUM(A:B!T33)</f>
        <v>0</v>
      </c>
      <c r="U33" s="65">
        <f>SUM(A:B!U33)</f>
        <v>0</v>
      </c>
      <c r="V33" s="11">
        <f t="shared" si="11"/>
        <v>0</v>
      </c>
      <c r="W33" s="73">
        <f t="shared" si="12"/>
        <v>0</v>
      </c>
      <c r="X33" s="89"/>
      <c r="Y33" s="65">
        <f>SUM(A:B!Y33)</f>
        <v>0</v>
      </c>
      <c r="Z33" s="65">
        <f>SUM(A:B!Z33)</f>
        <v>0</v>
      </c>
      <c r="AA33" s="65">
        <f>SUM(A:B!AA33)</f>
        <v>0</v>
      </c>
      <c r="AB33" s="65">
        <f>SUM(A:B!AB33)</f>
        <v>0</v>
      </c>
      <c r="AC33" s="65">
        <f>SUM(A:B!AC33)</f>
        <v>0</v>
      </c>
      <c r="AD33" s="65">
        <f>SUM(A:B!AD33)</f>
        <v>0</v>
      </c>
      <c r="AE33" s="65">
        <f>SUM(A:B!AE33)</f>
        <v>0</v>
      </c>
      <c r="AF33" s="65">
        <f>SUM(A:B!AF33)</f>
        <v>0</v>
      </c>
      <c r="AG33" s="65">
        <f>SUM(A:B!AG33)</f>
        <v>0</v>
      </c>
      <c r="AH33" s="65">
        <f>SUM(A:B!AH33)</f>
        <v>0</v>
      </c>
      <c r="AI33" s="65">
        <f>SUM(A:B!AI33)</f>
        <v>0</v>
      </c>
      <c r="AJ33" s="65">
        <f>SUM(A:B!AJ33)</f>
        <v>0</v>
      </c>
      <c r="AK33" s="65">
        <f t="shared" si="6"/>
        <v>0</v>
      </c>
      <c r="AL33" s="73">
        <f t="shared" si="13"/>
        <v>0</v>
      </c>
      <c r="AM33" s="14">
        <f t="shared" si="14"/>
        <v>0</v>
      </c>
    </row>
    <row r="34" spans="1:41" ht="15.6" collapsed="1">
      <c r="I34" s="36" t="s">
        <v>135</v>
      </c>
      <c r="J34" s="35">
        <f t="shared" ref="J34:V34" si="15">J6-J13</f>
        <v>9669373</v>
      </c>
      <c r="K34" s="35">
        <f t="shared" si="15"/>
        <v>10402424</v>
      </c>
      <c r="L34" s="35">
        <f t="shared" si="15"/>
        <v>10631948</v>
      </c>
      <c r="M34" s="35">
        <f t="shared" si="15"/>
        <v>10175079</v>
      </c>
      <c r="N34" s="35">
        <f t="shared" si="15"/>
        <v>12471677</v>
      </c>
      <c r="O34" s="35">
        <f t="shared" si="15"/>
        <v>10899375</v>
      </c>
      <c r="P34" s="35">
        <f t="shared" si="15"/>
        <v>10241103</v>
      </c>
      <c r="Q34" s="35">
        <f t="shared" si="15"/>
        <v>9298189</v>
      </c>
      <c r="R34" s="228">
        <f t="shared" ref="R34:V34" si="16">SUM(R35:R38)</f>
        <v>10146221.666666666</v>
      </c>
      <c r="S34" s="228">
        <f t="shared" si="16"/>
        <v>9895170.222222222</v>
      </c>
      <c r="T34" s="228">
        <f t="shared" si="16"/>
        <v>9779860.6296296306</v>
      </c>
      <c r="U34" s="228">
        <f t="shared" si="16"/>
        <v>9940417.5061728414</v>
      </c>
      <c r="V34" s="228">
        <f t="shared" si="16"/>
        <v>123550831.02469137</v>
      </c>
      <c r="W34" s="73">
        <f t="shared" si="2"/>
        <v>0.13786633475727084</v>
      </c>
      <c r="X34" s="89"/>
      <c r="Y34" s="35">
        <f t="shared" ref="Y34:AK34" si="17">Y6-Y13</f>
        <v>9567238.3699999899</v>
      </c>
      <c r="Z34" s="35">
        <f t="shared" si="17"/>
        <v>9309837.040000014</v>
      </c>
      <c r="AA34" s="35">
        <f t="shared" si="17"/>
        <v>10644012.269999988</v>
      </c>
      <c r="AB34" s="35">
        <f t="shared" si="17"/>
        <v>9460298.7500000149</v>
      </c>
      <c r="AC34" s="35">
        <f t="shared" si="17"/>
        <v>11557009.789999992</v>
      </c>
      <c r="AD34" s="35">
        <f t="shared" si="17"/>
        <v>10797114.99000001</v>
      </c>
      <c r="AE34" s="35">
        <f t="shared" si="17"/>
        <v>10656188.980000004</v>
      </c>
      <c r="AF34" s="35">
        <f t="shared" si="17"/>
        <v>10997031.559999987</v>
      </c>
      <c r="AG34" s="35">
        <f t="shared" si="17"/>
        <v>10537604.570000008</v>
      </c>
      <c r="AH34" s="35">
        <f t="shared" si="17"/>
        <v>10866991.450000003</v>
      </c>
      <c r="AI34" s="35">
        <f t="shared" si="17"/>
        <v>10292988.379999995</v>
      </c>
      <c r="AJ34" s="35">
        <f t="shared" si="17"/>
        <v>9613814.9399999976</v>
      </c>
      <c r="AK34" s="35">
        <f t="shared" si="17"/>
        <v>124300131.09000003</v>
      </c>
      <c r="AL34" s="73">
        <f t="shared" si="4"/>
        <v>0.12905204962896058</v>
      </c>
      <c r="AM34" s="34">
        <f t="shared" si="7"/>
        <v>6.0647108489211288E-3</v>
      </c>
    </row>
    <row r="35" spans="1:41" hidden="1" outlineLevel="1">
      <c r="I35" s="31" t="s">
        <v>136</v>
      </c>
      <c r="J35" s="30">
        <f>SUM(A:B!J35)</f>
        <v>7104474</v>
      </c>
      <c r="K35" s="30">
        <f>SUM(A:B!K35)</f>
        <v>8071504</v>
      </c>
      <c r="L35" s="30">
        <f>SUM(A:B!L35)</f>
        <v>7943183</v>
      </c>
      <c r="M35" s="30">
        <f>SUM(A:B!M35)</f>
        <v>7764090</v>
      </c>
      <c r="N35" s="30">
        <f>SUM(A:B!N35)</f>
        <v>9629979</v>
      </c>
      <c r="O35" s="30">
        <f>SUM(A:B!O35)</f>
        <v>8207647</v>
      </c>
      <c r="P35" s="30">
        <f>SUM(A:B!P35)</f>
        <v>7712661</v>
      </c>
      <c r="Q35" s="30">
        <f>SUM(A:B!Q35)</f>
        <v>7297471</v>
      </c>
      <c r="R35" s="30">
        <f>+AVERAGE(O35:Q35)</f>
        <v>7739259.666666667</v>
      </c>
      <c r="S35" s="30">
        <f t="shared" ref="S35:U35" si="18">+AVERAGE(P35:R35)</f>
        <v>7583130.555555556</v>
      </c>
      <c r="T35" s="30">
        <f t="shared" si="18"/>
        <v>7539953.7407407416</v>
      </c>
      <c r="U35" s="30">
        <f t="shared" si="18"/>
        <v>7620781.3209876558</v>
      </c>
      <c r="V35" s="32">
        <f t="shared" ref="V35:V42" si="19">SUM(J35:U35)</f>
        <v>94214134.283950627</v>
      </c>
      <c r="W35" s="74">
        <f>V35/V$39</f>
        <v>1.9712255602389099</v>
      </c>
      <c r="X35" s="90"/>
      <c r="Y35" s="30">
        <f>SUM(A:B!Y35)</f>
        <v>7411184.129999999</v>
      </c>
      <c r="Z35" s="30">
        <f>SUM(A:B!Z35)</f>
        <v>7234815.6799999997</v>
      </c>
      <c r="AA35" s="30">
        <f>SUM(A:B!AA35)</f>
        <v>8316678.4299999997</v>
      </c>
      <c r="AB35" s="30">
        <f>SUM(A:B!AB35)</f>
        <v>7358119.8300000001</v>
      </c>
      <c r="AC35" s="30">
        <f>SUM(A:B!AC35)</f>
        <v>9150006.6399999987</v>
      </c>
      <c r="AD35" s="30">
        <f>SUM(A:B!AD35)</f>
        <v>8356810.75</v>
      </c>
      <c r="AE35" s="30">
        <f>SUM(A:B!AE35)</f>
        <v>8232971.9700000007</v>
      </c>
      <c r="AF35" s="30">
        <f>SUM(A:B!AF35)</f>
        <v>8715834.2300000004</v>
      </c>
      <c r="AG35" s="30">
        <f>SUM(A:B!AG35)</f>
        <v>8217935.080000001</v>
      </c>
      <c r="AH35" s="30">
        <f>SUM(A:B!AH35)</f>
        <v>8530127.0700000003</v>
      </c>
      <c r="AI35" s="30">
        <f>SUM(A:B!AI35)</f>
        <v>8047607.4100000001</v>
      </c>
      <c r="AJ35" s="30">
        <f>SUM(A:B!AJ35)</f>
        <v>7528052.580000001</v>
      </c>
      <c r="AK35" s="30">
        <f t="shared" ref="AK35:AK42" si="20">SUM(Y35:AJ35)</f>
        <v>97100143.799999997</v>
      </c>
      <c r="AL35" s="74">
        <f>AK35/AK$39</f>
        <v>1.9585461275757945</v>
      </c>
      <c r="AM35" s="29">
        <f>IFERROR(AK35/V35-1,0)</f>
        <v>3.063244743459892E-2</v>
      </c>
    </row>
    <row r="36" spans="1:41" hidden="1" outlineLevel="1">
      <c r="I36" s="31" t="s">
        <v>137</v>
      </c>
      <c r="J36" s="30">
        <f>SUM(A:B!J36)</f>
        <v>813291</v>
      </c>
      <c r="K36" s="30">
        <f>SUM(A:B!K36)</f>
        <v>929738</v>
      </c>
      <c r="L36" s="30">
        <f>SUM(A:B!L36)</f>
        <v>1096634</v>
      </c>
      <c r="M36" s="30">
        <f>SUM(A:B!M36)</f>
        <v>1046417</v>
      </c>
      <c r="N36" s="30">
        <f>SUM(A:B!N36)</f>
        <v>1174426</v>
      </c>
      <c r="O36" s="30">
        <f>SUM(A:B!O36)</f>
        <v>1161608</v>
      </c>
      <c r="P36" s="30">
        <f>SUM(A:B!P36)</f>
        <v>984047</v>
      </c>
      <c r="Q36" s="30">
        <f>SUM(A:B!Q36)</f>
        <v>581170</v>
      </c>
      <c r="R36" s="30">
        <f t="shared" ref="R36:U36" si="21">+AVERAGE(O36:Q36)</f>
        <v>908941.66666666663</v>
      </c>
      <c r="S36" s="30">
        <f t="shared" si="21"/>
        <v>824719.5555555555</v>
      </c>
      <c r="T36" s="30">
        <f t="shared" si="21"/>
        <v>771610.4074074073</v>
      </c>
      <c r="U36" s="30">
        <f t="shared" si="21"/>
        <v>835090.5432098764</v>
      </c>
      <c r="V36" s="32">
        <f t="shared" si="19"/>
        <v>11127693.172839506</v>
      </c>
      <c r="W36" s="74">
        <f>V36/V$39</f>
        <v>0.23282274337613806</v>
      </c>
      <c r="X36" s="90"/>
      <c r="Y36" s="30">
        <f>SUM(A:B!Y36)</f>
        <v>701224.92</v>
      </c>
      <c r="Z36" s="30">
        <f>SUM(A:B!Z36)</f>
        <v>720412.16000000003</v>
      </c>
      <c r="AA36" s="30">
        <f>SUM(A:B!AA36)</f>
        <v>819315.8899999999</v>
      </c>
      <c r="AB36" s="30">
        <f>SUM(A:B!AB36)</f>
        <v>754550.32</v>
      </c>
      <c r="AC36" s="30">
        <f>SUM(A:B!AC36)</f>
        <v>871028.95</v>
      </c>
      <c r="AD36" s="30">
        <f>SUM(A:B!AD36)</f>
        <v>924681.99</v>
      </c>
      <c r="AE36" s="30">
        <f>SUM(A:B!AE36)</f>
        <v>851275.85999999987</v>
      </c>
      <c r="AF36" s="30">
        <f>SUM(A:B!AF36)</f>
        <v>883838.64999999991</v>
      </c>
      <c r="AG36" s="30">
        <f>SUM(A:B!AG36)</f>
        <v>851234.03</v>
      </c>
      <c r="AH36" s="30">
        <f>SUM(A:B!AH36)</f>
        <v>816664.1399999999</v>
      </c>
      <c r="AI36" s="30">
        <f>SUM(A:B!AI36)</f>
        <v>776675.96999999986</v>
      </c>
      <c r="AJ36" s="30">
        <f>SUM(A:B!AJ36)</f>
        <v>732685.83</v>
      </c>
      <c r="AK36" s="30">
        <f t="shared" si="20"/>
        <v>9703588.7100000009</v>
      </c>
      <c r="AL36" s="74">
        <f>AK36/AK$39</f>
        <v>0.19572500459632378</v>
      </c>
      <c r="AM36" s="29">
        <f>IFERROR(AK36/V36-1,0)</f>
        <v>-0.1279784085272464</v>
      </c>
    </row>
    <row r="37" spans="1:41" hidden="1" outlineLevel="1">
      <c r="I37" s="31" t="s">
        <v>138</v>
      </c>
      <c r="J37" s="30">
        <f>SUM(A:B!J37)</f>
        <v>1749533</v>
      </c>
      <c r="K37" s="30">
        <f>SUM(A:B!K37)</f>
        <v>1382005</v>
      </c>
      <c r="L37" s="30">
        <f>SUM(A:B!L37)</f>
        <v>1580760</v>
      </c>
      <c r="M37" s="30">
        <f>SUM(A:B!M37)</f>
        <v>1350095</v>
      </c>
      <c r="N37" s="30">
        <f>SUM(A:B!N37)</f>
        <v>1651925</v>
      </c>
      <c r="O37" s="30">
        <f>SUM(A:B!O37)</f>
        <v>1515260</v>
      </c>
      <c r="P37" s="30">
        <f>SUM(A:B!P37)</f>
        <v>1531075</v>
      </c>
      <c r="Q37" s="30">
        <f>SUM(A:B!Q37)</f>
        <v>1405577</v>
      </c>
      <c r="R37" s="30">
        <f t="shared" ref="R37:U37" si="22">+AVERAGE(O37:Q37)</f>
        <v>1483970.6666666667</v>
      </c>
      <c r="S37" s="30">
        <f t="shared" si="22"/>
        <v>1473540.888888889</v>
      </c>
      <c r="T37" s="30">
        <f t="shared" si="22"/>
        <v>1454362.8518518519</v>
      </c>
      <c r="U37" s="30">
        <f t="shared" si="22"/>
        <v>1470624.802469136</v>
      </c>
      <c r="V37" s="32">
        <f t="shared" si="19"/>
        <v>18048729.209876545</v>
      </c>
      <c r="W37" s="74">
        <f>V37/V$39</f>
        <v>0.37763034834148024</v>
      </c>
      <c r="X37" s="90"/>
      <c r="Y37" s="30">
        <f>SUM(A:B!Y37)</f>
        <v>1443633.3199999998</v>
      </c>
      <c r="Z37" s="30">
        <f>SUM(A:B!Z37)</f>
        <v>1343809.2</v>
      </c>
      <c r="AA37" s="30">
        <f>SUM(A:B!AA37)</f>
        <v>1493698.95</v>
      </c>
      <c r="AB37" s="30">
        <f>SUM(A:B!AB37)</f>
        <v>1337170.5999999999</v>
      </c>
      <c r="AC37" s="30">
        <f>SUM(A:B!AC37)</f>
        <v>1524607.2</v>
      </c>
      <c r="AD37" s="30">
        <f>SUM(A:B!AD37)</f>
        <v>1504957.25</v>
      </c>
      <c r="AE37" s="30">
        <f>SUM(A:B!AE37)</f>
        <v>1561186.15</v>
      </c>
      <c r="AF37" s="30">
        <f>SUM(A:B!AF37)</f>
        <v>1387071.6800000002</v>
      </c>
      <c r="AG37" s="30">
        <f>SUM(A:B!AG37)</f>
        <v>1458031.4600000002</v>
      </c>
      <c r="AH37" s="30">
        <f>SUM(A:B!AH37)</f>
        <v>1508752.2399999998</v>
      </c>
      <c r="AI37" s="30">
        <f>SUM(A:B!AI37)</f>
        <v>1456924</v>
      </c>
      <c r="AJ37" s="30">
        <f>SUM(A:B!AJ37)</f>
        <v>1341637.53</v>
      </c>
      <c r="AK37" s="30">
        <f t="shared" si="20"/>
        <v>17361479.580000002</v>
      </c>
      <c r="AL37" s="74">
        <f>AK37/AK$39</f>
        <v>0.3501875205296579</v>
      </c>
      <c r="AM37" s="29">
        <f>IFERROR(AK37/V37-1,0)</f>
        <v>-3.8077452538900602E-2</v>
      </c>
    </row>
    <row r="38" spans="1:41" ht="14.25" hidden="1" customHeight="1" outlineLevel="1">
      <c r="I38" s="31" t="s">
        <v>139</v>
      </c>
      <c r="J38" s="30">
        <f>SUM(A:B!J38)</f>
        <v>2073</v>
      </c>
      <c r="K38" s="30">
        <f>SUM(A:B!K38)</f>
        <v>19180</v>
      </c>
      <c r="L38" s="30">
        <f>SUM(A:B!L38)</f>
        <v>11371</v>
      </c>
      <c r="M38" s="30">
        <f>SUM(A:B!M38)</f>
        <v>14475</v>
      </c>
      <c r="N38" s="30">
        <f>SUM(A:B!N38)</f>
        <v>15343</v>
      </c>
      <c r="O38" s="30">
        <f>SUM(A:B!O38)</f>
        <v>14861</v>
      </c>
      <c r="P38" s="30">
        <f>SUM(A:B!P38)</f>
        <v>13316</v>
      </c>
      <c r="Q38" s="30">
        <f>SUM(A:B!Q38)</f>
        <v>13972</v>
      </c>
      <c r="R38" s="30">
        <f t="shared" ref="R38:U38" si="23">+AVERAGE(O38:Q38)</f>
        <v>14049.666666666666</v>
      </c>
      <c r="S38" s="30">
        <f t="shared" si="23"/>
        <v>13779.222222222221</v>
      </c>
      <c r="T38" s="30">
        <f>+AVERAGE(Q38:S38)</f>
        <v>13933.629629629628</v>
      </c>
      <c r="U38" s="30">
        <f t="shared" si="23"/>
        <v>13920.839506172837</v>
      </c>
      <c r="V38" s="32">
        <f t="shared" si="19"/>
        <v>160274.35802469138</v>
      </c>
      <c r="W38" s="74">
        <f t="shared" ref="W38:W46" si="24">V38/V$39</f>
        <v>3.353391861957317E-3</v>
      </c>
      <c r="X38" s="90"/>
      <c r="Y38" s="30">
        <f>SUM(A:B!Y38)</f>
        <v>11196</v>
      </c>
      <c r="Z38" s="30">
        <f>SUM(A:B!Z38)</f>
        <v>10800</v>
      </c>
      <c r="AA38" s="30">
        <f>SUM(A:B!AA38)</f>
        <v>14319</v>
      </c>
      <c r="AB38" s="30">
        <f>SUM(A:B!AB38)</f>
        <v>10458</v>
      </c>
      <c r="AC38" s="30">
        <f>SUM(A:B!AC38)</f>
        <v>11367</v>
      </c>
      <c r="AD38" s="30">
        <f>SUM(A:B!AD38)</f>
        <v>10665</v>
      </c>
      <c r="AE38" s="30">
        <f>SUM(A:B!AE38)</f>
        <v>10755</v>
      </c>
      <c r="AF38" s="30">
        <f>SUM(A:B!AF38)</f>
        <v>10287</v>
      </c>
      <c r="AG38" s="30">
        <f>SUM(A:B!AG38)</f>
        <v>10404</v>
      </c>
      <c r="AH38" s="30">
        <f>SUM(A:B!AH38)</f>
        <v>11448</v>
      </c>
      <c r="AI38" s="30">
        <f>SUM(A:B!AI38)</f>
        <v>11781</v>
      </c>
      <c r="AJ38" s="30">
        <f>SUM(A:B!AJ38)</f>
        <v>11439</v>
      </c>
      <c r="AK38" s="30">
        <f t="shared" si="20"/>
        <v>134919</v>
      </c>
      <c r="AL38" s="74">
        <f t="shared" ref="AL38:AL46" si="25">AK38/AK$39</f>
        <v>2.7213665669813211E-3</v>
      </c>
      <c r="AM38" s="29">
        <f>IFERROR(AK38/V38-1,0)</f>
        <v>-0.15819971664328991</v>
      </c>
    </row>
    <row r="39" spans="1:41" ht="15" collapsed="1">
      <c r="I39" s="18" t="s">
        <v>140</v>
      </c>
      <c r="J39" s="33">
        <f>SUM(A:B!J39)</f>
        <v>3700569</v>
      </c>
      <c r="K39" s="33">
        <f>SUM(A:B!K39)</f>
        <v>3632738</v>
      </c>
      <c r="L39" s="33">
        <f>SUM(A:B!L39)</f>
        <v>3988189</v>
      </c>
      <c r="M39" s="33">
        <f>SUM(A:B!M39)</f>
        <v>3743720</v>
      </c>
      <c r="N39" s="33">
        <f>SUM(A:B!N39)</f>
        <v>4276090</v>
      </c>
      <c r="O39" s="33">
        <f>SUM(A:B!O39)</f>
        <v>4259792</v>
      </c>
      <c r="P39" s="33">
        <f>SUM(A:B!P39)</f>
        <v>4201852</v>
      </c>
      <c r="Q39" s="33">
        <f>SUM(A:B!Q39)</f>
        <v>3874166</v>
      </c>
      <c r="R39" s="33">
        <f>SUM(A:B!R39)</f>
        <v>3936481</v>
      </c>
      <c r="S39" s="33">
        <f>SUM(A:B!S39)</f>
        <v>4261827</v>
      </c>
      <c r="T39" s="33">
        <f>SUM(A:B!T39)</f>
        <v>4068566</v>
      </c>
      <c r="U39" s="33">
        <f>SUM(A:B!U39)</f>
        <v>3850710</v>
      </c>
      <c r="V39" s="33">
        <f>SUM(A:B!V39)</f>
        <v>47794700</v>
      </c>
      <c r="W39" s="74">
        <f t="shared" si="24"/>
        <v>1</v>
      </c>
      <c r="X39" s="90"/>
      <c r="Y39" s="33">
        <f>SUM(A:B!Y39)</f>
        <v>3821480</v>
      </c>
      <c r="Z39" s="33">
        <f>SUM(A:B!Z39)</f>
        <v>3748758</v>
      </c>
      <c r="AA39" s="33">
        <f>SUM(A:B!AA39)</f>
        <v>4114391</v>
      </c>
      <c r="AB39" s="33">
        <f>SUM(A:B!AB39)</f>
        <v>3870153</v>
      </c>
      <c r="AC39" s="33">
        <f>SUM(A:B!AC39)</f>
        <v>4414525</v>
      </c>
      <c r="AD39" s="33">
        <f>SUM(A:B!AD39)</f>
        <v>4346815</v>
      </c>
      <c r="AE39" s="33">
        <f>SUM(A:B!AE39)</f>
        <v>4282241</v>
      </c>
      <c r="AF39" s="33">
        <f>SUM(A:B!AF39)</f>
        <v>4339623</v>
      </c>
      <c r="AG39" s="33">
        <f>SUM(A:B!AG39)</f>
        <v>4244920</v>
      </c>
      <c r="AH39" s="33">
        <f>SUM(A:B!AH39)</f>
        <v>4309564</v>
      </c>
      <c r="AI39" s="33">
        <f>SUM(A:B!AI39)</f>
        <v>4159855</v>
      </c>
      <c r="AJ39" s="33">
        <f>SUM(A:B!AJ39)</f>
        <v>3925340</v>
      </c>
      <c r="AK39" s="33">
        <f t="shared" si="20"/>
        <v>49577665</v>
      </c>
      <c r="AL39" s="74">
        <f t="shared" si="25"/>
        <v>1</v>
      </c>
      <c r="AM39" s="16">
        <f>IFERROR(AK39/V39-1,0)</f>
        <v>3.7304659303228238E-2</v>
      </c>
      <c r="AN39" s="3"/>
    </row>
    <row r="40" spans="1:41" hidden="1" outlineLevel="1">
      <c r="E40" s="127"/>
      <c r="I40" s="31" t="s">
        <v>141</v>
      </c>
      <c r="J40" s="30">
        <f>SUM(A:B!J40)</f>
        <v>2902809</v>
      </c>
      <c r="K40" s="30">
        <f>SUM(A:B!K40)</f>
        <v>2857785</v>
      </c>
      <c r="L40" s="30">
        <f>SUM(A:B!L40)</f>
        <v>3134970</v>
      </c>
      <c r="M40" s="30">
        <f>SUM(A:B!M40)</f>
        <v>2960554</v>
      </c>
      <c r="N40" s="30">
        <f>SUM(A:B!N40)</f>
        <v>3367706</v>
      </c>
      <c r="O40" s="30">
        <f>SUM(A:B!O40)</f>
        <v>3288023</v>
      </c>
      <c r="P40" s="30">
        <f>SUM(A:B!P40)</f>
        <v>3234223</v>
      </c>
      <c r="Q40" s="30">
        <f>SUM(A:B!Q40)</f>
        <v>3091988</v>
      </c>
      <c r="R40" s="30">
        <f>SUM(A:B!R40)</f>
        <v>3083493</v>
      </c>
      <c r="S40" s="30">
        <f>SUM(A:B!S40)</f>
        <v>3317420</v>
      </c>
      <c r="T40" s="30">
        <f>SUM(A:B!T40)</f>
        <v>3181610</v>
      </c>
      <c r="U40" s="30">
        <f>SUM(A:B!U40)</f>
        <v>3012428</v>
      </c>
      <c r="V40" s="32">
        <f t="shared" si="19"/>
        <v>37433009</v>
      </c>
      <c r="W40" s="74">
        <f t="shared" si="24"/>
        <v>0.78320418372748446</v>
      </c>
      <c r="X40" s="90"/>
      <c r="Y40" s="30">
        <f>SUM(A:B!Y40)</f>
        <v>2952663</v>
      </c>
      <c r="Z40" s="30">
        <f>SUM(A:B!Z40)</f>
        <v>2902741</v>
      </c>
      <c r="AA40" s="30">
        <f>SUM(A:B!AA40)</f>
        <v>3197079</v>
      </c>
      <c r="AB40" s="30">
        <f>SUM(A:B!AB40)</f>
        <v>3008559</v>
      </c>
      <c r="AC40" s="30">
        <f>SUM(A:B!AC40)</f>
        <v>3462421</v>
      </c>
      <c r="AD40" s="30">
        <f>SUM(A:B!AD40)</f>
        <v>3368996</v>
      </c>
      <c r="AE40" s="30">
        <f>SUM(A:B!AE40)</f>
        <v>3306021</v>
      </c>
      <c r="AF40" s="30">
        <f>SUM(A:B!AF40)</f>
        <v>3423794</v>
      </c>
      <c r="AG40" s="30">
        <f>SUM(A:B!AG40)</f>
        <v>3315072</v>
      </c>
      <c r="AH40" s="30">
        <f>SUM(A:B!AH40)</f>
        <v>3373834</v>
      </c>
      <c r="AI40" s="30">
        <f>SUM(A:B!AI40)</f>
        <v>3253255</v>
      </c>
      <c r="AJ40" s="30">
        <f>SUM(A:B!AJ40)</f>
        <v>3071369</v>
      </c>
      <c r="AK40" s="32">
        <f t="shared" si="20"/>
        <v>38635804</v>
      </c>
      <c r="AL40" s="74">
        <f t="shared" si="25"/>
        <v>0.77929858132689389</v>
      </c>
      <c r="AM40" s="29">
        <f t="shared" si="7"/>
        <v>3.2131934678294227E-2</v>
      </c>
    </row>
    <row r="41" spans="1:41" hidden="1" outlineLevel="1">
      <c r="E41" s="127"/>
      <c r="I41" s="31" t="s">
        <v>142</v>
      </c>
      <c r="J41" s="30">
        <f>SUM(A:B!J41)</f>
        <v>271069</v>
      </c>
      <c r="K41" s="30">
        <f>SUM(A:B!K41)</f>
        <v>279451</v>
      </c>
      <c r="L41" s="30">
        <f>SUM(A:B!L41)</f>
        <v>310795</v>
      </c>
      <c r="M41" s="30">
        <f>SUM(A:B!M41)</f>
        <v>292788</v>
      </c>
      <c r="N41" s="30">
        <f>SUM(A:B!N41)</f>
        <v>333910</v>
      </c>
      <c r="O41" s="30">
        <f>SUM(A:B!O41)</f>
        <v>349797</v>
      </c>
      <c r="P41" s="30">
        <f>SUM(A:B!P41)</f>
        <v>334339</v>
      </c>
      <c r="Q41" s="30">
        <f>SUM(A:B!Q41)</f>
        <v>236040</v>
      </c>
      <c r="R41" s="30">
        <f>SUM(A:B!R41)</f>
        <v>275117</v>
      </c>
      <c r="S41" s="30">
        <f>SUM(A:B!S41)</f>
        <v>321116</v>
      </c>
      <c r="T41" s="30">
        <f>SUM(A:B!T41)</f>
        <v>301876</v>
      </c>
      <c r="U41" s="30">
        <f>SUM(A:B!U41)</f>
        <v>286641</v>
      </c>
      <c r="V41" s="32">
        <f t="shared" si="19"/>
        <v>3592939</v>
      </c>
      <c r="W41" s="74">
        <f t="shared" si="24"/>
        <v>7.5174423105490773E-2</v>
      </c>
      <c r="X41" s="90"/>
      <c r="Y41" s="30">
        <f>SUM(A:B!Y41)</f>
        <v>277164</v>
      </c>
      <c r="Z41" s="30">
        <f>SUM(A:B!Z41)</f>
        <v>283847</v>
      </c>
      <c r="AA41" s="30">
        <f>SUM(A:B!AA41)</f>
        <v>317230</v>
      </c>
      <c r="AB41" s="30">
        <f>SUM(A:B!AB41)</f>
        <v>298246</v>
      </c>
      <c r="AC41" s="30">
        <f>SUM(A:B!AC41)</f>
        <v>344135</v>
      </c>
      <c r="AD41" s="30">
        <f>SUM(A:B!AD41)</f>
        <v>360055</v>
      </c>
      <c r="AE41" s="30">
        <f>SUM(A:B!AE41)</f>
        <v>342401</v>
      </c>
      <c r="AF41" s="30">
        <f>SUM(A:B!AF41)</f>
        <v>347357</v>
      </c>
      <c r="AG41" s="30">
        <f>SUM(A:B!AG41)</f>
        <v>339416</v>
      </c>
      <c r="AH41" s="30">
        <f>SUM(A:B!AH41)</f>
        <v>320848</v>
      </c>
      <c r="AI41" s="30">
        <f>SUM(A:B!AI41)</f>
        <v>309500</v>
      </c>
      <c r="AJ41" s="30">
        <f>SUM(A:B!AJ41)</f>
        <v>292325</v>
      </c>
      <c r="AK41" s="32">
        <f t="shared" si="20"/>
        <v>3832524</v>
      </c>
      <c r="AL41" s="74">
        <f t="shared" si="25"/>
        <v>7.7303438957845236E-2</v>
      </c>
      <c r="AM41" s="29">
        <f t="shared" si="7"/>
        <v>6.6682178573028938E-2</v>
      </c>
    </row>
    <row r="42" spans="1:41" hidden="1" outlineLevel="1">
      <c r="E42" s="127"/>
      <c r="I42" s="31" t="s">
        <v>143</v>
      </c>
      <c r="J42" s="30">
        <f>SUM(A:B!J42)</f>
        <v>526691</v>
      </c>
      <c r="K42" s="30">
        <f>SUM(A:B!K42)</f>
        <v>495501</v>
      </c>
      <c r="L42" s="30">
        <f>SUM(A:B!L42)</f>
        <v>542424</v>
      </c>
      <c r="M42" s="30">
        <f>SUM(A:B!M42)</f>
        <v>490379</v>
      </c>
      <c r="N42" s="30">
        <f>SUM(A:B!N42)</f>
        <v>574474</v>
      </c>
      <c r="O42" s="30">
        <f>SUM(A:B!O42)</f>
        <v>621973</v>
      </c>
      <c r="P42" s="30">
        <f>SUM(A:B!P42)</f>
        <v>633290</v>
      </c>
      <c r="Q42" s="30">
        <f>SUM(A:B!Q42)</f>
        <v>546137</v>
      </c>
      <c r="R42" s="30">
        <f>SUM(A:B!R42)</f>
        <v>577870</v>
      </c>
      <c r="S42" s="30">
        <f>SUM(A:B!S42)</f>
        <v>623291</v>
      </c>
      <c r="T42" s="30">
        <f>SUM(A:B!T42)</f>
        <v>585080</v>
      </c>
      <c r="U42" s="30">
        <f>SUM(A:B!U42)</f>
        <v>551641</v>
      </c>
      <c r="V42" s="32">
        <f t="shared" si="19"/>
        <v>6768751</v>
      </c>
      <c r="W42" s="74">
        <f t="shared" si="24"/>
        <v>0.14162137224420282</v>
      </c>
      <c r="X42" s="90"/>
      <c r="Y42" s="30">
        <f>SUM(A:B!Y42)</f>
        <v>591653</v>
      </c>
      <c r="Z42" s="30">
        <f>SUM(A:B!Z42)</f>
        <v>562170</v>
      </c>
      <c r="AA42" s="30">
        <f>SUM(A:B!AA42)</f>
        <v>600082</v>
      </c>
      <c r="AB42" s="30">
        <f>SUM(A:B!AB42)</f>
        <v>563348</v>
      </c>
      <c r="AC42" s="30">
        <f>SUM(A:B!AC42)</f>
        <v>607969</v>
      </c>
      <c r="AD42" s="30">
        <f>SUM(A:B!AD42)</f>
        <v>617764</v>
      </c>
      <c r="AE42" s="30">
        <f>SUM(A:B!AE42)</f>
        <v>633819</v>
      </c>
      <c r="AF42" s="30">
        <f>SUM(A:B!AF42)</f>
        <v>568472</v>
      </c>
      <c r="AG42" s="30">
        <f>SUM(A:B!AG42)</f>
        <v>590432</v>
      </c>
      <c r="AH42" s="30">
        <f>SUM(A:B!AH42)</f>
        <v>614882</v>
      </c>
      <c r="AI42" s="30">
        <f>SUM(A:B!AI42)</f>
        <v>597100</v>
      </c>
      <c r="AJ42" s="30">
        <f>SUM(A:B!AJ42)</f>
        <v>561646</v>
      </c>
      <c r="AK42" s="32">
        <f t="shared" si="20"/>
        <v>7109337</v>
      </c>
      <c r="AL42" s="74">
        <f t="shared" si="25"/>
        <v>0.14339797971526089</v>
      </c>
      <c r="AM42" s="29">
        <f t="shared" si="7"/>
        <v>5.0317407155322957E-2</v>
      </c>
    </row>
    <row r="43" spans="1:41" ht="15">
      <c r="I43" s="18" t="s">
        <v>144</v>
      </c>
      <c r="J43" s="17">
        <f t="shared" ref="J43:V43" si="26">J34/J39</f>
        <v>2.6129422259117447</v>
      </c>
      <c r="K43" s="17">
        <f t="shared" si="26"/>
        <v>2.8635216742853462</v>
      </c>
      <c r="L43" s="17">
        <f t="shared" si="26"/>
        <v>2.6658586140225551</v>
      </c>
      <c r="M43" s="17">
        <f t="shared" si="26"/>
        <v>2.717905986558824</v>
      </c>
      <c r="N43" s="17">
        <f t="shared" si="26"/>
        <v>2.916607695347853</v>
      </c>
      <c r="O43" s="17">
        <f t="shared" si="26"/>
        <v>2.5586636624511243</v>
      </c>
      <c r="P43" s="17">
        <f t="shared" si="26"/>
        <v>2.4372831313430363</v>
      </c>
      <c r="Q43" s="17">
        <f t="shared" si="26"/>
        <v>2.4000491976853855</v>
      </c>
      <c r="R43" s="17">
        <f t="shared" ref="R43:U43" si="27">+R34/R39</f>
        <v>2.5774852378727768</v>
      </c>
      <c r="S43" s="17">
        <f t="shared" si="27"/>
        <v>2.32181414736502</v>
      </c>
      <c r="T43" s="17">
        <f t="shared" si="27"/>
        <v>2.40376108673907</v>
      </c>
      <c r="U43" s="17">
        <f t="shared" si="27"/>
        <v>2.5814505652653255</v>
      </c>
      <c r="V43" s="17">
        <f>+V34/V39</f>
        <v>2.5850320438184857</v>
      </c>
      <c r="W43" s="74">
        <f t="shared" si="24"/>
        <v>5.4086165282311338E-8</v>
      </c>
      <c r="X43" s="90"/>
      <c r="Y43" s="17">
        <f t="shared" ref="Y43:AK43" si="28">Y34/Y39</f>
        <v>2.5035427033505315</v>
      </c>
      <c r="Z43" s="17">
        <f t="shared" si="28"/>
        <v>2.4834457278917483</v>
      </c>
      <c r="AA43" s="17">
        <f t="shared" si="28"/>
        <v>2.5870201130616874</v>
      </c>
      <c r="AB43" s="17">
        <f t="shared" si="28"/>
        <v>2.4444250007687072</v>
      </c>
      <c r="AC43" s="17">
        <f t="shared" si="28"/>
        <v>2.6179509211070253</v>
      </c>
      <c r="AD43" s="17">
        <f t="shared" si="28"/>
        <v>2.4839140819197527</v>
      </c>
      <c r="AE43" s="17">
        <f t="shared" si="28"/>
        <v>2.4884608269361777</v>
      </c>
      <c r="AF43" s="17">
        <f t="shared" si="28"/>
        <v>2.5340983675310014</v>
      </c>
      <c r="AG43" s="17">
        <f t="shared" si="28"/>
        <v>2.4824035717987636</v>
      </c>
      <c r="AH43" s="17">
        <f t="shared" si="28"/>
        <v>2.521598809067461</v>
      </c>
      <c r="AI43" s="17">
        <f t="shared" si="28"/>
        <v>2.4743622986858904</v>
      </c>
      <c r="AJ43" s="17">
        <f t="shared" si="28"/>
        <v>2.4491674453677894</v>
      </c>
      <c r="AK43" s="17">
        <f>+AK34/AK39</f>
        <v>2.5071800192687581</v>
      </c>
      <c r="AL43" s="74">
        <f t="shared" si="25"/>
        <v>5.0570756393403319E-8</v>
      </c>
      <c r="AM43" s="16">
        <f t="shared" si="7"/>
        <v>-3.011646402445689E-2</v>
      </c>
      <c r="AN43" s="3"/>
      <c r="AO43" s="3"/>
    </row>
    <row r="44" spans="1:41" outlineLevel="1">
      <c r="I44" s="31" t="s">
        <v>141</v>
      </c>
      <c r="J44" s="30">
        <f t="shared" ref="J44:S44" si="29">IFERROR((J7+J11-(J14+J17+J23+J25+J28))/J40,0)</f>
        <v>2.4474479719471725</v>
      </c>
      <c r="K44" s="30">
        <f t="shared" si="29"/>
        <v>2.8141448709402561</v>
      </c>
      <c r="L44" s="30">
        <f t="shared" si="29"/>
        <v>2.4877300261246518</v>
      </c>
      <c r="M44" s="30">
        <f t="shared" si="29"/>
        <v>2.5371906744480932</v>
      </c>
      <c r="N44" s="30">
        <f t="shared" si="29"/>
        <v>2.698380143634866</v>
      </c>
      <c r="O44" s="30">
        <f t="shared" si="29"/>
        <v>2.2613822956834548</v>
      </c>
      <c r="P44" s="30">
        <f t="shared" si="29"/>
        <v>2.1903458728727117</v>
      </c>
      <c r="Q44" s="30">
        <f t="shared" si="29"/>
        <v>2.225115686089338</v>
      </c>
      <c r="R44" s="30">
        <f t="shared" ref="R44:U44" si="30">+R35/R40</f>
        <v>2.5099001900334028</v>
      </c>
      <c r="S44" s="30">
        <f t="shared" si="30"/>
        <v>2.2858518232709621</v>
      </c>
      <c r="T44" s="30">
        <f t="shared" si="30"/>
        <v>2.3698548033042206</v>
      </c>
      <c r="U44" s="30">
        <f t="shared" si="30"/>
        <v>2.5297804033781572</v>
      </c>
      <c r="V44" s="30">
        <f>+V35/V40</f>
        <v>2.5168731235031259</v>
      </c>
      <c r="W44" s="74">
        <f t="shared" si="24"/>
        <v>5.2660088325758421E-8</v>
      </c>
      <c r="X44" s="90"/>
      <c r="Y44" s="30">
        <f>IFERROR((Y7+Y11-(Y14+Y17+Y23+Y25+Y28))/Y40,0)</f>
        <v>2.5099999999999958</v>
      </c>
      <c r="Z44" s="30">
        <f t="shared" ref="Z44:AK44" si="31">IFERROR((Z7+Z11-(Z14+Z17+Z23+Z25+Z28))/Z40,0)</f>
        <v>2.4924082720435639</v>
      </c>
      <c r="AA44" s="30">
        <f t="shared" si="31"/>
        <v>2.601336541887139</v>
      </c>
      <c r="AB44" s="30">
        <f t="shared" si="31"/>
        <v>2.445728945319007</v>
      </c>
      <c r="AC44" s="30">
        <f t="shared" si="31"/>
        <v>2.6426614903271441</v>
      </c>
      <c r="AD44" s="30">
        <f t="shared" si="31"/>
        <v>2.4805048002431609</v>
      </c>
      <c r="AE44" s="30">
        <f t="shared" si="31"/>
        <v>2.4902963320559666</v>
      </c>
      <c r="AF44" s="30">
        <f t="shared" si="31"/>
        <v>2.5456654898045841</v>
      </c>
      <c r="AG44" s="30">
        <f t="shared" si="31"/>
        <v>2.4789612653963489</v>
      </c>
      <c r="AH44" s="30">
        <f t="shared" si="31"/>
        <v>2.5283185450143666</v>
      </c>
      <c r="AI44" s="30">
        <f t="shared" si="31"/>
        <v>2.47370938029758</v>
      </c>
      <c r="AJ44" s="30">
        <f t="shared" si="31"/>
        <v>2.4510414020588209</v>
      </c>
      <c r="AK44" s="30">
        <f>+AK35/AK40</f>
        <v>2.5132165956737951</v>
      </c>
      <c r="AL44" s="74">
        <f t="shared" si="25"/>
        <v>5.0692516391681515E-8</v>
      </c>
      <c r="AM44" s="29">
        <f t="shared" si="7"/>
        <v>-1.4528057831700858E-3</v>
      </c>
    </row>
    <row r="45" spans="1:41" outlineLevel="1">
      <c r="I45" s="31" t="s">
        <v>142</v>
      </c>
      <c r="J45" s="30">
        <f t="shared" ref="J45:S45" si="32">IFERROR((J8+J12-(J15+J18+J24+J26+J29))/J41,0)</f>
        <v>2.9576823613175982</v>
      </c>
      <c r="K45" s="30">
        <f t="shared" si="32"/>
        <v>3.2905375182053382</v>
      </c>
      <c r="L45" s="30">
        <f t="shared" si="32"/>
        <v>3.4516256696536303</v>
      </c>
      <c r="M45" s="30">
        <f t="shared" si="32"/>
        <v>3.4872057597988988</v>
      </c>
      <c r="N45" s="30">
        <f t="shared" si="32"/>
        <v>3.305980653469498</v>
      </c>
      <c r="O45" s="30">
        <f t="shared" si="32"/>
        <v>3.0678822288355816</v>
      </c>
      <c r="P45" s="30">
        <f t="shared" si="32"/>
        <v>2.7159649337947411</v>
      </c>
      <c r="Q45" s="30">
        <f t="shared" si="32"/>
        <v>2.3354007795288934</v>
      </c>
      <c r="R45" s="30">
        <f t="shared" ref="R45:U45" si="33">+R36/R41</f>
        <v>3.3038367918618863</v>
      </c>
      <c r="S45" s="30">
        <f t="shared" si="33"/>
        <v>2.5682916938288827</v>
      </c>
      <c r="T45" s="30">
        <f t="shared" si="33"/>
        <v>2.5560508533550443</v>
      </c>
      <c r="U45" s="30">
        <f t="shared" si="33"/>
        <v>2.9133673940918308</v>
      </c>
      <c r="V45" s="30">
        <f>+V36/V41</f>
        <v>3.0971004998524898</v>
      </c>
      <c r="W45" s="74">
        <f t="shared" si="24"/>
        <v>6.4800082432832292E-8</v>
      </c>
      <c r="X45" s="90"/>
      <c r="Y45" s="30">
        <f>IFERROR((Y8+Y12-(Y15+Y18+Y24+Y26+Y29))/Y41,0)</f>
        <v>2.5299999999999998</v>
      </c>
      <c r="Z45" s="30">
        <f t="shared" ref="Z45:AJ45" si="34">IFERROR((Z8+Z12-(Z15+Z18+Z24+Z26+Z29))/Z41,0)</f>
        <v>2.5380298541115431</v>
      </c>
      <c r="AA45" s="30">
        <f t="shared" si="34"/>
        <v>2.5827188160010106</v>
      </c>
      <c r="AB45" s="30">
        <f t="shared" si="34"/>
        <v>2.5299595635817393</v>
      </c>
      <c r="AC45" s="30">
        <f t="shared" si="34"/>
        <v>2.5310676042832005</v>
      </c>
      <c r="AD45" s="30">
        <f t="shared" si="34"/>
        <v>2.5681687242226863</v>
      </c>
      <c r="AE45" s="30">
        <f t="shared" si="34"/>
        <v>2.4861956010642476</v>
      </c>
      <c r="AF45" s="30">
        <f t="shared" si="34"/>
        <v>2.5444676514364195</v>
      </c>
      <c r="AG45" s="30">
        <f t="shared" si="34"/>
        <v>2.5079372510429661</v>
      </c>
      <c r="AH45" s="30">
        <f t="shared" si="34"/>
        <v>2.5453303121727355</v>
      </c>
      <c r="AI45" s="30">
        <f t="shared" si="34"/>
        <v>2.5094538610662318</v>
      </c>
      <c r="AJ45" s="30">
        <f t="shared" si="34"/>
        <v>2.506408381082696</v>
      </c>
      <c r="AK45" s="30">
        <f>+AK36/AK41</f>
        <v>2.5319055301414943</v>
      </c>
      <c r="AL45" s="74">
        <f t="shared" si="25"/>
        <v>5.1069479172556721E-8</v>
      </c>
      <c r="AM45" s="29">
        <f t="shared" si="7"/>
        <v>-0.1824916465377584</v>
      </c>
    </row>
    <row r="46" spans="1:41" outlineLevel="1">
      <c r="I46" s="31" t="s">
        <v>143</v>
      </c>
      <c r="J46" s="30">
        <f t="shared" ref="J46:S46" si="35">IFERROR((J9-(J16+J19+J27))/J42,0)</f>
        <v>3.209080846264698</v>
      </c>
      <c r="K46" s="30">
        <f t="shared" si="35"/>
        <v>2.5996052480216991</v>
      </c>
      <c r="L46" s="30">
        <f t="shared" si="35"/>
        <v>2.6954190817515449</v>
      </c>
      <c r="M46" s="30">
        <f t="shared" si="35"/>
        <v>2.505370336005416</v>
      </c>
      <c r="N46" s="30">
        <f t="shared" si="35"/>
        <v>2.5528657519748501</v>
      </c>
      <c r="O46" s="30">
        <f t="shared" si="35"/>
        <v>2.0997856820151357</v>
      </c>
      <c r="P46" s="30">
        <f t="shared" si="35"/>
        <v>2.0353755783290435</v>
      </c>
      <c r="Q46" s="30">
        <f t="shared" si="35"/>
        <v>2.4244447821700414</v>
      </c>
      <c r="R46" s="30">
        <f t="shared" ref="R46:U46" si="36">IFERROR(+R37/R42,0)</f>
        <v>2.5680008767831288</v>
      </c>
      <c r="S46" s="30">
        <f t="shared" si="36"/>
        <v>2.3641298990180974</v>
      </c>
      <c r="T46" s="30">
        <f t="shared" si="36"/>
        <v>2.4857504133654404</v>
      </c>
      <c r="U46" s="30">
        <f t="shared" si="36"/>
        <v>2.6659091736639153</v>
      </c>
      <c r="V46" s="30">
        <f>IFERROR(+V37/V42,0)</f>
        <v>2.6664785290338711</v>
      </c>
      <c r="W46" s="74">
        <f t="shared" si="24"/>
        <v>5.5790255593902065E-8</v>
      </c>
      <c r="X46" s="90"/>
      <c r="Y46" s="30">
        <f>IFERROR((Y9+Y11-(Y16+Y19+Y27))/Y42,0)</f>
        <v>2.4399999999999973</v>
      </c>
      <c r="Z46" s="30">
        <f t="shared" ref="Z46:AJ46" si="37">IFERROR((Z9+Z11-(Z16+Z19+Z27))/Z42,0)</f>
        <v>2.3903964992795794</v>
      </c>
      <c r="AA46" s="30">
        <f t="shared" si="37"/>
        <v>2.4891580650644398</v>
      </c>
      <c r="AB46" s="30">
        <f t="shared" si="37"/>
        <v>2.3736138230720614</v>
      </c>
      <c r="AC46" s="30">
        <f t="shared" si="37"/>
        <v>2.507705491562894</v>
      </c>
      <c r="AD46" s="30">
        <f t="shared" si="37"/>
        <v>2.436136210591747</v>
      </c>
      <c r="AE46" s="30">
        <f t="shared" si="37"/>
        <v>2.4631419222206947</v>
      </c>
      <c r="AF46" s="30">
        <f t="shared" si="37"/>
        <v>2.4399999999999964</v>
      </c>
      <c r="AG46" s="30">
        <f t="shared" si="37"/>
        <v>2.4694316364966653</v>
      </c>
      <c r="AH46" s="30">
        <f t="shared" si="37"/>
        <v>2.4537264710952673</v>
      </c>
      <c r="AI46" s="30">
        <f t="shared" si="37"/>
        <v>2.4399999999999968</v>
      </c>
      <c r="AJ46" s="30">
        <f t="shared" si="37"/>
        <v>2.3887600552661272</v>
      </c>
      <c r="AK46" s="30">
        <f>IFERROR(+AK37/AK42,0)</f>
        <v>2.4420673235774308</v>
      </c>
      <c r="AL46" s="74">
        <f t="shared" si="25"/>
        <v>4.925740902838871E-8</v>
      </c>
      <c r="AM46" s="29">
        <f t="shared" si="7"/>
        <v>-8.4160139679710699E-2</v>
      </c>
    </row>
    <row r="47" spans="1:41" ht="15"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L47" s="3"/>
      <c r="AM47" s="13"/>
    </row>
    <row r="48" spans="1:41" ht="15">
      <c r="A48" s="21"/>
      <c r="B48" s="21"/>
      <c r="C48" s="21"/>
      <c r="D48" s="21"/>
      <c r="E48" s="7" t="s">
        <v>98</v>
      </c>
      <c r="I48" s="139" t="s">
        <v>145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M48" s="13"/>
    </row>
    <row r="49" spans="1:43" ht="15">
      <c r="A49" s="21"/>
      <c r="B49" s="21"/>
      <c r="C49" s="21"/>
      <c r="D49" s="21"/>
      <c r="E49" s="22"/>
      <c r="F49" s="21"/>
      <c r="G49" s="21"/>
      <c r="H49" s="21"/>
      <c r="I49" s="139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</row>
    <row r="50" spans="1:43" ht="15" collapsed="1">
      <c r="A50" s="12" t="s">
        <v>146</v>
      </c>
      <c r="B50" s="19" t="s">
        <v>88</v>
      </c>
      <c r="I50" s="166" t="s">
        <v>147</v>
      </c>
      <c r="J50" s="15">
        <f t="shared" ref="J50:V50" si="38">SUM(J51:J91)</f>
        <v>2052258</v>
      </c>
      <c r="K50" s="15">
        <f t="shared" si="38"/>
        <v>1540749</v>
      </c>
      <c r="L50" s="15">
        <f t="shared" si="38"/>
        <v>1586455</v>
      </c>
      <c r="M50" s="15">
        <f t="shared" si="38"/>
        <v>1475793</v>
      </c>
      <c r="N50" s="15">
        <f t="shared" si="38"/>
        <v>1563436</v>
      </c>
      <c r="O50" s="15">
        <f t="shared" si="38"/>
        <v>1546044</v>
      </c>
      <c r="P50" s="15">
        <f t="shared" si="38"/>
        <v>1664258</v>
      </c>
      <c r="Q50" s="15">
        <f t="shared" si="38"/>
        <v>1730204</v>
      </c>
      <c r="R50" s="15">
        <f t="shared" si="38"/>
        <v>1566448</v>
      </c>
      <c r="S50" s="15">
        <f t="shared" si="38"/>
        <v>1700871.1829333333</v>
      </c>
      <c r="T50" s="15">
        <f t="shared" si="38"/>
        <v>1860391.5609777779</v>
      </c>
      <c r="U50" s="15">
        <f t="shared" si="38"/>
        <v>1527728.2602370372</v>
      </c>
      <c r="V50" s="15">
        <f t="shared" si="38"/>
        <v>19814636.004148148</v>
      </c>
      <c r="W50" s="72">
        <f t="shared" ref="W50:W164" si="39">V50/V$6</f>
        <v>2.2110504784022222E-2</v>
      </c>
      <c r="X50" s="89"/>
      <c r="Y50" s="15">
        <f t="shared" ref="Y50:AK50" si="40">SUM(Y51:Y91)</f>
        <v>1920544.5512462747</v>
      </c>
      <c r="Z50" s="15">
        <f t="shared" si="40"/>
        <v>1580031.9311942752</v>
      </c>
      <c r="AA50" s="15">
        <f t="shared" si="40"/>
        <v>2041213.2556892133</v>
      </c>
      <c r="AB50" s="15">
        <f t="shared" si="40"/>
        <v>1599133.9044859037</v>
      </c>
      <c r="AC50" s="15">
        <f t="shared" si="40"/>
        <v>1576904.8669049011</v>
      </c>
      <c r="AD50" s="15">
        <f t="shared" si="40"/>
        <v>1685312.9454215625</v>
      </c>
      <c r="AE50" s="15">
        <f t="shared" si="40"/>
        <v>1668523.6300030388</v>
      </c>
      <c r="AF50" s="15">
        <f t="shared" si="40"/>
        <v>1770033.9887996707</v>
      </c>
      <c r="AG50" s="15">
        <f t="shared" si="40"/>
        <v>1752888.6352396884</v>
      </c>
      <c r="AH50" s="15">
        <f t="shared" si="40"/>
        <v>1942599.2663907532</v>
      </c>
      <c r="AI50" s="15">
        <f t="shared" si="40"/>
        <v>1793573.6742512451</v>
      </c>
      <c r="AJ50" s="15">
        <f t="shared" si="40"/>
        <v>1678630.3115018648</v>
      </c>
      <c r="AK50" s="15">
        <f t="shared" si="40"/>
        <v>21009390.961128391</v>
      </c>
      <c r="AL50" s="72">
        <f t="shared" ref="AL50:AL162" si="41">AK50/AK$6</f>
        <v>2.1812567221080766E-2</v>
      </c>
      <c r="AM50" s="10">
        <f t="shared" si="7"/>
        <v>6.0296588679707552E-2</v>
      </c>
      <c r="AN50" s="9"/>
      <c r="AO50" s="220"/>
      <c r="AP50" s="129"/>
      <c r="AQ50" s="9"/>
    </row>
    <row r="51" spans="1:43" ht="15" hidden="1" outlineLevel="1">
      <c r="A51" s="12" t="s">
        <v>146</v>
      </c>
      <c r="B51" s="8" t="s">
        <v>88</v>
      </c>
      <c r="C51" s="19" t="s">
        <v>148</v>
      </c>
      <c r="D51" s="12"/>
      <c r="E51" s="20"/>
      <c r="F51" s="12"/>
      <c r="G51" s="12"/>
      <c r="H51" s="12"/>
      <c r="I51" s="246" t="s">
        <v>149</v>
      </c>
      <c r="J51" s="65">
        <f>SUM(A:B!J51)</f>
        <v>260645</v>
      </c>
      <c r="K51" s="65">
        <f>SUM(A:B!K51)</f>
        <v>231021</v>
      </c>
      <c r="L51" s="65">
        <f>SUM(A:B!L51)</f>
        <v>337830</v>
      </c>
      <c r="M51" s="65">
        <f>SUM(A:B!M51)</f>
        <v>235718</v>
      </c>
      <c r="N51" s="65">
        <f>SUM(A:B!N51)</f>
        <v>275972</v>
      </c>
      <c r="O51" s="65">
        <f>SUM(A:B!O51)</f>
        <v>184532</v>
      </c>
      <c r="P51" s="65">
        <f>SUM(A:B!P51)</f>
        <v>231937</v>
      </c>
      <c r="Q51" s="65">
        <f>SUM(A:B!Q51)</f>
        <v>332077</v>
      </c>
      <c r="R51" s="65">
        <f>SUM(A:B!R51)</f>
        <v>243484</v>
      </c>
      <c r="S51" s="65">
        <f>SUM(A:B!S51)</f>
        <v>321243</v>
      </c>
      <c r="T51" s="65">
        <f>SUM(A:B!T51)</f>
        <v>298934.66666666669</v>
      </c>
      <c r="U51" s="65">
        <f>SUM(A:B!U51)</f>
        <v>287887.22222222225</v>
      </c>
      <c r="V51" s="11">
        <f>SUM(J51:U51)</f>
        <v>3241280.888888889</v>
      </c>
      <c r="W51" s="73">
        <f t="shared" si="39"/>
        <v>3.6168394203726171E-3</v>
      </c>
      <c r="X51" s="89"/>
      <c r="Y51" s="65">
        <f>SUM(A:B!Y51)</f>
        <v>262450.4273044978</v>
      </c>
      <c r="Z51" s="65">
        <f>SUM(A:B!Z51)</f>
        <v>252088.36311472871</v>
      </c>
      <c r="AA51" s="65">
        <f>SUM(A:B!AA51)</f>
        <v>280138.01549066755</v>
      </c>
      <c r="AB51" s="65">
        <f>SUM(A:B!AB51)</f>
        <v>269811.60847422353</v>
      </c>
      <c r="AC51" s="65">
        <f>SUM(A:B!AC51)</f>
        <v>293266.45129522099</v>
      </c>
      <c r="AD51" s="65">
        <f>SUM(A:B!AD51)</f>
        <v>288475.29998788226</v>
      </c>
      <c r="AE51" s="65">
        <f>SUM(A:B!AE51)</f>
        <v>287748.2078853586</v>
      </c>
      <c r="AF51" s="65">
        <f>SUM(A:B!AF51)</f>
        <v>292873.60979799036</v>
      </c>
      <c r="AG51" s="65">
        <f>SUM(A:B!AG51)</f>
        <v>287048.35653200821</v>
      </c>
      <c r="AH51" s="65">
        <f>SUM(A:B!AH51)</f>
        <v>292225.46400640672</v>
      </c>
      <c r="AI51" s="65">
        <f>SUM(A:B!AI51)</f>
        <v>286407.9417673428</v>
      </c>
      <c r="AJ51" s="65">
        <f>SUM(A:B!AJ51)</f>
        <v>280903.83872322185</v>
      </c>
      <c r="AK51" s="124">
        <f>SUM(Y51:AJ51)</f>
        <v>3373437.5843795496</v>
      </c>
      <c r="AL51" s="73">
        <f t="shared" si="41"/>
        <v>3.502402054945012E-3</v>
      </c>
      <c r="AM51" s="14">
        <f t="shared" si="7"/>
        <v>4.0772984514761967E-2</v>
      </c>
      <c r="AN51" s="9"/>
    </row>
    <row r="52" spans="1:43" ht="15" hidden="1" outlineLevel="1">
      <c r="A52" s="12" t="s">
        <v>146</v>
      </c>
      <c r="B52" s="8" t="s">
        <v>88</v>
      </c>
      <c r="I52" s="246" t="s">
        <v>148</v>
      </c>
      <c r="J52" s="65">
        <f>SUM(A:B!J52)</f>
        <v>426209</v>
      </c>
      <c r="K52" s="65">
        <f>SUM(A:B!K52)</f>
        <v>426209</v>
      </c>
      <c r="L52" s="65">
        <f>SUM(A:B!L52)</f>
        <v>426209</v>
      </c>
      <c r="M52" s="65">
        <f>SUM(A:B!M52)</f>
        <v>426209</v>
      </c>
      <c r="N52" s="65">
        <f>SUM(A:B!N52)</f>
        <v>426209</v>
      </c>
      <c r="O52" s="65">
        <f>SUM(A:B!O52)</f>
        <v>426209</v>
      </c>
      <c r="P52" s="65">
        <f>SUM(A:B!P52)</f>
        <v>426209</v>
      </c>
      <c r="Q52" s="65">
        <f>SUM(A:B!Q52)</f>
        <v>426209</v>
      </c>
      <c r="R52" s="65">
        <f>SUM(A:B!R52)</f>
        <v>441378</v>
      </c>
      <c r="S52" s="65">
        <f>SUM(A:B!S52)</f>
        <v>441378</v>
      </c>
      <c r="T52" s="65">
        <f>SUM(A:B!T52)</f>
        <v>441378</v>
      </c>
      <c r="U52" s="65">
        <f>SUM(A:B!U52)</f>
        <v>441378</v>
      </c>
      <c r="V52" s="11">
        <f t="shared" ref="V52:V91" si="42">SUM(J52:U52)</f>
        <v>5175184</v>
      </c>
      <c r="W52" s="73">
        <f t="shared" si="39"/>
        <v>5.7748187030153093E-3</v>
      </c>
      <c r="X52" s="89"/>
      <c r="Y52" s="65">
        <f>SUM(A:B!Y52)</f>
        <v>451038</v>
      </c>
      <c r="Z52" s="65">
        <f>SUM(A:B!Z52)</f>
        <v>451038</v>
      </c>
      <c r="AA52" s="65">
        <f>SUM(A:B!AA52)</f>
        <v>451038</v>
      </c>
      <c r="AB52" s="65">
        <f>SUM(A:B!AB52)</f>
        <v>451038</v>
      </c>
      <c r="AC52" s="65">
        <f>SUM(A:B!AC52)</f>
        <v>451038</v>
      </c>
      <c r="AD52" s="65">
        <f>SUM(A:B!AD52)</f>
        <v>451038</v>
      </c>
      <c r="AE52" s="65">
        <f>SUM(A:B!AE52)</f>
        <v>451038</v>
      </c>
      <c r="AF52" s="65">
        <f>SUM(A:B!AF52)</f>
        <v>451038</v>
      </c>
      <c r="AG52" s="65">
        <f>SUM(A:B!AG52)</f>
        <v>468693.12000000011</v>
      </c>
      <c r="AH52" s="65">
        <f>SUM(A:B!AH52)</f>
        <v>468693.12000000011</v>
      </c>
      <c r="AI52" s="65">
        <f>SUM(A:B!AI52)</f>
        <v>468693.12000000011</v>
      </c>
      <c r="AJ52" s="65">
        <f>SUM(A:B!AJ52)</f>
        <v>468693.12000000011</v>
      </c>
      <c r="AK52" s="124">
        <f t="shared" ref="AK52:AK75" si="43">SUM(Y52:AJ52)</f>
        <v>5483076.4800000004</v>
      </c>
      <c r="AL52" s="73">
        <f t="shared" si="41"/>
        <v>5.6926911646135283E-3</v>
      </c>
      <c r="AM52" s="14">
        <f t="shared" si="7"/>
        <v>5.9494016058173171E-2</v>
      </c>
      <c r="AN52" s="9"/>
    </row>
    <row r="53" spans="1:43" ht="15" hidden="1" outlineLevel="1">
      <c r="A53" s="12" t="s">
        <v>146</v>
      </c>
      <c r="B53" s="8" t="s">
        <v>88</v>
      </c>
      <c r="I53" s="246" t="s">
        <v>152</v>
      </c>
      <c r="J53" s="65">
        <f>SUM(A:B!J53)</f>
        <v>0</v>
      </c>
      <c r="K53" s="65">
        <f>SUM(A:B!K53)</f>
        <v>0</v>
      </c>
      <c r="L53" s="65">
        <f>SUM(A:B!L53)</f>
        <v>0</v>
      </c>
      <c r="M53" s="65">
        <f>SUM(A:B!M53)</f>
        <v>0</v>
      </c>
      <c r="N53" s="65">
        <f>SUM(A:B!N53)</f>
        <v>0</v>
      </c>
      <c r="O53" s="65">
        <f>SUM(A:B!O53)</f>
        <v>0</v>
      </c>
      <c r="P53" s="65">
        <f>SUM(A:B!P53)</f>
        <v>0</v>
      </c>
      <c r="Q53" s="65">
        <f>SUM(A:B!Q53)</f>
        <v>0</v>
      </c>
      <c r="R53" s="65">
        <f>SUM(A:B!R53)</f>
        <v>0</v>
      </c>
      <c r="S53" s="65">
        <f>SUM(A:B!S53)</f>
        <v>0</v>
      </c>
      <c r="T53" s="65">
        <f>SUM(A:B!T53)</f>
        <v>0</v>
      </c>
      <c r="U53" s="65">
        <f>SUM(A:B!U53)</f>
        <v>0</v>
      </c>
      <c r="V53" s="11">
        <f t="shared" si="42"/>
        <v>0</v>
      </c>
      <c r="W53" s="73">
        <f t="shared" si="39"/>
        <v>0</v>
      </c>
      <c r="X53" s="89"/>
      <c r="Y53" s="65">
        <f>SUM(A:B!Y53)</f>
        <v>0</v>
      </c>
      <c r="Z53" s="65">
        <f>SUM(A:B!Z53)</f>
        <v>0</v>
      </c>
      <c r="AA53" s="65">
        <f>SUM(A:B!AA53)</f>
        <v>0</v>
      </c>
      <c r="AB53" s="65">
        <f>SUM(A:B!AB53)</f>
        <v>0</v>
      </c>
      <c r="AC53" s="65">
        <f>SUM(A:B!AC53)</f>
        <v>0</v>
      </c>
      <c r="AD53" s="65">
        <f>SUM(A:B!AD53)</f>
        <v>0</v>
      </c>
      <c r="AE53" s="65">
        <f>SUM(A:B!AE53)</f>
        <v>0</v>
      </c>
      <c r="AF53" s="65">
        <f>SUM(A:B!AF53)</f>
        <v>0</v>
      </c>
      <c r="AG53" s="65">
        <f>SUM(A:B!AG53)</f>
        <v>0</v>
      </c>
      <c r="AH53" s="65">
        <f>SUM(A:B!AH53)</f>
        <v>0</v>
      </c>
      <c r="AI53" s="65">
        <f>SUM(A:B!AI53)</f>
        <v>0</v>
      </c>
      <c r="AJ53" s="65">
        <f>SUM(A:B!AJ53)</f>
        <v>0</v>
      </c>
      <c r="AK53" s="124">
        <f t="shared" si="43"/>
        <v>0</v>
      </c>
      <c r="AL53" s="73">
        <f t="shared" si="41"/>
        <v>0</v>
      </c>
      <c r="AM53" s="14">
        <f t="shared" si="7"/>
        <v>0</v>
      </c>
    </row>
    <row r="54" spans="1:43" ht="15" hidden="1" outlineLevel="1">
      <c r="A54" s="12" t="s">
        <v>146</v>
      </c>
      <c r="B54" s="8" t="s">
        <v>88</v>
      </c>
      <c r="I54" s="246" t="s">
        <v>153</v>
      </c>
      <c r="J54" s="65">
        <f>SUM(A:B!J54)</f>
        <v>0</v>
      </c>
      <c r="K54" s="65">
        <f>SUM(A:B!K54)</f>
        <v>0</v>
      </c>
      <c r="L54" s="65">
        <f>SUM(A:B!L54)</f>
        <v>0</v>
      </c>
      <c r="M54" s="65">
        <f>SUM(A:B!M54)</f>
        <v>0</v>
      </c>
      <c r="N54" s="65">
        <f>SUM(A:B!N54)</f>
        <v>0</v>
      </c>
      <c r="O54" s="65">
        <f>SUM(A:B!O54)</f>
        <v>0</v>
      </c>
      <c r="P54" s="65">
        <f>SUM(A:B!P54)</f>
        <v>1160</v>
      </c>
      <c r="Q54" s="65">
        <f>SUM(A:B!Q54)</f>
        <v>0</v>
      </c>
      <c r="R54" s="65">
        <f>SUM(A:B!R54)</f>
        <v>0</v>
      </c>
      <c r="S54" s="65">
        <f>SUM(A:B!S54)</f>
        <v>0</v>
      </c>
      <c r="T54" s="65">
        <f>SUM(A:B!T54)</f>
        <v>0</v>
      </c>
      <c r="U54" s="65">
        <f>SUM(A:B!U54)</f>
        <v>0</v>
      </c>
      <c r="V54" s="11">
        <f t="shared" si="42"/>
        <v>1160</v>
      </c>
      <c r="W54" s="73">
        <f t="shared" si="39"/>
        <v>1.2944060917443243E-6</v>
      </c>
      <c r="X54" s="89"/>
      <c r="Y54" s="65">
        <f>SUM(A:B!Y54)</f>
        <v>0</v>
      </c>
      <c r="Z54" s="65">
        <f>SUM(A:B!Z54)</f>
        <v>0</v>
      </c>
      <c r="AA54" s="65">
        <f>SUM(A:B!AA54)</f>
        <v>0</v>
      </c>
      <c r="AB54" s="65">
        <f>SUM(A:B!AB54)</f>
        <v>0</v>
      </c>
      <c r="AC54" s="65">
        <f>SUM(A:B!AC54)</f>
        <v>0</v>
      </c>
      <c r="AD54" s="65">
        <f>SUM(A:B!AD54)</f>
        <v>0</v>
      </c>
      <c r="AE54" s="65">
        <f>SUM(A:B!AE54)</f>
        <v>0</v>
      </c>
      <c r="AF54" s="65">
        <f>SUM(A:B!AF54)</f>
        <v>0</v>
      </c>
      <c r="AG54" s="65">
        <f>SUM(A:B!AG54)</f>
        <v>0</v>
      </c>
      <c r="AH54" s="65">
        <f>SUM(A:B!AH54)</f>
        <v>0</v>
      </c>
      <c r="AI54" s="65">
        <f>SUM(A:B!AI54)</f>
        <v>0</v>
      </c>
      <c r="AJ54" s="65">
        <f>SUM(A:B!AJ54)</f>
        <v>8694.84</v>
      </c>
      <c r="AK54" s="124">
        <f t="shared" si="43"/>
        <v>8694.84</v>
      </c>
      <c r="AL54" s="73">
        <f t="shared" si="41"/>
        <v>9.027238453863092E-6</v>
      </c>
      <c r="AM54" s="14">
        <f t="shared" si="7"/>
        <v>6.4955517241379308</v>
      </c>
      <c r="AN54" s="9"/>
    </row>
    <row r="55" spans="1:43" ht="15" hidden="1" outlineLevel="1">
      <c r="A55" s="12" t="s">
        <v>146</v>
      </c>
      <c r="B55" s="8" t="s">
        <v>88</v>
      </c>
      <c r="C55" s="8" t="s">
        <v>155</v>
      </c>
      <c r="I55" s="246" t="s">
        <v>156</v>
      </c>
      <c r="J55" s="65">
        <f>SUM(A:B!J55)</f>
        <v>0</v>
      </c>
      <c r="K55" s="65">
        <f>SUM(A:B!K55)</f>
        <v>0</v>
      </c>
      <c r="L55" s="65">
        <f>SUM(A:B!L55)</f>
        <v>0</v>
      </c>
      <c r="M55" s="65">
        <f>SUM(A:B!M55)</f>
        <v>0</v>
      </c>
      <c r="N55" s="65">
        <f>SUM(A:B!N55)</f>
        <v>0</v>
      </c>
      <c r="O55" s="65">
        <f>SUM(A:B!O55)</f>
        <v>0</v>
      </c>
      <c r="P55" s="65">
        <f>SUM(A:B!P55)</f>
        <v>0</v>
      </c>
      <c r="Q55" s="65">
        <f>SUM(A:B!Q55)</f>
        <v>0</v>
      </c>
      <c r="R55" s="65">
        <f>SUM(A:B!R55)</f>
        <v>0</v>
      </c>
      <c r="S55" s="65">
        <f>SUM(A:B!S55)</f>
        <v>0</v>
      </c>
      <c r="T55" s="65">
        <f>SUM(A:B!T55)</f>
        <v>0</v>
      </c>
      <c r="U55" s="65">
        <f>SUM(A:B!U55)</f>
        <v>0</v>
      </c>
      <c r="V55" s="11">
        <f>SUM(J55:U55)</f>
        <v>0</v>
      </c>
      <c r="W55" s="73">
        <f>V55/V$6</f>
        <v>0</v>
      </c>
      <c r="X55" s="89"/>
      <c r="Y55" s="65">
        <f>SUM(A:B!Y55)</f>
        <v>15505.797999999999</v>
      </c>
      <c r="Z55" s="65">
        <f>SUM(A:B!Z55)</f>
        <v>0</v>
      </c>
      <c r="AA55" s="65">
        <f>SUM(A:B!AA55)</f>
        <v>358383.70809999993</v>
      </c>
      <c r="AB55" s="65">
        <f>SUM(A:B!AB55)</f>
        <v>0</v>
      </c>
      <c r="AC55" s="65">
        <f>SUM(A:B!AC55)</f>
        <v>15505.797999999999</v>
      </c>
      <c r="AD55" s="65">
        <f>SUM(A:B!AD55)</f>
        <v>0</v>
      </c>
      <c r="AE55" s="65">
        <f>SUM(A:B!AE55)</f>
        <v>0</v>
      </c>
      <c r="AF55" s="65">
        <f>SUM(A:B!AF55)</f>
        <v>0</v>
      </c>
      <c r="AG55" s="65">
        <f>SUM(A:B!AG55)</f>
        <v>0</v>
      </c>
      <c r="AH55" s="65">
        <f>SUM(A:B!AH55)</f>
        <v>0</v>
      </c>
      <c r="AI55" s="65">
        <f>SUM(A:B!AI55)</f>
        <v>0</v>
      </c>
      <c r="AJ55" s="65">
        <f>SUM(A:B!AJ55)</f>
        <v>0</v>
      </c>
      <c r="AK55" s="124">
        <f>SUM(Y55:AJ55)</f>
        <v>389395.30409999995</v>
      </c>
      <c r="AL55" s="73">
        <f t="shared" si="41"/>
        <v>4.0428165014252498E-4</v>
      </c>
      <c r="AM55" s="14">
        <f t="shared" si="7"/>
        <v>0</v>
      </c>
    </row>
    <row r="56" spans="1:43" ht="13.15" hidden="1" customHeight="1" outlineLevel="1">
      <c r="A56" s="12" t="s">
        <v>146</v>
      </c>
      <c r="B56" s="8" t="s">
        <v>88</v>
      </c>
      <c r="I56" s="246" t="s">
        <v>158</v>
      </c>
      <c r="J56" s="65">
        <f>SUM(A:B!J56)</f>
        <v>13379</v>
      </c>
      <c r="K56" s="65">
        <f>SUM(A:B!K56)</f>
        <v>22956</v>
      </c>
      <c r="L56" s="65">
        <f>SUM(A:B!L56)</f>
        <v>20639</v>
      </c>
      <c r="M56" s="65">
        <f>SUM(A:B!M56)</f>
        <v>20334</v>
      </c>
      <c r="N56" s="65">
        <f>SUM(A:B!N56)</f>
        <v>21736</v>
      </c>
      <c r="O56" s="65">
        <f>SUM(A:B!O56)</f>
        <v>22160</v>
      </c>
      <c r="P56" s="65">
        <f>SUM(A:B!P56)</f>
        <v>17121</v>
      </c>
      <c r="Q56" s="65">
        <f>SUM(A:B!Q56)</f>
        <v>19114</v>
      </c>
      <c r="R56" s="65">
        <f>SUM(A:B!R56)</f>
        <v>25362</v>
      </c>
      <c r="S56" s="65">
        <f>SUM(A:B!S56)</f>
        <v>29803.666666666668</v>
      </c>
      <c r="T56" s="65">
        <f>SUM(A:B!T56)</f>
        <v>24759.888888888891</v>
      </c>
      <c r="U56" s="65">
        <f>SUM(A:B!U56)</f>
        <v>26641.851851851854</v>
      </c>
      <c r="V56" s="11">
        <f t="shared" si="42"/>
        <v>264006.40740740742</v>
      </c>
      <c r="W56" s="73">
        <f t="shared" si="39"/>
        <v>2.9459612242041554E-4</v>
      </c>
      <c r="X56" s="89"/>
      <c r="Y56" s="65">
        <f>SUM(A:B!Y56)</f>
        <v>22888.1312</v>
      </c>
      <c r="Z56" s="65">
        <f>SUM(A:B!Z56)</f>
        <v>22888.1312</v>
      </c>
      <c r="AA56" s="65">
        <f>SUM(A:B!AA56)</f>
        <v>22888.1312</v>
      </c>
      <c r="AB56" s="65">
        <f>SUM(A:B!AB56)</f>
        <v>22888.1312</v>
      </c>
      <c r="AC56" s="65">
        <f>SUM(A:B!AC56)</f>
        <v>22888.1312</v>
      </c>
      <c r="AD56" s="65">
        <f>SUM(A:B!AD56)</f>
        <v>22888.1312</v>
      </c>
      <c r="AE56" s="65">
        <f>SUM(A:B!AE56)</f>
        <v>22888.1312</v>
      </c>
      <c r="AF56" s="65">
        <f>SUM(A:B!AF56)</f>
        <v>22888.1312</v>
      </c>
      <c r="AG56" s="65">
        <f>SUM(A:B!AG56)</f>
        <v>22888.1312</v>
      </c>
      <c r="AH56" s="65">
        <f>SUM(A:B!AH56)</f>
        <v>22888.1312</v>
      </c>
      <c r="AI56" s="65">
        <f>SUM(A:B!AI56)</f>
        <v>22888.1312</v>
      </c>
      <c r="AJ56" s="65">
        <f>SUM(A:B!AJ56)</f>
        <v>22888.1312</v>
      </c>
      <c r="AK56" s="124">
        <f t="shared" si="43"/>
        <v>274657.57439999998</v>
      </c>
      <c r="AL56" s="73">
        <f t="shared" si="41"/>
        <v>2.8515756670260099E-4</v>
      </c>
      <c r="AM56" s="14">
        <f t="shared" si="7"/>
        <v>4.0344350340542956E-2</v>
      </c>
      <c r="AN56" s="9"/>
      <c r="AO56" s="254"/>
      <c r="AP56" s="254"/>
    </row>
    <row r="57" spans="1:43" ht="16.149999999999999" hidden="1" customHeight="1" outlineLevel="1">
      <c r="A57" s="12" t="s">
        <v>146</v>
      </c>
      <c r="B57" s="8" t="s">
        <v>88</v>
      </c>
      <c r="I57" s="246" t="s">
        <v>159</v>
      </c>
      <c r="J57" s="65">
        <f>SUM(A:B!J57)</f>
        <v>27502</v>
      </c>
      <c r="K57" s="65">
        <f>SUM(A:B!K57)</f>
        <v>78424</v>
      </c>
      <c r="L57" s="65">
        <f>SUM(A:B!L57)</f>
        <v>57419</v>
      </c>
      <c r="M57" s="65">
        <f>SUM(A:B!M57)</f>
        <v>76267</v>
      </c>
      <c r="N57" s="65">
        <f>SUM(A:B!N57)</f>
        <v>123704</v>
      </c>
      <c r="O57" s="65">
        <f>SUM(A:B!O57)</f>
        <v>55712</v>
      </c>
      <c r="P57" s="65">
        <f>SUM(A:B!P57)</f>
        <v>176653</v>
      </c>
      <c r="Q57" s="65">
        <f>SUM(A:B!Q57)</f>
        <v>80915</v>
      </c>
      <c r="R57" s="65">
        <f>SUM(A:B!R57)</f>
        <v>66430</v>
      </c>
      <c r="S57" s="65">
        <f>SUM(A:B!S57)</f>
        <v>7344.6</v>
      </c>
      <c r="T57" s="65">
        <f>SUM(A:B!T57)</f>
        <v>0</v>
      </c>
      <c r="U57" s="65">
        <f>SUM(A:B!U57)</f>
        <v>0</v>
      </c>
      <c r="V57" s="11">
        <f t="shared" si="42"/>
        <v>750370.6</v>
      </c>
      <c r="W57" s="73">
        <f t="shared" si="39"/>
        <v>8.3731403078089967E-4</v>
      </c>
      <c r="X57" s="89"/>
      <c r="Y57" s="65">
        <f>SUM(A:B!Y57)</f>
        <v>49063.74</v>
      </c>
      <c r="Z57" s="65">
        <f>SUM(A:B!Z57)</f>
        <v>10868.55</v>
      </c>
      <c r="AA57" s="65">
        <f>SUM(A:B!AA57)</f>
        <v>135204.76199999999</v>
      </c>
      <c r="AB57" s="65">
        <f>SUM(A:B!AB57)</f>
        <v>56516.459999999992</v>
      </c>
      <c r="AC57" s="65">
        <f>SUM(A:B!AC57)</f>
        <v>13042.26</v>
      </c>
      <c r="AD57" s="65">
        <f>SUM(A:B!AD57)</f>
        <v>65625.34</v>
      </c>
      <c r="AE57" s="65">
        <f>SUM(A:B!AE57)</f>
        <v>44322.981999999996</v>
      </c>
      <c r="AF57" s="65">
        <f>SUM(A:B!AF57)</f>
        <v>59621.759999999995</v>
      </c>
      <c r="AG57" s="65">
        <f>SUM(A:B!AG57)</f>
        <v>17389.68</v>
      </c>
      <c r="AH57" s="65">
        <f>SUM(A:B!AH57)</f>
        <v>198842.70999999996</v>
      </c>
      <c r="AI57" s="65">
        <f>SUM(A:B!AI57)</f>
        <v>57158.221999999994</v>
      </c>
      <c r="AJ57" s="65">
        <f>SUM(A:B!AJ57)</f>
        <v>61588.44999999999</v>
      </c>
      <c r="AK57" s="124">
        <f t="shared" si="43"/>
        <v>769244.91599999985</v>
      </c>
      <c r="AL57" s="73">
        <f t="shared" si="41"/>
        <v>7.9865268206820168E-4</v>
      </c>
      <c r="AM57" s="14">
        <f t="shared" si="7"/>
        <v>2.5153325570058227E-2</v>
      </c>
    </row>
    <row r="58" spans="1:43" ht="15" hidden="1" outlineLevel="1">
      <c r="A58" s="12" t="s">
        <v>146</v>
      </c>
      <c r="B58" s="8" t="s">
        <v>88</v>
      </c>
      <c r="E58" s="7" t="s">
        <v>470</v>
      </c>
      <c r="I58" s="246" t="s">
        <v>160</v>
      </c>
      <c r="J58" s="65">
        <f>SUM(A:B!J58)</f>
        <v>0</v>
      </c>
      <c r="K58" s="65">
        <f>SUM(A:B!K58)</f>
        <v>0</v>
      </c>
      <c r="L58" s="65">
        <f>SUM(A:B!L58)</f>
        <v>0</v>
      </c>
      <c r="M58" s="65">
        <f>SUM(A:B!M58)</f>
        <v>0</v>
      </c>
      <c r="N58" s="65">
        <f>SUM(A:B!N58)</f>
        <v>0</v>
      </c>
      <c r="O58" s="65">
        <f>SUM(A:B!O58)</f>
        <v>0</v>
      </c>
      <c r="P58" s="65">
        <f>SUM(A:B!P58)</f>
        <v>0</v>
      </c>
      <c r="Q58" s="65">
        <f>SUM(A:B!Q58)</f>
        <v>0</v>
      </c>
      <c r="R58" s="65">
        <f>SUM(A:B!R58)</f>
        <v>0</v>
      </c>
      <c r="S58" s="65">
        <f>SUM(A:B!S58)</f>
        <v>0</v>
      </c>
      <c r="T58" s="65">
        <f>SUM(A:B!T58)</f>
        <v>9100</v>
      </c>
      <c r="U58" s="65">
        <f>SUM(A:B!U58)</f>
        <v>0</v>
      </c>
      <c r="V58" s="11">
        <f t="shared" si="42"/>
        <v>9100</v>
      </c>
      <c r="W58" s="73">
        <f t="shared" si="39"/>
        <v>1.0154392616270129E-5</v>
      </c>
      <c r="X58" s="89"/>
      <c r="Y58" s="65">
        <f>SUM(A:B!Y58)</f>
        <v>6033.936298076922</v>
      </c>
      <c r="Z58" s="65">
        <f>SUM(A:B!Z58)</f>
        <v>19308.596153846152</v>
      </c>
      <c r="AA58" s="65">
        <f>SUM(A:B!AA58)</f>
        <v>3620.3617788461534</v>
      </c>
      <c r="AB58" s="65">
        <f>SUM(A:B!AB58)</f>
        <v>0</v>
      </c>
      <c r="AC58" s="65">
        <f>SUM(A:B!AC58)</f>
        <v>0</v>
      </c>
      <c r="AD58" s="65">
        <f>SUM(A:B!AD58)</f>
        <v>0</v>
      </c>
      <c r="AE58" s="65">
        <f>SUM(A:B!AE58)</f>
        <v>0</v>
      </c>
      <c r="AF58" s="65">
        <f>SUM(A:B!AF58)</f>
        <v>0</v>
      </c>
      <c r="AG58" s="65">
        <f>SUM(A:B!AG58)</f>
        <v>0</v>
      </c>
      <c r="AH58" s="65">
        <f>SUM(A:B!AH58)</f>
        <v>0</v>
      </c>
      <c r="AI58" s="65">
        <f>SUM(A:B!AI58)</f>
        <v>0</v>
      </c>
      <c r="AJ58" s="65">
        <f>SUM(A:B!AJ58)</f>
        <v>0</v>
      </c>
      <c r="AK58" s="124">
        <f t="shared" si="43"/>
        <v>28962.894230769227</v>
      </c>
      <c r="AL58" s="73">
        <f t="shared" si="41"/>
        <v>3.0070128091508234E-5</v>
      </c>
      <c r="AM58" s="14">
        <f t="shared" si="7"/>
        <v>2.1827356297548599</v>
      </c>
      <c r="AN58" s="9"/>
    </row>
    <row r="59" spans="1:43" ht="15" hidden="1" outlineLevel="1">
      <c r="A59" s="12" t="s">
        <v>146</v>
      </c>
      <c r="B59" s="8" t="s">
        <v>88</v>
      </c>
      <c r="I59" s="288" t="s">
        <v>161</v>
      </c>
      <c r="J59" s="65">
        <f>SUM(A:B!J59)</f>
        <v>0</v>
      </c>
      <c r="K59" s="65">
        <f>SUM(A:B!K59)</f>
        <v>0</v>
      </c>
      <c r="L59" s="65">
        <f>SUM(A:B!L59)</f>
        <v>0</v>
      </c>
      <c r="M59" s="65">
        <f>SUM(A:B!M59)</f>
        <v>0</v>
      </c>
      <c r="N59" s="65">
        <f>SUM(A:B!N59)</f>
        <v>0</v>
      </c>
      <c r="O59" s="65">
        <f>SUM(A:B!O59)</f>
        <v>0</v>
      </c>
      <c r="P59" s="65">
        <f>SUM(A:B!P59)</f>
        <v>0</v>
      </c>
      <c r="Q59" s="65">
        <f>SUM(A:B!Q59)</f>
        <v>0</v>
      </c>
      <c r="R59" s="65">
        <f>SUM(A:B!R59)</f>
        <v>0</v>
      </c>
      <c r="S59" s="65">
        <f>SUM(A:B!S59)</f>
        <v>0</v>
      </c>
      <c r="T59" s="65">
        <f>SUM(A:B!T59)</f>
        <v>0</v>
      </c>
      <c r="U59" s="65">
        <f>SUM(A:B!U59)</f>
        <v>0</v>
      </c>
      <c r="V59" s="11">
        <f t="shared" si="42"/>
        <v>0</v>
      </c>
      <c r="W59" s="73">
        <f t="shared" si="39"/>
        <v>0</v>
      </c>
      <c r="X59" s="89"/>
      <c r="Y59" s="65">
        <f>SUM(A:B!Y59)</f>
        <v>0</v>
      </c>
      <c r="Z59" s="65">
        <f>SUM(A:B!Z59)</f>
        <v>0</v>
      </c>
      <c r="AA59" s="65">
        <f>SUM(A:B!AA59)</f>
        <v>0</v>
      </c>
      <c r="AB59" s="65">
        <f>SUM(A:B!AB59)</f>
        <v>0</v>
      </c>
      <c r="AC59" s="65">
        <f>SUM(A:B!AC59)</f>
        <v>0</v>
      </c>
      <c r="AD59" s="65">
        <f>SUM(A:B!AD59)</f>
        <v>0</v>
      </c>
      <c r="AE59" s="65">
        <f>SUM(A:B!AE59)</f>
        <v>0</v>
      </c>
      <c r="AF59" s="65">
        <f>SUM(A:B!AF59)</f>
        <v>0</v>
      </c>
      <c r="AG59" s="65">
        <f>SUM(A:B!AG59)</f>
        <v>0</v>
      </c>
      <c r="AH59" s="65">
        <f>SUM(A:B!AH59)</f>
        <v>0</v>
      </c>
      <c r="AI59" s="65">
        <f>SUM(A:B!AI59)</f>
        <v>0</v>
      </c>
      <c r="AJ59" s="65">
        <f>SUM(A:B!AJ59)</f>
        <v>0</v>
      </c>
      <c r="AK59" s="124">
        <f t="shared" si="43"/>
        <v>0</v>
      </c>
      <c r="AL59" s="73">
        <f t="shared" si="41"/>
        <v>0</v>
      </c>
      <c r="AM59" s="14">
        <f t="shared" si="7"/>
        <v>0</v>
      </c>
    </row>
    <row r="60" spans="1:43" ht="15" hidden="1" outlineLevel="1">
      <c r="A60" s="12" t="s">
        <v>146</v>
      </c>
      <c r="B60" s="8" t="s">
        <v>88</v>
      </c>
      <c r="I60" s="246" t="s">
        <v>162</v>
      </c>
      <c r="J60" s="65">
        <f>SUM(A:B!J60)</f>
        <v>35000</v>
      </c>
      <c r="K60" s="65">
        <f>SUM(A:B!K60)</f>
        <v>0</v>
      </c>
      <c r="L60" s="65">
        <f>SUM(A:B!L60)</f>
        <v>0</v>
      </c>
      <c r="M60" s="65">
        <f>SUM(A:B!M60)</f>
        <v>14250</v>
      </c>
      <c r="N60" s="65">
        <f>SUM(A:B!N60)</f>
        <v>0</v>
      </c>
      <c r="O60" s="65">
        <f>SUM(A:B!O60)</f>
        <v>104998</v>
      </c>
      <c r="P60" s="65">
        <f>SUM(A:B!P60)</f>
        <v>84960</v>
      </c>
      <c r="Q60" s="65">
        <f>SUM(A:B!Q60)</f>
        <v>132000</v>
      </c>
      <c r="R60" s="65">
        <f>SUM(A:B!R60)</f>
        <v>60000</v>
      </c>
      <c r="S60" s="65">
        <f>SUM(A:B!S60)</f>
        <v>60000</v>
      </c>
      <c r="T60" s="65">
        <f>SUM(A:B!T60)</f>
        <v>60000</v>
      </c>
      <c r="U60" s="65">
        <f>SUM(A:B!U60)</f>
        <v>60000</v>
      </c>
      <c r="V60" s="11">
        <f t="shared" si="42"/>
        <v>611208</v>
      </c>
      <c r="W60" s="73">
        <f t="shared" si="39"/>
        <v>6.8202703320936634E-4</v>
      </c>
      <c r="X60" s="89"/>
      <c r="Y60" s="65">
        <f>SUM(A:B!Y60)</f>
        <v>36312.5</v>
      </c>
      <c r="Z60" s="65">
        <f>SUM(A:B!Z60)</f>
        <v>0</v>
      </c>
      <c r="AA60" s="65">
        <f>SUM(A:B!AA60)</f>
        <v>0</v>
      </c>
      <c r="AB60" s="65">
        <f>SUM(A:B!AB60)</f>
        <v>14784.375000000002</v>
      </c>
      <c r="AC60" s="65">
        <f>SUM(A:B!AC60)</f>
        <v>0</v>
      </c>
      <c r="AD60" s="65">
        <f>SUM(A:B!AD60)</f>
        <v>108935.42500000002</v>
      </c>
      <c r="AE60" s="65">
        <f>SUM(A:B!AE60)</f>
        <v>88146</v>
      </c>
      <c r="AF60" s="65">
        <f>SUM(A:B!AF60)</f>
        <v>136950</v>
      </c>
      <c r="AG60" s="65">
        <f>SUM(A:B!AG60)</f>
        <v>62250.000000000007</v>
      </c>
      <c r="AH60" s="65">
        <f>SUM(A:B!AH60)</f>
        <v>62250.000000000007</v>
      </c>
      <c r="AI60" s="65">
        <f>SUM(A:B!AI60)</f>
        <v>62250.000000000007</v>
      </c>
      <c r="AJ60" s="65">
        <f>SUM(A:B!AJ60)</f>
        <v>62250.000000000007</v>
      </c>
      <c r="AK60" s="124">
        <f>SUM(Y60:AJ60)</f>
        <v>634128.30000000005</v>
      </c>
      <c r="AL60" s="73">
        <f t="shared" si="41"/>
        <v>6.5837063987869032E-4</v>
      </c>
      <c r="AM60" s="14">
        <f t="shared" si="7"/>
        <v>3.7500000000000089E-2</v>
      </c>
      <c r="AN60" s="269" t="s">
        <v>471</v>
      </c>
    </row>
    <row r="61" spans="1:43" ht="15" hidden="1" outlineLevel="1">
      <c r="A61" s="12" t="s">
        <v>146</v>
      </c>
      <c r="B61" s="8" t="s">
        <v>88</v>
      </c>
      <c r="I61" s="289" t="s">
        <v>278</v>
      </c>
      <c r="J61" s="65">
        <f>SUM(A:B!J61)</f>
        <v>7125</v>
      </c>
      <c r="K61" s="65">
        <f>SUM(A:B!K61)</f>
        <v>7125</v>
      </c>
      <c r="L61" s="65">
        <f>SUM(A:B!L61)</f>
        <v>0</v>
      </c>
      <c r="M61" s="65">
        <f>SUM(A:B!M61)</f>
        <v>0</v>
      </c>
      <c r="N61" s="65">
        <f>SUM(A:B!N61)</f>
        <v>0</v>
      </c>
      <c r="O61" s="65">
        <f>SUM(A:B!O61)</f>
        <v>0</v>
      </c>
      <c r="P61" s="65">
        <f>SUM(A:B!P61)</f>
        <v>7125</v>
      </c>
      <c r="Q61" s="65">
        <f>SUM(A:B!Q61)</f>
        <v>0</v>
      </c>
      <c r="R61" s="65">
        <f>SUM(A:B!R61)</f>
        <v>0</v>
      </c>
      <c r="S61" s="65">
        <f>SUM(A:B!S61)</f>
        <v>0</v>
      </c>
      <c r="T61" s="65">
        <f>SUM(A:B!T61)</f>
        <v>0</v>
      </c>
      <c r="U61" s="65">
        <f>SUM(A:B!U61)</f>
        <v>0</v>
      </c>
      <c r="V61" s="11">
        <f t="shared" ref="V61" si="44">SUM(J61:U61)</f>
        <v>21375</v>
      </c>
      <c r="W61" s="73">
        <f t="shared" ref="W61" si="45">V61/V$6</f>
        <v>2.3851663975030111E-5</v>
      </c>
      <c r="X61" s="89"/>
      <c r="Y61" s="65">
        <f>SUM(A:B!Y61)</f>
        <v>7392.1875000000009</v>
      </c>
      <c r="Z61" s="65">
        <f>SUM(A:B!Z61)</f>
        <v>7392.1875000000009</v>
      </c>
      <c r="AA61" s="65">
        <f>SUM(A:B!AA61)</f>
        <v>0</v>
      </c>
      <c r="AB61" s="65">
        <f>SUM(A:B!AB61)</f>
        <v>0</v>
      </c>
      <c r="AC61" s="65">
        <f>SUM(A:B!AC61)</f>
        <v>0</v>
      </c>
      <c r="AD61" s="65">
        <f>SUM(A:B!AD61)</f>
        <v>0</v>
      </c>
      <c r="AE61" s="65">
        <f>SUM(A:B!AE61)</f>
        <v>7392.1875000000009</v>
      </c>
      <c r="AF61" s="65">
        <f>SUM(A:B!AF61)</f>
        <v>0</v>
      </c>
      <c r="AG61" s="65">
        <f>SUM(A:B!AG61)</f>
        <v>0</v>
      </c>
      <c r="AH61" s="65">
        <f>SUM(A:B!AH61)</f>
        <v>0</v>
      </c>
      <c r="AI61" s="65">
        <f>SUM(A:B!AI61)</f>
        <v>0</v>
      </c>
      <c r="AJ61" s="65">
        <f>SUM(A:B!AJ61)</f>
        <v>0</v>
      </c>
      <c r="AK61" s="124">
        <f>SUM(Y61:AJ61)</f>
        <v>22176.562500000004</v>
      </c>
      <c r="AL61" s="73">
        <f t="shared" ref="AL61" si="46">AK61/AK$6</f>
        <v>2.3024359019199693E-5</v>
      </c>
      <c r="AM61" s="14">
        <f t="shared" si="7"/>
        <v>3.7500000000000089E-2</v>
      </c>
      <c r="AN61" s="269" t="s">
        <v>471</v>
      </c>
    </row>
    <row r="62" spans="1:43" ht="15" hidden="1" outlineLevel="1">
      <c r="A62" s="12" t="s">
        <v>146</v>
      </c>
      <c r="B62" s="8" t="s">
        <v>88</v>
      </c>
      <c r="I62" s="246" t="s">
        <v>163</v>
      </c>
      <c r="J62" s="65">
        <f>SUM(A:B!J62)</f>
        <v>0</v>
      </c>
      <c r="K62" s="65">
        <f>SUM(A:B!K62)</f>
        <v>0</v>
      </c>
      <c r="L62" s="65">
        <f>SUM(A:B!L62)</f>
        <v>0</v>
      </c>
      <c r="M62" s="65">
        <f>SUM(A:B!M62)</f>
        <v>0</v>
      </c>
      <c r="N62" s="65">
        <f>SUM(A:B!N62)</f>
        <v>2390</v>
      </c>
      <c r="O62" s="65">
        <f>SUM(A:B!O62)</f>
        <v>0</v>
      </c>
      <c r="P62" s="65">
        <f>SUM(A:B!P62)</f>
        <v>0</v>
      </c>
      <c r="Q62" s="65">
        <f>SUM(A:B!Q62)</f>
        <v>0</v>
      </c>
      <c r="R62" s="65">
        <f>SUM(A:B!R62)</f>
        <v>0</v>
      </c>
      <c r="S62" s="65">
        <f>SUM(A:B!S62)</f>
        <v>0</v>
      </c>
      <c r="T62" s="65">
        <f>SUM(A:B!T62)</f>
        <v>0</v>
      </c>
      <c r="U62" s="65">
        <f>SUM(A:B!U62)</f>
        <v>0</v>
      </c>
      <c r="V62" s="11">
        <f t="shared" si="42"/>
        <v>2390</v>
      </c>
      <c r="W62" s="73">
        <f t="shared" si="39"/>
        <v>2.6669228959214956E-6</v>
      </c>
      <c r="X62" s="89"/>
      <c r="Y62" s="65">
        <f>SUM(A:B!Y62)</f>
        <v>0</v>
      </c>
      <c r="Z62" s="65">
        <f>SUM(A:B!Z62)</f>
        <v>0</v>
      </c>
      <c r="AA62" s="65">
        <f>SUM(A:B!AA62)</f>
        <v>0</v>
      </c>
      <c r="AB62" s="65">
        <f>SUM(A:B!AB62)</f>
        <v>0</v>
      </c>
      <c r="AC62" s="65">
        <f>SUM(A:B!AC62)</f>
        <v>2479.625</v>
      </c>
      <c r="AD62" s="65">
        <f>SUM(A:B!AD62)</f>
        <v>0</v>
      </c>
      <c r="AE62" s="65">
        <f>SUM(A:B!AE62)</f>
        <v>0</v>
      </c>
      <c r="AF62" s="65">
        <f>SUM(A:B!AF62)</f>
        <v>0</v>
      </c>
      <c r="AG62" s="65">
        <f>SUM(A:B!AG62)</f>
        <v>0</v>
      </c>
      <c r="AH62" s="65">
        <f>SUM(A:B!AH62)</f>
        <v>0</v>
      </c>
      <c r="AI62" s="65">
        <f>SUM(A:B!AI62)</f>
        <v>0</v>
      </c>
      <c r="AJ62" s="65">
        <f>SUM(A:B!AJ62)</f>
        <v>0</v>
      </c>
      <c r="AK62" s="124">
        <f>SUM(Y62:AJ62)</f>
        <v>2479.625</v>
      </c>
      <c r="AL62" s="73">
        <f t="shared" si="41"/>
        <v>2.5744195581701641E-6</v>
      </c>
      <c r="AM62" s="14">
        <f t="shared" si="7"/>
        <v>3.7500000000000089E-2</v>
      </c>
      <c r="AN62" s="269" t="s">
        <v>471</v>
      </c>
    </row>
    <row r="63" spans="1:43" ht="15" hidden="1" outlineLevel="1">
      <c r="A63" s="12" t="s">
        <v>146</v>
      </c>
      <c r="B63" s="8" t="s">
        <v>88</v>
      </c>
      <c r="I63" s="246" t="s">
        <v>164</v>
      </c>
      <c r="J63" s="65">
        <f>SUM(A:B!J63)</f>
        <v>4090</v>
      </c>
      <c r="K63" s="65">
        <f>SUM(A:B!K63)</f>
        <v>-3499</v>
      </c>
      <c r="L63" s="65">
        <f>SUM(A:B!L63)</f>
        <v>2988</v>
      </c>
      <c r="M63" s="65">
        <f>SUM(A:B!M63)</f>
        <v>216</v>
      </c>
      <c r="N63" s="65">
        <f>SUM(A:B!N63)</f>
        <v>781</v>
      </c>
      <c r="O63" s="65">
        <f>SUM(A:B!O63)</f>
        <v>122</v>
      </c>
      <c r="P63" s="65">
        <f>SUM(A:B!P63)</f>
        <v>186</v>
      </c>
      <c r="Q63" s="65">
        <f>SUM(A:B!Q63)</f>
        <v>163</v>
      </c>
      <c r="R63" s="65">
        <f>SUM(A:B!R63)</f>
        <v>383</v>
      </c>
      <c r="S63" s="65">
        <f>SUM(A:B!S63)</f>
        <v>2</v>
      </c>
      <c r="T63" s="65">
        <f>SUM(A:B!T63)</f>
        <v>0</v>
      </c>
      <c r="U63" s="65">
        <f>SUM(A:B!U63)</f>
        <v>0</v>
      </c>
      <c r="V63" s="11">
        <f t="shared" si="42"/>
        <v>5432</v>
      </c>
      <c r="W63" s="73">
        <f t="shared" si="39"/>
        <v>6.0613912847889386E-6</v>
      </c>
      <c r="X63" s="89"/>
      <c r="Y63" s="65">
        <f>SUM(A:B!Y63)</f>
        <v>0</v>
      </c>
      <c r="Z63" s="65">
        <f>SUM(A:B!Z63)</f>
        <v>0</v>
      </c>
      <c r="AA63" s="65">
        <f>SUM(A:B!AA63)</f>
        <v>0</v>
      </c>
      <c r="AB63" s="65">
        <f>SUM(A:B!AB63)</f>
        <v>0</v>
      </c>
      <c r="AC63" s="65">
        <f>SUM(A:B!AC63)</f>
        <v>0</v>
      </c>
      <c r="AD63" s="65">
        <f>SUM(A:B!AD63)</f>
        <v>0</v>
      </c>
      <c r="AE63" s="65">
        <f>SUM(A:B!AE63)</f>
        <v>0</v>
      </c>
      <c r="AF63" s="65">
        <f>SUM(A:B!AF63)</f>
        <v>0</v>
      </c>
      <c r="AG63" s="65">
        <f>SUM(A:B!AG63)</f>
        <v>0</v>
      </c>
      <c r="AH63" s="65">
        <f>SUM(A:B!AH63)</f>
        <v>0</v>
      </c>
      <c r="AI63" s="65">
        <f>SUM(A:B!AI63)</f>
        <v>0</v>
      </c>
      <c r="AJ63" s="65">
        <f>SUM(A:B!AJ63)</f>
        <v>0</v>
      </c>
      <c r="AK63" s="124">
        <f t="shared" si="43"/>
        <v>0</v>
      </c>
      <c r="AL63" s="73">
        <f t="shared" si="41"/>
        <v>0</v>
      </c>
      <c r="AM63" s="14">
        <f t="shared" si="7"/>
        <v>-1</v>
      </c>
    </row>
    <row r="64" spans="1:43" ht="15" hidden="1" outlineLevel="1">
      <c r="A64" s="12" t="s">
        <v>146</v>
      </c>
      <c r="B64" s="8" t="s">
        <v>88</v>
      </c>
      <c r="I64" s="246" t="s">
        <v>165</v>
      </c>
      <c r="J64" s="65">
        <f>SUM(A:B!J64)</f>
        <v>4633</v>
      </c>
      <c r="K64" s="65">
        <f>SUM(A:B!K64)</f>
        <v>5751</v>
      </c>
      <c r="L64" s="65">
        <f>SUM(A:B!L64)</f>
        <v>7472</v>
      </c>
      <c r="M64" s="65">
        <f>SUM(A:B!M64)</f>
        <v>9066</v>
      </c>
      <c r="N64" s="65">
        <f>SUM(A:B!N64)</f>
        <v>6060</v>
      </c>
      <c r="O64" s="65">
        <f>SUM(A:B!O64)</f>
        <v>6638</v>
      </c>
      <c r="P64" s="65">
        <f>SUM(A:B!P64)</f>
        <v>1363</v>
      </c>
      <c r="Q64" s="65">
        <f>SUM(A:B!Q64)</f>
        <v>11196</v>
      </c>
      <c r="R64" s="65">
        <f>SUM(A:B!R64)</f>
        <v>7871</v>
      </c>
      <c r="S64" s="65">
        <f>SUM(A:B!S64)</f>
        <v>7506.666666666667</v>
      </c>
      <c r="T64" s="65">
        <f>SUM(A:B!T64)</f>
        <v>8857.8888888888887</v>
      </c>
      <c r="U64" s="65">
        <f>SUM(A:B!U64)</f>
        <v>8078.5185185185182</v>
      </c>
      <c r="V64" s="11">
        <f t="shared" si="42"/>
        <v>84493.074074074073</v>
      </c>
      <c r="W64" s="73">
        <f t="shared" si="39"/>
        <v>9.4283060165246474E-5</v>
      </c>
      <c r="X64" s="89"/>
      <c r="Y64" s="65">
        <f>SUM(A:B!Y64)</f>
        <v>8298.3966999999993</v>
      </c>
      <c r="Z64" s="65">
        <f>SUM(A:B!Z64)</f>
        <v>8298.3966999999993</v>
      </c>
      <c r="AA64" s="65">
        <f>SUM(A:B!AA64)</f>
        <v>8298.3966999999993</v>
      </c>
      <c r="AB64" s="65">
        <f>SUM(A:B!AB64)</f>
        <v>8298.3966999999993</v>
      </c>
      <c r="AC64" s="65">
        <f>SUM(A:B!AC64)</f>
        <v>8298.3966999999993</v>
      </c>
      <c r="AD64" s="65">
        <f>SUM(A:B!AD64)</f>
        <v>8298.3966999999993</v>
      </c>
      <c r="AE64" s="65">
        <f>SUM(A:B!AE64)</f>
        <v>8298.3966999999993</v>
      </c>
      <c r="AF64" s="65">
        <f>SUM(A:B!AF64)</f>
        <v>8298.3966999999993</v>
      </c>
      <c r="AG64" s="65">
        <f>SUM(A:B!AG64)</f>
        <v>8298.3966999999993</v>
      </c>
      <c r="AH64" s="65">
        <f>SUM(A:B!AH64)</f>
        <v>8298.3966999999993</v>
      </c>
      <c r="AI64" s="65">
        <f>SUM(A:B!AI64)</f>
        <v>8298.3966999999993</v>
      </c>
      <c r="AJ64" s="65">
        <f>SUM(A:B!AJ64)</f>
        <v>8298.3966999999993</v>
      </c>
      <c r="AK64" s="124">
        <f t="shared" si="43"/>
        <v>99580.760399999985</v>
      </c>
      <c r="AL64" s="73">
        <f t="shared" si="41"/>
        <v>1.0338767240660056E-4</v>
      </c>
      <c r="AM64" s="14">
        <f t="shared" si="7"/>
        <v>0.17856713690756143</v>
      </c>
      <c r="AN64" s="9"/>
    </row>
    <row r="65" spans="1:40" ht="15" hidden="1" outlineLevel="1">
      <c r="A65" s="12" t="s">
        <v>146</v>
      </c>
      <c r="B65" s="8" t="s">
        <v>88</v>
      </c>
      <c r="I65" s="252" t="s">
        <v>167</v>
      </c>
      <c r="J65" s="65">
        <f>SUM(A:B!J65)</f>
        <v>0</v>
      </c>
      <c r="K65" s="65">
        <f>SUM(A:B!K65)</f>
        <v>0</v>
      </c>
      <c r="L65" s="65">
        <f>SUM(A:B!L65)</f>
        <v>0</v>
      </c>
      <c r="M65" s="65">
        <f>SUM(A:B!M65)</f>
        <v>0</v>
      </c>
      <c r="N65" s="65">
        <f>SUM(A:B!N65)</f>
        <v>0</v>
      </c>
      <c r="O65" s="65">
        <f>SUM(A:B!O65)</f>
        <v>0</v>
      </c>
      <c r="P65" s="65">
        <f>SUM(A:B!P65)</f>
        <v>0</v>
      </c>
      <c r="Q65" s="65">
        <f>SUM(A:B!Q65)</f>
        <v>0</v>
      </c>
      <c r="R65" s="65">
        <f>SUM(A:B!R65)</f>
        <v>0</v>
      </c>
      <c r="S65" s="65">
        <f>SUM(A:B!S65)</f>
        <v>0</v>
      </c>
      <c r="T65" s="65">
        <f>SUM(A:B!T65)</f>
        <v>0</v>
      </c>
      <c r="U65" s="65">
        <f>SUM(A:B!U65)</f>
        <v>0</v>
      </c>
      <c r="V65" s="11">
        <f t="shared" si="42"/>
        <v>0</v>
      </c>
      <c r="W65" s="73">
        <f t="shared" si="39"/>
        <v>0</v>
      </c>
      <c r="X65" s="89"/>
      <c r="Y65" s="65">
        <f>SUM(A:B!Y65)</f>
        <v>0</v>
      </c>
      <c r="Z65" s="65">
        <f>SUM(A:B!Z65)</f>
        <v>0</v>
      </c>
      <c r="AA65" s="65">
        <f>SUM(A:B!AA65)</f>
        <v>0</v>
      </c>
      <c r="AB65" s="65">
        <f>SUM(A:B!AB65)</f>
        <v>0</v>
      </c>
      <c r="AC65" s="65">
        <f>SUM(A:B!AC65)</f>
        <v>0</v>
      </c>
      <c r="AD65" s="65">
        <f>SUM(A:B!AD65)</f>
        <v>0</v>
      </c>
      <c r="AE65" s="65">
        <f>SUM(A:B!AE65)</f>
        <v>0</v>
      </c>
      <c r="AF65" s="65">
        <f>SUM(A:B!AF65)</f>
        <v>0</v>
      </c>
      <c r="AG65" s="65">
        <f>SUM(A:B!AG65)</f>
        <v>0</v>
      </c>
      <c r="AH65" s="65">
        <f>SUM(A:B!AH65)</f>
        <v>0</v>
      </c>
      <c r="AI65" s="65">
        <f>SUM(A:B!AI65)</f>
        <v>0</v>
      </c>
      <c r="AJ65" s="65">
        <f>SUM(A:B!AJ65)</f>
        <v>0</v>
      </c>
      <c r="AK65" s="124">
        <f t="shared" si="43"/>
        <v>0</v>
      </c>
      <c r="AL65" s="73">
        <f t="shared" si="41"/>
        <v>0</v>
      </c>
      <c r="AM65" s="14">
        <f t="shared" si="7"/>
        <v>0</v>
      </c>
    </row>
    <row r="66" spans="1:40" ht="15" hidden="1" outlineLevel="1">
      <c r="A66" s="12" t="s">
        <v>146</v>
      </c>
      <c r="B66" s="8" t="s">
        <v>88</v>
      </c>
      <c r="I66" s="246" t="s">
        <v>168</v>
      </c>
      <c r="J66" s="65">
        <f>SUM(A:B!J66)</f>
        <v>8219</v>
      </c>
      <c r="K66" s="65">
        <f>SUM(A:B!K66)</f>
        <v>0</v>
      </c>
      <c r="L66" s="65">
        <f>SUM(A:B!L66)</f>
        <v>0</v>
      </c>
      <c r="M66" s="65">
        <f>SUM(A:B!M66)</f>
        <v>24988</v>
      </c>
      <c r="N66" s="65">
        <f>SUM(A:B!N66)</f>
        <v>0</v>
      </c>
      <c r="O66" s="65">
        <f>SUM(A:B!O66)</f>
        <v>0</v>
      </c>
      <c r="P66" s="65">
        <f>SUM(A:B!P66)</f>
        <v>0</v>
      </c>
      <c r="Q66" s="65">
        <f>SUM(A:B!Q66)</f>
        <v>7411</v>
      </c>
      <c r="R66" s="65">
        <f>SUM(A:B!R66)</f>
        <v>12981</v>
      </c>
      <c r="S66" s="65">
        <f>SUM(A:B!S66)</f>
        <v>1185.6000000000001</v>
      </c>
      <c r="T66" s="65">
        <f>SUM(A:B!T66)</f>
        <v>0</v>
      </c>
      <c r="U66" s="65">
        <f>SUM(A:B!U66)</f>
        <v>0</v>
      </c>
      <c r="V66" s="11">
        <f t="shared" si="42"/>
        <v>54784.6</v>
      </c>
      <c r="W66" s="73">
        <f t="shared" si="39"/>
        <v>6.1132344804979392E-5</v>
      </c>
      <c r="X66" s="89"/>
      <c r="Y66" s="65">
        <f>SUM(A:B!Y66)</f>
        <v>0</v>
      </c>
      <c r="Z66" s="65">
        <f>SUM(A:B!Z66)</f>
        <v>15458.183399999998</v>
      </c>
      <c r="AA66" s="65">
        <f>SUM(A:B!AA66)</f>
        <v>0</v>
      </c>
      <c r="AB66" s="65">
        <f>SUM(A:B!AB66)</f>
        <v>24925.207999999995</v>
      </c>
      <c r="AC66" s="65">
        <f>SUM(A:B!AC66)</f>
        <v>0</v>
      </c>
      <c r="AD66" s="65">
        <f>SUM(A:B!AD66)</f>
        <v>0</v>
      </c>
      <c r="AE66" s="65">
        <f>SUM(A:B!AE66)</f>
        <v>15898.100899999998</v>
      </c>
      <c r="AF66" s="65">
        <f>SUM(A:B!AF66)</f>
        <v>15288.426999999998</v>
      </c>
      <c r="AG66" s="65">
        <f>SUM(A:B!AG66)</f>
        <v>0</v>
      </c>
      <c r="AH66" s="65">
        <f>SUM(A:B!AH66)</f>
        <v>0</v>
      </c>
      <c r="AI66" s="65">
        <f>SUM(A:B!AI66)</f>
        <v>0</v>
      </c>
      <c r="AJ66" s="65">
        <f>SUM(A:B!AJ66)</f>
        <v>0</v>
      </c>
      <c r="AK66" s="124">
        <f t="shared" si="43"/>
        <v>71569.919299999994</v>
      </c>
      <c r="AL66" s="73">
        <f t="shared" si="41"/>
        <v>7.4305993858982824E-5</v>
      </c>
      <c r="AM66" s="14">
        <f t="shared" si="7"/>
        <v>0.3063875486906904</v>
      </c>
      <c r="AN66" s="9"/>
    </row>
    <row r="67" spans="1:40" ht="15" hidden="1" outlineLevel="1">
      <c r="A67" s="12" t="s">
        <v>146</v>
      </c>
      <c r="B67" s="8" t="s">
        <v>88</v>
      </c>
      <c r="I67" s="246" t="s">
        <v>170</v>
      </c>
      <c r="J67" s="65">
        <f>SUM(A:B!J67)</f>
        <v>23086</v>
      </c>
      <c r="K67" s="65">
        <f>SUM(A:B!K67)</f>
        <v>23086</v>
      </c>
      <c r="L67" s="65">
        <f>SUM(A:B!L67)</f>
        <v>23086</v>
      </c>
      <c r="M67" s="65">
        <f>SUM(A:B!M67)</f>
        <v>23086</v>
      </c>
      <c r="N67" s="65">
        <f>SUM(A:B!N67)</f>
        <v>23086</v>
      </c>
      <c r="O67" s="65">
        <f>SUM(A:B!O67)</f>
        <v>23086</v>
      </c>
      <c r="P67" s="65">
        <f>SUM(A:B!P67)</f>
        <v>23086</v>
      </c>
      <c r="Q67" s="65">
        <f>SUM(A:B!Q67)</f>
        <v>23086</v>
      </c>
      <c r="R67" s="65">
        <f>SUM(A:B!R67)</f>
        <v>23086</v>
      </c>
      <c r="S67" s="65">
        <f>SUM(A:B!S67)</f>
        <v>23086</v>
      </c>
      <c r="T67" s="65">
        <f>SUM(A:B!T67)</f>
        <v>23086</v>
      </c>
      <c r="U67" s="65">
        <f>SUM(A:B!U67)</f>
        <v>23086</v>
      </c>
      <c r="V67" s="11">
        <f t="shared" si="42"/>
        <v>277032</v>
      </c>
      <c r="W67" s="73">
        <f t="shared" si="39"/>
        <v>3.0913095552423587E-4</v>
      </c>
      <c r="X67" s="89"/>
      <c r="Y67" s="65">
        <f>SUM(A:B!Y67)</f>
        <v>34598.217499999999</v>
      </c>
      <c r="Z67" s="65">
        <f>SUM(A:B!Z67)</f>
        <v>34598.217499999999</v>
      </c>
      <c r="AA67" s="65">
        <f>SUM(A:B!AA67)</f>
        <v>34598.217499999999</v>
      </c>
      <c r="AB67" s="65">
        <f>SUM(A:B!AB67)</f>
        <v>34598.217499999999</v>
      </c>
      <c r="AC67" s="65">
        <f>SUM(A:B!AC67)</f>
        <v>34598.217499999999</v>
      </c>
      <c r="AD67" s="65">
        <f>SUM(A:B!AD67)</f>
        <v>34598.217499999999</v>
      </c>
      <c r="AE67" s="65">
        <f>SUM(A:B!AE67)</f>
        <v>34598.217499999999</v>
      </c>
      <c r="AF67" s="65">
        <f>SUM(A:B!AF67)</f>
        <v>34598.217499999999</v>
      </c>
      <c r="AG67" s="65">
        <f>SUM(A:B!AG67)</f>
        <v>34598.217499999999</v>
      </c>
      <c r="AH67" s="65">
        <f>SUM(A:B!AH67)</f>
        <v>34598.217499999999</v>
      </c>
      <c r="AI67" s="65">
        <f>SUM(A:B!AI67)</f>
        <v>34598.217499999999</v>
      </c>
      <c r="AJ67" s="65">
        <f>SUM(A:B!AJ67)</f>
        <v>34598.217499999999</v>
      </c>
      <c r="AK67" s="124">
        <f t="shared" si="43"/>
        <v>415178.6100000001</v>
      </c>
      <c r="AL67" s="73">
        <f t="shared" si="41"/>
        <v>4.3105063617196275E-4</v>
      </c>
      <c r="AM67" s="14">
        <f t="shared" si="7"/>
        <v>0.49866661613098895</v>
      </c>
      <c r="AN67" s="9"/>
    </row>
    <row r="68" spans="1:40" ht="15" hidden="1" outlineLevel="1">
      <c r="A68" s="12" t="s">
        <v>146</v>
      </c>
      <c r="B68" s="8" t="s">
        <v>88</v>
      </c>
      <c r="I68" s="246" t="s">
        <v>171</v>
      </c>
      <c r="J68" s="65">
        <f>SUM(A:B!J68)</f>
        <v>0</v>
      </c>
      <c r="K68" s="65">
        <f>SUM(A:B!K68)</f>
        <v>0</v>
      </c>
      <c r="L68" s="65">
        <f>SUM(A:B!L68)</f>
        <v>0</v>
      </c>
      <c r="M68" s="65">
        <f>SUM(A:B!M68)</f>
        <v>0</v>
      </c>
      <c r="N68" s="65">
        <f>SUM(A:B!N68)</f>
        <v>0</v>
      </c>
      <c r="O68" s="65">
        <f>SUM(A:B!O68)</f>
        <v>0</v>
      </c>
      <c r="P68" s="65">
        <f>SUM(A:B!P68)</f>
        <v>0</v>
      </c>
      <c r="Q68" s="65">
        <f>SUM(A:B!Q68)</f>
        <v>0</v>
      </c>
      <c r="R68" s="65">
        <f>SUM(A:B!R68)</f>
        <v>0</v>
      </c>
      <c r="S68" s="65">
        <f>SUM(A:B!S68)</f>
        <v>0</v>
      </c>
      <c r="T68" s="65">
        <f>SUM(A:B!T68)</f>
        <v>0</v>
      </c>
      <c r="U68" s="65">
        <f>SUM(A:B!U68)</f>
        <v>0</v>
      </c>
      <c r="V68" s="11">
        <f t="shared" si="42"/>
        <v>0</v>
      </c>
      <c r="W68" s="73">
        <f t="shared" si="39"/>
        <v>0</v>
      </c>
      <c r="X68" s="89"/>
      <c r="Y68" s="65">
        <f>SUM(A:B!Y68)</f>
        <v>0</v>
      </c>
      <c r="Z68" s="65">
        <f>SUM(A:B!Z68)</f>
        <v>0</v>
      </c>
      <c r="AA68" s="65">
        <f>SUM(A:B!AA68)</f>
        <v>0</v>
      </c>
      <c r="AB68" s="65">
        <f>SUM(A:B!AB68)</f>
        <v>0</v>
      </c>
      <c r="AC68" s="65">
        <f>SUM(A:B!AC68)</f>
        <v>0</v>
      </c>
      <c r="AD68" s="65">
        <f>SUM(A:B!AD68)</f>
        <v>0</v>
      </c>
      <c r="AE68" s="65">
        <f>SUM(A:B!AE68)</f>
        <v>0</v>
      </c>
      <c r="AF68" s="65">
        <f>SUM(A:B!AF68)</f>
        <v>0</v>
      </c>
      <c r="AG68" s="65">
        <f>SUM(A:B!AG68)</f>
        <v>0</v>
      </c>
      <c r="AH68" s="65">
        <f>SUM(A:B!AH68)</f>
        <v>0</v>
      </c>
      <c r="AI68" s="65">
        <f>SUM(A:B!AI68)</f>
        <v>0</v>
      </c>
      <c r="AJ68" s="65">
        <f>SUM(A:B!AJ68)</f>
        <v>0</v>
      </c>
      <c r="AK68" s="124">
        <f t="shared" si="43"/>
        <v>0</v>
      </c>
      <c r="AL68" s="73">
        <f t="shared" si="41"/>
        <v>0</v>
      </c>
      <c r="AM68" s="14">
        <f t="shared" si="7"/>
        <v>0</v>
      </c>
    </row>
    <row r="69" spans="1:40" ht="15" hidden="1" outlineLevel="1">
      <c r="A69" s="12" t="s">
        <v>146</v>
      </c>
      <c r="B69" s="8" t="s">
        <v>88</v>
      </c>
      <c r="I69" s="246" t="s">
        <v>172</v>
      </c>
      <c r="J69" s="65">
        <f>SUM(A:B!J69)</f>
        <v>0</v>
      </c>
      <c r="K69" s="65">
        <f>SUM(A:B!K69)</f>
        <v>0</v>
      </c>
      <c r="L69" s="65">
        <f>SUM(A:B!L69)</f>
        <v>0</v>
      </c>
      <c r="M69" s="65">
        <f>SUM(A:B!M69)</f>
        <v>0</v>
      </c>
      <c r="N69" s="65">
        <f>SUM(A:B!N69)</f>
        <v>662</v>
      </c>
      <c r="O69" s="65">
        <f>SUM(A:B!O69)</f>
        <v>0</v>
      </c>
      <c r="P69" s="65">
        <f>SUM(A:B!P69)</f>
        <v>0</v>
      </c>
      <c r="Q69" s="65">
        <f>SUM(A:B!Q69)</f>
        <v>0</v>
      </c>
      <c r="R69" s="65">
        <f>SUM(A:B!R69)</f>
        <v>0</v>
      </c>
      <c r="S69" s="65">
        <f>SUM(A:B!S69)</f>
        <v>183</v>
      </c>
      <c r="T69" s="65">
        <f>SUM(A:B!T69)</f>
        <v>0</v>
      </c>
      <c r="U69" s="65">
        <f>SUM(A:B!U69)</f>
        <v>0</v>
      </c>
      <c r="V69" s="11">
        <f t="shared" si="42"/>
        <v>845</v>
      </c>
      <c r="W69" s="73">
        <f t="shared" si="39"/>
        <v>9.4290788579651201E-7</v>
      </c>
      <c r="X69" s="89"/>
      <c r="Y69" s="65">
        <f>SUM(A:B!Y69)</f>
        <v>0</v>
      </c>
      <c r="Z69" s="65">
        <f>SUM(A:B!Z69)</f>
        <v>0</v>
      </c>
      <c r="AA69" s="65">
        <f>SUM(A:B!AA69)</f>
        <v>0</v>
      </c>
      <c r="AB69" s="65">
        <f>SUM(A:B!AB69)</f>
        <v>0</v>
      </c>
      <c r="AC69" s="65">
        <f>SUM(A:B!AC69)</f>
        <v>0</v>
      </c>
      <c r="AD69" s="65">
        <f>SUM(A:B!AD69)</f>
        <v>0</v>
      </c>
      <c r="AE69" s="65">
        <f>SUM(A:B!AE69)</f>
        <v>0</v>
      </c>
      <c r="AF69" s="65">
        <f>SUM(A:B!AF69)</f>
        <v>0</v>
      </c>
      <c r="AG69" s="65">
        <f>SUM(A:B!AG69)</f>
        <v>0</v>
      </c>
      <c r="AH69" s="65">
        <f>SUM(A:B!AH69)</f>
        <v>0</v>
      </c>
      <c r="AI69" s="65">
        <f>SUM(A:B!AI69)</f>
        <v>0</v>
      </c>
      <c r="AJ69" s="65">
        <f>SUM(A:B!AJ69)</f>
        <v>0</v>
      </c>
      <c r="AK69" s="124">
        <f t="shared" si="43"/>
        <v>0</v>
      </c>
      <c r="AL69" s="73">
        <f t="shared" si="41"/>
        <v>0</v>
      </c>
      <c r="AM69" s="14">
        <f t="shared" si="7"/>
        <v>-1</v>
      </c>
    </row>
    <row r="70" spans="1:40" ht="15" hidden="1" outlineLevel="1">
      <c r="A70" s="12" t="s">
        <v>146</v>
      </c>
      <c r="B70" s="8" t="s">
        <v>88</v>
      </c>
      <c r="I70" s="246" t="s">
        <v>173</v>
      </c>
      <c r="J70" s="65">
        <f>SUM(A:B!J70)</f>
        <v>15144</v>
      </c>
      <c r="K70" s="65">
        <f>SUM(A:B!K70)</f>
        <v>21968</v>
      </c>
      <c r="L70" s="65">
        <f>SUM(A:B!L70)</f>
        <v>12968</v>
      </c>
      <c r="M70" s="65">
        <f>SUM(A:B!M70)</f>
        <v>0</v>
      </c>
      <c r="N70" s="65">
        <f>SUM(A:B!N70)</f>
        <v>9800</v>
      </c>
      <c r="O70" s="65">
        <f>SUM(A:B!O70)</f>
        <v>17450</v>
      </c>
      <c r="P70" s="65">
        <f>SUM(A:B!P70)</f>
        <v>9800</v>
      </c>
      <c r="Q70" s="65">
        <f>SUM(A:B!Q70)</f>
        <v>9800</v>
      </c>
      <c r="R70" s="65">
        <f>SUM(A:B!R70)</f>
        <v>9800</v>
      </c>
      <c r="S70" s="65">
        <f>SUM(A:B!S70)</f>
        <v>11600</v>
      </c>
      <c r="T70" s="65">
        <f>SUM(A:B!T70)</f>
        <v>10400</v>
      </c>
      <c r="U70" s="65">
        <f>SUM(A:B!U70)</f>
        <v>10600</v>
      </c>
      <c r="V70" s="11">
        <f t="shared" si="42"/>
        <v>139330</v>
      </c>
      <c r="W70" s="73">
        <f t="shared" si="39"/>
        <v>1.554737937609799E-4</v>
      </c>
      <c r="X70" s="89"/>
      <c r="Y70" s="65">
        <f>SUM(A:B!Y70)</f>
        <v>10500</v>
      </c>
      <c r="Z70" s="65">
        <f>SUM(A:B!Z70)</f>
        <v>10500</v>
      </c>
      <c r="AA70" s="65">
        <f>SUM(A:B!AA70)</f>
        <v>10500</v>
      </c>
      <c r="AB70" s="65">
        <f>SUM(A:B!AB70)</f>
        <v>10500</v>
      </c>
      <c r="AC70" s="65">
        <f>SUM(A:B!AC70)</f>
        <v>10500</v>
      </c>
      <c r="AD70" s="65">
        <f>SUM(A:B!AD70)</f>
        <v>10500</v>
      </c>
      <c r="AE70" s="65">
        <f>SUM(A:B!AE70)</f>
        <v>10500</v>
      </c>
      <c r="AF70" s="65">
        <f>SUM(A:B!AF70)</f>
        <v>10500</v>
      </c>
      <c r="AG70" s="65">
        <f>SUM(A:B!AG70)</f>
        <v>10500</v>
      </c>
      <c r="AH70" s="65">
        <f>SUM(A:B!AH70)</f>
        <v>10500</v>
      </c>
      <c r="AI70" s="65">
        <f>SUM(A:B!AI70)</f>
        <v>10500</v>
      </c>
      <c r="AJ70" s="65">
        <f>SUM(A:B!AJ70)</f>
        <v>10500</v>
      </c>
      <c r="AK70" s="124">
        <f t="shared" si="43"/>
        <v>126000</v>
      </c>
      <c r="AL70" s="73">
        <f t="shared" si="41"/>
        <v>1.3081690349526267E-4</v>
      </c>
      <c r="AM70" s="14">
        <f t="shared" si="7"/>
        <v>-9.5672145266633146E-2</v>
      </c>
    </row>
    <row r="71" spans="1:40" ht="15" hidden="1" outlineLevel="1">
      <c r="A71" s="12" t="s">
        <v>146</v>
      </c>
      <c r="B71" s="8" t="s">
        <v>88</v>
      </c>
      <c r="I71" s="246" t="s">
        <v>174</v>
      </c>
      <c r="J71" s="65">
        <f>SUM(A:B!J71)</f>
        <v>0</v>
      </c>
      <c r="K71" s="65">
        <f>SUM(A:B!K71)</f>
        <v>0</v>
      </c>
      <c r="L71" s="65">
        <f>SUM(A:B!L71)</f>
        <v>0</v>
      </c>
      <c r="M71" s="65">
        <f>SUM(A:B!M71)</f>
        <v>0</v>
      </c>
      <c r="N71" s="65">
        <f>SUM(A:B!N71)</f>
        <v>0</v>
      </c>
      <c r="O71" s="65">
        <f>SUM(A:B!O71)</f>
        <v>0</v>
      </c>
      <c r="P71" s="65">
        <f>SUM(A:B!P71)</f>
        <v>0</v>
      </c>
      <c r="Q71" s="65">
        <f>SUM(A:B!Q71)</f>
        <v>0</v>
      </c>
      <c r="R71" s="65">
        <f>SUM(A:B!R71)</f>
        <v>0</v>
      </c>
      <c r="S71" s="65">
        <f>SUM(A:B!S71)</f>
        <v>0</v>
      </c>
      <c r="T71" s="65">
        <f>SUM(A:B!T71)</f>
        <v>0</v>
      </c>
      <c r="U71" s="65">
        <f>SUM(A:B!U71)</f>
        <v>0</v>
      </c>
      <c r="V71" s="11">
        <f t="shared" si="42"/>
        <v>0</v>
      </c>
      <c r="W71" s="73">
        <f t="shared" si="39"/>
        <v>0</v>
      </c>
      <c r="X71" s="89"/>
      <c r="Y71" s="65">
        <f>SUM(A:B!Y71)</f>
        <v>0</v>
      </c>
      <c r="Z71" s="65">
        <f>SUM(A:B!Z71)</f>
        <v>0</v>
      </c>
      <c r="AA71" s="65">
        <f>SUM(A:B!AA71)</f>
        <v>0</v>
      </c>
      <c r="AB71" s="65">
        <f>SUM(A:B!AB71)</f>
        <v>0</v>
      </c>
      <c r="AC71" s="65">
        <f>SUM(A:B!AC71)</f>
        <v>0</v>
      </c>
      <c r="AD71" s="65">
        <f>SUM(A:B!AD71)</f>
        <v>0</v>
      </c>
      <c r="AE71" s="65">
        <f>SUM(A:B!AE71)</f>
        <v>0</v>
      </c>
      <c r="AF71" s="65">
        <f>SUM(A:B!AF71)</f>
        <v>0</v>
      </c>
      <c r="AG71" s="65">
        <f>SUM(A:B!AG71)</f>
        <v>0</v>
      </c>
      <c r="AH71" s="65">
        <f>SUM(A:B!AH71)</f>
        <v>0</v>
      </c>
      <c r="AI71" s="65">
        <f>SUM(A:B!AI71)</f>
        <v>0</v>
      </c>
      <c r="AJ71" s="65">
        <f>SUM(A:B!AJ71)</f>
        <v>0</v>
      </c>
      <c r="AK71" s="124">
        <f t="shared" si="43"/>
        <v>0</v>
      </c>
      <c r="AL71" s="73">
        <f t="shared" si="41"/>
        <v>0</v>
      </c>
      <c r="AM71" s="14">
        <f t="shared" si="7"/>
        <v>0</v>
      </c>
    </row>
    <row r="72" spans="1:40" ht="15" hidden="1" outlineLevel="1">
      <c r="A72" s="12" t="s">
        <v>146</v>
      </c>
      <c r="B72" s="8" t="s">
        <v>88</v>
      </c>
      <c r="I72" s="246" t="s">
        <v>175</v>
      </c>
      <c r="J72" s="65">
        <f>SUM(A:B!J72)</f>
        <v>6314</v>
      </c>
      <c r="K72" s="65">
        <f>SUM(A:B!K72)</f>
        <v>6314</v>
      </c>
      <c r="L72" s="65">
        <f>SUM(A:B!L72)</f>
        <v>6314</v>
      </c>
      <c r="M72" s="65">
        <f>SUM(A:B!M72)</f>
        <v>6314</v>
      </c>
      <c r="N72" s="65">
        <f>SUM(A:B!N72)</f>
        <v>6314</v>
      </c>
      <c r="O72" s="65">
        <f>SUM(A:B!O72)</f>
        <v>6314</v>
      </c>
      <c r="P72" s="65">
        <f>SUM(A:B!P72)</f>
        <v>6314</v>
      </c>
      <c r="Q72" s="65">
        <f>SUM(A:B!Q72)</f>
        <v>6314</v>
      </c>
      <c r="R72" s="65">
        <f>SUM(A:B!R72)</f>
        <v>6314</v>
      </c>
      <c r="S72" s="65">
        <f>SUM(A:B!S72)</f>
        <v>6314</v>
      </c>
      <c r="T72" s="65">
        <f>SUM(A:B!T72)</f>
        <v>6314</v>
      </c>
      <c r="U72" s="65">
        <f>SUM(A:B!U72)</f>
        <v>6314</v>
      </c>
      <c r="V72" s="11">
        <f t="shared" si="42"/>
        <v>75768</v>
      </c>
      <c r="W72" s="73">
        <f t="shared" si="39"/>
        <v>8.4547035137313756E-5</v>
      </c>
      <c r="X72" s="89"/>
      <c r="Y72" s="65">
        <f>SUM(A:B!Y72)</f>
        <v>6550.7749999999996</v>
      </c>
      <c r="Z72" s="65">
        <f>SUM(A:B!Z72)</f>
        <v>6550.7749999999996</v>
      </c>
      <c r="AA72" s="65">
        <f>SUM(A:B!AA72)</f>
        <v>6550.7749999999996</v>
      </c>
      <c r="AB72" s="65">
        <f>SUM(A:B!AB72)</f>
        <v>6550.7749999999996</v>
      </c>
      <c r="AC72" s="65">
        <f>SUM(A:B!AC72)</f>
        <v>6550.7749999999996</v>
      </c>
      <c r="AD72" s="65">
        <f>SUM(A:B!AD72)</f>
        <v>6550.7749999999996</v>
      </c>
      <c r="AE72" s="65">
        <f>SUM(A:B!AE72)</f>
        <v>6550.7749999999996</v>
      </c>
      <c r="AF72" s="65">
        <f>SUM(A:B!AF72)</f>
        <v>6550.7749999999996</v>
      </c>
      <c r="AG72" s="65">
        <f>SUM(A:B!AG72)</f>
        <v>6550.7749999999996</v>
      </c>
      <c r="AH72" s="65">
        <f>SUM(A:B!AH72)</f>
        <v>6550.7749999999996</v>
      </c>
      <c r="AI72" s="65">
        <f>SUM(A:B!AI72)</f>
        <v>6550.7749999999996</v>
      </c>
      <c r="AJ72" s="65">
        <f>SUM(A:B!AJ72)</f>
        <v>6550.7749999999996</v>
      </c>
      <c r="AK72" s="124">
        <f t="shared" si="43"/>
        <v>78609.3</v>
      </c>
      <c r="AL72" s="73">
        <f t="shared" si="41"/>
        <v>8.161448580896945E-5</v>
      </c>
      <c r="AM72" s="14">
        <f t="shared" si="7"/>
        <v>3.7500000000000089E-2</v>
      </c>
    </row>
    <row r="73" spans="1:40" ht="15" hidden="1" outlineLevel="1">
      <c r="A73" s="12"/>
      <c r="I73" s="246" t="s">
        <v>176</v>
      </c>
      <c r="J73" s="65">
        <f>SUM(A:B!J73)</f>
        <v>0</v>
      </c>
      <c r="K73" s="65">
        <f>SUM(A:B!K73)</f>
        <v>0</v>
      </c>
      <c r="L73" s="65">
        <f>SUM(A:B!L73)</f>
        <v>0</v>
      </c>
      <c r="M73" s="65">
        <f>SUM(A:B!M73)</f>
        <v>0</v>
      </c>
      <c r="N73" s="65">
        <f>SUM(A:B!N73)</f>
        <v>0</v>
      </c>
      <c r="O73" s="65">
        <f>SUM(A:B!O73)</f>
        <v>22400</v>
      </c>
      <c r="P73" s="65">
        <f>SUM(A:B!P73)</f>
        <v>0</v>
      </c>
      <c r="Q73" s="65">
        <f>SUM(A:B!Q73)</f>
        <v>0</v>
      </c>
      <c r="R73" s="65">
        <f>SUM(A:B!R73)</f>
        <v>0</v>
      </c>
      <c r="S73" s="65">
        <f>SUM(A:B!S73)</f>
        <v>0</v>
      </c>
      <c r="T73" s="65">
        <f>SUM(A:B!T73)</f>
        <v>0</v>
      </c>
      <c r="U73" s="65">
        <f>SUM(A:B!U73)</f>
        <v>0</v>
      </c>
      <c r="V73" s="11">
        <f t="shared" si="42"/>
        <v>22400</v>
      </c>
      <c r="W73" s="73">
        <f t="shared" si="39"/>
        <v>2.4995427978511087E-5</v>
      </c>
      <c r="X73" s="89"/>
      <c r="Y73" s="65">
        <f>SUM(A:B!Y73)</f>
        <v>0</v>
      </c>
      <c r="Z73" s="65">
        <f>SUM(A:B!Z73)</f>
        <v>0</v>
      </c>
      <c r="AA73" s="65">
        <f>SUM(A:B!AA73)</f>
        <v>0</v>
      </c>
      <c r="AB73" s="65">
        <f>SUM(A:B!AB73)</f>
        <v>0</v>
      </c>
      <c r="AC73" s="65">
        <f>SUM(A:B!AC73)</f>
        <v>0</v>
      </c>
      <c r="AD73" s="65">
        <f>SUM(A:B!AD73)</f>
        <v>0</v>
      </c>
      <c r="AE73" s="65">
        <f>SUM(A:B!AE73)</f>
        <v>0</v>
      </c>
      <c r="AF73" s="65">
        <f>SUM(A:B!AF73)</f>
        <v>0</v>
      </c>
      <c r="AG73" s="65">
        <f>SUM(A:B!AG73)</f>
        <v>0</v>
      </c>
      <c r="AH73" s="65">
        <f>SUM(A:B!AH73)</f>
        <v>0</v>
      </c>
      <c r="AI73" s="65">
        <f>SUM(A:B!AI73)</f>
        <v>0</v>
      </c>
      <c r="AJ73" s="65">
        <f>SUM(A:B!AJ73)</f>
        <v>0</v>
      </c>
      <c r="AK73" s="124">
        <f t="shared" si="43"/>
        <v>0</v>
      </c>
      <c r="AL73" s="73">
        <f t="shared" si="41"/>
        <v>0</v>
      </c>
      <c r="AM73" s="14">
        <f t="shared" si="7"/>
        <v>-1</v>
      </c>
    </row>
    <row r="74" spans="1:40" ht="15" hidden="1" outlineLevel="1">
      <c r="A74" s="12"/>
      <c r="I74" s="308" t="s">
        <v>177</v>
      </c>
      <c r="J74" s="65">
        <f>SUM(A:B!J74)</f>
        <v>9100</v>
      </c>
      <c r="K74" s="65">
        <f>SUM(A:B!K74)</f>
        <v>9100</v>
      </c>
      <c r="L74" s="65">
        <f>SUM(A:B!L74)</f>
        <v>25900</v>
      </c>
      <c r="M74" s="65">
        <f>SUM(A:B!M74)</f>
        <v>9100</v>
      </c>
      <c r="N74" s="65">
        <f>SUM(A:B!N74)</f>
        <v>9100</v>
      </c>
      <c r="O74" s="65">
        <f>SUM(A:B!O74)</f>
        <v>9100</v>
      </c>
      <c r="P74" s="65">
        <f>SUM(A:B!P74)</f>
        <v>9100</v>
      </c>
      <c r="Q74" s="65">
        <f>SUM(A:B!Q74)</f>
        <v>9100</v>
      </c>
      <c r="R74" s="65">
        <f>SUM(A:B!R74)</f>
        <v>9100</v>
      </c>
      <c r="S74" s="65">
        <f>SUM(A:B!S74)</f>
        <v>9100</v>
      </c>
      <c r="T74" s="65">
        <f>SUM(A:B!T74)</f>
        <v>9100</v>
      </c>
      <c r="U74" s="65">
        <f>SUM(A:B!U74)</f>
        <v>9100</v>
      </c>
      <c r="V74" s="11">
        <f t="shared" si="42"/>
        <v>126000</v>
      </c>
      <c r="W74" s="73">
        <f t="shared" si="39"/>
        <v>1.4059928237912487E-4</v>
      </c>
      <c r="X74" s="89"/>
      <c r="Y74" s="65">
        <f>SUM(A:B!Y74)</f>
        <v>9441.2500000000018</v>
      </c>
      <c r="Z74" s="65">
        <f>SUM(A:B!Z74)</f>
        <v>9441.2500000000018</v>
      </c>
      <c r="AA74" s="65">
        <f>SUM(A:B!AA74)</f>
        <v>26871.25</v>
      </c>
      <c r="AB74" s="65">
        <f>SUM(A:B!AB74)</f>
        <v>9441.2500000000018</v>
      </c>
      <c r="AC74" s="65">
        <f>SUM(A:B!AC74)</f>
        <v>9441.2500000000018</v>
      </c>
      <c r="AD74" s="65">
        <f>SUM(A:B!AD74)</f>
        <v>9441.2500000000018</v>
      </c>
      <c r="AE74" s="65">
        <f>SUM(A:B!AE74)</f>
        <v>9441.2500000000018</v>
      </c>
      <c r="AF74" s="65">
        <f>SUM(A:B!AF74)</f>
        <v>9441.2500000000018</v>
      </c>
      <c r="AG74" s="65">
        <f>SUM(A:B!AG74)</f>
        <v>9441.2500000000018</v>
      </c>
      <c r="AH74" s="65">
        <f>SUM(A:B!AH74)</f>
        <v>9441.2500000000018</v>
      </c>
      <c r="AI74" s="65">
        <f>SUM(A:B!AI74)</f>
        <v>9441.2500000000018</v>
      </c>
      <c r="AJ74" s="65">
        <f>SUM(A:B!AJ74)</f>
        <v>9441.2500000000018</v>
      </c>
      <c r="AK74" s="124">
        <f>SUM(Y74:AJ74)</f>
        <v>130725</v>
      </c>
      <c r="AL74" s="73">
        <f t="shared" si="41"/>
        <v>1.3572253737633501E-4</v>
      </c>
      <c r="AM74" s="14">
        <f t="shared" si="7"/>
        <v>3.7500000000000089E-2</v>
      </c>
      <c r="AN74" s="269" t="s">
        <v>471</v>
      </c>
    </row>
    <row r="75" spans="1:40" ht="15" hidden="1" outlineLevel="1">
      <c r="A75" s="12"/>
      <c r="I75" s="246" t="s">
        <v>178</v>
      </c>
      <c r="J75" s="65">
        <f>SUM(A:B!J75)</f>
        <v>0</v>
      </c>
      <c r="K75" s="65">
        <f>SUM(A:B!K75)</f>
        <v>0</v>
      </c>
      <c r="L75" s="65">
        <f>SUM(A:B!L75)</f>
        <v>0</v>
      </c>
      <c r="M75" s="65">
        <f>SUM(A:B!M75)</f>
        <v>0</v>
      </c>
      <c r="N75" s="65">
        <f>SUM(A:B!N75)</f>
        <v>0</v>
      </c>
      <c r="O75" s="65">
        <f>SUM(A:B!O75)</f>
        <v>0</v>
      </c>
      <c r="P75" s="65">
        <f>SUM(A:B!P75)</f>
        <v>0</v>
      </c>
      <c r="Q75" s="65">
        <f>SUM(A:B!Q75)</f>
        <v>0</v>
      </c>
      <c r="R75" s="65">
        <f>SUM(A:B!R75)</f>
        <v>0</v>
      </c>
      <c r="S75" s="65">
        <f>SUM(A:B!S75)</f>
        <v>0</v>
      </c>
      <c r="T75" s="65">
        <f>SUM(A:B!T75)</f>
        <v>0</v>
      </c>
      <c r="U75" s="65">
        <f>SUM(A:B!U75)</f>
        <v>0</v>
      </c>
      <c r="V75" s="11">
        <f t="shared" si="42"/>
        <v>0</v>
      </c>
      <c r="W75" s="73">
        <f t="shared" si="39"/>
        <v>0</v>
      </c>
      <c r="X75" s="89"/>
      <c r="Y75" s="65">
        <f>SUM(A:B!Y75)</f>
        <v>0</v>
      </c>
      <c r="Z75" s="65">
        <f>SUM(A:B!Z75)</f>
        <v>0</v>
      </c>
      <c r="AA75" s="65">
        <f>SUM(A:B!AA75)</f>
        <v>0</v>
      </c>
      <c r="AB75" s="65">
        <f>SUM(A:B!AB75)</f>
        <v>0</v>
      </c>
      <c r="AC75" s="65">
        <f>SUM(A:B!AC75)</f>
        <v>0</v>
      </c>
      <c r="AD75" s="65">
        <f>SUM(A:B!AD75)</f>
        <v>0</v>
      </c>
      <c r="AE75" s="65">
        <f>SUM(A:B!AE75)</f>
        <v>0</v>
      </c>
      <c r="AF75" s="65">
        <f>SUM(A:B!AF75)</f>
        <v>0</v>
      </c>
      <c r="AG75" s="65">
        <f>SUM(A:B!AG75)</f>
        <v>0</v>
      </c>
      <c r="AH75" s="65">
        <f>SUM(A:B!AH75)</f>
        <v>0</v>
      </c>
      <c r="AI75" s="65">
        <f>SUM(A:B!AI75)</f>
        <v>0</v>
      </c>
      <c r="AJ75" s="65">
        <f>SUM(A:B!AJ75)</f>
        <v>0</v>
      </c>
      <c r="AK75" s="124">
        <f t="shared" si="43"/>
        <v>0</v>
      </c>
      <c r="AL75" s="73">
        <f t="shared" si="41"/>
        <v>0</v>
      </c>
      <c r="AM75" s="14">
        <f t="shared" si="7"/>
        <v>0</v>
      </c>
    </row>
    <row r="76" spans="1:40" ht="15" hidden="1" outlineLevel="1">
      <c r="A76" s="12"/>
      <c r="I76" s="246" t="s">
        <v>179</v>
      </c>
      <c r="J76" s="65">
        <f>SUM(A:B!J76)</f>
        <v>7032</v>
      </c>
      <c r="K76" s="65">
        <f>SUM(A:B!K76)</f>
        <v>6170</v>
      </c>
      <c r="L76" s="65">
        <f>SUM(A:B!L76)</f>
        <v>6043</v>
      </c>
      <c r="M76" s="65">
        <f>SUM(A:B!M76)</f>
        <v>6026</v>
      </c>
      <c r="N76" s="65">
        <f>SUM(A:B!N76)</f>
        <v>5614</v>
      </c>
      <c r="O76" s="65">
        <f>SUM(A:B!O76)</f>
        <v>6375</v>
      </c>
      <c r="P76" s="65">
        <f>SUM(A:B!P76)</f>
        <v>6423</v>
      </c>
      <c r="Q76" s="65">
        <f>SUM(A:B!Q76)</f>
        <v>6222</v>
      </c>
      <c r="R76" s="65">
        <f>SUM(A:B!R76)</f>
        <v>6008</v>
      </c>
      <c r="S76" s="65">
        <f>SUM(A:B!S76)</f>
        <v>6611.3333333333339</v>
      </c>
      <c r="T76" s="65">
        <f>SUM(A:B!T76)</f>
        <v>6280.4444444444443</v>
      </c>
      <c r="U76" s="65">
        <f>SUM(A:B!U76)</f>
        <v>6299.9259259259252</v>
      </c>
      <c r="V76" s="11">
        <f t="shared" si="42"/>
        <v>75104.703703703708</v>
      </c>
      <c r="W76" s="73">
        <f t="shared" ref="W76:W86" si="47">V76/V$6</f>
        <v>8.3806884476488432E-5</v>
      </c>
      <c r="X76" s="89"/>
      <c r="Y76" s="65">
        <f>SUM(A:B!Y76)</f>
        <v>6883.415</v>
      </c>
      <c r="Z76" s="65">
        <f>SUM(A:B!Z76)</f>
        <v>6883.415</v>
      </c>
      <c r="AA76" s="65">
        <f>SUM(A:B!AA76)</f>
        <v>6883.415</v>
      </c>
      <c r="AB76" s="65">
        <f>SUM(A:B!AB76)</f>
        <v>6883.415</v>
      </c>
      <c r="AC76" s="65">
        <f>SUM(A:B!AC76)</f>
        <v>6883.415</v>
      </c>
      <c r="AD76" s="65">
        <f>SUM(A:B!AD76)</f>
        <v>6883.415</v>
      </c>
      <c r="AE76" s="65">
        <f>SUM(A:B!AE76)</f>
        <v>6883.415</v>
      </c>
      <c r="AF76" s="65">
        <f>SUM(A:B!AF76)</f>
        <v>6883.415</v>
      </c>
      <c r="AG76" s="65">
        <f>SUM(A:B!AG76)</f>
        <v>6883.415</v>
      </c>
      <c r="AH76" s="65">
        <f>SUM(A:B!AH76)</f>
        <v>6883.415</v>
      </c>
      <c r="AI76" s="65">
        <f>SUM(A:B!AI76)</f>
        <v>6883.415</v>
      </c>
      <c r="AJ76" s="65">
        <f>SUM(A:B!AJ76)</f>
        <v>6883.415</v>
      </c>
      <c r="AK76" s="124">
        <f t="shared" ref="AK76:AK91" si="48">SUM(Y76:AJ76)</f>
        <v>82600.979999999981</v>
      </c>
      <c r="AL76" s="73">
        <f t="shared" ref="AL76:AL91" si="49">AK76/AK$6</f>
        <v>8.575876531169935E-5</v>
      </c>
      <c r="AM76" s="14">
        <f t="shared" si="7"/>
        <v>9.9811009519056304E-2</v>
      </c>
    </row>
    <row r="77" spans="1:40" ht="15" hidden="1" outlineLevel="1">
      <c r="A77" s="12"/>
      <c r="I77" s="246" t="s">
        <v>180</v>
      </c>
      <c r="J77" s="65">
        <f>SUM(A:B!J77)</f>
        <v>3787</v>
      </c>
      <c r="K77" s="65">
        <f>SUM(A:B!K77)</f>
        <v>3608</v>
      </c>
      <c r="L77" s="65">
        <f>SUM(A:B!L77)</f>
        <v>3675</v>
      </c>
      <c r="M77" s="65">
        <f>SUM(A:B!M77)</f>
        <v>3984</v>
      </c>
      <c r="N77" s="65">
        <f>SUM(A:B!N77)</f>
        <v>3884</v>
      </c>
      <c r="O77" s="65">
        <f>SUM(A:B!O77)</f>
        <v>4109</v>
      </c>
      <c r="P77" s="65">
        <f>SUM(A:B!P77)</f>
        <v>3912</v>
      </c>
      <c r="Q77" s="65">
        <f>SUM(A:B!Q77)</f>
        <v>4420</v>
      </c>
      <c r="R77" s="65">
        <f>SUM(A:B!R77)</f>
        <v>3645</v>
      </c>
      <c r="S77" s="65">
        <f>SUM(A:B!S77)</f>
        <v>3760.6666666666665</v>
      </c>
      <c r="T77" s="65">
        <f>SUM(A:B!T77)</f>
        <v>3941.8888888888891</v>
      </c>
      <c r="U77" s="65">
        <f>SUM(A:B!U77)</f>
        <v>3782.5185185185192</v>
      </c>
      <c r="V77" s="11">
        <f t="shared" si="42"/>
        <v>46509.074074074073</v>
      </c>
      <c r="W77" s="73">
        <f t="shared" si="47"/>
        <v>5.189795586454267E-5</v>
      </c>
      <c r="X77" s="89"/>
      <c r="Y77" s="65">
        <f>SUM(A:B!Y77)</f>
        <v>3929.0125000000007</v>
      </c>
      <c r="Z77" s="65">
        <f>SUM(A:B!Z77)</f>
        <v>3743.3000000000006</v>
      </c>
      <c r="AA77" s="65">
        <f>SUM(A:B!AA77)</f>
        <v>3812.8125</v>
      </c>
      <c r="AB77" s="65">
        <f>SUM(A:B!AB77)</f>
        <v>4133.3999999999996</v>
      </c>
      <c r="AC77" s="65">
        <f>SUM(A:B!AC77)</f>
        <v>4029.65</v>
      </c>
      <c r="AD77" s="65">
        <f>SUM(A:B!AD77)</f>
        <v>4263.0874999999996</v>
      </c>
      <c r="AE77" s="65">
        <f>SUM(A:B!AE77)</f>
        <v>4058.7</v>
      </c>
      <c r="AF77" s="65">
        <f>SUM(A:B!AF77)</f>
        <v>4585.75</v>
      </c>
      <c r="AG77" s="65">
        <f>SUM(A:B!AG77)</f>
        <v>3781.6875000000005</v>
      </c>
      <c r="AH77" s="65">
        <f>SUM(A:B!AH77)</f>
        <v>3901.6916666666671</v>
      </c>
      <c r="AI77" s="65">
        <f>SUM(A:B!AI77)</f>
        <v>4089.7097222222228</v>
      </c>
      <c r="AJ77" s="65">
        <f>SUM(A:B!AJ77)</f>
        <v>3924.3629629629631</v>
      </c>
      <c r="AK77" s="124">
        <f t="shared" si="48"/>
        <v>48253.164351851861</v>
      </c>
      <c r="AL77" s="73">
        <f t="shared" si="49"/>
        <v>5.0097853526644868E-5</v>
      </c>
      <c r="AM77" s="14">
        <f t="shared" si="7"/>
        <v>3.7500000000000311E-2</v>
      </c>
    </row>
    <row r="78" spans="1:40" ht="15" hidden="1" outlineLevel="1">
      <c r="A78" s="12"/>
      <c r="I78" s="246" t="s">
        <v>181</v>
      </c>
      <c r="J78" s="65">
        <f>SUM(A:B!J78)</f>
        <v>0</v>
      </c>
      <c r="K78" s="65">
        <f>SUM(A:B!K78)</f>
        <v>0</v>
      </c>
      <c r="L78" s="65">
        <f>SUM(A:B!L78)</f>
        <v>0</v>
      </c>
      <c r="M78" s="65">
        <f>SUM(A:B!M78)</f>
        <v>0</v>
      </c>
      <c r="N78" s="65">
        <f>SUM(A:B!N78)</f>
        <v>0</v>
      </c>
      <c r="O78" s="65">
        <f>SUM(A:B!O78)</f>
        <v>0</v>
      </c>
      <c r="P78" s="65">
        <f>SUM(A:B!P78)</f>
        <v>0</v>
      </c>
      <c r="Q78" s="65">
        <f>SUM(A:B!Q78)</f>
        <v>0</v>
      </c>
      <c r="R78" s="65">
        <f>SUM(A:B!R78)</f>
        <v>0</v>
      </c>
      <c r="S78" s="65">
        <f>SUM(A:B!S78)</f>
        <v>0</v>
      </c>
      <c r="T78" s="65">
        <f>SUM(A:B!T78)</f>
        <v>0</v>
      </c>
      <c r="U78" s="65">
        <f>SUM(A:B!U78)</f>
        <v>0</v>
      </c>
      <c r="V78" s="11">
        <f t="shared" si="42"/>
        <v>0</v>
      </c>
      <c r="W78" s="73">
        <f t="shared" si="47"/>
        <v>0</v>
      </c>
      <c r="X78" s="89"/>
      <c r="Y78" s="65">
        <f>SUM(A:B!Y78)</f>
        <v>0</v>
      </c>
      <c r="Z78" s="65">
        <f>SUM(A:B!Z78)</f>
        <v>0</v>
      </c>
      <c r="AA78" s="65">
        <f>SUM(A:B!AA78)</f>
        <v>0</v>
      </c>
      <c r="AB78" s="65">
        <f>SUM(A:B!AB78)</f>
        <v>0</v>
      </c>
      <c r="AC78" s="65">
        <f>SUM(A:B!AC78)</f>
        <v>0</v>
      </c>
      <c r="AD78" s="65">
        <f>SUM(A:B!AD78)</f>
        <v>0</v>
      </c>
      <c r="AE78" s="65">
        <f>SUM(A:B!AE78)</f>
        <v>0</v>
      </c>
      <c r="AF78" s="65">
        <f>SUM(A:B!AF78)</f>
        <v>0</v>
      </c>
      <c r="AG78" s="65">
        <f>SUM(A:B!AG78)</f>
        <v>0</v>
      </c>
      <c r="AH78" s="65">
        <f>SUM(A:B!AH78)</f>
        <v>0</v>
      </c>
      <c r="AI78" s="65">
        <f>SUM(A:B!AI78)</f>
        <v>0</v>
      </c>
      <c r="AJ78" s="65">
        <f>SUM(A:B!AJ78)</f>
        <v>0</v>
      </c>
      <c r="AK78" s="124">
        <f t="shared" si="48"/>
        <v>0</v>
      </c>
      <c r="AL78" s="73">
        <f t="shared" si="49"/>
        <v>0</v>
      </c>
      <c r="AM78" s="14">
        <f t="shared" si="7"/>
        <v>0</v>
      </c>
    </row>
    <row r="79" spans="1:40" ht="15" hidden="1" outlineLevel="1">
      <c r="A79" s="12"/>
      <c r="E79" s="7" t="s">
        <v>470</v>
      </c>
      <c r="I79" s="246" t="s">
        <v>182</v>
      </c>
      <c r="J79" s="65">
        <f>SUM(A:B!J79)</f>
        <v>23656</v>
      </c>
      <c r="K79" s="65">
        <f>SUM(A:B!K79)</f>
        <v>90215</v>
      </c>
      <c r="L79" s="65">
        <f>SUM(A:B!L79)</f>
        <v>56390</v>
      </c>
      <c r="M79" s="65">
        <f>SUM(A:B!M79)</f>
        <v>29112</v>
      </c>
      <c r="N79" s="65">
        <f>SUM(A:B!N79)</f>
        <v>47011</v>
      </c>
      <c r="O79" s="65">
        <f>SUM(A:B!O79)</f>
        <v>51226</v>
      </c>
      <c r="P79" s="65">
        <f>SUM(A:B!P79)</f>
        <v>43481</v>
      </c>
      <c r="Q79" s="65">
        <f>SUM(A:B!Q79)</f>
        <v>37842</v>
      </c>
      <c r="R79" s="65">
        <f>SUM(A:B!R79)</f>
        <v>37172</v>
      </c>
      <c r="S79" s="65">
        <f>SUM(A:B!S79)</f>
        <v>23819.809599999997</v>
      </c>
      <c r="T79" s="65">
        <f>SUM(A:B!T79)</f>
        <v>217578.48319999999</v>
      </c>
      <c r="U79" s="65">
        <f>SUM(A:B!U79)</f>
        <v>37500.403200000001</v>
      </c>
      <c r="V79" s="11">
        <f t="shared" si="42"/>
        <v>695003.696</v>
      </c>
      <c r="W79" s="73">
        <f t="shared" si="47"/>
        <v>7.7553191197174171E-4</v>
      </c>
      <c r="X79" s="89"/>
      <c r="Y79" s="65">
        <f>SUM(A:B!Y79)</f>
        <v>58039.906723699991</v>
      </c>
      <c r="Z79" s="65">
        <f>SUM(A:B!Z79)</f>
        <v>53966.291375699991</v>
      </c>
      <c r="AA79" s="65">
        <f>SUM(A:B!AA79)</f>
        <v>62546.173169699992</v>
      </c>
      <c r="AB79" s="65">
        <f>SUM(A:B!AB79)</f>
        <v>49076.923861679999</v>
      </c>
      <c r="AC79" s="65">
        <f>SUM(A:B!AC79)</f>
        <v>51936.88445967999</v>
      </c>
      <c r="AD79" s="65">
        <f>SUM(A:B!AD79)</f>
        <v>17617.357283679998</v>
      </c>
      <c r="AE79" s="65">
        <f>SUM(A:B!AE79)</f>
        <v>40497.042067680006</v>
      </c>
      <c r="AF79" s="65">
        <f>SUM(A:B!AF79)</f>
        <v>63376.726851679996</v>
      </c>
      <c r="AG79" s="65">
        <f>SUM(A:B!AG79)</f>
        <v>54796.845057679995</v>
      </c>
      <c r="AH79" s="65">
        <f>SUM(A:B!AH79)</f>
        <v>179997.46906768001</v>
      </c>
      <c r="AI79" s="65">
        <f>SUM(A:B!AI79)</f>
        <v>70852.84011167998</v>
      </c>
      <c r="AJ79" s="65">
        <f>SUM(A:B!AJ79)</f>
        <v>63919.264165679997</v>
      </c>
      <c r="AK79" s="124">
        <f t="shared" si="48"/>
        <v>766623.72419621993</v>
      </c>
      <c r="AL79" s="73">
        <f t="shared" si="49"/>
        <v>7.9593128369329969E-4</v>
      </c>
      <c r="AM79" s="14">
        <f t="shared" si="7"/>
        <v>0.1030498522646992</v>
      </c>
    </row>
    <row r="80" spans="1:40" ht="15" hidden="1" outlineLevel="1">
      <c r="A80" s="12"/>
      <c r="E80" s="7" t="s">
        <v>470</v>
      </c>
      <c r="I80" s="246" t="s">
        <v>183</v>
      </c>
      <c r="J80" s="65">
        <f>SUM(A:B!J80)</f>
        <v>0</v>
      </c>
      <c r="K80" s="65">
        <f>SUM(A:B!K80)</f>
        <v>0</v>
      </c>
      <c r="L80" s="65">
        <f>SUM(A:B!L80)</f>
        <v>0</v>
      </c>
      <c r="M80" s="65">
        <f>SUM(A:B!M80)</f>
        <v>0</v>
      </c>
      <c r="N80" s="65">
        <f>SUM(A:B!N80)</f>
        <v>730</v>
      </c>
      <c r="O80" s="65">
        <f>SUM(A:B!O80)</f>
        <v>1460</v>
      </c>
      <c r="P80" s="65">
        <f>SUM(A:B!P80)</f>
        <v>730</v>
      </c>
      <c r="Q80" s="65">
        <f>SUM(A:B!Q80)</f>
        <v>730</v>
      </c>
      <c r="R80" s="65">
        <f>SUM(A:B!R80)</f>
        <v>0</v>
      </c>
      <c r="S80" s="65">
        <f>SUM(A:B!S80)</f>
        <v>500.24</v>
      </c>
      <c r="T80" s="65">
        <f>SUM(A:B!T80)</f>
        <v>1750.84</v>
      </c>
      <c r="U80" s="65">
        <f>SUM(A:B!U80)</f>
        <v>750.36</v>
      </c>
      <c r="V80" s="11">
        <f t="shared" si="42"/>
        <v>6651.44</v>
      </c>
      <c r="W80" s="73">
        <f t="shared" si="47"/>
        <v>7.4221245300619548E-6</v>
      </c>
      <c r="X80" s="89"/>
      <c r="Y80" s="65">
        <f>SUM(A:B!Y80)</f>
        <v>978.16949999999997</v>
      </c>
      <c r="Z80" s="65">
        <f>SUM(A:B!Z80)</f>
        <v>4042.0654999999997</v>
      </c>
      <c r="AA80" s="65">
        <f>SUM(A:B!AA80)</f>
        <v>1552.65</v>
      </c>
      <c r="AB80" s="65">
        <f>SUM(A:B!AB80)</f>
        <v>1361.1565000000001</v>
      </c>
      <c r="AC80" s="65">
        <f>SUM(A:B!AC80)</f>
        <v>1552.6499999999999</v>
      </c>
      <c r="AD80" s="65">
        <f>SUM(A:B!AD80)</f>
        <v>3296.7934999999998</v>
      </c>
      <c r="AE80" s="65">
        <f>SUM(A:B!AE80)</f>
        <v>1935.6369999999999</v>
      </c>
      <c r="AF80" s="65">
        <f>SUM(A:B!AF80)</f>
        <v>1744.1435000000001</v>
      </c>
      <c r="AG80" s="65">
        <f>SUM(A:B!AG80)</f>
        <v>1744.1434999999999</v>
      </c>
      <c r="AH80" s="65">
        <f>SUM(A:B!AH80)</f>
        <v>1169.663</v>
      </c>
      <c r="AI80" s="65">
        <f>SUM(A:B!AI80)</f>
        <v>1169.663</v>
      </c>
      <c r="AJ80" s="65">
        <f>SUM(A:B!AJ80)</f>
        <v>1169.663</v>
      </c>
      <c r="AK80" s="124">
        <f t="shared" si="48"/>
        <v>21716.398000000001</v>
      </c>
      <c r="AL80" s="73">
        <f t="shared" si="49"/>
        <v>2.2546602709767579E-5</v>
      </c>
      <c r="AM80" s="14">
        <f t="shared" si="7"/>
        <v>2.2649167699024577</v>
      </c>
      <c r="AN80" s="9"/>
    </row>
    <row r="81" spans="1:41" ht="15" hidden="1" outlineLevel="1">
      <c r="A81" s="12"/>
      <c r="I81" s="246" t="s">
        <v>184</v>
      </c>
      <c r="J81" s="65">
        <f>SUM(A:B!J81)</f>
        <v>0</v>
      </c>
      <c r="K81" s="65">
        <f>SUM(A:B!K81)</f>
        <v>2659</v>
      </c>
      <c r="L81" s="65">
        <f>SUM(A:B!L81)</f>
        <v>0</v>
      </c>
      <c r="M81" s="65">
        <f>SUM(A:B!M81)</f>
        <v>0</v>
      </c>
      <c r="N81" s="65">
        <f>SUM(A:B!N81)</f>
        <v>0</v>
      </c>
      <c r="O81" s="65">
        <f>SUM(A:B!O81)</f>
        <v>0</v>
      </c>
      <c r="P81" s="65">
        <f>SUM(A:B!P81)</f>
        <v>11560</v>
      </c>
      <c r="Q81" s="65">
        <f>SUM(A:B!Q81)</f>
        <v>0</v>
      </c>
      <c r="R81" s="65">
        <f>SUM(A:B!R81)</f>
        <v>0</v>
      </c>
      <c r="S81" s="65">
        <f>SUM(A:B!S81)</f>
        <v>0</v>
      </c>
      <c r="T81" s="65">
        <f>SUM(A:B!T81)</f>
        <v>0</v>
      </c>
      <c r="U81" s="65">
        <f>SUM(A:B!U81)</f>
        <v>0</v>
      </c>
      <c r="V81" s="11">
        <f t="shared" si="42"/>
        <v>14219</v>
      </c>
      <c r="W81" s="73">
        <f t="shared" si="47"/>
        <v>1.5866517429752196E-5</v>
      </c>
      <c r="X81" s="89"/>
      <c r="Y81" s="65">
        <f>SUM(A:B!Y81)</f>
        <v>0</v>
      </c>
      <c r="Z81" s="65">
        <f>SUM(A:B!Z81)</f>
        <v>0</v>
      </c>
      <c r="AA81" s="65">
        <f>SUM(A:B!AA81)</f>
        <v>0</v>
      </c>
      <c r="AB81" s="65">
        <f>SUM(A:B!AB81)</f>
        <v>0</v>
      </c>
      <c r="AC81" s="65">
        <f>SUM(A:B!AC81)</f>
        <v>0</v>
      </c>
      <c r="AD81" s="65">
        <f>SUM(A:B!AD81)</f>
        <v>0</v>
      </c>
      <c r="AE81" s="65">
        <f>SUM(A:B!AE81)</f>
        <v>0</v>
      </c>
      <c r="AF81" s="65">
        <f>SUM(A:B!AF81)</f>
        <v>0</v>
      </c>
      <c r="AG81" s="65">
        <f>SUM(A:B!AG81)</f>
        <v>0</v>
      </c>
      <c r="AH81" s="65">
        <f>SUM(A:B!AH81)</f>
        <v>0</v>
      </c>
      <c r="AI81" s="65">
        <f>SUM(A:B!AI81)</f>
        <v>0</v>
      </c>
      <c r="AJ81" s="65">
        <f>SUM(A:B!AJ81)</f>
        <v>0</v>
      </c>
      <c r="AK81" s="124">
        <f t="shared" si="48"/>
        <v>0</v>
      </c>
      <c r="AL81" s="73">
        <f t="shared" si="49"/>
        <v>0</v>
      </c>
      <c r="AM81" s="14">
        <f t="shared" si="7"/>
        <v>-1</v>
      </c>
    </row>
    <row r="82" spans="1:41" ht="15" hidden="1" outlineLevel="1">
      <c r="A82" s="12"/>
      <c r="I82" s="246" t="s">
        <v>185</v>
      </c>
      <c r="J82" s="65">
        <f>SUM(A:B!J82)</f>
        <v>21806</v>
      </c>
      <c r="K82" s="65">
        <f>SUM(A:B!K82)</f>
        <v>18801</v>
      </c>
      <c r="L82" s="65">
        <f>SUM(A:B!L82)</f>
        <v>18801</v>
      </c>
      <c r="M82" s="65">
        <f>SUM(A:B!M82)</f>
        <v>18801</v>
      </c>
      <c r="N82" s="65">
        <f>SUM(A:B!N82)</f>
        <v>18801</v>
      </c>
      <c r="O82" s="65">
        <f>SUM(A:B!O82)</f>
        <v>18801</v>
      </c>
      <c r="P82" s="65">
        <f>SUM(A:B!P82)</f>
        <v>18801</v>
      </c>
      <c r="Q82" s="65">
        <f>SUM(A:B!Q82)</f>
        <v>41113</v>
      </c>
      <c r="R82" s="65">
        <f>SUM(A:B!R82)</f>
        <v>41113</v>
      </c>
      <c r="S82" s="65">
        <f>SUM(A:B!S82)</f>
        <v>41113</v>
      </c>
      <c r="T82" s="65">
        <f>SUM(A:B!T82)</f>
        <v>41113</v>
      </c>
      <c r="U82" s="65">
        <f>SUM(A:B!U82)</f>
        <v>41113</v>
      </c>
      <c r="V82" s="11">
        <f t="shared" si="42"/>
        <v>340177</v>
      </c>
      <c r="W82" s="73">
        <f t="shared" si="47"/>
        <v>3.7959239747526634E-4</v>
      </c>
      <c r="X82" s="89"/>
      <c r="Y82" s="65">
        <f>SUM(A:B!Y82)</f>
        <v>41935.260000000009</v>
      </c>
      <c r="Z82" s="65">
        <f>SUM(A:B!Z82)</f>
        <v>41935.260000000009</v>
      </c>
      <c r="AA82" s="65">
        <f>SUM(A:B!AA82)</f>
        <v>41935.260000000009</v>
      </c>
      <c r="AB82" s="65">
        <f>SUM(A:B!AB82)</f>
        <v>41935.260000000009</v>
      </c>
      <c r="AC82" s="65">
        <f>SUM(A:B!AC82)</f>
        <v>41935.260000000009</v>
      </c>
      <c r="AD82" s="65">
        <f>SUM(A:B!AD82)</f>
        <v>41935.260000000009</v>
      </c>
      <c r="AE82" s="65">
        <f>SUM(A:B!AE82)</f>
        <v>41935.260000000009</v>
      </c>
      <c r="AF82" s="65">
        <f>SUM(A:B!AF82)</f>
        <v>41935.260000000009</v>
      </c>
      <c r="AG82" s="65">
        <f>SUM(A:B!AG82)</f>
        <v>41935.260000000009</v>
      </c>
      <c r="AH82" s="65">
        <f>SUM(A:B!AH82)</f>
        <v>41935.260000000009</v>
      </c>
      <c r="AI82" s="65">
        <f>SUM(A:B!AI82)</f>
        <v>41935.260000000009</v>
      </c>
      <c r="AJ82" s="65">
        <f>SUM(A:B!AJ82)</f>
        <v>41935.260000000009</v>
      </c>
      <c r="AK82" s="124">
        <f t="shared" si="48"/>
        <v>503223.12000000011</v>
      </c>
      <c r="AL82" s="73">
        <f t="shared" si="49"/>
        <v>5.2246103433035713E-4</v>
      </c>
      <c r="AM82" s="14">
        <f t="shared" si="7"/>
        <v>0.47929789491940999</v>
      </c>
    </row>
    <row r="83" spans="1:41" ht="15" hidden="1" outlineLevel="1">
      <c r="A83" s="12"/>
      <c r="I83" s="246" t="s">
        <v>186</v>
      </c>
      <c r="J83" s="65">
        <f>SUM(A:B!J83)</f>
        <v>0</v>
      </c>
      <c r="K83" s="65">
        <f>SUM(A:B!K83)</f>
        <v>0</v>
      </c>
      <c r="L83" s="65">
        <f>SUM(A:B!L83)</f>
        <v>0</v>
      </c>
      <c r="M83" s="65">
        <f>SUM(A:B!M83)</f>
        <v>0</v>
      </c>
      <c r="N83" s="65">
        <f>SUM(A:B!N83)</f>
        <v>0</v>
      </c>
      <c r="O83" s="65">
        <f>SUM(A:B!O83)</f>
        <v>0</v>
      </c>
      <c r="P83" s="65">
        <f>SUM(A:B!P83)</f>
        <v>0</v>
      </c>
      <c r="Q83" s="65">
        <f>SUM(A:B!Q83)</f>
        <v>0</v>
      </c>
      <c r="R83" s="65">
        <f>SUM(A:B!R83)</f>
        <v>0</v>
      </c>
      <c r="S83" s="65">
        <f>SUM(A:B!S83)</f>
        <v>0</v>
      </c>
      <c r="T83" s="65">
        <f>SUM(A:B!T83)</f>
        <v>0</v>
      </c>
      <c r="U83" s="65">
        <f>SUM(A:B!U83)</f>
        <v>0</v>
      </c>
      <c r="V83" s="11">
        <f t="shared" si="42"/>
        <v>0</v>
      </c>
      <c r="W83" s="73">
        <f t="shared" si="47"/>
        <v>0</v>
      </c>
      <c r="X83" s="89"/>
      <c r="Y83" s="65">
        <f>SUM(A:B!Y83)</f>
        <v>0</v>
      </c>
      <c r="Z83" s="65">
        <f>SUM(A:B!Z83)</f>
        <v>0</v>
      </c>
      <c r="AA83" s="65">
        <f>SUM(A:B!AA83)</f>
        <v>0</v>
      </c>
      <c r="AB83" s="65">
        <f>SUM(A:B!AB83)</f>
        <v>0</v>
      </c>
      <c r="AC83" s="65">
        <f>SUM(A:B!AC83)</f>
        <v>0</v>
      </c>
      <c r="AD83" s="65">
        <f>SUM(A:B!AD83)</f>
        <v>0</v>
      </c>
      <c r="AE83" s="65">
        <f>SUM(A:B!AE83)</f>
        <v>0</v>
      </c>
      <c r="AF83" s="65">
        <f>SUM(A:B!AF83)</f>
        <v>0</v>
      </c>
      <c r="AG83" s="65">
        <f>SUM(A:B!AG83)</f>
        <v>0</v>
      </c>
      <c r="AH83" s="65">
        <f>SUM(A:B!AH83)</f>
        <v>0</v>
      </c>
      <c r="AI83" s="65">
        <f>SUM(A:B!AI83)</f>
        <v>0</v>
      </c>
      <c r="AJ83" s="65">
        <f>SUM(A:B!AJ83)</f>
        <v>0</v>
      </c>
      <c r="AK83" s="124">
        <f t="shared" si="48"/>
        <v>0</v>
      </c>
      <c r="AL83" s="73">
        <f t="shared" si="49"/>
        <v>0</v>
      </c>
      <c r="AM83" s="14">
        <f t="shared" si="7"/>
        <v>0</v>
      </c>
    </row>
    <row r="84" spans="1:41" ht="15" hidden="1" outlineLevel="1">
      <c r="A84" s="12"/>
      <c r="I84" s="246" t="s">
        <v>187</v>
      </c>
      <c r="J84" s="65">
        <f>SUM(A:B!J84)</f>
        <v>0</v>
      </c>
      <c r="K84" s="65">
        <f>SUM(A:B!K84)</f>
        <v>0</v>
      </c>
      <c r="L84" s="65">
        <f>SUM(A:B!L84)</f>
        <v>0</v>
      </c>
      <c r="M84" s="65">
        <f>SUM(A:B!M84)</f>
        <v>0</v>
      </c>
      <c r="N84" s="65">
        <f>SUM(A:B!N84)</f>
        <v>0</v>
      </c>
      <c r="O84" s="65">
        <f>SUM(A:B!O84)</f>
        <v>0</v>
      </c>
      <c r="P84" s="65">
        <f>SUM(A:B!P84)</f>
        <v>0</v>
      </c>
      <c r="Q84" s="65">
        <f>SUM(A:B!Q84)</f>
        <v>0</v>
      </c>
      <c r="R84" s="65">
        <f>SUM(A:B!R84)</f>
        <v>0</v>
      </c>
      <c r="S84" s="65">
        <f>SUM(A:B!S84)</f>
        <v>0</v>
      </c>
      <c r="T84" s="65">
        <f>SUM(A:B!T84)</f>
        <v>0</v>
      </c>
      <c r="U84" s="65">
        <f>SUM(A:B!U84)</f>
        <v>0</v>
      </c>
      <c r="V84" s="11">
        <f t="shared" si="42"/>
        <v>0</v>
      </c>
      <c r="W84" s="73">
        <f t="shared" si="47"/>
        <v>0</v>
      </c>
      <c r="X84" s="89"/>
      <c r="Y84" s="65">
        <f>SUM(A:B!Y84)</f>
        <v>0</v>
      </c>
      <c r="Z84" s="65">
        <f>SUM(A:B!Z84)</f>
        <v>0</v>
      </c>
      <c r="AA84" s="65">
        <f>SUM(A:B!AA84)</f>
        <v>0</v>
      </c>
      <c r="AB84" s="65">
        <f>SUM(A:B!AB84)</f>
        <v>0</v>
      </c>
      <c r="AC84" s="65">
        <f>SUM(A:B!AC84)</f>
        <v>0</v>
      </c>
      <c r="AD84" s="65">
        <f>SUM(A:B!AD84)</f>
        <v>0</v>
      </c>
      <c r="AE84" s="65">
        <f>SUM(A:B!AE84)</f>
        <v>0</v>
      </c>
      <c r="AF84" s="65">
        <f>SUM(A:B!AF84)</f>
        <v>0</v>
      </c>
      <c r="AG84" s="65">
        <f>SUM(A:B!AG84)</f>
        <v>0</v>
      </c>
      <c r="AH84" s="65">
        <f>SUM(A:B!AH84)</f>
        <v>0</v>
      </c>
      <c r="AI84" s="65">
        <f>SUM(A:B!AI84)</f>
        <v>0</v>
      </c>
      <c r="AJ84" s="65">
        <f>SUM(A:B!AJ84)</f>
        <v>0</v>
      </c>
      <c r="AK84" s="124">
        <f t="shared" si="48"/>
        <v>0</v>
      </c>
      <c r="AL84" s="73">
        <f t="shared" si="49"/>
        <v>0</v>
      </c>
      <c r="AM84" s="14">
        <f t="shared" si="7"/>
        <v>0</v>
      </c>
    </row>
    <row r="85" spans="1:41" ht="15" hidden="1" outlineLevel="1">
      <c r="A85" s="12"/>
      <c r="I85" s="246" t="s">
        <v>188</v>
      </c>
      <c r="J85" s="65">
        <f>SUM(A:B!J85)</f>
        <v>0</v>
      </c>
      <c r="K85" s="65">
        <f>SUM(A:B!K85)</f>
        <v>0</v>
      </c>
      <c r="L85" s="65">
        <f>SUM(A:B!L85)</f>
        <v>7125</v>
      </c>
      <c r="M85" s="65">
        <f>SUM(A:B!M85)</f>
        <v>7125</v>
      </c>
      <c r="N85" s="65">
        <f>SUM(A:B!N85)</f>
        <v>7125</v>
      </c>
      <c r="O85" s="65">
        <f>SUM(A:B!O85)</f>
        <v>7125</v>
      </c>
      <c r="P85" s="65">
        <f>SUM(A:B!P85)</f>
        <v>0</v>
      </c>
      <c r="Q85" s="65">
        <f>SUM(A:B!Q85)</f>
        <v>7125</v>
      </c>
      <c r="R85" s="65">
        <f>SUM(A:B!R85)</f>
        <v>7125</v>
      </c>
      <c r="S85" s="65">
        <f>SUM(A:B!S85)</f>
        <v>5700</v>
      </c>
      <c r="T85" s="65">
        <f>SUM(A:B!T85)</f>
        <v>0</v>
      </c>
      <c r="U85" s="65">
        <f>SUM(A:B!U85)</f>
        <v>0</v>
      </c>
      <c r="V85" s="11">
        <f t="shared" si="42"/>
        <v>48450</v>
      </c>
      <c r="W85" s="73">
        <f t="shared" si="47"/>
        <v>5.4063771676734923E-5</v>
      </c>
      <c r="X85" s="89"/>
      <c r="Y85" s="65">
        <f>SUM(A:B!Y85)</f>
        <v>0</v>
      </c>
      <c r="Z85" s="65">
        <f>SUM(A:B!Z85)</f>
        <v>0</v>
      </c>
      <c r="AA85" s="65">
        <f>SUM(A:B!AA85)</f>
        <v>0</v>
      </c>
      <c r="AB85" s="65">
        <f>SUM(A:B!AB85)</f>
        <v>0</v>
      </c>
      <c r="AC85" s="65">
        <f>SUM(A:B!AC85)</f>
        <v>0</v>
      </c>
      <c r="AD85" s="65">
        <f>SUM(A:B!AD85)</f>
        <v>0</v>
      </c>
      <c r="AE85" s="65">
        <f>SUM(A:B!AE85)</f>
        <v>0</v>
      </c>
      <c r="AF85" s="65">
        <f>SUM(A:B!AF85)</f>
        <v>0</v>
      </c>
      <c r="AG85" s="65">
        <f>SUM(A:B!AG85)</f>
        <v>0</v>
      </c>
      <c r="AH85" s="65">
        <f>SUM(A:B!AH85)</f>
        <v>0</v>
      </c>
      <c r="AI85" s="65">
        <f>SUM(A:B!AI85)</f>
        <v>0</v>
      </c>
      <c r="AJ85" s="65">
        <f>SUM(A:B!AJ85)</f>
        <v>0</v>
      </c>
      <c r="AK85" s="124">
        <f t="shared" si="48"/>
        <v>0</v>
      </c>
      <c r="AL85" s="73">
        <f t="shared" si="49"/>
        <v>0</v>
      </c>
      <c r="AM85" s="14">
        <f t="shared" si="7"/>
        <v>-1</v>
      </c>
    </row>
    <row r="86" spans="1:41" ht="15" hidden="1" outlineLevel="1">
      <c r="A86" s="12"/>
      <c r="I86" s="253" t="s">
        <v>189</v>
      </c>
      <c r="J86" s="65">
        <f>SUM(A:B!J86)</f>
        <v>0</v>
      </c>
      <c r="K86" s="65">
        <f>SUM(A:B!K86)</f>
        <v>0</v>
      </c>
      <c r="L86" s="65">
        <f>SUM(A:B!L86)</f>
        <v>8400</v>
      </c>
      <c r="M86" s="65">
        <f>SUM(A:B!M86)</f>
        <v>0</v>
      </c>
      <c r="N86" s="65">
        <f>SUM(A:B!N86)</f>
        <v>0</v>
      </c>
      <c r="O86" s="65">
        <f>SUM(A:B!O86)</f>
        <v>0</v>
      </c>
      <c r="P86" s="65">
        <f>SUM(A:B!P86)</f>
        <v>1640</v>
      </c>
      <c r="Q86" s="65">
        <f>SUM(A:B!Q86)</f>
        <v>0</v>
      </c>
      <c r="R86" s="65">
        <f>SUM(A:B!R86)</f>
        <v>0</v>
      </c>
      <c r="S86" s="65">
        <f>SUM(A:B!S86)</f>
        <v>0</v>
      </c>
      <c r="T86" s="65">
        <f>SUM(A:B!T86)</f>
        <v>0</v>
      </c>
      <c r="U86" s="65">
        <f>SUM(A:B!U86)</f>
        <v>0</v>
      </c>
      <c r="V86" s="11">
        <f t="shared" si="42"/>
        <v>10040</v>
      </c>
      <c r="W86" s="73">
        <f t="shared" si="47"/>
        <v>1.1203307897511219E-5</v>
      </c>
      <c r="X86" s="89"/>
      <c r="Y86" s="65">
        <f>SUM(A:B!Y86)</f>
        <v>0</v>
      </c>
      <c r="Z86" s="65">
        <f>SUM(A:B!Z86)</f>
        <v>0</v>
      </c>
      <c r="AA86" s="65">
        <f>SUM(A:B!AA86)</f>
        <v>0</v>
      </c>
      <c r="AB86" s="65">
        <f>SUM(A:B!AB86)</f>
        <v>0</v>
      </c>
      <c r="AC86" s="65">
        <f>SUM(A:B!AC86)</f>
        <v>0</v>
      </c>
      <c r="AD86" s="65">
        <f>SUM(A:B!AD86)</f>
        <v>0</v>
      </c>
      <c r="AE86" s="65">
        <f>SUM(A:B!AE86)</f>
        <v>0</v>
      </c>
      <c r="AF86" s="65">
        <f>SUM(A:B!AF86)</f>
        <v>0</v>
      </c>
      <c r="AG86" s="65">
        <f>SUM(A:B!AG86)</f>
        <v>0</v>
      </c>
      <c r="AH86" s="65">
        <f>SUM(A:B!AH86)</f>
        <v>0</v>
      </c>
      <c r="AI86" s="65">
        <f>SUM(A:B!AI86)</f>
        <v>0</v>
      </c>
      <c r="AJ86" s="65">
        <f>SUM(A:B!AJ86)</f>
        <v>0</v>
      </c>
      <c r="AK86" s="124">
        <f t="shared" si="48"/>
        <v>0</v>
      </c>
      <c r="AL86" s="73">
        <f t="shared" si="49"/>
        <v>0</v>
      </c>
      <c r="AM86" s="14">
        <f t="shared" si="7"/>
        <v>-1</v>
      </c>
    </row>
    <row r="87" spans="1:41" ht="15" hidden="1" outlineLevel="1">
      <c r="A87" s="12"/>
      <c r="I87" s="246" t="s">
        <v>190</v>
      </c>
      <c r="J87" s="65">
        <f>SUM(A:B!J87)</f>
        <v>0</v>
      </c>
      <c r="K87" s="65">
        <f>SUM(A:B!K87)</f>
        <v>0</v>
      </c>
      <c r="L87" s="65">
        <f>SUM(A:B!L87)</f>
        <v>0</v>
      </c>
      <c r="M87" s="65">
        <f>SUM(A:B!M87)</f>
        <v>0</v>
      </c>
      <c r="N87" s="65">
        <f>SUM(A:B!N87)</f>
        <v>0</v>
      </c>
      <c r="O87" s="65">
        <f>SUM(A:B!O87)</f>
        <v>0</v>
      </c>
      <c r="P87" s="65">
        <f>SUM(A:B!P87)</f>
        <v>0</v>
      </c>
      <c r="Q87" s="65">
        <f>SUM(A:B!Q87)</f>
        <v>0</v>
      </c>
      <c r="R87" s="65">
        <f>SUM(A:B!R87)</f>
        <v>0</v>
      </c>
      <c r="S87" s="65">
        <f>SUM(A:B!S87)</f>
        <v>0</v>
      </c>
      <c r="T87" s="65">
        <f>SUM(A:B!T87)</f>
        <v>0</v>
      </c>
      <c r="U87" s="65">
        <f>SUM(A:B!U87)</f>
        <v>0</v>
      </c>
      <c r="V87" s="11">
        <f t="shared" si="42"/>
        <v>0</v>
      </c>
      <c r="W87" s="73">
        <f t="shared" si="39"/>
        <v>0</v>
      </c>
      <c r="X87" s="89"/>
      <c r="Y87" s="65">
        <f>SUM(A:B!Y87)</f>
        <v>0</v>
      </c>
      <c r="Z87" s="65">
        <f>SUM(A:B!Z87)</f>
        <v>0</v>
      </c>
      <c r="AA87" s="65">
        <f>SUM(A:B!AA87)</f>
        <v>0</v>
      </c>
      <c r="AB87" s="65">
        <f>SUM(A:B!AB87)</f>
        <v>0</v>
      </c>
      <c r="AC87" s="65">
        <f>SUM(A:B!AC87)</f>
        <v>0</v>
      </c>
      <c r="AD87" s="65">
        <f>SUM(A:B!AD87)</f>
        <v>0</v>
      </c>
      <c r="AE87" s="65">
        <f>SUM(A:B!AE87)</f>
        <v>0</v>
      </c>
      <c r="AF87" s="65">
        <f>SUM(A:B!AF87)</f>
        <v>0</v>
      </c>
      <c r="AG87" s="65">
        <f>SUM(A:B!AG87)</f>
        <v>0</v>
      </c>
      <c r="AH87" s="65">
        <f>SUM(A:B!AH87)</f>
        <v>0</v>
      </c>
      <c r="AI87" s="65">
        <f>SUM(A:B!AI87)</f>
        <v>0</v>
      </c>
      <c r="AJ87" s="65">
        <f>SUM(A:B!AJ87)</f>
        <v>0</v>
      </c>
      <c r="AK87" s="124">
        <f t="shared" si="48"/>
        <v>0</v>
      </c>
      <c r="AL87" s="73">
        <f t="shared" si="49"/>
        <v>0</v>
      </c>
      <c r="AM87" s="14">
        <f t="shared" si="7"/>
        <v>0</v>
      </c>
    </row>
    <row r="88" spans="1:41" ht="15" hidden="1" outlineLevel="1">
      <c r="A88" s="12"/>
      <c r="I88" s="251" t="s">
        <v>191</v>
      </c>
      <c r="J88" s="65">
        <f>SUM(A:B!J88)</f>
        <v>0</v>
      </c>
      <c r="K88" s="65">
        <f>SUM(A:B!K88)</f>
        <v>0</v>
      </c>
      <c r="L88" s="65">
        <f>SUM(A:B!L88)</f>
        <v>0</v>
      </c>
      <c r="M88" s="65">
        <f>SUM(A:B!M88)</f>
        <v>0</v>
      </c>
      <c r="N88" s="65">
        <f>SUM(A:B!N88)</f>
        <v>0</v>
      </c>
      <c r="O88" s="65">
        <f>SUM(A:B!O88)</f>
        <v>0</v>
      </c>
      <c r="P88" s="65">
        <f>SUM(A:B!P88)</f>
        <v>17500</v>
      </c>
      <c r="Q88" s="65">
        <f>SUM(A:B!Q88)</f>
        <v>0</v>
      </c>
      <c r="R88" s="65">
        <f>SUM(A:B!R88)</f>
        <v>0</v>
      </c>
      <c r="S88" s="65">
        <f>SUM(A:B!S88)</f>
        <v>134680</v>
      </c>
      <c r="T88" s="65">
        <f>SUM(A:B!T88)</f>
        <v>0</v>
      </c>
      <c r="U88" s="65">
        <f>SUM(A:B!U88)</f>
        <v>0</v>
      </c>
      <c r="V88" s="11">
        <f t="shared" si="42"/>
        <v>152180</v>
      </c>
      <c r="W88" s="73">
        <f t="shared" si="39"/>
        <v>1.6981268882900971E-4</v>
      </c>
      <c r="X88" s="89"/>
      <c r="Y88" s="65">
        <f>SUM(A:B!Y88)</f>
        <v>0</v>
      </c>
      <c r="Z88" s="65">
        <f>SUM(A:B!Z88)</f>
        <v>0</v>
      </c>
      <c r="AA88" s="65">
        <f>SUM(A:B!AA88)</f>
        <v>0</v>
      </c>
      <c r="AB88" s="65">
        <f>SUM(A:B!AB88)</f>
        <v>0</v>
      </c>
      <c r="AC88" s="65">
        <f>SUM(A:B!AC88)</f>
        <v>0</v>
      </c>
      <c r="AD88" s="65">
        <f>SUM(A:B!AD88)</f>
        <v>0</v>
      </c>
      <c r="AE88" s="65">
        <f>SUM(A:B!AE88)</f>
        <v>0</v>
      </c>
      <c r="AF88" s="65">
        <f>SUM(A:B!AF88)</f>
        <v>0</v>
      </c>
      <c r="AG88" s="65">
        <f>SUM(A:B!AG88)</f>
        <v>129698.02999999997</v>
      </c>
      <c r="AH88" s="65">
        <f>SUM(A:B!AH88)</f>
        <v>0</v>
      </c>
      <c r="AI88" s="65">
        <f>SUM(A:B!AI88)</f>
        <v>0</v>
      </c>
      <c r="AJ88" s="65">
        <f>SUM(A:B!AJ88)</f>
        <v>0</v>
      </c>
      <c r="AK88" s="124">
        <f t="shared" si="48"/>
        <v>129698.02999999997</v>
      </c>
      <c r="AL88" s="73">
        <f t="shared" si="49"/>
        <v>1.3465630693679109E-4</v>
      </c>
      <c r="AM88" s="14">
        <f t="shared" si="7"/>
        <v>-0.1477327506899726</v>
      </c>
    </row>
    <row r="89" spans="1:41" ht="15" hidden="1" outlineLevel="1">
      <c r="A89" s="12"/>
      <c r="E89" s="7" t="s">
        <v>470</v>
      </c>
      <c r="I89" s="246" t="s">
        <v>192</v>
      </c>
      <c r="J89" s="65">
        <f>SUM(A:B!J89)</f>
        <v>0</v>
      </c>
      <c r="K89" s="65">
        <f>SUM(A:B!K89)</f>
        <v>25645</v>
      </c>
      <c r="L89" s="65">
        <f>SUM(A:B!L89)</f>
        <v>0</v>
      </c>
      <c r="M89" s="65">
        <f>SUM(A:B!M89)</f>
        <v>0</v>
      </c>
      <c r="N89" s="65">
        <f>SUM(A:B!N89)</f>
        <v>9260</v>
      </c>
      <c r="O89" s="65">
        <f>SUM(A:B!O89)</f>
        <v>13030</v>
      </c>
      <c r="P89" s="65">
        <f>SUM(A:B!P89)</f>
        <v>0</v>
      </c>
      <c r="Q89" s="65">
        <f>SUM(A:B!Q89)</f>
        <v>10170</v>
      </c>
      <c r="R89" s="65">
        <f>SUM(A:B!R89)</f>
        <v>0</v>
      </c>
      <c r="S89" s="65">
        <f>SUM(A:B!S89)</f>
        <v>743.6</v>
      </c>
      <c r="T89" s="65">
        <f>SUM(A:B!T89)</f>
        <v>132600</v>
      </c>
      <c r="U89" s="65">
        <f>SUM(A:B!U89)</f>
        <v>0</v>
      </c>
      <c r="V89" s="11">
        <f t="shared" si="42"/>
        <v>191448.6</v>
      </c>
      <c r="W89" s="73">
        <f t="shared" si="39"/>
        <v>2.1363123628958831E-4</v>
      </c>
      <c r="X89" s="89"/>
      <c r="Y89" s="65">
        <f>SUM(A:B!Y89)</f>
        <v>0</v>
      </c>
      <c r="Z89" s="65">
        <f>SUM(A:B!Z89)</f>
        <v>34639.621500000001</v>
      </c>
      <c r="AA89" s="65">
        <f>SUM(A:B!AA89)</f>
        <v>0</v>
      </c>
      <c r="AB89" s="65">
        <f>SUM(A:B!AB89)</f>
        <v>0</v>
      </c>
      <c r="AC89" s="65">
        <f>SUM(A:B!AC89)</f>
        <v>16566.7755</v>
      </c>
      <c r="AD89" s="65">
        <f>SUM(A:B!AD89)</f>
        <v>18574.869499999997</v>
      </c>
      <c r="AE89" s="65">
        <f>SUM(A:B!AE89)</f>
        <v>0</v>
      </c>
      <c r="AF89" s="65">
        <f>SUM(A:B!AF89)</f>
        <v>17068.798999999999</v>
      </c>
      <c r="AG89" s="65">
        <f>SUM(A:B!AG89)</f>
        <v>0</v>
      </c>
      <c r="AH89" s="65">
        <f>SUM(A:B!AH89)</f>
        <v>8032.3759999999993</v>
      </c>
      <c r="AI89" s="65">
        <f>SUM(A:B!AI89)</f>
        <v>115465.40499999998</v>
      </c>
      <c r="AJ89" s="65">
        <f>SUM(A:B!AJ89)</f>
        <v>0</v>
      </c>
      <c r="AK89" s="124">
        <f t="shared" si="48"/>
        <v>210347.84649999999</v>
      </c>
      <c r="AL89" s="73">
        <f t="shared" si="49"/>
        <v>2.1838931695259382E-4</v>
      </c>
      <c r="AM89" s="14">
        <f t="shared" si="7"/>
        <v>9.8717078631026745E-2</v>
      </c>
    </row>
    <row r="90" spans="1:41" ht="15" hidden="1" outlineLevel="1">
      <c r="A90" s="12" t="s">
        <v>146</v>
      </c>
      <c r="B90" s="8" t="s">
        <v>88</v>
      </c>
      <c r="I90" s="246" t="s">
        <v>193</v>
      </c>
      <c r="J90" s="65">
        <f>SUM(A:B!J90)</f>
        <v>565196</v>
      </c>
      <c r="K90" s="65">
        <f>SUM(A:B!K90)</f>
        <v>565196</v>
      </c>
      <c r="L90" s="65">
        <f>SUM(A:B!L90)</f>
        <v>565196</v>
      </c>
      <c r="M90" s="65">
        <f>SUM(A:B!M90)</f>
        <v>565197</v>
      </c>
      <c r="N90" s="65">
        <f>SUM(A:B!N90)</f>
        <v>565197</v>
      </c>
      <c r="O90" s="65">
        <f>SUM(A:B!O90)</f>
        <v>565197</v>
      </c>
      <c r="P90" s="65">
        <f>SUM(A:B!P90)</f>
        <v>565197</v>
      </c>
      <c r="Q90" s="65">
        <f>SUM(A:B!Q90)</f>
        <v>565197</v>
      </c>
      <c r="R90" s="65">
        <f>SUM(A:B!R90)</f>
        <v>565196</v>
      </c>
      <c r="S90" s="65">
        <f>SUM(A:B!S90)</f>
        <v>565196</v>
      </c>
      <c r="T90" s="65">
        <f>SUM(A:B!T90)</f>
        <v>565196.46</v>
      </c>
      <c r="U90" s="65">
        <f>SUM(A:B!U90)</f>
        <v>565196.46</v>
      </c>
      <c r="V90" s="11">
        <f t="shared" si="42"/>
        <v>6782357.9199999999</v>
      </c>
      <c r="W90" s="73">
        <f t="shared" si="39"/>
        <v>7.5682115586537622E-3</v>
      </c>
      <c r="X90" s="89"/>
      <c r="Y90" s="65">
        <f>SUM(A:B!Y90)</f>
        <v>586391.32725000009</v>
      </c>
      <c r="Z90" s="65">
        <f>SUM(A:B!Z90)</f>
        <v>586391.32725000009</v>
      </c>
      <c r="AA90" s="65">
        <f>SUM(A:B!AA90)</f>
        <v>586391.32725000009</v>
      </c>
      <c r="AB90" s="65">
        <f>SUM(A:B!AB90)</f>
        <v>586391.32725000009</v>
      </c>
      <c r="AC90" s="65">
        <f>SUM(A:B!AC90)</f>
        <v>586391.32725000009</v>
      </c>
      <c r="AD90" s="65">
        <f>SUM(A:B!AD90)</f>
        <v>586391.32725000009</v>
      </c>
      <c r="AE90" s="65">
        <f>SUM(A:B!AE90)</f>
        <v>586391.32725000009</v>
      </c>
      <c r="AF90" s="65">
        <f>SUM(A:B!AF90)</f>
        <v>586391.32725000009</v>
      </c>
      <c r="AG90" s="65">
        <f>SUM(A:B!AG90)</f>
        <v>586391.32725000009</v>
      </c>
      <c r="AH90" s="65">
        <f>SUM(A:B!AH90)</f>
        <v>586391.32725000009</v>
      </c>
      <c r="AI90" s="65">
        <f>SUM(A:B!AI90)</f>
        <v>586391.32725000009</v>
      </c>
      <c r="AJ90" s="65">
        <f>SUM(A:B!AJ90)</f>
        <v>586391.32725000009</v>
      </c>
      <c r="AK90" s="124">
        <f t="shared" si="48"/>
        <v>7036695.9270000011</v>
      </c>
      <c r="AL90" s="73">
        <f t="shared" si="49"/>
        <v>7.3057045397449758E-3</v>
      </c>
      <c r="AM90" s="14">
        <f t="shared" si="7"/>
        <v>3.7499938811840439E-2</v>
      </c>
    </row>
    <row r="91" spans="1:41" ht="15" hidden="1" outlineLevel="1">
      <c r="A91" s="12" t="s">
        <v>146</v>
      </c>
      <c r="B91" s="8" t="s">
        <v>88</v>
      </c>
      <c r="I91" s="251" t="s">
        <v>194</v>
      </c>
      <c r="J91" s="65">
        <f>SUM(A:B!J91)</f>
        <v>590335</v>
      </c>
      <c r="K91" s="65">
        <f>SUM(A:B!K91)</f>
        <v>0</v>
      </c>
      <c r="L91" s="65">
        <f>SUM(A:B!L91)</f>
        <v>0</v>
      </c>
      <c r="M91" s="65">
        <f>SUM(A:B!M91)</f>
        <v>0</v>
      </c>
      <c r="N91" s="65">
        <f>SUM(A:B!N91)</f>
        <v>0</v>
      </c>
      <c r="O91" s="65">
        <f>SUM(A:B!O91)</f>
        <v>0</v>
      </c>
      <c r="P91" s="65">
        <f>SUM(A:B!P91)</f>
        <v>0</v>
      </c>
      <c r="Q91" s="65">
        <f>SUM(A:B!Q91)</f>
        <v>0</v>
      </c>
      <c r="R91" s="65">
        <f>SUM(A:B!R91)</f>
        <v>0</v>
      </c>
      <c r="S91" s="65">
        <f>SUM(A:B!S91)</f>
        <v>0</v>
      </c>
      <c r="T91" s="65">
        <f>SUM(A:B!T91)</f>
        <v>0</v>
      </c>
      <c r="U91" s="65">
        <f>SUM(A:B!U91)</f>
        <v>0</v>
      </c>
      <c r="V91" s="11">
        <f t="shared" si="42"/>
        <v>590335</v>
      </c>
      <c r="W91" s="73">
        <f t="shared" si="39"/>
        <v>6.5873553462921181E-4</v>
      </c>
      <c r="X91" s="89"/>
      <c r="Y91" s="65">
        <f>SUM(A:B!Y91)</f>
        <v>302314.10076999996</v>
      </c>
      <c r="Z91" s="65">
        <f>SUM(A:B!Z91)</f>
        <v>0</v>
      </c>
      <c r="AA91" s="65">
        <f>SUM(A:B!AA91)</f>
        <v>0</v>
      </c>
      <c r="AB91" s="65">
        <f>SUM(A:B!AB91)</f>
        <v>0</v>
      </c>
      <c r="AC91" s="65">
        <f>SUM(A:B!AC91)</f>
        <v>0</v>
      </c>
      <c r="AD91" s="65">
        <f>SUM(A:B!AD91)</f>
        <v>0</v>
      </c>
      <c r="AE91" s="65">
        <f>SUM(A:B!AE91)</f>
        <v>0</v>
      </c>
      <c r="AF91" s="65">
        <f>SUM(A:B!AF91)</f>
        <v>0</v>
      </c>
      <c r="AG91" s="65">
        <f>SUM(A:B!AG91)</f>
        <v>0</v>
      </c>
      <c r="AH91" s="65">
        <f>SUM(A:B!AH91)</f>
        <v>0</v>
      </c>
      <c r="AI91" s="65">
        <f>SUM(A:B!AI91)</f>
        <v>0</v>
      </c>
      <c r="AJ91" s="65">
        <f>SUM(A:B!AJ91)</f>
        <v>0</v>
      </c>
      <c r="AK91" s="124">
        <f t="shared" si="48"/>
        <v>302314.10076999996</v>
      </c>
      <c r="AL91" s="73">
        <f t="shared" si="49"/>
        <v>3.138713852832238E-4</v>
      </c>
      <c r="AM91" s="14">
        <f t="shared" si="7"/>
        <v>-0.48789399108980502</v>
      </c>
    </row>
    <row r="92" spans="1:41" ht="15" collapsed="1">
      <c r="A92" s="12" t="s">
        <v>195</v>
      </c>
      <c r="B92" s="8" t="s">
        <v>88</v>
      </c>
      <c r="I92" s="167" t="s">
        <v>196</v>
      </c>
      <c r="J92" s="15">
        <f t="shared" ref="J92:V92" si="50">SUM(J93:J108)</f>
        <v>1463896</v>
      </c>
      <c r="K92" s="15">
        <f t="shared" si="50"/>
        <v>1498654</v>
      </c>
      <c r="L92" s="15">
        <f t="shared" si="50"/>
        <v>1863063</v>
      </c>
      <c r="M92" s="15">
        <f t="shared" si="50"/>
        <v>1705996</v>
      </c>
      <c r="N92" s="15">
        <f t="shared" si="50"/>
        <v>1712950</v>
      </c>
      <c r="O92" s="15">
        <f t="shared" si="50"/>
        <v>1674814</v>
      </c>
      <c r="P92" s="15">
        <f t="shared" si="50"/>
        <v>1697282</v>
      </c>
      <c r="Q92" s="15">
        <f t="shared" si="50"/>
        <v>1709776</v>
      </c>
      <c r="R92" s="15">
        <f t="shared" si="50"/>
        <v>1669176</v>
      </c>
      <c r="S92" s="15">
        <f t="shared" si="50"/>
        <v>1691256.6666666667</v>
      </c>
      <c r="T92" s="15">
        <f t="shared" si="50"/>
        <v>1699228.2222222222</v>
      </c>
      <c r="U92" s="15">
        <f t="shared" si="50"/>
        <v>1695712.2962962962</v>
      </c>
      <c r="V92" s="15">
        <f>SUM(V93:V108)</f>
        <v>20081804.185185183</v>
      </c>
      <c r="W92" s="72">
        <f>V92/V$6</f>
        <v>2.2408629026310661E-2</v>
      </c>
      <c r="X92" s="89"/>
      <c r="Y92" s="15">
        <f>SUM(Y93:Y108)</f>
        <v>1838596.9533569997</v>
      </c>
      <c r="Z92" s="15">
        <f>SUM(Z93:Z108)</f>
        <v>1679780.5886159998</v>
      </c>
      <c r="AA92" s="15">
        <f>SUM(AA93:AA108)</f>
        <v>1838596.9533569997</v>
      </c>
      <c r="AB92" s="15">
        <f>SUM(AB93:AB108)</f>
        <v>1734272.88741</v>
      </c>
      <c r="AC92" s="15">
        <f>SUM(AC93:AC108)</f>
        <v>1838596.9533569997</v>
      </c>
      <c r="AD92" s="15">
        <f>SUM(AD93:AD108)</f>
        <v>1734272.88741</v>
      </c>
      <c r="AE92" s="15">
        <f>SUM(AE93:AE108)</f>
        <v>1787211.6756569997</v>
      </c>
      <c r="AF92" s="15">
        <f>SUM(AF93:AF108)</f>
        <v>1787211.6756569997</v>
      </c>
      <c r="AG92" s="15">
        <f>SUM(AG93:AG108)</f>
        <v>1785658.1651099999</v>
      </c>
      <c r="AH92" s="15">
        <f>SUM(AH93:AH108)</f>
        <v>1787211.6756569997</v>
      </c>
      <c r="AI92" s="15">
        <f>SUM(AI93:AI108)</f>
        <v>1785658.1651099999</v>
      </c>
      <c r="AJ92" s="15">
        <f>SUM(AJ93:AJ108)</f>
        <v>1838596.9533569997</v>
      </c>
      <c r="AK92" s="15">
        <f>SUM(AK93:AK108)</f>
        <v>21435665.534054995</v>
      </c>
      <c r="AL92" s="72">
        <f t="shared" si="41"/>
        <v>2.2255138012104762E-2</v>
      </c>
      <c r="AM92" s="10">
        <f t="shared" si="7"/>
        <v>6.7417316511261927E-2</v>
      </c>
      <c r="AO92" s="9"/>
    </row>
    <row r="93" spans="1:41" ht="15" hidden="1" outlineLevel="1">
      <c r="A93" s="12" t="s">
        <v>195</v>
      </c>
      <c r="B93" s="8" t="s">
        <v>88</v>
      </c>
      <c r="I93" s="246" t="s">
        <v>197</v>
      </c>
      <c r="J93" s="65">
        <f>SUM(A:B!J93)</f>
        <v>45887</v>
      </c>
      <c r="K93" s="65">
        <f>SUM(A:B!K93)</f>
        <v>45117</v>
      </c>
      <c r="L93" s="65">
        <f>SUM(A:B!L93)</f>
        <v>53778</v>
      </c>
      <c r="M93" s="65">
        <f>SUM(A:B!M93)</f>
        <v>50409</v>
      </c>
      <c r="N93" s="65">
        <f>SUM(A:B!N93)</f>
        <v>51511</v>
      </c>
      <c r="O93" s="65">
        <f>SUM(A:B!O93)</f>
        <v>49905</v>
      </c>
      <c r="P93" s="65">
        <f>SUM(A:B!P93)</f>
        <v>52895</v>
      </c>
      <c r="Q93" s="65">
        <f>SUM(A:B!Q93)</f>
        <v>53050</v>
      </c>
      <c r="R93" s="65">
        <f>SUM(A:B!R93)</f>
        <v>50624</v>
      </c>
      <c r="S93" s="65">
        <f>SUM(A:B!S93)</f>
        <v>51794</v>
      </c>
      <c r="T93" s="65">
        <f>SUM(A:B!T93)</f>
        <v>51822.666666666657</v>
      </c>
      <c r="U93" s="65">
        <f>SUM(A:B!U93)</f>
        <v>51413.555555555555</v>
      </c>
      <c r="V93" s="11">
        <f>SUM(J93:U93)</f>
        <v>608206.22222222213</v>
      </c>
      <c r="W93" s="73">
        <f>V93/V$6</f>
        <v>6.7867744748383323E-4</v>
      </c>
      <c r="X93" s="89"/>
      <c r="Y93" s="65">
        <f>SUM(A:B!Y93)</f>
        <v>54552.863311643836</v>
      </c>
      <c r="Z93" s="65">
        <f>SUM(A:B!Z93)</f>
        <v>49273.553958904107</v>
      </c>
      <c r="AA93" s="65">
        <f>SUM(A:B!AA93)</f>
        <v>54552.863311643836</v>
      </c>
      <c r="AB93" s="65">
        <f>SUM(A:B!AB93)</f>
        <v>52793.093527397257</v>
      </c>
      <c r="AC93" s="65">
        <f>SUM(A:B!AC93)</f>
        <v>54552.863311643836</v>
      </c>
      <c r="AD93" s="65">
        <f>SUM(A:B!AD93)</f>
        <v>52793.093527397257</v>
      </c>
      <c r="AE93" s="65">
        <f>SUM(A:B!AE93)</f>
        <v>54552.863311643836</v>
      </c>
      <c r="AF93" s="65">
        <f>SUM(A:B!AF93)</f>
        <v>54552.863311643836</v>
      </c>
      <c r="AG93" s="65">
        <f>SUM(A:B!AG93)</f>
        <v>52793.093527397257</v>
      </c>
      <c r="AH93" s="65">
        <f>SUM(A:B!AH93)</f>
        <v>54552.863311643836</v>
      </c>
      <c r="AI93" s="65">
        <f>SUM(A:B!AI93)</f>
        <v>52793.093527397257</v>
      </c>
      <c r="AJ93" s="65">
        <f>SUM(A:B!AJ93)</f>
        <v>54552.863311643836</v>
      </c>
      <c r="AK93" s="65">
        <f>SUM(Y93:AJ93)</f>
        <v>642315.97124999994</v>
      </c>
      <c r="AL93" s="73">
        <f t="shared" si="41"/>
        <v>6.6687132082918373E-4</v>
      </c>
      <c r="AM93" s="14">
        <f t="shared" si="7"/>
        <v>5.6082538753303046E-2</v>
      </c>
    </row>
    <row r="94" spans="1:41" ht="15" hidden="1" outlineLevel="1">
      <c r="A94" s="12" t="s">
        <v>195</v>
      </c>
      <c r="B94" s="8" t="s">
        <v>88</v>
      </c>
      <c r="I94" s="246" t="s">
        <v>198</v>
      </c>
      <c r="J94" s="65">
        <f>SUM(A:B!J94)</f>
        <v>114728</v>
      </c>
      <c r="K94" s="65">
        <f>SUM(A:B!K94)</f>
        <v>101673</v>
      </c>
      <c r="L94" s="65">
        <f>SUM(A:B!L94)</f>
        <v>124487</v>
      </c>
      <c r="M94" s="65">
        <f>SUM(A:B!M94)</f>
        <v>210934</v>
      </c>
      <c r="N94" s="65">
        <f>SUM(A:B!N94)</f>
        <v>154002</v>
      </c>
      <c r="O94" s="65">
        <f>SUM(A:B!O94)</f>
        <v>185659</v>
      </c>
      <c r="P94" s="65">
        <f>SUM(A:B!P94)</f>
        <v>151601</v>
      </c>
      <c r="Q94" s="65">
        <f>SUM(A:B!Q94)</f>
        <v>129491</v>
      </c>
      <c r="R94" s="65">
        <f>SUM(A:B!R94)</f>
        <v>127650</v>
      </c>
      <c r="S94" s="65">
        <f>SUM(A:B!S94)</f>
        <v>150960</v>
      </c>
      <c r="T94" s="65">
        <f>SUM(A:B!T94)</f>
        <v>136033.66666666666</v>
      </c>
      <c r="U94" s="65">
        <f>SUM(A:B!U94)</f>
        <v>138214.55555555556</v>
      </c>
      <c r="V94" s="11">
        <f>SUM(J94:U94)</f>
        <v>1725433.2222222222</v>
      </c>
      <c r="W94" s="73">
        <f>V94/V$6</f>
        <v>1.9253545463297265E-3</v>
      </c>
      <c r="X94" s="89"/>
      <c r="Y94" s="65">
        <f>SUM(A:B!Y94)</f>
        <v>146109.24</v>
      </c>
      <c r="Z94" s="65">
        <f>SUM(A:B!Z94)</f>
        <v>146109.24</v>
      </c>
      <c r="AA94" s="65">
        <f>SUM(A:B!AA94)</f>
        <v>146109.24</v>
      </c>
      <c r="AB94" s="65">
        <f>SUM(A:B!AB94)</f>
        <v>146109.24</v>
      </c>
      <c r="AC94" s="65">
        <f>SUM(A:B!AC94)</f>
        <v>146109.24</v>
      </c>
      <c r="AD94" s="65">
        <f>SUM(A:B!AD94)</f>
        <v>146109.24</v>
      </c>
      <c r="AE94" s="65">
        <f>SUM(A:B!AE94)</f>
        <v>146109.24</v>
      </c>
      <c r="AF94" s="65">
        <f>SUM(A:B!AF94)</f>
        <v>146109.24</v>
      </c>
      <c r="AG94" s="65">
        <f>SUM(A:B!AG94)</f>
        <v>146109.24</v>
      </c>
      <c r="AH94" s="65">
        <f>SUM(A:B!AH94)</f>
        <v>146109.24</v>
      </c>
      <c r="AI94" s="65">
        <f>SUM(A:B!AI94)</f>
        <v>146109.24</v>
      </c>
      <c r="AJ94" s="65">
        <f>SUM(A:B!AJ94)</f>
        <v>146109.24</v>
      </c>
      <c r="AK94" s="65">
        <f>SUM(Y94:AJ94)</f>
        <v>1753310.88</v>
      </c>
      <c r="AL94" s="73">
        <f t="shared" si="41"/>
        <v>1.8203388903663019E-3</v>
      </c>
      <c r="AM94" s="14">
        <f t="shared" si="7"/>
        <v>1.6156903332296801E-2</v>
      </c>
      <c r="AN94" s="9"/>
    </row>
    <row r="95" spans="1:41" ht="15" hidden="1" outlineLevel="1">
      <c r="A95" s="12" t="s">
        <v>195</v>
      </c>
      <c r="B95" s="8" t="s">
        <v>88</v>
      </c>
      <c r="I95" s="246" t="s">
        <v>199</v>
      </c>
      <c r="J95" s="65">
        <f>SUM(A:B!J95)</f>
        <v>40603</v>
      </c>
      <c r="K95" s="65">
        <f>SUM(A:B!K95)</f>
        <v>50455</v>
      </c>
      <c r="L95" s="65">
        <f>SUM(A:B!L95)</f>
        <v>60338</v>
      </c>
      <c r="M95" s="65">
        <f>SUM(A:B!M95)</f>
        <v>0</v>
      </c>
      <c r="N95" s="65">
        <f>SUM(A:B!N95)</f>
        <v>62612</v>
      </c>
      <c r="O95" s="65">
        <f>SUM(A:B!O95)</f>
        <v>0</v>
      </c>
      <c r="P95" s="65">
        <f>SUM(A:B!P95)</f>
        <v>0</v>
      </c>
      <c r="Q95" s="65">
        <f>SUM(A:B!Q95)</f>
        <v>0</v>
      </c>
      <c r="R95" s="65">
        <f>SUM(A:B!R95)</f>
        <v>60335</v>
      </c>
      <c r="S95" s="65">
        <f>SUM(A:B!S95)</f>
        <v>3227.6666666666665</v>
      </c>
      <c r="T95" s="65">
        <f>SUM(A:B!T95)</f>
        <v>21187.555555555555</v>
      </c>
      <c r="U95" s="65">
        <f>SUM(A:B!U95)</f>
        <v>28250.07407407408</v>
      </c>
      <c r="V95" s="11">
        <f>SUM(J95:U95)</f>
        <v>327008.29629629635</v>
      </c>
      <c r="W95" s="73">
        <f>V95/V$6</f>
        <v>3.6489787135936117E-4</v>
      </c>
      <c r="X95" s="89"/>
      <c r="Y95" s="65">
        <f>SUM(A:B!Y95)</f>
        <v>51385.277699999991</v>
      </c>
      <c r="Z95" s="65">
        <f>SUM(A:B!Z95)</f>
        <v>51385.277699999991</v>
      </c>
      <c r="AA95" s="65">
        <f>SUM(A:B!AA95)</f>
        <v>51385.277699999991</v>
      </c>
      <c r="AB95" s="65">
        <f>SUM(A:B!AB95)</f>
        <v>0</v>
      </c>
      <c r="AC95" s="65">
        <f>SUM(A:B!AC95)</f>
        <v>51385.277699999991</v>
      </c>
      <c r="AD95" s="65">
        <f>SUM(A:B!AD95)</f>
        <v>0</v>
      </c>
      <c r="AE95" s="65">
        <f>SUM(A:B!AE95)</f>
        <v>0</v>
      </c>
      <c r="AF95" s="65">
        <f>SUM(A:B!AF95)</f>
        <v>0</v>
      </c>
      <c r="AG95" s="65">
        <f>SUM(A:B!AG95)</f>
        <v>51385.277699999991</v>
      </c>
      <c r="AH95" s="65">
        <f>SUM(A:B!AH95)</f>
        <v>0</v>
      </c>
      <c r="AI95" s="65">
        <f>SUM(A:B!AI95)</f>
        <v>51385.277699999991</v>
      </c>
      <c r="AJ95" s="65">
        <f>SUM(A:B!AJ95)</f>
        <v>51385.277699999991</v>
      </c>
      <c r="AK95" s="65">
        <f>SUM(Y95:AJ95)</f>
        <v>359696.9438999999</v>
      </c>
      <c r="AL95" s="73">
        <f t="shared" si="41"/>
        <v>3.7344793966434281E-4</v>
      </c>
      <c r="AM95" s="14">
        <f t="shared" si="7"/>
        <v>9.9962747043227829E-2</v>
      </c>
      <c r="AN95" s="9"/>
    </row>
    <row r="96" spans="1:41" ht="15" hidden="1" outlineLevel="1">
      <c r="A96" s="12" t="s">
        <v>195</v>
      </c>
      <c r="B96" s="8" t="s">
        <v>88</v>
      </c>
      <c r="I96" s="246" t="s">
        <v>200</v>
      </c>
      <c r="J96" s="65">
        <f>SUM(A:B!J96)</f>
        <v>59080</v>
      </c>
      <c r="K96" s="65">
        <f>SUM(A:B!K96)</f>
        <v>60666</v>
      </c>
      <c r="L96" s="65">
        <f>SUM(A:B!L96)</f>
        <v>72868</v>
      </c>
      <c r="M96" s="65">
        <f>SUM(A:B!M96)</f>
        <v>65732</v>
      </c>
      <c r="N96" s="65">
        <f>SUM(A:B!N96)</f>
        <v>67100</v>
      </c>
      <c r="O96" s="65">
        <f>SUM(A:B!O96)</f>
        <v>67500</v>
      </c>
      <c r="P96" s="65">
        <f>SUM(A:B!P96)</f>
        <v>68858</v>
      </c>
      <c r="Q96" s="65">
        <f>SUM(A:B!Q96)</f>
        <v>71162</v>
      </c>
      <c r="R96" s="65">
        <f>SUM(A:B!R96)</f>
        <v>66479</v>
      </c>
      <c r="S96" s="65">
        <f>SUM(A:B!S96)</f>
        <v>68873.333333333343</v>
      </c>
      <c r="T96" s="65">
        <f>SUM(A:B!T96)</f>
        <v>68838.111111111109</v>
      </c>
      <c r="U96" s="65">
        <f>SUM(A:B!U96)</f>
        <v>68063.481481481489</v>
      </c>
      <c r="V96" s="11">
        <f>SUM(J96:U96)</f>
        <v>805219.92592592596</v>
      </c>
      <c r="W96" s="73">
        <f>V96/V$6</f>
        <v>8.9851860113140697E-4</v>
      </c>
      <c r="X96" s="89"/>
      <c r="Y96" s="65">
        <f>SUM(A:B!Y96)</f>
        <v>71682.462391499997</v>
      </c>
      <c r="Z96" s="65">
        <f>SUM(A:B!Z96)</f>
        <v>64745.449901999978</v>
      </c>
      <c r="AA96" s="65">
        <f>SUM(A:B!AA96)</f>
        <v>71682.462391499997</v>
      </c>
      <c r="AB96" s="65">
        <f>SUM(A:B!AB96)</f>
        <v>69370.124894999986</v>
      </c>
      <c r="AC96" s="65">
        <f>SUM(A:B!AC96)</f>
        <v>71682.462391499997</v>
      </c>
      <c r="AD96" s="65">
        <f>SUM(A:B!AD96)</f>
        <v>69370.124894999986</v>
      </c>
      <c r="AE96" s="65">
        <f>SUM(A:B!AE96)</f>
        <v>71682.462391499997</v>
      </c>
      <c r="AF96" s="65">
        <f>SUM(A:B!AF96)</f>
        <v>71682.462391499997</v>
      </c>
      <c r="AG96" s="65">
        <f>SUM(A:B!AG96)</f>
        <v>69370.124894999986</v>
      </c>
      <c r="AH96" s="65">
        <f>SUM(A:B!AH96)</f>
        <v>71682.462391499997</v>
      </c>
      <c r="AI96" s="65">
        <f>SUM(A:B!AI96)</f>
        <v>69370.124894999986</v>
      </c>
      <c r="AJ96" s="65">
        <f>SUM(A:B!AJ96)</f>
        <v>71682.462391499997</v>
      </c>
      <c r="AK96" s="65">
        <f>SUM(Y96:AJ96)</f>
        <v>844003.18622250005</v>
      </c>
      <c r="AL96" s="73">
        <f t="shared" si="41"/>
        <v>8.7626891556954751E-4</v>
      </c>
      <c r="AM96" s="14">
        <f t="shared" ref="AM96:AM162" si="51">IFERROR(AK96/V96-1,0)</f>
        <v>4.8164804481181989E-2</v>
      </c>
      <c r="AN96" s="9"/>
    </row>
    <row r="97" spans="1:40" ht="15" hidden="1" outlineLevel="1">
      <c r="A97" s="12" t="s">
        <v>195</v>
      </c>
      <c r="B97" s="8" t="s">
        <v>88</v>
      </c>
      <c r="I97" s="246" t="s">
        <v>201</v>
      </c>
      <c r="J97" s="65">
        <f>SUM(A:B!J97)</f>
        <v>0</v>
      </c>
      <c r="K97" s="65">
        <f>SUM(A:B!K97)</f>
        <v>0</v>
      </c>
      <c r="L97" s="65">
        <f>SUM(A:B!L97)</f>
        <v>0</v>
      </c>
      <c r="M97" s="65">
        <f>SUM(A:B!M97)</f>
        <v>0</v>
      </c>
      <c r="N97" s="65">
        <f>SUM(A:B!N97)</f>
        <v>0</v>
      </c>
      <c r="O97" s="65">
        <f>SUM(A:B!O97)</f>
        <v>0</v>
      </c>
      <c r="P97" s="65">
        <f>SUM(A:B!P97)</f>
        <v>0</v>
      </c>
      <c r="Q97" s="65">
        <f>SUM(A:B!Q97)</f>
        <v>13738</v>
      </c>
      <c r="R97" s="65">
        <f>SUM(A:B!R97)</f>
        <v>0</v>
      </c>
      <c r="S97" s="65">
        <f>SUM(A:B!S97)</f>
        <v>0</v>
      </c>
      <c r="T97" s="65">
        <f>SUM(A:B!T97)</f>
        <v>13738</v>
      </c>
      <c r="U97" s="65">
        <f>SUM(A:B!U97)</f>
        <v>13738</v>
      </c>
      <c r="V97" s="11">
        <f>SUM(J97:U97)</f>
        <v>41214</v>
      </c>
      <c r="W97" s="73">
        <f>V97/V$6</f>
        <v>4.5989355745819463E-5</v>
      </c>
      <c r="X97" s="89"/>
      <c r="Y97" s="65">
        <f>SUM(A:B!Y97)</f>
        <v>0</v>
      </c>
      <c r="Z97" s="65">
        <f>SUM(A:B!Z97)</f>
        <v>0</v>
      </c>
      <c r="AA97" s="65">
        <f>SUM(A:B!AA97)</f>
        <v>0</v>
      </c>
      <c r="AB97" s="65">
        <f>SUM(A:B!AB97)</f>
        <v>0</v>
      </c>
      <c r="AC97" s="65">
        <f>SUM(A:B!AC97)</f>
        <v>0</v>
      </c>
      <c r="AD97" s="65">
        <f>SUM(A:B!AD97)</f>
        <v>0</v>
      </c>
      <c r="AE97" s="65">
        <f>SUM(A:B!AE97)</f>
        <v>0</v>
      </c>
      <c r="AF97" s="65">
        <f>SUM(A:B!AF97)</f>
        <v>0</v>
      </c>
      <c r="AG97" s="65">
        <f>SUM(A:B!AG97)</f>
        <v>0</v>
      </c>
      <c r="AH97" s="65">
        <f>SUM(A:B!AH97)</f>
        <v>0</v>
      </c>
      <c r="AI97" s="65">
        <f>SUM(A:B!AI97)</f>
        <v>0</v>
      </c>
      <c r="AJ97" s="65">
        <f>SUM(A:B!AJ97)</f>
        <v>0</v>
      </c>
      <c r="AK97" s="65">
        <f>SUM(Y97:AJ97)</f>
        <v>0</v>
      </c>
      <c r="AL97" s="73">
        <f t="shared" si="41"/>
        <v>0</v>
      </c>
      <c r="AM97" s="14">
        <f t="shared" si="51"/>
        <v>-1</v>
      </c>
    </row>
    <row r="98" spans="1:40" ht="15" hidden="1" outlineLevel="1">
      <c r="A98" s="12" t="s">
        <v>195</v>
      </c>
      <c r="B98" s="8" t="s">
        <v>88</v>
      </c>
      <c r="I98" s="246" t="s">
        <v>202</v>
      </c>
      <c r="J98" s="65">
        <f>SUM(A:B!J98)</f>
        <v>76734</v>
      </c>
      <c r="K98" s="65">
        <f>SUM(A:B!K98)</f>
        <v>83523</v>
      </c>
      <c r="L98" s="65">
        <f>SUM(A:B!L98)</f>
        <v>96835</v>
      </c>
      <c r="M98" s="65">
        <f>SUM(A:B!M98)</f>
        <v>81785</v>
      </c>
      <c r="N98" s="65">
        <f>SUM(A:B!N98)</f>
        <v>93568</v>
      </c>
      <c r="O98" s="65">
        <f>SUM(A:B!O98)</f>
        <v>87175</v>
      </c>
      <c r="P98" s="65">
        <f>SUM(A:B!P98)</f>
        <v>92086</v>
      </c>
      <c r="Q98" s="65">
        <f>SUM(A:B!Q98)</f>
        <v>96275</v>
      </c>
      <c r="R98" s="65">
        <f>SUM(A:B!R98)</f>
        <v>92659</v>
      </c>
      <c r="S98" s="65">
        <f>SUM(A:B!S98)</f>
        <v>90411.666666666657</v>
      </c>
      <c r="T98" s="65">
        <f>SUM(A:B!T98)</f>
        <v>93115.222222222219</v>
      </c>
      <c r="U98" s="65">
        <f>SUM(A:B!U98)</f>
        <v>92061.962962962949</v>
      </c>
      <c r="V98" s="11">
        <f>SUM(J98:U98)</f>
        <v>1076228.8518518519</v>
      </c>
      <c r="W98" s="73">
        <f>V98/V$6</f>
        <v>1.2009286051276181E-3</v>
      </c>
      <c r="X98" s="89"/>
      <c r="Y98" s="65">
        <f>SUM(A:B!Y98)</f>
        <v>94196.296199999997</v>
      </c>
      <c r="Z98" s="65">
        <f>SUM(A:B!Z98)</f>
        <v>85080.525599999994</v>
      </c>
      <c r="AA98" s="65">
        <f>SUM(A:B!AA98)</f>
        <v>94196.296199999997</v>
      </c>
      <c r="AB98" s="65">
        <f>SUM(A:B!AB98)</f>
        <v>91157.705999999991</v>
      </c>
      <c r="AC98" s="65">
        <f>SUM(A:B!AC98)</f>
        <v>94196.296199999997</v>
      </c>
      <c r="AD98" s="65">
        <f>SUM(A:B!AD98)</f>
        <v>91157.705999999991</v>
      </c>
      <c r="AE98" s="65">
        <f>SUM(A:B!AE98)</f>
        <v>94196.296199999997</v>
      </c>
      <c r="AF98" s="65">
        <f>SUM(A:B!AF98)</f>
        <v>94196.296199999997</v>
      </c>
      <c r="AG98" s="65">
        <f>SUM(A:B!AG98)</f>
        <v>91157.705999999991</v>
      </c>
      <c r="AH98" s="65">
        <f>SUM(A:B!AH98)</f>
        <v>94196.296199999997</v>
      </c>
      <c r="AI98" s="65">
        <f>SUM(A:B!AI98)</f>
        <v>91157.705999999991</v>
      </c>
      <c r="AJ98" s="65">
        <f>SUM(A:B!AJ98)</f>
        <v>94196.296199999997</v>
      </c>
      <c r="AK98" s="65">
        <f>SUM(Y98:AJ98)</f>
        <v>1109085.423</v>
      </c>
      <c r="AL98" s="73">
        <f t="shared" si="41"/>
        <v>1.1514850853062981E-3</v>
      </c>
      <c r="AM98" s="14">
        <f t="shared" si="51"/>
        <v>3.0529353577180451E-2</v>
      </c>
      <c r="AN98" s="9"/>
    </row>
    <row r="99" spans="1:40" ht="15" hidden="1" outlineLevel="1">
      <c r="A99" s="12" t="s">
        <v>195</v>
      </c>
      <c r="B99" s="8" t="s">
        <v>88</v>
      </c>
      <c r="I99" s="246" t="s">
        <v>203</v>
      </c>
      <c r="J99" s="65">
        <f>SUM(A:B!J99)</f>
        <v>32983</v>
      </c>
      <c r="K99" s="65">
        <f>SUM(A:B!K99)</f>
        <v>42398</v>
      </c>
      <c r="L99" s="65">
        <f>SUM(A:B!L99)</f>
        <v>46319</v>
      </c>
      <c r="M99" s="65">
        <f>SUM(A:B!M99)</f>
        <v>38333</v>
      </c>
      <c r="N99" s="65">
        <f>SUM(A:B!N99)</f>
        <v>43745</v>
      </c>
      <c r="O99" s="65">
        <f>SUM(A:B!O99)</f>
        <v>43847</v>
      </c>
      <c r="P99" s="65">
        <f>SUM(A:B!P99)</f>
        <v>43882</v>
      </c>
      <c r="Q99" s="65">
        <f>SUM(A:B!Q99)</f>
        <v>50900</v>
      </c>
      <c r="R99" s="65">
        <f>SUM(A:B!R99)</f>
        <v>44430</v>
      </c>
      <c r="S99" s="65">
        <f>SUM(A:B!S99)</f>
        <v>52160</v>
      </c>
      <c r="T99" s="65">
        <f>SUM(A:B!T99)</f>
        <v>49163.333333333336</v>
      </c>
      <c r="U99" s="65">
        <f>SUM(A:B!U99)</f>
        <v>48584.444444444445</v>
      </c>
      <c r="V99" s="11">
        <f>SUM(J99:U99)</f>
        <v>536744.77777777775</v>
      </c>
      <c r="W99" s="73">
        <f>V99/V$6</f>
        <v>5.9893595695474926E-4</v>
      </c>
      <c r="X99" s="89"/>
      <c r="Y99" s="65">
        <f>SUM(A:B!Y99)</f>
        <v>50274.507299999997</v>
      </c>
      <c r="Z99" s="65">
        <f>SUM(A:B!Z99)</f>
        <v>45409.232399999994</v>
      </c>
      <c r="AA99" s="65">
        <f>SUM(A:B!AA99)</f>
        <v>50274.507299999997</v>
      </c>
      <c r="AB99" s="65">
        <f>SUM(A:B!AB99)</f>
        <v>48652.748999999996</v>
      </c>
      <c r="AC99" s="65">
        <f>SUM(A:B!AC99)</f>
        <v>50274.507299999997</v>
      </c>
      <c r="AD99" s="65">
        <f>SUM(A:B!AD99)</f>
        <v>48652.748999999996</v>
      </c>
      <c r="AE99" s="65">
        <f>SUM(A:B!AE99)</f>
        <v>50274.507299999997</v>
      </c>
      <c r="AF99" s="65">
        <f>SUM(A:B!AF99)</f>
        <v>50274.507299999997</v>
      </c>
      <c r="AG99" s="65">
        <f>SUM(A:B!AG99)</f>
        <v>48652.748999999996</v>
      </c>
      <c r="AH99" s="65">
        <f>SUM(A:B!AH99)</f>
        <v>50274.507299999997</v>
      </c>
      <c r="AI99" s="65">
        <f>SUM(A:B!AI99)</f>
        <v>48652.748999999996</v>
      </c>
      <c r="AJ99" s="65">
        <f>SUM(A:B!AJ99)</f>
        <v>50274.507299999997</v>
      </c>
      <c r="AK99" s="65">
        <f>SUM(Y99:AJ99)</f>
        <v>591941.77949999995</v>
      </c>
      <c r="AL99" s="73">
        <f t="shared" si="41"/>
        <v>6.1457135431480586E-4</v>
      </c>
      <c r="AM99" s="14">
        <f t="shared" si="51"/>
        <v>0.10283658827710984</v>
      </c>
      <c r="AN99" s="9"/>
    </row>
    <row r="100" spans="1:40" ht="15" hidden="1" outlineLevel="1">
      <c r="A100" s="12" t="s">
        <v>195</v>
      </c>
      <c r="B100" s="8" t="s">
        <v>88</v>
      </c>
      <c r="I100" s="246" t="s">
        <v>204</v>
      </c>
      <c r="J100" s="65">
        <f>SUM(A:B!J100)</f>
        <v>0</v>
      </c>
      <c r="K100" s="65">
        <f>SUM(A:B!K100)</f>
        <v>0</v>
      </c>
      <c r="L100" s="65">
        <f>SUM(A:B!L100)</f>
        <v>0</v>
      </c>
      <c r="M100" s="65">
        <f>SUM(A:B!M100)</f>
        <v>0</v>
      </c>
      <c r="N100" s="65">
        <f>SUM(A:B!N100)</f>
        <v>0</v>
      </c>
      <c r="O100" s="65">
        <f>SUM(A:B!O100)</f>
        <v>0</v>
      </c>
      <c r="P100" s="65">
        <f>SUM(A:B!P100)</f>
        <v>0</v>
      </c>
      <c r="Q100" s="65">
        <f>SUM(A:B!Q100)</f>
        <v>0</v>
      </c>
      <c r="R100" s="65">
        <f>SUM(A:B!R100)</f>
        <v>0</v>
      </c>
      <c r="S100" s="65">
        <f>SUM(A:B!S100)</f>
        <v>0</v>
      </c>
      <c r="T100" s="65">
        <f>SUM(A:B!T100)</f>
        <v>0</v>
      </c>
      <c r="U100" s="65">
        <f>SUM(A:B!U100)</f>
        <v>0</v>
      </c>
      <c r="V100" s="11">
        <f>SUM(J100:U100)</f>
        <v>0</v>
      </c>
      <c r="W100" s="73">
        <f>V100/V$6</f>
        <v>0</v>
      </c>
      <c r="X100" s="89"/>
      <c r="Y100" s="65">
        <f>SUM(A:B!Y100)</f>
        <v>0</v>
      </c>
      <c r="Z100" s="65">
        <f>SUM(A:B!Z100)</f>
        <v>0</v>
      </c>
      <c r="AA100" s="65">
        <f>SUM(A:B!AA100)</f>
        <v>0</v>
      </c>
      <c r="AB100" s="65">
        <f>SUM(A:B!AB100)</f>
        <v>0</v>
      </c>
      <c r="AC100" s="65">
        <f>SUM(A:B!AC100)</f>
        <v>0</v>
      </c>
      <c r="AD100" s="65">
        <f>SUM(A:B!AD100)</f>
        <v>0</v>
      </c>
      <c r="AE100" s="65">
        <f>SUM(A:B!AE100)</f>
        <v>0</v>
      </c>
      <c r="AF100" s="65">
        <f>SUM(A:B!AF100)</f>
        <v>0</v>
      </c>
      <c r="AG100" s="65">
        <f>SUM(A:B!AG100)</f>
        <v>0</v>
      </c>
      <c r="AH100" s="65">
        <f>SUM(A:B!AH100)</f>
        <v>0</v>
      </c>
      <c r="AI100" s="65">
        <f>SUM(A:B!AI100)</f>
        <v>0</v>
      </c>
      <c r="AJ100" s="65">
        <f>SUM(A:B!AJ100)</f>
        <v>0</v>
      </c>
      <c r="AK100" s="65">
        <f>SUM(Y100:AJ100)</f>
        <v>0</v>
      </c>
      <c r="AL100" s="73">
        <f t="shared" si="41"/>
        <v>0</v>
      </c>
      <c r="AM100" s="14">
        <f t="shared" si="51"/>
        <v>0</v>
      </c>
    </row>
    <row r="101" spans="1:40" ht="15" hidden="1" outlineLevel="1">
      <c r="A101" s="12" t="s">
        <v>195</v>
      </c>
      <c r="B101" s="8" t="s">
        <v>88</v>
      </c>
      <c r="I101" s="246" t="s">
        <v>205</v>
      </c>
      <c r="J101" s="65">
        <f>SUM(A:B!J101)</f>
        <v>30523</v>
      </c>
      <c r="K101" s="65">
        <f>SUM(A:B!K101)</f>
        <v>26153</v>
      </c>
      <c r="L101" s="65">
        <f>SUM(A:B!L101)</f>
        <v>31041</v>
      </c>
      <c r="M101" s="65">
        <f>SUM(A:B!M101)</f>
        <v>29383</v>
      </c>
      <c r="N101" s="65">
        <f>SUM(A:B!N101)</f>
        <v>26704</v>
      </c>
      <c r="O101" s="65">
        <f>SUM(A:B!O101)</f>
        <v>26851</v>
      </c>
      <c r="P101" s="65">
        <f>SUM(A:B!P101)</f>
        <v>30853</v>
      </c>
      <c r="Q101" s="65">
        <f>SUM(A:B!Q101)</f>
        <v>28212</v>
      </c>
      <c r="R101" s="65">
        <f>SUM(A:B!R101)</f>
        <v>28354</v>
      </c>
      <c r="S101" s="65">
        <f>SUM(A:B!S101)</f>
        <v>29513.666666666668</v>
      </c>
      <c r="T101" s="65">
        <f>SUM(A:B!T101)</f>
        <v>28693.222222222223</v>
      </c>
      <c r="U101" s="65">
        <f>SUM(A:B!U101)</f>
        <v>28853.629629629631</v>
      </c>
      <c r="V101" s="11">
        <f>SUM(J101:U101)</f>
        <v>345134.51851851854</v>
      </c>
      <c r="W101" s="73">
        <f>V101/V$6</f>
        <v>3.8512433038070232E-4</v>
      </c>
      <c r="X101" s="89"/>
      <c r="Y101" s="65">
        <f>SUM(A:B!Y101)</f>
        <v>31123.512153000003</v>
      </c>
      <c r="Z101" s="65">
        <f>SUM(A:B!Z101)</f>
        <v>28111.559364000001</v>
      </c>
      <c r="AA101" s="65">
        <f>SUM(A:B!AA101)</f>
        <v>31123.512153000003</v>
      </c>
      <c r="AB101" s="65">
        <f>SUM(A:B!AB101)</f>
        <v>30119.527889999998</v>
      </c>
      <c r="AC101" s="65">
        <f>SUM(A:B!AC101)</f>
        <v>31123.512153000003</v>
      </c>
      <c r="AD101" s="65">
        <f>SUM(A:B!AD101)</f>
        <v>30119.527889999998</v>
      </c>
      <c r="AE101" s="65">
        <f>SUM(A:B!AE101)</f>
        <v>31123.512153000003</v>
      </c>
      <c r="AF101" s="65">
        <f>SUM(A:B!AF101)</f>
        <v>31123.512153000003</v>
      </c>
      <c r="AG101" s="65">
        <f>SUM(A:B!AG101)</f>
        <v>30119.527889999998</v>
      </c>
      <c r="AH101" s="65">
        <f>SUM(A:B!AH101)</f>
        <v>31123.512153000003</v>
      </c>
      <c r="AI101" s="65">
        <f>SUM(A:B!AI101)</f>
        <v>30119.527889999998</v>
      </c>
      <c r="AJ101" s="65">
        <f>SUM(A:B!AJ101)</f>
        <v>31123.512153000003</v>
      </c>
      <c r="AK101" s="65">
        <f>SUM(Y101:AJ101)</f>
        <v>366454.25599500001</v>
      </c>
      <c r="AL101" s="73">
        <f t="shared" si="41"/>
        <v>3.8046357969782695E-4</v>
      </c>
      <c r="AM101" s="14">
        <f t="shared" si="51"/>
        <v>6.1772254968862406E-2</v>
      </c>
      <c r="AN101" s="9"/>
    </row>
    <row r="102" spans="1:40" ht="15" hidden="1" outlineLevel="1">
      <c r="A102" s="12" t="s">
        <v>195</v>
      </c>
      <c r="B102" s="8" t="s">
        <v>88</v>
      </c>
      <c r="I102" s="246" t="s">
        <v>207</v>
      </c>
      <c r="J102" s="65">
        <f>SUM(A:B!J102)</f>
        <v>11283</v>
      </c>
      <c r="K102" s="65">
        <f>SUM(A:B!K102)</f>
        <v>10890</v>
      </c>
      <c r="L102" s="65">
        <f>SUM(A:B!L102)</f>
        <v>12867</v>
      </c>
      <c r="M102" s="65">
        <f>SUM(A:B!M102)</f>
        <v>12307</v>
      </c>
      <c r="N102" s="65">
        <f>SUM(A:B!N102)</f>
        <v>12562</v>
      </c>
      <c r="O102" s="65">
        <f>SUM(A:B!O102)</f>
        <v>12107</v>
      </c>
      <c r="P102" s="65">
        <f>SUM(A:B!P102)</f>
        <v>12869</v>
      </c>
      <c r="Q102" s="65">
        <f>SUM(A:B!Q102)</f>
        <v>12780</v>
      </c>
      <c r="R102" s="65">
        <f>SUM(A:B!R102)</f>
        <v>12359</v>
      </c>
      <c r="S102" s="65">
        <f>SUM(A:B!S102)</f>
        <v>12765.666666666666</v>
      </c>
      <c r="T102" s="65">
        <f>SUM(A:B!T102)</f>
        <v>12634.888888888891</v>
      </c>
      <c r="U102" s="65">
        <f>SUM(A:B!U102)</f>
        <v>12586.51851851852</v>
      </c>
      <c r="V102" s="11">
        <f>SUM(J102:U102)</f>
        <v>148011.07407407407</v>
      </c>
      <c r="W102" s="73">
        <f>V102/V$6</f>
        <v>1.6516072062681196E-4</v>
      </c>
      <c r="X102" s="89"/>
      <c r="Y102" s="65">
        <f>SUM(A:B!Y102)</f>
        <v>11819.787050856163</v>
      </c>
      <c r="Z102" s="65">
        <f>SUM(A:B!Z102)</f>
        <v>10675.936691095892</v>
      </c>
      <c r="AA102" s="65">
        <f>SUM(A:B!AA102)</f>
        <v>11819.787050856163</v>
      </c>
      <c r="AB102" s="65">
        <f>SUM(A:B!AB102)</f>
        <v>11438.503597602739</v>
      </c>
      <c r="AC102" s="65">
        <f>SUM(A:B!AC102)</f>
        <v>11819.787050856163</v>
      </c>
      <c r="AD102" s="65">
        <f>SUM(A:B!AD102)</f>
        <v>11438.503597602739</v>
      </c>
      <c r="AE102" s="65">
        <f>SUM(A:B!AE102)</f>
        <v>11819.787050856163</v>
      </c>
      <c r="AF102" s="65">
        <f>SUM(A:B!AF102)</f>
        <v>11819.787050856163</v>
      </c>
      <c r="AG102" s="65">
        <f>SUM(A:B!AG102)</f>
        <v>11438.503597602739</v>
      </c>
      <c r="AH102" s="65">
        <f>SUM(A:B!AH102)</f>
        <v>11819.787050856163</v>
      </c>
      <c r="AI102" s="65">
        <f>SUM(A:B!AI102)</f>
        <v>11438.503597602739</v>
      </c>
      <c r="AJ102" s="65">
        <f>SUM(A:B!AJ102)</f>
        <v>11819.787050856163</v>
      </c>
      <c r="AK102" s="65">
        <f>SUM(Y102:AJ102)</f>
        <v>139168.46043750001</v>
      </c>
      <c r="AL102" s="73">
        <f t="shared" si="41"/>
        <v>1.4448878617965649E-4</v>
      </c>
      <c r="AM102" s="14">
        <f t="shared" si="51"/>
        <v>-5.9742919182848908E-2</v>
      </c>
      <c r="AN102" s="9"/>
    </row>
    <row r="103" spans="1:40" ht="15" hidden="1" outlineLevel="1">
      <c r="A103" s="12" t="s">
        <v>195</v>
      </c>
      <c r="B103" s="8" t="s">
        <v>88</v>
      </c>
      <c r="I103" s="246" t="s">
        <v>208</v>
      </c>
      <c r="J103" s="65">
        <f>SUM(A:B!J103)</f>
        <v>0</v>
      </c>
      <c r="K103" s="65">
        <f>SUM(A:B!K103)</f>
        <v>0</v>
      </c>
      <c r="L103" s="65">
        <f>SUM(A:B!L103)</f>
        <v>48937</v>
      </c>
      <c r="M103" s="65">
        <f>SUM(A:B!M103)</f>
        <v>0</v>
      </c>
      <c r="N103" s="65">
        <f>SUM(A:B!N103)</f>
        <v>0</v>
      </c>
      <c r="O103" s="65">
        <f>SUM(A:B!O103)</f>
        <v>0</v>
      </c>
      <c r="P103" s="65">
        <f>SUM(A:B!P103)</f>
        <v>8036</v>
      </c>
      <c r="Q103" s="65">
        <f>SUM(A:B!Q103)</f>
        <v>0</v>
      </c>
      <c r="R103" s="65">
        <f>SUM(A:B!R103)</f>
        <v>0</v>
      </c>
      <c r="S103" s="65">
        <f>SUM(A:B!S103)</f>
        <v>0</v>
      </c>
      <c r="T103" s="65">
        <f>SUM(A:B!T103)</f>
        <v>0</v>
      </c>
      <c r="U103" s="65">
        <f>SUM(A:B!U103)</f>
        <v>0</v>
      </c>
      <c r="V103" s="11">
        <f>SUM(J103:U103)</f>
        <v>56973</v>
      </c>
      <c r="W103" s="73">
        <f>V103/V$6</f>
        <v>6.3574308849094301E-5</v>
      </c>
      <c r="X103" s="89"/>
      <c r="Y103" s="65">
        <f>SUM(A:B!Y103)</f>
        <v>0</v>
      </c>
      <c r="Z103" s="65">
        <f>SUM(A:B!Z103)</f>
        <v>0</v>
      </c>
      <c r="AA103" s="65">
        <f>SUM(A:B!AA103)</f>
        <v>0</v>
      </c>
      <c r="AB103" s="65">
        <f>SUM(A:B!AB103)</f>
        <v>0</v>
      </c>
      <c r="AC103" s="65">
        <f>SUM(A:B!AC103)</f>
        <v>0</v>
      </c>
      <c r="AD103" s="65">
        <f>SUM(A:B!AD103)</f>
        <v>0</v>
      </c>
      <c r="AE103" s="65">
        <f>SUM(A:B!AE103)</f>
        <v>0</v>
      </c>
      <c r="AF103" s="65">
        <f>SUM(A:B!AF103)</f>
        <v>0</v>
      </c>
      <c r="AG103" s="65">
        <f>SUM(A:B!AG103)</f>
        <v>0</v>
      </c>
      <c r="AH103" s="65">
        <f>SUM(A:B!AH103)</f>
        <v>0</v>
      </c>
      <c r="AI103" s="65">
        <f>SUM(A:B!AI103)</f>
        <v>0</v>
      </c>
      <c r="AJ103" s="65">
        <f>SUM(A:B!AJ103)</f>
        <v>0</v>
      </c>
      <c r="AK103" s="65">
        <f>SUM(Y103:AJ103)</f>
        <v>0</v>
      </c>
      <c r="AL103" s="73">
        <f t="shared" si="41"/>
        <v>0</v>
      </c>
      <c r="AM103" s="14">
        <f t="shared" si="51"/>
        <v>-1</v>
      </c>
    </row>
    <row r="104" spans="1:40" ht="15" hidden="1" outlineLevel="1">
      <c r="A104" s="12" t="s">
        <v>195</v>
      </c>
      <c r="B104" s="8" t="s">
        <v>88</v>
      </c>
      <c r="I104" s="246" t="s">
        <v>209</v>
      </c>
      <c r="J104" s="65">
        <f>SUM(A:B!J104)</f>
        <v>0</v>
      </c>
      <c r="K104" s="65">
        <f>SUM(A:B!K104)</f>
        <v>0</v>
      </c>
      <c r="L104" s="65">
        <f>SUM(A:B!L104)</f>
        <v>27500</v>
      </c>
      <c r="M104" s="65">
        <f>SUM(A:B!M104)</f>
        <v>0</v>
      </c>
      <c r="N104" s="65">
        <f>SUM(A:B!N104)</f>
        <v>0</v>
      </c>
      <c r="O104" s="65">
        <f>SUM(A:B!O104)</f>
        <v>0</v>
      </c>
      <c r="P104" s="65">
        <f>SUM(A:B!P104)</f>
        <v>0</v>
      </c>
      <c r="Q104" s="65">
        <f>SUM(A:B!Q104)</f>
        <v>0</v>
      </c>
      <c r="R104" s="65">
        <f>SUM(A:B!R104)</f>
        <v>0</v>
      </c>
      <c r="S104" s="65">
        <f>SUM(A:B!S104)</f>
        <v>0</v>
      </c>
      <c r="T104" s="65">
        <f>SUM(A:B!T104)</f>
        <v>0</v>
      </c>
      <c r="U104" s="65">
        <f>SUM(A:B!U104)</f>
        <v>0</v>
      </c>
      <c r="V104" s="11">
        <f>SUM(J104:U104)</f>
        <v>27500</v>
      </c>
      <c r="W104" s="73">
        <f>V104/V$6</f>
        <v>3.0686351312904241E-5</v>
      </c>
      <c r="X104" s="89"/>
      <c r="Y104" s="65">
        <f>SUM(A:B!Y104)</f>
        <v>0</v>
      </c>
      <c r="Z104" s="65">
        <f>SUM(A:B!Z104)</f>
        <v>0</v>
      </c>
      <c r="AA104" s="65">
        <f>SUM(A:B!AA104)</f>
        <v>0</v>
      </c>
      <c r="AB104" s="65">
        <f>SUM(A:B!AB104)</f>
        <v>0</v>
      </c>
      <c r="AC104" s="65">
        <f>SUM(A:B!AC104)</f>
        <v>0</v>
      </c>
      <c r="AD104" s="65">
        <f>SUM(A:B!AD104)</f>
        <v>0</v>
      </c>
      <c r="AE104" s="65">
        <f>SUM(A:B!AE104)</f>
        <v>0</v>
      </c>
      <c r="AF104" s="65">
        <f>SUM(A:B!AF104)</f>
        <v>0</v>
      </c>
      <c r="AG104" s="65">
        <f>SUM(A:B!AG104)</f>
        <v>0</v>
      </c>
      <c r="AH104" s="65">
        <f>SUM(A:B!AH104)</f>
        <v>0</v>
      </c>
      <c r="AI104" s="65">
        <f>SUM(A:B!AI104)</f>
        <v>0</v>
      </c>
      <c r="AJ104" s="65">
        <f>SUM(A:B!AJ104)</f>
        <v>0</v>
      </c>
      <c r="AK104" s="65">
        <f>SUM(Y104:AJ104)</f>
        <v>0</v>
      </c>
      <c r="AL104" s="73">
        <f t="shared" si="41"/>
        <v>0</v>
      </c>
      <c r="AM104" s="14">
        <f t="shared" si="51"/>
        <v>-1</v>
      </c>
    </row>
    <row r="105" spans="1:40" ht="15" hidden="1" outlineLevel="1">
      <c r="A105" s="12"/>
      <c r="I105" s="246" t="s">
        <v>210</v>
      </c>
      <c r="J105" s="65">
        <f>SUM(A:B!J105)</f>
        <v>105</v>
      </c>
      <c r="K105" s="65">
        <f>SUM(A:B!K105)</f>
        <v>0</v>
      </c>
      <c r="L105" s="65">
        <f>SUM(A:B!L105)</f>
        <v>0</v>
      </c>
      <c r="M105" s="65">
        <f>SUM(A:B!M105)</f>
        <v>0</v>
      </c>
      <c r="N105" s="65">
        <f>SUM(A:B!N105)</f>
        <v>840</v>
      </c>
      <c r="O105" s="65">
        <f>SUM(A:B!O105)</f>
        <v>0</v>
      </c>
      <c r="P105" s="65">
        <f>SUM(A:B!P105)</f>
        <v>0</v>
      </c>
      <c r="Q105" s="65">
        <f>SUM(A:B!Q105)</f>
        <v>0</v>
      </c>
      <c r="R105" s="65">
        <f>SUM(A:B!R105)</f>
        <v>0</v>
      </c>
      <c r="S105" s="65">
        <f>SUM(A:B!S105)</f>
        <v>0</v>
      </c>
      <c r="T105" s="65">
        <f>SUM(A:B!T105)</f>
        <v>0</v>
      </c>
      <c r="U105" s="65">
        <f>SUM(A:B!U105)</f>
        <v>0</v>
      </c>
      <c r="V105" s="11">
        <f>SUM(J105:U105)</f>
        <v>945</v>
      </c>
      <c r="W105" s="73">
        <f>V105/V$6</f>
        <v>1.0544946178434365E-6</v>
      </c>
      <c r="X105" s="89"/>
      <c r="Y105" s="65">
        <f>SUM(A:B!Y105)</f>
        <v>0</v>
      </c>
      <c r="Z105" s="65">
        <f>SUM(A:B!Z105)</f>
        <v>0</v>
      </c>
      <c r="AA105" s="65">
        <f>SUM(A:B!AA105)</f>
        <v>0</v>
      </c>
      <c r="AB105" s="65">
        <f>SUM(A:B!AB105)</f>
        <v>0</v>
      </c>
      <c r="AC105" s="65">
        <f>SUM(A:B!AC105)</f>
        <v>0</v>
      </c>
      <c r="AD105" s="65">
        <f>SUM(A:B!AD105)</f>
        <v>0</v>
      </c>
      <c r="AE105" s="65">
        <f>SUM(A:B!AE105)</f>
        <v>0</v>
      </c>
      <c r="AF105" s="65">
        <f>SUM(A:B!AF105)</f>
        <v>0</v>
      </c>
      <c r="AG105" s="65">
        <f>SUM(A:B!AG105)</f>
        <v>0</v>
      </c>
      <c r="AH105" s="65">
        <f>SUM(A:B!AH105)</f>
        <v>0</v>
      </c>
      <c r="AI105" s="65">
        <f>SUM(A:B!AI105)</f>
        <v>0</v>
      </c>
      <c r="AJ105" s="65">
        <f>SUM(A:B!AJ105)</f>
        <v>0</v>
      </c>
      <c r="AK105" s="65">
        <f>SUM(Y105:AJ105)</f>
        <v>0</v>
      </c>
      <c r="AL105" s="73">
        <f t="shared" ref="AL105:AL108" si="52">AK105/AK$6</f>
        <v>0</v>
      </c>
      <c r="AM105" s="14">
        <f t="shared" ref="AM105:AM108" si="53">IFERROR(AK105/V105-1,0)</f>
        <v>-1</v>
      </c>
    </row>
    <row r="106" spans="1:40" ht="15" hidden="1" outlineLevel="1">
      <c r="A106" s="12" t="s">
        <v>195</v>
      </c>
      <c r="B106" s="8" t="s">
        <v>88</v>
      </c>
      <c r="I106" s="246" t="s">
        <v>211</v>
      </c>
      <c r="J106" s="65">
        <f>SUM(A:B!J106)</f>
        <v>985894</v>
      </c>
      <c r="K106" s="65">
        <f>SUM(A:B!K106)</f>
        <v>1014060</v>
      </c>
      <c r="L106" s="65">
        <f>SUM(A:B!L106)</f>
        <v>1218466</v>
      </c>
      <c r="M106" s="65">
        <f>SUM(A:B!M106)</f>
        <v>1096607</v>
      </c>
      <c r="N106" s="65">
        <f>SUM(A:B!N106)</f>
        <v>1122135</v>
      </c>
      <c r="O106" s="65">
        <f>SUM(A:B!O106)</f>
        <v>1129611</v>
      </c>
      <c r="P106" s="65">
        <f>SUM(A:B!P106)</f>
        <v>1153649</v>
      </c>
      <c r="Q106" s="65">
        <f>SUM(A:B!Q106)</f>
        <v>1188557</v>
      </c>
      <c r="R106" s="65">
        <f>SUM(A:B!R106)</f>
        <v>1109235</v>
      </c>
      <c r="S106" s="65">
        <f>SUM(A:B!S106)</f>
        <v>1154486</v>
      </c>
      <c r="T106" s="65">
        <f>SUM(A:B!T106)</f>
        <v>1150759.3333333333</v>
      </c>
      <c r="U106" s="65">
        <f>SUM(A:B!U106)</f>
        <v>1138160.111111111</v>
      </c>
      <c r="V106" s="11">
        <f>SUM(J106:U106)</f>
        <v>13461619.444444444</v>
      </c>
      <c r="W106" s="73">
        <f>V106/V$6</f>
        <v>1.5021381218648908E-2</v>
      </c>
      <c r="X106" s="89"/>
      <c r="Y106" s="65">
        <f>SUM(A:B!Y106)</f>
        <v>1327453.0072499998</v>
      </c>
      <c r="Z106" s="65">
        <f>SUM(A:B!Z106)</f>
        <v>1198989.8129999998</v>
      </c>
      <c r="AA106" s="65">
        <f>SUM(A:B!AA106)</f>
        <v>1327453.0072499998</v>
      </c>
      <c r="AB106" s="65">
        <f>SUM(A:B!AB106)</f>
        <v>1284631.9424999999</v>
      </c>
      <c r="AC106" s="65">
        <f>SUM(A:B!AC106)</f>
        <v>1327453.0072499998</v>
      </c>
      <c r="AD106" s="65">
        <f>SUM(A:B!AD106)</f>
        <v>1284631.9424999999</v>
      </c>
      <c r="AE106" s="65">
        <f>SUM(A:B!AE106)</f>
        <v>1327453.0072499998</v>
      </c>
      <c r="AF106" s="65">
        <f>SUM(A:B!AF106)</f>
        <v>1327453.0072499998</v>
      </c>
      <c r="AG106" s="65">
        <f>SUM(A:B!AG106)</f>
        <v>1284631.9424999999</v>
      </c>
      <c r="AH106" s="65">
        <f>SUM(A:B!AH106)</f>
        <v>1327453.0072499998</v>
      </c>
      <c r="AI106" s="65">
        <f>SUM(A:B!AI106)</f>
        <v>1284631.9424999999</v>
      </c>
      <c r="AJ106" s="65">
        <f>SUM(A:B!AJ106)</f>
        <v>1327453.0072499998</v>
      </c>
      <c r="AK106" s="65">
        <f>SUM(Y106:AJ106)</f>
        <v>15629688.633749995</v>
      </c>
      <c r="AL106" s="73">
        <f t="shared" si="52"/>
        <v>1.62272021401768E-2</v>
      </c>
      <c r="AM106" s="14">
        <f t="shared" si="53"/>
        <v>0.16105559945837755</v>
      </c>
      <c r="AN106" s="9"/>
    </row>
    <row r="107" spans="1:40" ht="15" hidden="1" outlineLevel="1">
      <c r="A107" s="12" t="s">
        <v>195</v>
      </c>
      <c r="B107" s="8" t="s">
        <v>88</v>
      </c>
      <c r="I107" s="246" t="s">
        <v>213</v>
      </c>
      <c r="J107" s="65">
        <f>SUM(A:B!J107)</f>
        <v>21210</v>
      </c>
      <c r="K107" s="65">
        <f>SUM(A:B!K107)</f>
        <v>20160</v>
      </c>
      <c r="L107" s="65">
        <f>SUM(A:B!L107)</f>
        <v>18165</v>
      </c>
      <c r="M107" s="65">
        <f>SUM(A:B!M107)</f>
        <v>27510</v>
      </c>
      <c r="N107" s="65">
        <f>SUM(A:B!N107)</f>
        <v>27930</v>
      </c>
      <c r="O107" s="65">
        <f>SUM(A:B!O107)</f>
        <v>23730</v>
      </c>
      <c r="P107" s="65">
        <f>SUM(A:B!P107)</f>
        <v>31080</v>
      </c>
      <c r="Q107" s="65">
        <f>SUM(A:B!Q107)</f>
        <v>14490</v>
      </c>
      <c r="R107" s="65">
        <f>SUM(A:B!R107)</f>
        <v>27615</v>
      </c>
      <c r="S107" s="65">
        <f>SUM(A:B!S107)</f>
        <v>26005</v>
      </c>
      <c r="T107" s="65">
        <f>SUM(A:B!T107)</f>
        <v>22703.333333333332</v>
      </c>
      <c r="U107" s="65">
        <f>SUM(A:B!U107)</f>
        <v>25441.111111111113</v>
      </c>
      <c r="V107" s="11">
        <f>SUM(J107:U107)</f>
        <v>286039.44444444444</v>
      </c>
      <c r="W107" s="73">
        <f>V107/V$6</f>
        <v>3.191820684207337E-4</v>
      </c>
      <c r="X107" s="89"/>
      <c r="Y107" s="65">
        <f>SUM(A:B!Y107)</f>
        <v>0</v>
      </c>
      <c r="Z107" s="65">
        <f>SUM(A:B!Z107)</f>
        <v>0</v>
      </c>
      <c r="AA107" s="65">
        <f>SUM(A:B!AA107)</f>
        <v>0</v>
      </c>
      <c r="AB107" s="65">
        <f>SUM(A:B!AB107)</f>
        <v>0</v>
      </c>
      <c r="AC107" s="65">
        <f>SUM(A:B!AC107)</f>
        <v>0</v>
      </c>
      <c r="AD107" s="65">
        <f>SUM(A:B!AD107)</f>
        <v>0</v>
      </c>
      <c r="AE107" s="65">
        <f>SUM(A:B!AE107)</f>
        <v>0</v>
      </c>
      <c r="AF107" s="65">
        <f>SUM(A:B!AF107)</f>
        <v>0</v>
      </c>
      <c r="AG107" s="65">
        <f>SUM(A:B!AG107)</f>
        <v>0</v>
      </c>
      <c r="AH107" s="65">
        <f>SUM(A:B!AH107)</f>
        <v>0</v>
      </c>
      <c r="AI107" s="65">
        <f>SUM(A:B!AI107)</f>
        <v>0</v>
      </c>
      <c r="AJ107" s="65">
        <f>SUM(A:B!AJ107)</f>
        <v>0</v>
      </c>
      <c r="AK107" s="65">
        <f>SUM(Y107:AJ107)</f>
        <v>0</v>
      </c>
      <c r="AL107" s="73">
        <f t="shared" si="52"/>
        <v>0</v>
      </c>
      <c r="AM107" s="14">
        <f t="shared" si="53"/>
        <v>-1</v>
      </c>
    </row>
    <row r="108" spans="1:40" ht="15" hidden="1" outlineLevel="1">
      <c r="A108" s="12" t="s">
        <v>195</v>
      </c>
      <c r="B108" s="8" t="s">
        <v>88</v>
      </c>
      <c r="I108" s="246" t="s">
        <v>214</v>
      </c>
      <c r="J108" s="65">
        <f>SUM(A:B!J108)</f>
        <v>44866</v>
      </c>
      <c r="K108" s="65">
        <f>SUM(A:B!K108)</f>
        <v>43559</v>
      </c>
      <c r="L108" s="65">
        <f>SUM(A:B!L108)</f>
        <v>51462</v>
      </c>
      <c r="M108" s="65">
        <f>SUM(A:B!M108)</f>
        <v>92996</v>
      </c>
      <c r="N108" s="65">
        <f>SUM(A:B!N108)</f>
        <v>50241</v>
      </c>
      <c r="O108" s="65">
        <f>SUM(A:B!O108)</f>
        <v>48429</v>
      </c>
      <c r="P108" s="65">
        <f>SUM(A:B!P108)</f>
        <v>51473</v>
      </c>
      <c r="Q108" s="65">
        <f>SUM(A:B!Q108)</f>
        <v>51121</v>
      </c>
      <c r="R108" s="65">
        <f>SUM(A:B!R108)</f>
        <v>49436</v>
      </c>
      <c r="S108" s="65">
        <f>SUM(A:B!S108)</f>
        <v>51059.666666666664</v>
      </c>
      <c r="T108" s="65">
        <f>SUM(A:B!T108)</f>
        <v>50538.888888888891</v>
      </c>
      <c r="U108" s="65">
        <f>SUM(A:B!U108)</f>
        <v>50344.851851851854</v>
      </c>
      <c r="V108" s="11">
        <f>SUM(J108:U108)</f>
        <v>635526.40740740742</v>
      </c>
      <c r="W108" s="73">
        <f>V108/V$6</f>
        <v>7.0916314932114948E-4</v>
      </c>
      <c r="X108" s="89"/>
      <c r="Y108" s="65">
        <f>SUM(A:B!Y108)</f>
        <v>0</v>
      </c>
      <c r="Z108" s="65">
        <f>SUM(A:B!Z108)</f>
        <v>0</v>
      </c>
      <c r="AA108" s="65">
        <f>SUM(A:B!AA108)</f>
        <v>0</v>
      </c>
      <c r="AB108" s="65">
        <f>SUM(A:B!AB108)</f>
        <v>0</v>
      </c>
      <c r="AC108" s="65">
        <f>SUM(A:B!AC108)</f>
        <v>0</v>
      </c>
      <c r="AD108" s="65">
        <f>SUM(A:B!AD108)</f>
        <v>0</v>
      </c>
      <c r="AE108" s="65">
        <f>SUM(A:B!AE108)</f>
        <v>0</v>
      </c>
      <c r="AF108" s="65">
        <f>SUM(A:B!AF108)</f>
        <v>0</v>
      </c>
      <c r="AG108" s="65">
        <f>SUM(A:B!AG108)</f>
        <v>0</v>
      </c>
      <c r="AH108" s="65">
        <f>SUM(A:B!AH108)</f>
        <v>0</v>
      </c>
      <c r="AI108" s="65">
        <f>SUM(A:B!AI108)</f>
        <v>0</v>
      </c>
      <c r="AJ108" s="65">
        <f>SUM(A:B!AJ108)</f>
        <v>0</v>
      </c>
      <c r="AK108" s="65">
        <f>SUM(Y108:AJ108)</f>
        <v>0</v>
      </c>
      <c r="AL108" s="73">
        <f t="shared" si="52"/>
        <v>0</v>
      </c>
      <c r="AM108" s="14">
        <f t="shared" si="53"/>
        <v>-1</v>
      </c>
    </row>
    <row r="109" spans="1:40" ht="15" collapsed="1">
      <c r="A109" s="12" t="s">
        <v>215</v>
      </c>
      <c r="B109" s="8" t="s">
        <v>88</v>
      </c>
      <c r="I109" s="167" t="s">
        <v>216</v>
      </c>
      <c r="J109" s="15">
        <f>SUM(J110:J113)</f>
        <v>353486</v>
      </c>
      <c r="K109" s="15">
        <f t="shared" ref="K109:U109" si="54">SUM(K110:K113)</f>
        <v>340649</v>
      </c>
      <c r="L109" s="15">
        <f t="shared" si="54"/>
        <v>419080</v>
      </c>
      <c r="M109" s="15">
        <f t="shared" si="54"/>
        <v>383332</v>
      </c>
      <c r="N109" s="15">
        <f t="shared" si="54"/>
        <v>395156</v>
      </c>
      <c r="O109" s="15">
        <f t="shared" si="54"/>
        <v>383925</v>
      </c>
      <c r="P109" s="15">
        <f t="shared" si="54"/>
        <v>410214</v>
      </c>
      <c r="Q109" s="15">
        <f t="shared" si="54"/>
        <v>415401</v>
      </c>
      <c r="R109" s="15">
        <f t="shared" si="54"/>
        <v>392382</v>
      </c>
      <c r="S109" s="15">
        <f t="shared" si="54"/>
        <v>397984</v>
      </c>
      <c r="T109" s="15">
        <f t="shared" si="54"/>
        <v>401922.33333333337</v>
      </c>
      <c r="U109" s="15">
        <f t="shared" si="54"/>
        <v>397429.44444444444</v>
      </c>
      <c r="V109" s="15">
        <f>SUM(V110:V113)</f>
        <v>4690960.7777777771</v>
      </c>
      <c r="W109" s="72">
        <f>V109/V$6</f>
        <v>5.2344898335252134E-3</v>
      </c>
      <c r="X109" s="89"/>
      <c r="Y109" s="15">
        <f>SUM(Y110:Y113)</f>
        <v>471526.88894253748</v>
      </c>
      <c r="Z109" s="15">
        <f>SUM(Z110:Z113)</f>
        <v>436139.39637838094</v>
      </c>
      <c r="AA109" s="15">
        <f>SUM(AA110:AA113)</f>
        <v>471526.88894253748</v>
      </c>
      <c r="AB109" s="15">
        <f>SUM(AB110:AB113)</f>
        <v>448741.65872011916</v>
      </c>
      <c r="AC109" s="15">
        <f>SUM(AC110:AC113)</f>
        <v>471526.88894253748</v>
      </c>
      <c r="AD109" s="15">
        <f>SUM(AD110:AD113)</f>
        <v>448741.65872011916</v>
      </c>
      <c r="AE109" s="15">
        <f>SUM(AE110:AE113)</f>
        <v>460537.48957483796</v>
      </c>
      <c r="AF109" s="15">
        <f>SUM(AF110:AF113)</f>
        <v>460537.48957483796</v>
      </c>
      <c r="AG109" s="15">
        <f>SUM(AG110:AG113)</f>
        <v>459731.05808781873</v>
      </c>
      <c r="AH109" s="15">
        <f>SUM(AH110:AH113)</f>
        <v>460537.48957483796</v>
      </c>
      <c r="AI109" s="15">
        <f>SUM(AI110:AI113)</f>
        <v>459731.05808781873</v>
      </c>
      <c r="AJ109" s="15">
        <f>SUM(AJ110:AJ113)</f>
        <v>471526.88894253748</v>
      </c>
      <c r="AK109" s="15">
        <f>SUM(AK110:AK113)</f>
        <v>5520804.8544889204</v>
      </c>
      <c r="AL109" s="72">
        <f t="shared" si="41"/>
        <v>5.7318618719512278E-3</v>
      </c>
      <c r="AM109" s="10">
        <f t="shared" si="51"/>
        <v>0.17690279582858937</v>
      </c>
      <c r="AN109" s="221"/>
    </row>
    <row r="110" spans="1:40" ht="15" hidden="1" customHeight="1" outlineLevel="1">
      <c r="A110" s="12" t="s">
        <v>215</v>
      </c>
      <c r="B110" s="8" t="s">
        <v>88</v>
      </c>
      <c r="I110" s="246" t="s">
        <v>217</v>
      </c>
      <c r="J110" s="65">
        <f>SUM(A:B!J110)</f>
        <v>66724</v>
      </c>
      <c r="K110" s="65">
        <f>SUM(A:B!K110)</f>
        <v>63891</v>
      </c>
      <c r="L110" s="65">
        <f>SUM(A:B!L110)</f>
        <v>78202</v>
      </c>
      <c r="M110" s="65">
        <f>SUM(A:B!M110)</f>
        <v>72034</v>
      </c>
      <c r="N110" s="65">
        <f>SUM(A:B!N110)</f>
        <v>72926</v>
      </c>
      <c r="O110" s="65">
        <f>SUM(A:B!O110)</f>
        <v>69970</v>
      </c>
      <c r="P110" s="65">
        <f>SUM(A:B!P110)</f>
        <v>77850</v>
      </c>
      <c r="Q110" s="65">
        <f>SUM(A:B!Q110)</f>
        <v>78528</v>
      </c>
      <c r="R110" s="65">
        <f>SUM(A:B!R110)</f>
        <v>73173</v>
      </c>
      <c r="S110" s="65">
        <f>SUM(A:B!S110)</f>
        <v>74532.666666666657</v>
      </c>
      <c r="T110" s="65">
        <f>SUM(A:B!T110)</f>
        <v>75411.222222222219</v>
      </c>
      <c r="U110" s="65">
        <f>SUM(A:B!U110)</f>
        <v>74372.296296296292</v>
      </c>
      <c r="V110" s="11">
        <f>SUM(J110:U110)</f>
        <v>877614.18518518517</v>
      </c>
      <c r="W110" s="73">
        <f t="shared" si="39"/>
        <v>9.7930098922839235E-4</v>
      </c>
      <c r="X110" s="89"/>
      <c r="Y110" s="65">
        <f>SUM(A:B!Y110)</f>
        <v>81991.996013274998</v>
      </c>
      <c r="Z110" s="65">
        <f>SUM(A:B!Z110)</f>
        <v>75012.905355700001</v>
      </c>
      <c r="AA110" s="65">
        <f>SUM(A:B!AA110)</f>
        <v>81991.996013274998</v>
      </c>
      <c r="AB110" s="65">
        <f>SUM(A:B!AB110)</f>
        <v>77096.368575749977</v>
      </c>
      <c r="AC110" s="65">
        <f>SUM(A:B!AC110)</f>
        <v>81991.996013274998</v>
      </c>
      <c r="AD110" s="65">
        <f>SUM(A:B!AD110)</f>
        <v>77096.368575749977</v>
      </c>
      <c r="AE110" s="65">
        <f>SUM(A:B!AE110)</f>
        <v>79422.732128275005</v>
      </c>
      <c r="AF110" s="65">
        <f>SUM(A:B!AF110)</f>
        <v>79422.732128275005</v>
      </c>
      <c r="AG110" s="65">
        <f>SUM(A:B!AG110)</f>
        <v>79665.632460749999</v>
      </c>
      <c r="AH110" s="65">
        <f>SUM(A:B!AH110)</f>
        <v>79422.732128275005</v>
      </c>
      <c r="AI110" s="65">
        <f>SUM(A:B!AI110)</f>
        <v>79665.632460749999</v>
      </c>
      <c r="AJ110" s="65">
        <f>SUM(A:B!AJ110)</f>
        <v>81991.996013274998</v>
      </c>
      <c r="AK110" s="65">
        <f t="shared" ref="AK93:AK157" si="55">SUM(Y110:AJ110)</f>
        <v>954773.08786662493</v>
      </c>
      <c r="AL110" s="73">
        <f t="shared" si="41"/>
        <v>9.9127348329620794E-4</v>
      </c>
      <c r="AM110" s="14">
        <f t="shared" si="51"/>
        <v>8.7918932925130866E-2</v>
      </c>
    </row>
    <row r="111" spans="1:40" ht="15" hidden="1" customHeight="1" outlineLevel="1">
      <c r="A111" s="12" t="s">
        <v>215</v>
      </c>
      <c r="B111" s="8" t="s">
        <v>88</v>
      </c>
      <c r="I111" s="246" t="s">
        <v>218</v>
      </c>
      <c r="J111" s="65">
        <f>SUM(A:B!J111)</f>
        <v>110061</v>
      </c>
      <c r="K111" s="65">
        <f>SUM(A:B!K111)</f>
        <v>104488</v>
      </c>
      <c r="L111" s="65">
        <f>SUM(A:B!L111)</f>
        <v>128576</v>
      </c>
      <c r="M111" s="65">
        <f>SUM(A:B!M111)</f>
        <v>119116</v>
      </c>
      <c r="N111" s="65">
        <f>SUM(A:B!N111)</f>
        <v>120691</v>
      </c>
      <c r="O111" s="65">
        <f>SUM(A:B!O111)</f>
        <v>116823</v>
      </c>
      <c r="P111" s="65">
        <f>SUM(A:B!P111)</f>
        <v>129306</v>
      </c>
      <c r="Q111" s="65">
        <f>SUM(A:B!Q111)</f>
        <v>129073</v>
      </c>
      <c r="R111" s="65">
        <f>SUM(A:B!R111)</f>
        <v>120067</v>
      </c>
      <c r="S111" s="65">
        <f>SUM(A:B!S111)</f>
        <v>123645.33333333333</v>
      </c>
      <c r="T111" s="65">
        <f>SUM(A:B!T111)</f>
        <v>124261.77777777778</v>
      </c>
      <c r="U111" s="65">
        <f>SUM(A:B!U111)</f>
        <v>122658.03703703702</v>
      </c>
      <c r="V111" s="11">
        <f>SUM(J111:U111)</f>
        <v>1448766.1481481481</v>
      </c>
      <c r="W111" s="73">
        <f t="shared" si="39"/>
        <v>1.6166307997206233E-3</v>
      </c>
      <c r="X111" s="89"/>
      <c r="Y111" s="65">
        <f>SUM(A:B!Y111)</f>
        <v>155997.97161485697</v>
      </c>
      <c r="Z111" s="65">
        <f>SUM(A:B!Z111)</f>
        <v>142719.55372975481</v>
      </c>
      <c r="AA111" s="65">
        <f>SUM(A:B!AA111)</f>
        <v>155997.97161485697</v>
      </c>
      <c r="AB111" s="65">
        <f>SUM(A:B!AB111)</f>
        <v>146683.55085222193</v>
      </c>
      <c r="AC111" s="65">
        <f>SUM(A:B!AC111)</f>
        <v>155997.97161485697</v>
      </c>
      <c r="AD111" s="65">
        <f>SUM(A:B!AD111)</f>
        <v>146683.55085222193</v>
      </c>
      <c r="AE111" s="65">
        <f>SUM(A:B!AE111)</f>
        <v>151109.69014725601</v>
      </c>
      <c r="AF111" s="65">
        <f>SUM(A:B!AF111)</f>
        <v>151109.69014725601</v>
      </c>
      <c r="AG111" s="65">
        <f>SUM(A:B!AG111)</f>
        <v>151571.83231982295</v>
      </c>
      <c r="AH111" s="65">
        <f>SUM(A:B!AH111)</f>
        <v>151109.69014725601</v>
      </c>
      <c r="AI111" s="65">
        <f>SUM(A:B!AI111)</f>
        <v>151571.83231982295</v>
      </c>
      <c r="AJ111" s="65">
        <f>SUM(A:B!AJ111)</f>
        <v>155997.97161485697</v>
      </c>
      <c r="AK111" s="65">
        <f t="shared" si="55"/>
        <v>1816551.2769750403</v>
      </c>
      <c r="AL111" s="73">
        <f t="shared" si="41"/>
        <v>1.885996929319365E-3</v>
      </c>
      <c r="AM111" s="14">
        <f t="shared" si="51"/>
        <v>0.25386093490450823</v>
      </c>
    </row>
    <row r="112" spans="1:40" ht="15" hidden="1" customHeight="1" outlineLevel="1">
      <c r="A112" s="12" t="s">
        <v>215</v>
      </c>
      <c r="B112" s="8" t="s">
        <v>88</v>
      </c>
      <c r="I112" s="246" t="s">
        <v>219</v>
      </c>
      <c r="J112" s="65">
        <f>SUM(A:B!J112)</f>
        <v>127542</v>
      </c>
      <c r="K112" s="65">
        <f>SUM(A:B!K112)</f>
        <v>123933</v>
      </c>
      <c r="L112" s="65">
        <f>SUM(A:B!L112)</f>
        <v>150929</v>
      </c>
      <c r="M112" s="65">
        <f>SUM(A:B!M112)</f>
        <v>142211</v>
      </c>
      <c r="N112" s="65">
        <f>SUM(A:B!N112)</f>
        <v>144039</v>
      </c>
      <c r="O112" s="65">
        <f>SUM(A:B!O112)</f>
        <v>140551</v>
      </c>
      <c r="P112" s="65">
        <f>SUM(A:B!P112)</f>
        <v>151212</v>
      </c>
      <c r="Q112" s="65">
        <f>SUM(A:B!Q112)</f>
        <v>150469</v>
      </c>
      <c r="R112" s="65">
        <f>SUM(A:B!R112)</f>
        <v>140474</v>
      </c>
      <c r="S112" s="65">
        <f>SUM(A:B!S112)</f>
        <v>146052.66666666669</v>
      </c>
      <c r="T112" s="65">
        <f>SUM(A:B!T112)</f>
        <v>145665.22222222222</v>
      </c>
      <c r="U112" s="65">
        <f>SUM(A:B!U112)</f>
        <v>144063.96296296298</v>
      </c>
      <c r="V112" s="11">
        <f>SUM(J112:U112)</f>
        <v>1707141.8518518519</v>
      </c>
      <c r="W112" s="73">
        <f t="shared" si="39"/>
        <v>1.9049438038868309E-3</v>
      </c>
      <c r="X112" s="89"/>
      <c r="Y112" s="65">
        <f>SUM(A:B!Y112)</f>
        <v>169917.51940812453</v>
      </c>
      <c r="Z112" s="65">
        <f>SUM(A:B!Z112)</f>
        <v>154787.53538664515</v>
      </c>
      <c r="AA112" s="65">
        <f>SUM(A:B!AA112)</f>
        <v>169917.51940812453</v>
      </c>
      <c r="AB112" s="65">
        <f>SUM(A:B!AB112)</f>
        <v>161342.33738586621</v>
      </c>
      <c r="AC112" s="65">
        <f>SUM(A:B!AC112)</f>
        <v>169917.51940812453</v>
      </c>
      <c r="AD112" s="65">
        <f>SUM(A:B!AD112)</f>
        <v>161342.33738586621</v>
      </c>
      <c r="AE112" s="65">
        <f>SUM(A:B!AE112)</f>
        <v>166385.66539302596</v>
      </c>
      <c r="AF112" s="65">
        <f>SUM(A:B!AF112)</f>
        <v>166385.66539302596</v>
      </c>
      <c r="AG112" s="65">
        <f>SUM(A:B!AG112)</f>
        <v>164874.19140096477</v>
      </c>
      <c r="AH112" s="65">
        <f>SUM(A:B!AH112)</f>
        <v>166385.66539302596</v>
      </c>
      <c r="AI112" s="65">
        <f>SUM(A:B!AI112)</f>
        <v>164874.19140096477</v>
      </c>
      <c r="AJ112" s="65">
        <f>SUM(A:B!AJ112)</f>
        <v>169917.51940812453</v>
      </c>
      <c r="AK112" s="65">
        <f t="shared" si="55"/>
        <v>1986047.6667718831</v>
      </c>
      <c r="AL112" s="73">
        <f t="shared" si="41"/>
        <v>2.0619730631832459E-3</v>
      </c>
      <c r="AM112" s="14">
        <f t="shared" si="51"/>
        <v>0.16337588737425857</v>
      </c>
    </row>
    <row r="113" spans="1:41" ht="15" hidden="1" customHeight="1" outlineLevel="1">
      <c r="A113" s="12" t="s">
        <v>215</v>
      </c>
      <c r="B113" s="8" t="s">
        <v>88</v>
      </c>
      <c r="I113" s="246" t="s">
        <v>220</v>
      </c>
      <c r="J113" s="65">
        <f>SUM(A:B!J113)</f>
        <v>49159</v>
      </c>
      <c r="K113" s="65">
        <f>SUM(A:B!K113)</f>
        <v>48337</v>
      </c>
      <c r="L113" s="65">
        <f>SUM(A:B!L113)</f>
        <v>61373</v>
      </c>
      <c r="M113" s="65">
        <f>SUM(A:B!M113)</f>
        <v>49971</v>
      </c>
      <c r="N113" s="65">
        <f>SUM(A:B!N113)</f>
        <v>57500</v>
      </c>
      <c r="O113" s="65">
        <f>SUM(A:B!O113)</f>
        <v>56581</v>
      </c>
      <c r="P113" s="65">
        <f>SUM(A:B!P113)</f>
        <v>51846</v>
      </c>
      <c r="Q113" s="65">
        <f>SUM(A:B!Q113)</f>
        <v>57331</v>
      </c>
      <c r="R113" s="65">
        <f>SUM(A:B!R113)</f>
        <v>58668</v>
      </c>
      <c r="S113" s="65">
        <f>SUM(A:B!S113)</f>
        <v>53753.333333333336</v>
      </c>
      <c r="T113" s="65">
        <f>SUM(A:B!T113)</f>
        <v>56584.111111111109</v>
      </c>
      <c r="U113" s="65">
        <f>SUM(A:B!U113)</f>
        <v>56335.148148148161</v>
      </c>
      <c r="V113" s="11">
        <f>SUM(J113:U113)</f>
        <v>657438.5925925927</v>
      </c>
      <c r="W113" s="73">
        <f t="shared" si="39"/>
        <v>7.3361424068936801E-4</v>
      </c>
      <c r="X113" s="89"/>
      <c r="Y113" s="65">
        <f>SUM(A:B!Y113)</f>
        <v>63619.401906281033</v>
      </c>
      <c r="Z113" s="65">
        <f>SUM(A:B!Z113)</f>
        <v>63619.401906281033</v>
      </c>
      <c r="AA113" s="65">
        <f>SUM(A:B!AA113)</f>
        <v>63619.401906281033</v>
      </c>
      <c r="AB113" s="65">
        <f>SUM(A:B!AB113)</f>
        <v>63619.401906281033</v>
      </c>
      <c r="AC113" s="65">
        <f>SUM(A:B!AC113)</f>
        <v>63619.401906281033</v>
      </c>
      <c r="AD113" s="65">
        <f>SUM(A:B!AD113)</f>
        <v>63619.401906281033</v>
      </c>
      <c r="AE113" s="65">
        <f>SUM(A:B!AE113)</f>
        <v>63619.401906281033</v>
      </c>
      <c r="AF113" s="65">
        <f>SUM(A:B!AF113)</f>
        <v>63619.401906281033</v>
      </c>
      <c r="AG113" s="65">
        <f>SUM(A:B!AG113)</f>
        <v>63619.401906281033</v>
      </c>
      <c r="AH113" s="65">
        <f>SUM(A:B!AH113)</f>
        <v>63619.401906281033</v>
      </c>
      <c r="AI113" s="65">
        <f>SUM(A:B!AI113)</f>
        <v>63619.401906281033</v>
      </c>
      <c r="AJ113" s="65">
        <f>SUM(A:B!AJ113)</f>
        <v>63619.401906281033</v>
      </c>
      <c r="AK113" s="65">
        <f t="shared" si="55"/>
        <v>763432.82287537225</v>
      </c>
      <c r="AL113" s="73">
        <f t="shared" si="41"/>
        <v>7.9261839615240887E-4</v>
      </c>
      <c r="AM113" s="14">
        <f t="shared" si="51"/>
        <v>0.16122301227373037</v>
      </c>
    </row>
    <row r="114" spans="1:41" ht="15" collapsed="1">
      <c r="A114" s="12" t="s">
        <v>221</v>
      </c>
      <c r="B114" s="8" t="s">
        <v>88</v>
      </c>
      <c r="C114" s="8" t="s">
        <v>222</v>
      </c>
      <c r="I114" s="167" t="s">
        <v>223</v>
      </c>
      <c r="J114" s="15">
        <f t="shared" ref="J114:V114" si="56">SUM(J115:J150)</f>
        <v>1504502</v>
      </c>
      <c r="K114" s="15">
        <f t="shared" si="56"/>
        <v>367188</v>
      </c>
      <c r="L114" s="15">
        <f t="shared" si="56"/>
        <v>887909</v>
      </c>
      <c r="M114" s="15">
        <f t="shared" si="56"/>
        <v>1170739</v>
      </c>
      <c r="N114" s="15">
        <f t="shared" si="56"/>
        <v>1189885</v>
      </c>
      <c r="O114" s="15">
        <f t="shared" si="56"/>
        <v>1127202</v>
      </c>
      <c r="P114" s="15">
        <f t="shared" si="56"/>
        <v>972987</v>
      </c>
      <c r="Q114" s="15">
        <f t="shared" si="56"/>
        <v>1346768</v>
      </c>
      <c r="R114" s="15">
        <f t="shared" si="56"/>
        <v>583558</v>
      </c>
      <c r="S114" s="15">
        <f t="shared" si="56"/>
        <v>767012.25221637916</v>
      </c>
      <c r="T114" s="15">
        <f t="shared" si="56"/>
        <v>929320.19830586226</v>
      </c>
      <c r="U114" s="15">
        <f t="shared" si="56"/>
        <v>909366.77706293552</v>
      </c>
      <c r="V114" s="15">
        <f t="shared" si="56"/>
        <v>11756437.227585178</v>
      </c>
      <c r="W114" s="72">
        <f t="shared" si="39"/>
        <v>1.3118624107410352E-2</v>
      </c>
      <c r="X114" s="89"/>
      <c r="Y114" s="15">
        <f t="shared" ref="Y114:AK114" si="57">SUM(Y115:Y150)</f>
        <v>1160999.2644671332</v>
      </c>
      <c r="Z114" s="15">
        <f t="shared" si="57"/>
        <v>1243723.4348151525</v>
      </c>
      <c r="AA114" s="15">
        <f t="shared" si="57"/>
        <v>1073382.8027169001</v>
      </c>
      <c r="AB114" s="15">
        <f t="shared" si="57"/>
        <v>854691.77514669276</v>
      </c>
      <c r="AC114" s="15">
        <f t="shared" si="57"/>
        <v>939319.97630956396</v>
      </c>
      <c r="AD114" s="15">
        <f t="shared" si="57"/>
        <v>928337.61479389935</v>
      </c>
      <c r="AE114" s="15">
        <f t="shared" si="57"/>
        <v>1173501.1441915943</v>
      </c>
      <c r="AF114" s="15">
        <f t="shared" si="57"/>
        <v>1193770.7349172796</v>
      </c>
      <c r="AG114" s="15">
        <f t="shared" si="57"/>
        <v>1016881.0982591406</v>
      </c>
      <c r="AH114" s="15">
        <f t="shared" si="57"/>
        <v>889846.40688424034</v>
      </c>
      <c r="AI114" s="15">
        <f t="shared" si="57"/>
        <v>961216.03639454488</v>
      </c>
      <c r="AJ114" s="15">
        <f t="shared" si="57"/>
        <v>883733.42055393092</v>
      </c>
      <c r="AK114" s="15">
        <f t="shared" si="57"/>
        <v>12319403.709450074</v>
      </c>
      <c r="AL114" s="72">
        <f t="shared" si="41"/>
        <v>1.27903670331612E-2</v>
      </c>
      <c r="AM114" s="10">
        <f t="shared" si="51"/>
        <v>4.7885806810923803E-2</v>
      </c>
    </row>
    <row r="115" spans="1:41" ht="15" hidden="1" outlineLevel="1">
      <c r="A115" s="12" t="s">
        <v>221</v>
      </c>
      <c r="B115" s="8" t="s">
        <v>88</v>
      </c>
      <c r="E115" s="7" t="s">
        <v>224</v>
      </c>
      <c r="I115" s="246" t="s">
        <v>225</v>
      </c>
      <c r="J115" s="65">
        <f>SUM(A:B!J115)</f>
        <v>0</v>
      </c>
      <c r="K115" s="65">
        <f>SUM(A:B!K115)</f>
        <v>47480</v>
      </c>
      <c r="L115" s="65">
        <f>SUM(A:B!L115)</f>
        <v>7374</v>
      </c>
      <c r="M115" s="65">
        <f>SUM(A:B!M115)</f>
        <v>95504</v>
      </c>
      <c r="N115" s="65">
        <f>SUM(A:B!N115)</f>
        <v>39848</v>
      </c>
      <c r="O115" s="65">
        <f>SUM(A:B!O115)</f>
        <v>8000</v>
      </c>
      <c r="P115" s="65">
        <f>SUM(A:B!P115)</f>
        <v>23490</v>
      </c>
      <c r="Q115" s="65">
        <f>SUM(A:B!Q115)</f>
        <v>26000</v>
      </c>
      <c r="R115" s="65">
        <f>SUM(A:B!R115)</f>
        <v>35390</v>
      </c>
      <c r="S115" s="65">
        <f>SUM(A:B!S115)</f>
        <v>32662.720000000001</v>
      </c>
      <c r="T115" s="65">
        <f>SUM(A:B!T115)</f>
        <v>25235.600000000002</v>
      </c>
      <c r="U115" s="65">
        <f>SUM(A:B!U115)</f>
        <v>25235.600000000002</v>
      </c>
      <c r="V115" s="11">
        <f>SUM(J115:U115)</f>
        <v>366219.91999999993</v>
      </c>
      <c r="W115" s="73">
        <f t="shared" si="39"/>
        <v>4.086528408328612E-4</v>
      </c>
      <c r="X115" s="89"/>
      <c r="Y115" s="65">
        <f>SUM(A:B!Y115)</f>
        <v>31638.391899999995</v>
      </c>
      <c r="Z115" s="65">
        <f>SUM(A:B!Z115)</f>
        <v>31638.391899999995</v>
      </c>
      <c r="AA115" s="65">
        <f>SUM(A:B!AA115)</f>
        <v>31638.391899999995</v>
      </c>
      <c r="AB115" s="65">
        <f>SUM(A:B!AB115)</f>
        <v>31638.391899999995</v>
      </c>
      <c r="AC115" s="65">
        <f>SUM(A:B!AC115)</f>
        <v>31638.391899999995</v>
      </c>
      <c r="AD115" s="65">
        <f>SUM(A:B!AD115)</f>
        <v>31638.391899999995</v>
      </c>
      <c r="AE115" s="65">
        <f>SUM(A:B!AE115)</f>
        <v>31638.391899999995</v>
      </c>
      <c r="AF115" s="65">
        <f>SUM(A:B!AF115)</f>
        <v>31638.391899999995</v>
      </c>
      <c r="AG115" s="65">
        <f>SUM(A:B!AG115)</f>
        <v>31638.391899999995</v>
      </c>
      <c r="AH115" s="65">
        <f>SUM(A:B!AH115)</f>
        <v>31638.391899999995</v>
      </c>
      <c r="AI115" s="65">
        <f>SUM(A:B!AI115)</f>
        <v>31638.391899999995</v>
      </c>
      <c r="AJ115" s="65">
        <f>SUM(A:B!AJ115)</f>
        <v>31638.391899999995</v>
      </c>
      <c r="AK115" s="124">
        <f t="shared" si="55"/>
        <v>379660.70279999991</v>
      </c>
      <c r="AL115" s="73">
        <f t="shared" si="41"/>
        <v>3.941749009454856E-4</v>
      </c>
      <c r="AM115" s="14">
        <f t="shared" si="51"/>
        <v>3.6701397346162956E-2</v>
      </c>
      <c r="AN115" s="9"/>
      <c r="AO115" s="255"/>
    </row>
    <row r="116" spans="1:41" ht="15" hidden="1" outlineLevel="1">
      <c r="A116" s="12"/>
      <c r="I116" s="246" t="s">
        <v>227</v>
      </c>
      <c r="J116" s="65">
        <f>SUM(A:B!J116)</f>
        <v>0</v>
      </c>
      <c r="K116" s="65">
        <f>SUM(A:B!K116)</f>
        <v>0</v>
      </c>
      <c r="L116" s="65">
        <f>SUM(A:B!L116)</f>
        <v>0</v>
      </c>
      <c r="M116" s="65">
        <f>SUM(A:B!M116)</f>
        <v>0</v>
      </c>
      <c r="N116" s="65">
        <f>SUM(A:B!N116)</f>
        <v>0</v>
      </c>
      <c r="O116" s="65">
        <f>SUM(A:B!O116)</f>
        <v>0</v>
      </c>
      <c r="P116" s="65">
        <f>SUM(A:B!P116)</f>
        <v>0</v>
      </c>
      <c r="Q116" s="65">
        <f>SUM(A:B!Q116)</f>
        <v>0</v>
      </c>
      <c r="R116" s="65">
        <f>SUM(A:B!R116)</f>
        <v>0</v>
      </c>
      <c r="S116" s="65">
        <f>SUM(A:B!S116)</f>
        <v>0</v>
      </c>
      <c r="T116" s="65">
        <f>SUM(A:B!T116)</f>
        <v>0</v>
      </c>
      <c r="U116" s="65">
        <f>SUM(A:B!U116)</f>
        <v>0</v>
      </c>
      <c r="V116" s="11">
        <f t="shared" ref="V116:V150" si="58">SUM(J116:U116)</f>
        <v>0</v>
      </c>
      <c r="W116" s="73">
        <f t="shared" si="39"/>
        <v>0</v>
      </c>
      <c r="X116" s="89"/>
      <c r="Y116" s="65">
        <f>SUM(A:B!Y116)</f>
        <v>0</v>
      </c>
      <c r="Z116" s="65">
        <f>SUM(A:B!Z116)</f>
        <v>0</v>
      </c>
      <c r="AA116" s="65">
        <f>SUM(A:B!AA116)</f>
        <v>0</v>
      </c>
      <c r="AB116" s="65">
        <f>SUM(A:B!AB116)</f>
        <v>0</v>
      </c>
      <c r="AC116" s="65">
        <f>SUM(A:B!AC116)</f>
        <v>0</v>
      </c>
      <c r="AD116" s="65">
        <f>SUM(A:B!AD116)</f>
        <v>0</v>
      </c>
      <c r="AE116" s="65">
        <f>SUM(A:B!AE116)</f>
        <v>0</v>
      </c>
      <c r="AF116" s="65">
        <f>SUM(A:B!AF116)</f>
        <v>0</v>
      </c>
      <c r="AG116" s="65">
        <f>SUM(A:B!AG116)</f>
        <v>0</v>
      </c>
      <c r="AH116" s="65">
        <f>SUM(A:B!AH116)</f>
        <v>0</v>
      </c>
      <c r="AI116" s="65">
        <f>SUM(A:B!AI116)</f>
        <v>0</v>
      </c>
      <c r="AJ116" s="65">
        <f>SUM(A:B!AJ116)</f>
        <v>0</v>
      </c>
      <c r="AK116" s="124">
        <f t="shared" si="55"/>
        <v>0</v>
      </c>
      <c r="AL116" s="73">
        <f t="shared" si="41"/>
        <v>0</v>
      </c>
      <c r="AM116" s="14">
        <f t="shared" si="51"/>
        <v>0</v>
      </c>
    </row>
    <row r="117" spans="1:41" ht="15" hidden="1" outlineLevel="1">
      <c r="A117" s="12"/>
      <c r="I117" s="246" t="s">
        <v>228</v>
      </c>
      <c r="J117" s="65">
        <f>SUM(A:B!J117)</f>
        <v>0</v>
      </c>
      <c r="K117" s="65">
        <f>SUM(A:B!K117)</f>
        <v>0</v>
      </c>
      <c r="L117" s="65">
        <f>SUM(A:B!L117)</f>
        <v>0</v>
      </c>
      <c r="M117" s="65">
        <f>SUM(A:B!M117)</f>
        <v>0</v>
      </c>
      <c r="N117" s="65">
        <f>SUM(A:B!N117)</f>
        <v>0</v>
      </c>
      <c r="O117" s="65">
        <f>SUM(A:B!O117)</f>
        <v>0</v>
      </c>
      <c r="P117" s="65">
        <f>SUM(A:B!P117)</f>
        <v>0</v>
      </c>
      <c r="Q117" s="65">
        <f>SUM(A:B!Q117)</f>
        <v>0</v>
      </c>
      <c r="R117" s="65">
        <f>SUM(A:B!R117)</f>
        <v>0</v>
      </c>
      <c r="S117" s="65">
        <f>SUM(A:B!S117)</f>
        <v>0</v>
      </c>
      <c r="T117" s="65">
        <f>SUM(A:B!T117)</f>
        <v>0</v>
      </c>
      <c r="U117" s="65">
        <f>SUM(A:B!U117)</f>
        <v>0</v>
      </c>
      <c r="V117" s="11">
        <f t="shared" si="58"/>
        <v>0</v>
      </c>
      <c r="W117" s="73">
        <f t="shared" si="39"/>
        <v>0</v>
      </c>
      <c r="X117" s="89"/>
      <c r="Y117" s="65">
        <f>SUM(A:B!Y117)</f>
        <v>0</v>
      </c>
      <c r="Z117" s="65">
        <f>SUM(A:B!Z117)</f>
        <v>0</v>
      </c>
      <c r="AA117" s="65">
        <f>SUM(A:B!AA117)</f>
        <v>0</v>
      </c>
      <c r="AB117" s="65">
        <f>SUM(A:B!AB117)</f>
        <v>0</v>
      </c>
      <c r="AC117" s="65">
        <f>SUM(A:B!AC117)</f>
        <v>0</v>
      </c>
      <c r="AD117" s="65">
        <f>SUM(A:B!AD117)</f>
        <v>0</v>
      </c>
      <c r="AE117" s="65">
        <f>SUM(A:B!AE117)</f>
        <v>0</v>
      </c>
      <c r="AF117" s="65">
        <f>SUM(A:B!AF117)</f>
        <v>0</v>
      </c>
      <c r="AG117" s="65">
        <f>SUM(A:B!AG117)</f>
        <v>0</v>
      </c>
      <c r="AH117" s="65">
        <f>SUM(A:B!AH117)</f>
        <v>0</v>
      </c>
      <c r="AI117" s="65">
        <f>SUM(A:B!AI117)</f>
        <v>0</v>
      </c>
      <c r="AJ117" s="65">
        <f>SUM(A:B!AJ117)</f>
        <v>0</v>
      </c>
      <c r="AK117" s="124">
        <f t="shared" si="55"/>
        <v>0</v>
      </c>
      <c r="AL117" s="73">
        <f t="shared" ref="AL117:AL150" si="59">AK117/AK$6</f>
        <v>0</v>
      </c>
      <c r="AM117" s="14">
        <f t="shared" ref="AM117:AM150" si="60">IFERROR(AK117/V117-1,0)</f>
        <v>0</v>
      </c>
    </row>
    <row r="118" spans="1:41" ht="15" hidden="1" outlineLevel="1">
      <c r="A118" s="12"/>
      <c r="I118" s="246" t="s">
        <v>229</v>
      </c>
      <c r="J118" s="65">
        <f>SUM(A:B!J118)</f>
        <v>0</v>
      </c>
      <c r="K118" s="65">
        <f>SUM(A:B!K118)</f>
        <v>0</v>
      </c>
      <c r="L118" s="65">
        <f>SUM(A:B!L118)</f>
        <v>0</v>
      </c>
      <c r="M118" s="65">
        <f>SUM(A:B!M118)</f>
        <v>0</v>
      </c>
      <c r="N118" s="65">
        <f>SUM(A:B!N118)</f>
        <v>0</v>
      </c>
      <c r="O118" s="65">
        <f>SUM(A:B!O118)</f>
        <v>0</v>
      </c>
      <c r="P118" s="65">
        <f>SUM(A:B!P118)</f>
        <v>0</v>
      </c>
      <c r="Q118" s="65">
        <f>SUM(A:B!Q118)</f>
        <v>0</v>
      </c>
      <c r="R118" s="65">
        <f>SUM(A:B!R118)</f>
        <v>105560</v>
      </c>
      <c r="S118" s="65">
        <f>SUM(A:B!S118)</f>
        <v>0</v>
      </c>
      <c r="T118" s="65">
        <f>SUM(A:B!T118)</f>
        <v>0</v>
      </c>
      <c r="U118" s="65">
        <f>SUM(A:B!U118)</f>
        <v>0</v>
      </c>
      <c r="V118" s="11">
        <f t="shared" si="58"/>
        <v>105560</v>
      </c>
      <c r="W118" s="73">
        <f t="shared" ref="W118:W150" si="61">V118/V$6</f>
        <v>1.177909543487335E-4</v>
      </c>
      <c r="X118" s="89"/>
      <c r="Y118" s="65">
        <f>SUM(A:B!Y118)</f>
        <v>0</v>
      </c>
      <c r="Z118" s="65">
        <f>SUM(A:B!Z118)</f>
        <v>253599.5</v>
      </c>
      <c r="AA118" s="65">
        <f>SUM(A:B!AA118)</f>
        <v>0</v>
      </c>
      <c r="AB118" s="65">
        <f>SUM(A:B!AB118)</f>
        <v>0</v>
      </c>
      <c r="AC118" s="65">
        <f>SUM(A:B!AC118)</f>
        <v>0</v>
      </c>
      <c r="AD118" s="65">
        <f>SUM(A:B!AD118)</f>
        <v>0</v>
      </c>
      <c r="AE118" s="65">
        <f>SUM(A:B!AE118)</f>
        <v>0</v>
      </c>
      <c r="AF118" s="65">
        <f>SUM(A:B!AF118)</f>
        <v>0</v>
      </c>
      <c r="AG118" s="65">
        <f>SUM(A:B!AG118)</f>
        <v>0</v>
      </c>
      <c r="AH118" s="65">
        <f>SUM(A:B!AH118)</f>
        <v>0</v>
      </c>
      <c r="AI118" s="65">
        <f>SUM(A:B!AI118)</f>
        <v>0</v>
      </c>
      <c r="AJ118" s="65">
        <f>SUM(A:B!AJ118)</f>
        <v>0</v>
      </c>
      <c r="AK118" s="124">
        <f t="shared" si="55"/>
        <v>253599.5</v>
      </c>
      <c r="AL118" s="73">
        <f t="shared" si="59"/>
        <v>2.6329445490434018E-4</v>
      </c>
      <c r="AM118" s="14">
        <f t="shared" si="60"/>
        <v>1.402420424403183</v>
      </c>
      <c r="AN118" s="9"/>
    </row>
    <row r="119" spans="1:41" ht="15" hidden="1" outlineLevel="1">
      <c r="A119" s="12"/>
      <c r="I119" s="246" t="s">
        <v>231</v>
      </c>
      <c r="J119" s="65">
        <f>SUM(A:B!J119)</f>
        <v>0</v>
      </c>
      <c r="K119" s="65">
        <f>SUM(A:B!K119)</f>
        <v>18055</v>
      </c>
      <c r="L119" s="65">
        <f>SUM(A:B!L119)</f>
        <v>0</v>
      </c>
      <c r="M119" s="65">
        <f>SUM(A:B!M119)</f>
        <v>15400</v>
      </c>
      <c r="N119" s="65">
        <f>SUM(A:B!N119)</f>
        <v>0</v>
      </c>
      <c r="O119" s="65">
        <f>SUM(A:B!O119)</f>
        <v>0</v>
      </c>
      <c r="P119" s="65">
        <f>SUM(A:B!P119)</f>
        <v>67884</v>
      </c>
      <c r="Q119" s="65">
        <f>SUM(A:B!Q119)</f>
        <v>48300</v>
      </c>
      <c r="R119" s="65">
        <f>SUM(A:B!R119)</f>
        <v>0</v>
      </c>
      <c r="S119" s="65">
        <f>SUM(A:B!S119)</f>
        <v>0</v>
      </c>
      <c r="T119" s="65">
        <f>SUM(A:B!T119)</f>
        <v>0</v>
      </c>
      <c r="U119" s="65">
        <f>SUM(A:B!U119)</f>
        <v>0</v>
      </c>
      <c r="V119" s="11">
        <f t="shared" si="58"/>
        <v>149639</v>
      </c>
      <c r="W119" s="73">
        <f t="shared" si="61"/>
        <v>1.6697726996769735E-4</v>
      </c>
      <c r="X119" s="89"/>
      <c r="Y119" s="65">
        <f>SUM(A:B!Y119)</f>
        <v>0</v>
      </c>
      <c r="Z119" s="65">
        <f>SUM(A:B!Z119)</f>
        <v>0</v>
      </c>
      <c r="AA119" s="65">
        <f>SUM(A:B!AA119)</f>
        <v>0</v>
      </c>
      <c r="AB119" s="65">
        <f>SUM(A:B!AB119)</f>
        <v>0</v>
      </c>
      <c r="AC119" s="65">
        <f>SUM(A:B!AC119)</f>
        <v>0</v>
      </c>
      <c r="AD119" s="65">
        <f>SUM(A:B!AD119)</f>
        <v>0</v>
      </c>
      <c r="AE119" s="65">
        <f>SUM(A:B!AE119)</f>
        <v>155188.40259999997</v>
      </c>
      <c r="AF119" s="65">
        <f>SUM(A:B!AF119)</f>
        <v>0</v>
      </c>
      <c r="AG119" s="65">
        <f>SUM(A:B!AG119)</f>
        <v>0</v>
      </c>
      <c r="AH119" s="65">
        <f>SUM(A:B!AH119)</f>
        <v>0</v>
      </c>
      <c r="AI119" s="65">
        <f>SUM(A:B!AI119)</f>
        <v>0</v>
      </c>
      <c r="AJ119" s="65">
        <f>SUM(A:B!AJ119)</f>
        <v>0</v>
      </c>
      <c r="AK119" s="124">
        <f t="shared" si="55"/>
        <v>155188.40259999997</v>
      </c>
      <c r="AL119" s="73">
        <f t="shared" si="59"/>
        <v>1.6112116100403307E-4</v>
      </c>
      <c r="AM119" s="14">
        <f t="shared" si="60"/>
        <v>3.7085269214576222E-2</v>
      </c>
      <c r="AN119" s="9"/>
    </row>
    <row r="120" spans="1:41" ht="15" hidden="1" outlineLevel="1">
      <c r="A120" s="12"/>
      <c r="I120" s="246" t="s">
        <v>232</v>
      </c>
      <c r="J120" s="65">
        <f>SUM(A:B!J120)</f>
        <v>0</v>
      </c>
      <c r="K120" s="65">
        <f>SUM(A:B!K120)</f>
        <v>0</v>
      </c>
      <c r="L120" s="65">
        <f>SUM(A:B!L120)</f>
        <v>0</v>
      </c>
      <c r="M120" s="65">
        <f>SUM(A:B!M120)</f>
        <v>0</v>
      </c>
      <c r="N120" s="65">
        <f>SUM(A:B!N120)</f>
        <v>0</v>
      </c>
      <c r="O120" s="65">
        <f>SUM(A:B!O120)</f>
        <v>0</v>
      </c>
      <c r="P120" s="65">
        <f>SUM(A:B!P120)</f>
        <v>0</v>
      </c>
      <c r="Q120" s="65">
        <f>SUM(A:B!Q120)</f>
        <v>0</v>
      </c>
      <c r="R120" s="65">
        <f>SUM(A:B!R120)</f>
        <v>0</v>
      </c>
      <c r="S120" s="65">
        <f>SUM(A:B!S120)</f>
        <v>0</v>
      </c>
      <c r="T120" s="65">
        <f>SUM(A:B!T120)</f>
        <v>0</v>
      </c>
      <c r="U120" s="65">
        <f>SUM(A:B!U120)</f>
        <v>0</v>
      </c>
      <c r="V120" s="11">
        <f t="shared" si="58"/>
        <v>0</v>
      </c>
      <c r="W120" s="73">
        <f t="shared" si="61"/>
        <v>0</v>
      </c>
      <c r="X120" s="89"/>
      <c r="Y120" s="65">
        <f>SUM(A:B!Y120)</f>
        <v>0</v>
      </c>
      <c r="Z120" s="65">
        <f>SUM(A:B!Z120)</f>
        <v>0</v>
      </c>
      <c r="AA120" s="65">
        <f>SUM(A:B!AA120)</f>
        <v>0</v>
      </c>
      <c r="AB120" s="65">
        <f>SUM(A:B!AB120)</f>
        <v>0</v>
      </c>
      <c r="AC120" s="65">
        <f>SUM(A:B!AC120)</f>
        <v>0</v>
      </c>
      <c r="AD120" s="65">
        <f>SUM(A:B!AD120)</f>
        <v>0</v>
      </c>
      <c r="AE120" s="65">
        <f>SUM(A:B!AE120)</f>
        <v>0</v>
      </c>
      <c r="AF120" s="65">
        <f>SUM(A:B!AF120)</f>
        <v>0</v>
      </c>
      <c r="AG120" s="65">
        <f>SUM(A:B!AG120)</f>
        <v>0</v>
      </c>
      <c r="AH120" s="65">
        <f>SUM(A:B!AH120)</f>
        <v>0</v>
      </c>
      <c r="AI120" s="65">
        <f>SUM(A:B!AI120)</f>
        <v>0</v>
      </c>
      <c r="AJ120" s="65">
        <f>SUM(A:B!AJ120)</f>
        <v>0</v>
      </c>
      <c r="AK120" s="124">
        <f t="shared" si="55"/>
        <v>0</v>
      </c>
      <c r="AL120" s="73">
        <f t="shared" si="59"/>
        <v>0</v>
      </c>
      <c r="AM120" s="14">
        <f t="shared" si="60"/>
        <v>0</v>
      </c>
    </row>
    <row r="121" spans="1:41" ht="15" hidden="1" outlineLevel="1">
      <c r="A121" s="12"/>
      <c r="I121" s="246" t="s">
        <v>233</v>
      </c>
      <c r="J121" s="65">
        <f>SUM(A:B!J121)</f>
        <v>263816</v>
      </c>
      <c r="K121" s="65">
        <f>SUM(A:B!K121)</f>
        <v>0</v>
      </c>
      <c r="L121" s="65">
        <f>SUM(A:B!L121)</f>
        <v>0</v>
      </c>
      <c r="M121" s="65">
        <f>SUM(A:B!M121)</f>
        <v>12480</v>
      </c>
      <c r="N121" s="65">
        <f>SUM(A:B!N121)</f>
        <v>0</v>
      </c>
      <c r="O121" s="65">
        <f>SUM(A:B!O121)</f>
        <v>0</v>
      </c>
      <c r="P121" s="65">
        <f>SUM(A:B!P121)</f>
        <v>0</v>
      </c>
      <c r="Q121" s="65">
        <f>SUM(A:B!Q121)</f>
        <v>0</v>
      </c>
      <c r="R121" s="65">
        <f>SUM(A:B!R121)</f>
        <v>0</v>
      </c>
      <c r="S121" s="65">
        <f>SUM(A:B!S121)</f>
        <v>0</v>
      </c>
      <c r="T121" s="65">
        <f>SUM(A:B!T121)</f>
        <v>0</v>
      </c>
      <c r="U121" s="65">
        <f>SUM(A:B!U121)</f>
        <v>0</v>
      </c>
      <c r="V121" s="11">
        <f t="shared" si="58"/>
        <v>276296</v>
      </c>
      <c r="W121" s="73">
        <f>V121/V$6</f>
        <v>3.0830967717637053E-4</v>
      </c>
      <c r="X121" s="89"/>
      <c r="Y121" s="65">
        <f>SUM(A:B!Y121)</f>
        <v>273075.94160000002</v>
      </c>
      <c r="Z121" s="65">
        <f>SUM(A:B!Z121)</f>
        <v>0</v>
      </c>
      <c r="AA121" s="65">
        <f>SUM(A:B!AA121)</f>
        <v>0</v>
      </c>
      <c r="AB121" s="65">
        <f>SUM(A:B!AB121)</f>
        <v>0</v>
      </c>
      <c r="AC121" s="65">
        <f>SUM(A:B!AC121)</f>
        <v>0</v>
      </c>
      <c r="AD121" s="65">
        <f>SUM(A:B!AD121)</f>
        <v>0</v>
      </c>
      <c r="AE121" s="65">
        <f>SUM(A:B!AE121)</f>
        <v>0</v>
      </c>
      <c r="AF121" s="65">
        <f>SUM(A:B!AF121)</f>
        <v>0</v>
      </c>
      <c r="AG121" s="65">
        <f>SUM(A:B!AG121)</f>
        <v>0</v>
      </c>
      <c r="AH121" s="65">
        <f>SUM(A:B!AH121)</f>
        <v>0</v>
      </c>
      <c r="AI121" s="65">
        <f>SUM(A:B!AI121)</f>
        <v>0</v>
      </c>
      <c r="AJ121" s="65">
        <f>SUM(A:B!AJ121)</f>
        <v>0</v>
      </c>
      <c r="AK121" s="124">
        <f t="shared" si="55"/>
        <v>273075.94160000002</v>
      </c>
      <c r="AL121" s="73">
        <f>AK121/AK$6</f>
        <v>2.8351546904099352E-4</v>
      </c>
      <c r="AM121" s="14">
        <f>IFERROR(AK121/V121-1,0)</f>
        <v>-1.1654379361264677E-2</v>
      </c>
    </row>
    <row r="122" spans="1:41" ht="15" hidden="1" outlineLevel="1">
      <c r="A122" s="12"/>
      <c r="I122" s="246" t="s">
        <v>234</v>
      </c>
      <c r="J122" s="65">
        <f>SUM(A:B!J122)</f>
        <v>0</v>
      </c>
      <c r="K122" s="65">
        <f>SUM(A:B!K122)</f>
        <v>0</v>
      </c>
      <c r="L122" s="65">
        <f>SUM(A:B!L122)</f>
        <v>0</v>
      </c>
      <c r="M122" s="65">
        <f>SUM(A:B!M122)</f>
        <v>0</v>
      </c>
      <c r="N122" s="65">
        <f>SUM(A:B!N122)</f>
        <v>0</v>
      </c>
      <c r="O122" s="65">
        <f>SUM(A:B!O122)</f>
        <v>0</v>
      </c>
      <c r="P122" s="65">
        <f>SUM(A:B!P122)</f>
        <v>0</v>
      </c>
      <c r="Q122" s="65">
        <f>SUM(A:B!Q122)</f>
        <v>0</v>
      </c>
      <c r="R122" s="65">
        <f>SUM(A:B!R122)</f>
        <v>0</v>
      </c>
      <c r="S122" s="65">
        <f>SUM(A:B!S122)</f>
        <v>0</v>
      </c>
      <c r="T122" s="65">
        <f>SUM(A:B!T122)</f>
        <v>0</v>
      </c>
      <c r="U122" s="65">
        <f>SUM(A:B!U122)</f>
        <v>0</v>
      </c>
      <c r="V122" s="11">
        <f t="shared" si="58"/>
        <v>0</v>
      </c>
      <c r="W122" s="73">
        <f t="shared" ref="W122:W138" si="62">V122/V$6</f>
        <v>0</v>
      </c>
      <c r="X122" s="89"/>
      <c r="Y122" s="65">
        <f>SUM(A:B!Y122)</f>
        <v>0</v>
      </c>
      <c r="Z122" s="65">
        <f>SUM(A:B!Z122)</f>
        <v>0</v>
      </c>
      <c r="AA122" s="65">
        <f>SUM(A:B!AA122)</f>
        <v>0</v>
      </c>
      <c r="AB122" s="65">
        <f>SUM(A:B!AB122)</f>
        <v>0</v>
      </c>
      <c r="AC122" s="65">
        <f>SUM(A:B!AC122)</f>
        <v>0</v>
      </c>
      <c r="AD122" s="65">
        <f>SUM(A:B!AD122)</f>
        <v>0</v>
      </c>
      <c r="AE122" s="65">
        <f>SUM(A:B!AE122)</f>
        <v>0</v>
      </c>
      <c r="AF122" s="65">
        <f>SUM(A:B!AF122)</f>
        <v>0</v>
      </c>
      <c r="AG122" s="65">
        <f>SUM(A:B!AG122)</f>
        <v>0</v>
      </c>
      <c r="AH122" s="65">
        <f>SUM(A:B!AH122)</f>
        <v>0</v>
      </c>
      <c r="AI122" s="65">
        <f>SUM(A:B!AI122)</f>
        <v>0</v>
      </c>
      <c r="AJ122" s="65">
        <f>SUM(A:B!AJ122)</f>
        <v>0</v>
      </c>
      <c r="AK122" s="124">
        <f t="shared" ref="AK122:AK140" si="63">SUM(Y122:AJ122)</f>
        <v>0</v>
      </c>
      <c r="AL122" s="73">
        <f t="shared" ref="AL122:AL140" si="64">AK122/AK$6</f>
        <v>0</v>
      </c>
      <c r="AM122" s="14">
        <f t="shared" ref="AM122:AM140" si="65">IFERROR(AK122/V122-1,0)</f>
        <v>0</v>
      </c>
    </row>
    <row r="123" spans="1:41" ht="15" hidden="1" outlineLevel="1">
      <c r="A123" s="12"/>
      <c r="I123" s="246" t="s">
        <v>235</v>
      </c>
      <c r="J123" s="65">
        <f>SUM(A:B!J123)</f>
        <v>42700</v>
      </c>
      <c r="K123" s="65">
        <f>SUM(A:B!K123)</f>
        <v>0</v>
      </c>
      <c r="L123" s="65">
        <f>SUM(A:B!L123)</f>
        <v>0</v>
      </c>
      <c r="M123" s="65">
        <f>SUM(A:B!M123)</f>
        <v>0</v>
      </c>
      <c r="N123" s="65">
        <f>SUM(A:B!N123)</f>
        <v>0</v>
      </c>
      <c r="O123" s="65">
        <f>SUM(A:B!O123)</f>
        <v>0</v>
      </c>
      <c r="P123" s="65">
        <f>SUM(A:B!P123)</f>
        <v>0</v>
      </c>
      <c r="Q123" s="65">
        <f>SUM(A:B!Q123)</f>
        <v>0</v>
      </c>
      <c r="R123" s="65">
        <f>SUM(A:B!R123)</f>
        <v>0</v>
      </c>
      <c r="S123" s="65">
        <f>SUM(A:B!S123)</f>
        <v>0</v>
      </c>
      <c r="T123" s="65">
        <f>SUM(A:B!T123)</f>
        <v>0</v>
      </c>
      <c r="U123" s="65">
        <f>SUM(A:B!U123)</f>
        <v>0</v>
      </c>
      <c r="V123" s="11">
        <f t="shared" si="58"/>
        <v>42700</v>
      </c>
      <c r="W123" s="73">
        <f t="shared" si="62"/>
        <v>4.764753458403676E-5</v>
      </c>
      <c r="X123" s="89"/>
      <c r="Y123" s="65">
        <f>SUM(A:B!Y123)</f>
        <v>0</v>
      </c>
      <c r="Z123" s="65">
        <f>SUM(A:B!Z123)</f>
        <v>44198.77</v>
      </c>
      <c r="AA123" s="65">
        <f>SUM(A:B!AA123)</f>
        <v>0</v>
      </c>
      <c r="AB123" s="65">
        <f>SUM(A:B!AB123)</f>
        <v>0</v>
      </c>
      <c r="AC123" s="65">
        <f>SUM(A:B!AC123)</f>
        <v>0</v>
      </c>
      <c r="AD123" s="65">
        <f>SUM(A:B!AD123)</f>
        <v>0</v>
      </c>
      <c r="AE123" s="65">
        <f>SUM(A:B!AE123)</f>
        <v>0</v>
      </c>
      <c r="AF123" s="65">
        <f>SUM(A:B!AF123)</f>
        <v>0</v>
      </c>
      <c r="AG123" s="65">
        <f>SUM(A:B!AG123)</f>
        <v>0</v>
      </c>
      <c r="AH123" s="65">
        <f>SUM(A:B!AH123)</f>
        <v>0</v>
      </c>
      <c r="AI123" s="65">
        <f>SUM(A:B!AI123)</f>
        <v>0</v>
      </c>
      <c r="AJ123" s="65">
        <f>SUM(A:B!AJ123)</f>
        <v>0</v>
      </c>
      <c r="AK123" s="124">
        <f t="shared" si="63"/>
        <v>44198.77</v>
      </c>
      <c r="AL123" s="73">
        <f t="shared" si="64"/>
        <v>4.5888462140470713E-5</v>
      </c>
      <c r="AM123" s="14">
        <f t="shared" si="65"/>
        <v>3.5099999999999909E-2</v>
      </c>
    </row>
    <row r="124" spans="1:41" ht="15" hidden="1" outlineLevel="1">
      <c r="A124" s="12"/>
      <c r="I124" s="246" t="s">
        <v>236</v>
      </c>
      <c r="J124" s="65">
        <f>SUM(A:B!J124)</f>
        <v>0</v>
      </c>
      <c r="K124" s="65">
        <f>SUM(A:B!K124)</f>
        <v>0</v>
      </c>
      <c r="L124" s="65">
        <f>SUM(A:B!L124)</f>
        <v>0</v>
      </c>
      <c r="M124" s="65">
        <f>SUM(A:B!M124)</f>
        <v>0</v>
      </c>
      <c r="N124" s="65">
        <f>SUM(A:B!N124)</f>
        <v>0</v>
      </c>
      <c r="O124" s="65">
        <f>SUM(A:B!O124)</f>
        <v>0</v>
      </c>
      <c r="P124" s="65">
        <f>SUM(A:B!P124)</f>
        <v>0</v>
      </c>
      <c r="Q124" s="65">
        <f>SUM(A:B!Q124)</f>
        <v>0</v>
      </c>
      <c r="R124" s="65">
        <f>SUM(A:B!R124)</f>
        <v>0</v>
      </c>
      <c r="S124" s="65">
        <f>SUM(A:B!S124)</f>
        <v>0</v>
      </c>
      <c r="T124" s="65">
        <f>SUM(A:B!T124)</f>
        <v>0</v>
      </c>
      <c r="U124" s="65">
        <f>SUM(A:B!U124)</f>
        <v>0</v>
      </c>
      <c r="V124" s="11">
        <f t="shared" si="58"/>
        <v>0</v>
      </c>
      <c r="W124" s="73">
        <f t="shared" si="62"/>
        <v>0</v>
      </c>
      <c r="X124" s="89"/>
      <c r="Y124" s="65">
        <f>SUM(A:B!Y124)</f>
        <v>0</v>
      </c>
      <c r="Z124" s="65">
        <f>SUM(A:B!Z124)</f>
        <v>0</v>
      </c>
      <c r="AA124" s="65">
        <f>SUM(A:B!AA124)</f>
        <v>0</v>
      </c>
      <c r="AB124" s="65">
        <f>SUM(A:B!AB124)</f>
        <v>0</v>
      </c>
      <c r="AC124" s="65">
        <f>SUM(A:B!AC124)</f>
        <v>0</v>
      </c>
      <c r="AD124" s="65">
        <f>SUM(A:B!AD124)</f>
        <v>0</v>
      </c>
      <c r="AE124" s="65">
        <f>SUM(A:B!AE124)</f>
        <v>0</v>
      </c>
      <c r="AF124" s="65">
        <f>SUM(A:B!AF124)</f>
        <v>0</v>
      </c>
      <c r="AG124" s="65">
        <f>SUM(A:B!AG124)</f>
        <v>0</v>
      </c>
      <c r="AH124" s="65">
        <f>SUM(A:B!AH124)</f>
        <v>0</v>
      </c>
      <c r="AI124" s="65">
        <f>SUM(A:B!AI124)</f>
        <v>0</v>
      </c>
      <c r="AJ124" s="65">
        <f>SUM(A:B!AJ124)</f>
        <v>0</v>
      </c>
      <c r="AK124" s="124">
        <f t="shared" si="63"/>
        <v>0</v>
      </c>
      <c r="AL124" s="73">
        <f t="shared" si="64"/>
        <v>0</v>
      </c>
      <c r="AM124" s="14">
        <f t="shared" si="65"/>
        <v>0</v>
      </c>
    </row>
    <row r="125" spans="1:41" ht="15" hidden="1" outlineLevel="1">
      <c r="A125" s="12"/>
      <c r="I125" s="246" t="s">
        <v>237</v>
      </c>
      <c r="J125" s="65">
        <f>SUM(A:B!J125)</f>
        <v>123520</v>
      </c>
      <c r="K125" s="65">
        <f>SUM(A:B!K125)</f>
        <v>118022</v>
      </c>
      <c r="L125" s="65">
        <f>SUM(A:B!L125)</f>
        <v>248662</v>
      </c>
      <c r="M125" s="65">
        <f>SUM(A:B!M125)</f>
        <v>166324</v>
      </c>
      <c r="N125" s="65">
        <f>SUM(A:B!N125)</f>
        <v>427872</v>
      </c>
      <c r="O125" s="65">
        <f>SUM(A:B!O125)</f>
        <v>466847</v>
      </c>
      <c r="P125" s="65">
        <f>SUM(A:B!P125)</f>
        <v>179945</v>
      </c>
      <c r="Q125" s="65">
        <f>SUM(A:B!Q125)</f>
        <v>343679</v>
      </c>
      <c r="R125" s="65">
        <f>SUM(A:B!R125)</f>
        <v>167668</v>
      </c>
      <c r="S125" s="65">
        <f>SUM(A:B!S125)</f>
        <v>412312.83439999999</v>
      </c>
      <c r="T125" s="65">
        <f>SUM(A:B!T125)</f>
        <v>132533.856</v>
      </c>
      <c r="U125" s="65">
        <f>SUM(A:B!U125)</f>
        <v>136246.64559999999</v>
      </c>
      <c r="V125" s="11">
        <f t="shared" si="58"/>
        <v>2923632.3360000001</v>
      </c>
      <c r="W125" s="73">
        <f t="shared" si="62"/>
        <v>3.2623857808095594E-3</v>
      </c>
      <c r="X125" s="89"/>
      <c r="Y125" s="65">
        <f>SUM(A:B!Y125)</f>
        <v>244953.62747569999</v>
      </c>
      <c r="Z125" s="65">
        <f>SUM(A:B!Z125)</f>
        <v>171482.24292371917</v>
      </c>
      <c r="AA125" s="65">
        <f>SUM(A:B!AA125)</f>
        <v>229411.62787794898</v>
      </c>
      <c r="AB125" s="65">
        <f>SUM(A:B!AB125)</f>
        <v>187589.4340288947</v>
      </c>
      <c r="AC125" s="65">
        <f>SUM(A:B!AC125)</f>
        <v>211043.77838829998</v>
      </c>
      <c r="AD125" s="65">
        <f>SUM(A:B!AD125)</f>
        <v>183350.68606534897</v>
      </c>
      <c r="AE125" s="65">
        <f>SUM(A:B!AE125)</f>
        <v>250605.28694235097</v>
      </c>
      <c r="AF125" s="65">
        <f>SUM(A:B!AF125)</f>
        <v>176286.12857259469</v>
      </c>
      <c r="AG125" s="65">
        <f>SUM(A:B!AG125)</f>
        <v>275331.25164865097</v>
      </c>
      <c r="AH125" s="65">
        <f>SUM(A:B!AH125)</f>
        <v>183820.6597702596</v>
      </c>
      <c r="AI125" s="65">
        <f>SUM(A:B!AI125)</f>
        <v>172735.02550434569</v>
      </c>
      <c r="AJ125" s="65">
        <f>SUM(A:B!AJ125)</f>
        <v>176286.12857259469</v>
      </c>
      <c r="AK125" s="124">
        <f t="shared" si="63"/>
        <v>2462895.8777707084</v>
      </c>
      <c r="AL125" s="73">
        <f t="shared" si="64"/>
        <v>2.5570508917556428E-3</v>
      </c>
      <c r="AM125" s="14">
        <f t="shared" si="65"/>
        <v>-0.15759042358234876</v>
      </c>
      <c r="AN125" s="9"/>
    </row>
    <row r="126" spans="1:41" ht="15" hidden="1" outlineLevel="1">
      <c r="A126" s="12"/>
      <c r="I126" s="246" t="s">
        <v>238</v>
      </c>
      <c r="J126" s="65">
        <f>SUM(A:B!J126)</f>
        <v>6489</v>
      </c>
      <c r="K126" s="65">
        <f>SUM(A:B!K126)</f>
        <v>5166</v>
      </c>
      <c r="L126" s="65">
        <f>SUM(A:B!L126)</f>
        <v>6633</v>
      </c>
      <c r="M126" s="65">
        <f>SUM(A:B!M126)</f>
        <v>0</v>
      </c>
      <c r="N126" s="65">
        <f>SUM(A:B!N126)</f>
        <v>3014</v>
      </c>
      <c r="O126" s="65">
        <f>SUM(A:B!O126)</f>
        <v>1723</v>
      </c>
      <c r="P126" s="65">
        <f>SUM(A:B!P126)</f>
        <v>1890</v>
      </c>
      <c r="Q126" s="65">
        <f>SUM(A:B!Q126)</f>
        <v>861</v>
      </c>
      <c r="R126" s="65">
        <f>SUM(A:B!R126)</f>
        <v>2584</v>
      </c>
      <c r="S126" s="65">
        <f>SUM(A:B!S126)</f>
        <v>0</v>
      </c>
      <c r="T126" s="65">
        <f>SUM(A:B!T126)</f>
        <v>2111.1999999999998</v>
      </c>
      <c r="U126" s="65">
        <f>SUM(A:B!U126)</f>
        <v>6755.8400000000011</v>
      </c>
      <c r="V126" s="11">
        <f t="shared" si="58"/>
        <v>37227.040000000001</v>
      </c>
      <c r="W126" s="73">
        <f t="shared" si="62"/>
        <v>4.1540437373801407E-5</v>
      </c>
      <c r="X126" s="89"/>
      <c r="Y126" s="65">
        <f>SUM(A:B!Y126)</f>
        <v>2732.6639999999998</v>
      </c>
      <c r="Z126" s="65">
        <f>SUM(A:B!Z126)</f>
        <v>8239.3959999999988</v>
      </c>
      <c r="AA126" s="65">
        <f>SUM(A:B!AA126)</f>
        <v>2277.2199999999998</v>
      </c>
      <c r="AB126" s="65">
        <f>SUM(A:B!AB126)</f>
        <v>2277.2199999999998</v>
      </c>
      <c r="AC126" s="65">
        <f>SUM(A:B!AC126)</f>
        <v>2732.6639999999998</v>
      </c>
      <c r="AD126" s="65">
        <f>SUM(A:B!AD126)</f>
        <v>910.88799999999992</v>
      </c>
      <c r="AE126" s="65">
        <f>SUM(A:B!AE126)</f>
        <v>1366.3319999999999</v>
      </c>
      <c r="AF126" s="65">
        <f>SUM(A:B!AF126)</f>
        <v>8197.9919999999984</v>
      </c>
      <c r="AG126" s="65">
        <f>SUM(A:B!AG126)</f>
        <v>1366.3319999999999</v>
      </c>
      <c r="AH126" s="65">
        <f>SUM(A:B!AH126)</f>
        <v>2732.6639999999998</v>
      </c>
      <c r="AI126" s="65">
        <f>SUM(A:B!AI126)</f>
        <v>3643.5519999999997</v>
      </c>
      <c r="AJ126" s="65">
        <f>SUM(A:B!AJ126)</f>
        <v>3188.1079999999997</v>
      </c>
      <c r="AK126" s="124">
        <f t="shared" si="63"/>
        <v>39665.031999999985</v>
      </c>
      <c r="AL126" s="73">
        <f t="shared" si="64"/>
        <v>4.1181402089527802E-5</v>
      </c>
      <c r="AM126" s="14">
        <f t="shared" si="65"/>
        <v>6.5489816004710155E-2</v>
      </c>
    </row>
    <row r="127" spans="1:41" ht="15" hidden="1" outlineLevel="1">
      <c r="A127" s="12"/>
      <c r="I127" s="250" t="s">
        <v>239</v>
      </c>
      <c r="J127" s="65">
        <f>SUM(A:B!J127)</f>
        <v>0</v>
      </c>
      <c r="K127" s="65">
        <f>SUM(A:B!K127)</f>
        <v>0</v>
      </c>
      <c r="L127" s="65">
        <f>SUM(A:B!L127)</f>
        <v>0</v>
      </c>
      <c r="M127" s="65">
        <f>SUM(A:B!M127)</f>
        <v>0</v>
      </c>
      <c r="N127" s="65">
        <f>SUM(A:B!N127)</f>
        <v>0</v>
      </c>
      <c r="O127" s="65">
        <f>SUM(A:B!O127)</f>
        <v>0</v>
      </c>
      <c r="P127" s="65">
        <f>SUM(A:B!P127)</f>
        <v>24493</v>
      </c>
      <c r="Q127" s="65">
        <f>SUM(A:B!Q127)</f>
        <v>0</v>
      </c>
      <c r="R127" s="65">
        <f>SUM(A:B!R127)</f>
        <v>0</v>
      </c>
      <c r="S127" s="65">
        <f>SUM(A:B!S127)</f>
        <v>0</v>
      </c>
      <c r="T127" s="65">
        <f>SUM(A:B!T127)</f>
        <v>0</v>
      </c>
      <c r="U127" s="65">
        <f>SUM(A:B!U127)</f>
        <v>0</v>
      </c>
      <c r="V127" s="11">
        <f t="shared" si="58"/>
        <v>24493</v>
      </c>
      <c r="W127" s="73">
        <f t="shared" si="62"/>
        <v>2.7330938280253217E-5</v>
      </c>
      <c r="X127" s="89"/>
      <c r="Y127" s="65">
        <f>SUM(A:B!Y127)</f>
        <v>0</v>
      </c>
      <c r="Z127" s="65">
        <f>SUM(A:B!Z127)</f>
        <v>0</v>
      </c>
      <c r="AA127" s="65">
        <f>SUM(A:B!AA127)</f>
        <v>0</v>
      </c>
      <c r="AB127" s="65">
        <f>SUM(A:B!AB127)</f>
        <v>0</v>
      </c>
      <c r="AC127" s="65">
        <f>SUM(A:B!AC127)</f>
        <v>0</v>
      </c>
      <c r="AD127" s="65">
        <f>SUM(A:B!AD127)</f>
        <v>0</v>
      </c>
      <c r="AE127" s="65">
        <f>SUM(A:B!AE127)</f>
        <v>29409.136988000006</v>
      </c>
      <c r="AF127" s="65">
        <f>SUM(A:B!AF127)</f>
        <v>0</v>
      </c>
      <c r="AG127" s="65">
        <f>SUM(A:B!AG127)</f>
        <v>0</v>
      </c>
      <c r="AH127" s="65">
        <f>SUM(A:B!AH127)</f>
        <v>0</v>
      </c>
      <c r="AI127" s="65">
        <f>SUM(A:B!AI127)</f>
        <v>0</v>
      </c>
      <c r="AJ127" s="65">
        <f>SUM(A:B!AJ127)</f>
        <v>0</v>
      </c>
      <c r="AK127" s="124">
        <f t="shared" si="63"/>
        <v>29409.136988000006</v>
      </c>
      <c r="AL127" s="73">
        <f t="shared" si="64"/>
        <v>3.0533430438398067E-5</v>
      </c>
      <c r="AM127" s="14">
        <f t="shared" si="65"/>
        <v>0.20071600000000034</v>
      </c>
    </row>
    <row r="128" spans="1:41" ht="15" hidden="1" outlineLevel="1">
      <c r="A128" s="12"/>
      <c r="I128" s="246" t="s">
        <v>240</v>
      </c>
      <c r="J128" s="65">
        <f>SUM(A:B!J128)</f>
        <v>0</v>
      </c>
      <c r="K128" s="65">
        <f>SUM(A:B!K128)</f>
        <v>0</v>
      </c>
      <c r="L128" s="65">
        <f>SUM(A:B!L128)</f>
        <v>0</v>
      </c>
      <c r="M128" s="65">
        <f>SUM(A:B!M128)</f>
        <v>52800</v>
      </c>
      <c r="N128" s="65">
        <f>SUM(A:B!N128)</f>
        <v>0</v>
      </c>
      <c r="O128" s="65">
        <f>SUM(A:B!O128)</f>
        <v>0</v>
      </c>
      <c r="P128" s="65">
        <f>SUM(A:B!P128)</f>
        <v>0</v>
      </c>
      <c r="Q128" s="65">
        <f>SUM(A:B!Q128)</f>
        <v>0</v>
      </c>
      <c r="R128" s="65">
        <f>SUM(A:B!R128)</f>
        <v>0</v>
      </c>
      <c r="S128" s="65">
        <f>SUM(A:B!S128)</f>
        <v>0</v>
      </c>
      <c r="T128" s="65">
        <v>64000</v>
      </c>
      <c r="U128" s="65">
        <f>SUM(A:B!U128)</f>
        <v>0</v>
      </c>
      <c r="V128" s="11">
        <f t="shared" si="58"/>
        <v>116800</v>
      </c>
      <c r="W128" s="73">
        <f t="shared" si="62"/>
        <v>1.3033330303080783E-4</v>
      </c>
      <c r="X128" s="89"/>
      <c r="Y128" s="65">
        <f>SUM(A:B!Y128)</f>
        <v>0</v>
      </c>
      <c r="Z128" s="65">
        <f>SUM(A:B!Z128)</f>
        <v>59311.229999999996</v>
      </c>
      <c r="AA128" s="65">
        <f>SUM(A:B!AA128)</f>
        <v>0</v>
      </c>
      <c r="AB128" s="65">
        <f>SUM(A:B!AB128)</f>
        <v>0</v>
      </c>
      <c r="AC128" s="65">
        <f>SUM(A:B!AC128)</f>
        <v>0</v>
      </c>
      <c r="AD128" s="65">
        <f>SUM(A:B!AD128)</f>
        <v>0</v>
      </c>
      <c r="AE128" s="65">
        <f>SUM(A:B!AE128)</f>
        <v>0</v>
      </c>
      <c r="AF128" s="65">
        <f>SUM(A:B!AF128)</f>
        <v>59311.229999999996</v>
      </c>
      <c r="AG128" s="65">
        <f>SUM(A:B!AG128)</f>
        <v>0</v>
      </c>
      <c r="AH128" s="65">
        <f>SUM(A:B!AH128)</f>
        <v>0</v>
      </c>
      <c r="AI128" s="65">
        <f>SUM(A:B!AI128)</f>
        <v>0</v>
      </c>
      <c r="AJ128" s="65">
        <f>SUM(A:B!AJ128)</f>
        <v>0</v>
      </c>
      <c r="AK128" s="124">
        <f t="shared" si="63"/>
        <v>118622.45999999999</v>
      </c>
      <c r="AL128" s="73">
        <f t="shared" si="64"/>
        <v>1.2315732462056075E-4</v>
      </c>
      <c r="AM128" s="14">
        <f t="shared" si="65"/>
        <v>1.5603253424657515E-2</v>
      </c>
    </row>
    <row r="129" spans="1:39" ht="15" hidden="1" outlineLevel="1">
      <c r="A129" s="12"/>
      <c r="I129" s="246" t="s">
        <v>241</v>
      </c>
      <c r="J129" s="65">
        <f>SUM(A:B!J129)</f>
        <v>0</v>
      </c>
      <c r="K129" s="65">
        <f>SUM(A:B!K129)</f>
        <v>26400</v>
      </c>
      <c r="L129" s="65">
        <f>SUM(A:B!L129)</f>
        <v>0</v>
      </c>
      <c r="M129" s="65">
        <f>SUM(A:B!M129)</f>
        <v>47000</v>
      </c>
      <c r="N129" s="65">
        <f>SUM(A:B!N129)</f>
        <v>0</v>
      </c>
      <c r="O129" s="65">
        <f>SUM(A:B!O129)</f>
        <v>0</v>
      </c>
      <c r="P129" s="65">
        <f>SUM(A:B!P129)</f>
        <v>0</v>
      </c>
      <c r="Q129" s="65">
        <f>SUM(A:B!Q129)</f>
        <v>0</v>
      </c>
      <c r="R129" s="65">
        <f>SUM(A:B!R129)</f>
        <v>0</v>
      </c>
      <c r="S129" s="65">
        <f>SUM(A:B!S129)</f>
        <v>7400</v>
      </c>
      <c r="T129" s="65">
        <f>SUM(A:B!T129)</f>
        <v>0</v>
      </c>
      <c r="U129" s="65">
        <f>SUM(A:B!U129)</f>
        <v>0</v>
      </c>
      <c r="V129" s="11">
        <f t="shared" si="58"/>
        <v>80800</v>
      </c>
      <c r="W129" s="73">
        <f t="shared" si="62"/>
        <v>9.0162079493914999E-5</v>
      </c>
      <c r="X129" s="89"/>
      <c r="Y129" s="65">
        <f>SUM(A:B!Y129)</f>
        <v>0</v>
      </c>
      <c r="Z129" s="65">
        <f>SUM(A:B!Z129)</f>
        <v>0</v>
      </c>
      <c r="AA129" s="65">
        <f>SUM(A:B!AA129)</f>
        <v>0</v>
      </c>
      <c r="AB129" s="65">
        <f>SUM(A:B!AB129)</f>
        <v>0</v>
      </c>
      <c r="AC129" s="65">
        <f>SUM(A:B!AC129)</f>
        <v>0</v>
      </c>
      <c r="AD129" s="65">
        <f>SUM(A:B!AD129)</f>
        <v>0</v>
      </c>
      <c r="AE129" s="65">
        <f>SUM(A:B!AE129)</f>
        <v>0</v>
      </c>
      <c r="AF129" s="65">
        <f>SUM(A:B!AF129)</f>
        <v>0</v>
      </c>
      <c r="AG129" s="65">
        <f>SUM(A:B!AG129)</f>
        <v>0</v>
      </c>
      <c r="AH129" s="65">
        <f>SUM(A:B!AH129)</f>
        <v>0</v>
      </c>
      <c r="AI129" s="65">
        <f>SUM(A:B!AI129)</f>
        <v>0</v>
      </c>
      <c r="AJ129" s="65">
        <f>SUM(A:B!AJ129)</f>
        <v>0</v>
      </c>
      <c r="AK129" s="124">
        <f t="shared" si="63"/>
        <v>0</v>
      </c>
      <c r="AL129" s="73">
        <f t="shared" si="64"/>
        <v>0</v>
      </c>
      <c r="AM129" s="14">
        <f t="shared" si="65"/>
        <v>-1</v>
      </c>
    </row>
    <row r="130" spans="1:39" ht="15" hidden="1" outlineLevel="1">
      <c r="A130" s="12"/>
      <c r="I130" s="246" t="s">
        <v>242</v>
      </c>
      <c r="J130" s="65">
        <f>SUM(A:B!J130)</f>
        <v>0</v>
      </c>
      <c r="K130" s="65">
        <f>SUM(A:B!K130)</f>
        <v>0</v>
      </c>
      <c r="L130" s="65">
        <f>SUM(A:B!L130)</f>
        <v>0</v>
      </c>
      <c r="M130" s="65">
        <f>SUM(A:B!M130)</f>
        <v>0</v>
      </c>
      <c r="N130" s="65">
        <f>SUM(A:B!N130)</f>
        <v>0</v>
      </c>
      <c r="O130" s="65">
        <f>SUM(A:B!O130)</f>
        <v>0</v>
      </c>
      <c r="P130" s="65">
        <f>SUM(A:B!P130)</f>
        <v>0</v>
      </c>
      <c r="Q130" s="65">
        <f>SUM(A:B!Q130)</f>
        <v>0</v>
      </c>
      <c r="R130" s="65">
        <f>SUM(A:B!R130)</f>
        <v>0</v>
      </c>
      <c r="S130" s="65">
        <f>SUM(A:B!S130)</f>
        <v>0</v>
      </c>
      <c r="T130" s="65">
        <f>SUM(A:B!T130)</f>
        <v>0</v>
      </c>
      <c r="U130" s="65">
        <f>SUM(A:B!U130)</f>
        <v>0</v>
      </c>
      <c r="V130" s="11">
        <f t="shared" si="58"/>
        <v>0</v>
      </c>
      <c r="W130" s="73">
        <f t="shared" si="62"/>
        <v>0</v>
      </c>
      <c r="X130" s="89"/>
      <c r="Y130" s="65">
        <f>SUM(A:B!Y130)</f>
        <v>0</v>
      </c>
      <c r="Z130" s="65">
        <f>SUM(A:B!Z130)</f>
        <v>0</v>
      </c>
      <c r="AA130" s="65">
        <f>SUM(A:B!AA130)</f>
        <v>0</v>
      </c>
      <c r="AB130" s="65">
        <f>SUM(A:B!AB130)</f>
        <v>0</v>
      </c>
      <c r="AC130" s="65">
        <f>SUM(A:B!AC130)</f>
        <v>0</v>
      </c>
      <c r="AD130" s="65">
        <f>SUM(A:B!AD130)</f>
        <v>0</v>
      </c>
      <c r="AE130" s="65">
        <f>SUM(A:B!AE130)</f>
        <v>0</v>
      </c>
      <c r="AF130" s="65">
        <f>SUM(A:B!AF130)</f>
        <v>0</v>
      </c>
      <c r="AG130" s="65">
        <f>SUM(A:B!AG130)</f>
        <v>0</v>
      </c>
      <c r="AH130" s="65">
        <f>SUM(A:B!AH130)</f>
        <v>0</v>
      </c>
      <c r="AI130" s="65">
        <f>SUM(A:B!AI130)</f>
        <v>0</v>
      </c>
      <c r="AJ130" s="65">
        <f>SUM(A:B!AJ130)</f>
        <v>0</v>
      </c>
      <c r="AK130" s="124">
        <f t="shared" si="63"/>
        <v>0</v>
      </c>
      <c r="AL130" s="73">
        <f t="shared" si="64"/>
        <v>0</v>
      </c>
      <c r="AM130" s="14">
        <f t="shared" si="65"/>
        <v>0</v>
      </c>
    </row>
    <row r="131" spans="1:39" ht="15" hidden="1" outlineLevel="1">
      <c r="A131" s="12"/>
      <c r="I131" s="246" t="s">
        <v>243</v>
      </c>
      <c r="J131" s="65">
        <f>SUM(A:B!J131)</f>
        <v>0</v>
      </c>
      <c r="K131" s="65">
        <f>SUM(A:B!K131)</f>
        <v>0</v>
      </c>
      <c r="L131" s="65">
        <f>SUM(A:B!L131)</f>
        <v>0</v>
      </c>
      <c r="M131" s="65">
        <f>SUM(A:B!M131)</f>
        <v>0</v>
      </c>
      <c r="N131" s="65">
        <f>SUM(A:B!N131)</f>
        <v>0</v>
      </c>
      <c r="O131" s="65">
        <f>SUM(A:B!O131)</f>
        <v>0</v>
      </c>
      <c r="P131" s="65">
        <f>SUM(A:B!P131)</f>
        <v>0</v>
      </c>
      <c r="Q131" s="65">
        <f>SUM(A:B!Q131)</f>
        <v>0</v>
      </c>
      <c r="R131" s="65">
        <f>SUM(A:B!R131)</f>
        <v>0</v>
      </c>
      <c r="S131" s="65">
        <f>SUM(A:B!S131)</f>
        <v>0</v>
      </c>
      <c r="T131" s="65">
        <f>SUM(A:B!T131)</f>
        <v>0</v>
      </c>
      <c r="U131" s="65">
        <f>SUM(A:B!U131)</f>
        <v>0</v>
      </c>
      <c r="V131" s="11">
        <f t="shared" si="58"/>
        <v>0</v>
      </c>
      <c r="W131" s="73">
        <f t="shared" si="62"/>
        <v>0</v>
      </c>
      <c r="X131" s="89"/>
      <c r="Y131" s="65">
        <f>SUM(A:B!Y131)</f>
        <v>0</v>
      </c>
      <c r="Z131" s="65">
        <f>SUM(A:B!Z131)</f>
        <v>0</v>
      </c>
      <c r="AA131" s="65">
        <f>SUM(A:B!AA131)</f>
        <v>0</v>
      </c>
      <c r="AB131" s="65">
        <f>SUM(A:B!AB131)</f>
        <v>0</v>
      </c>
      <c r="AC131" s="65">
        <f>SUM(A:B!AC131)</f>
        <v>0</v>
      </c>
      <c r="AD131" s="65">
        <f>SUM(A:B!AD131)</f>
        <v>0</v>
      </c>
      <c r="AE131" s="65">
        <f>SUM(A:B!AE131)</f>
        <v>0</v>
      </c>
      <c r="AF131" s="65">
        <f>SUM(A:B!AF131)</f>
        <v>0</v>
      </c>
      <c r="AG131" s="65">
        <f>SUM(A:B!AG131)</f>
        <v>0</v>
      </c>
      <c r="AH131" s="65">
        <f>SUM(A:B!AH131)</f>
        <v>0</v>
      </c>
      <c r="AI131" s="65">
        <f>SUM(A:B!AI131)</f>
        <v>0</v>
      </c>
      <c r="AJ131" s="65">
        <f>SUM(A:B!AJ131)</f>
        <v>0</v>
      </c>
      <c r="AK131" s="124">
        <f t="shared" si="63"/>
        <v>0</v>
      </c>
      <c r="AL131" s="73">
        <f t="shared" si="64"/>
        <v>0</v>
      </c>
      <c r="AM131" s="14">
        <f t="shared" si="65"/>
        <v>0</v>
      </c>
    </row>
    <row r="132" spans="1:39" ht="15" hidden="1" outlineLevel="1">
      <c r="A132" s="12"/>
      <c r="I132" s="246" t="s">
        <v>244</v>
      </c>
      <c r="J132" s="65">
        <f>SUM(A:B!J132)</f>
        <v>0</v>
      </c>
      <c r="K132" s="65">
        <f>SUM(A:B!K132)</f>
        <v>0</v>
      </c>
      <c r="L132" s="65">
        <f>SUM(A:B!L132)</f>
        <v>0</v>
      </c>
      <c r="M132" s="65">
        <f>SUM(A:B!M132)</f>
        <v>0</v>
      </c>
      <c r="N132" s="65">
        <f>SUM(A:B!N132)</f>
        <v>0</v>
      </c>
      <c r="O132" s="65">
        <f>SUM(A:B!O132)</f>
        <v>0</v>
      </c>
      <c r="P132" s="65">
        <f>SUM(A:B!P132)</f>
        <v>0</v>
      </c>
      <c r="Q132" s="65">
        <f>SUM(A:B!Q132)</f>
        <v>0</v>
      </c>
      <c r="R132" s="65">
        <f>SUM(A:B!R132)</f>
        <v>0</v>
      </c>
      <c r="S132" s="65">
        <f>SUM(A:B!S132)</f>
        <v>0</v>
      </c>
      <c r="T132" s="65">
        <f>SUM(A:B!T132)</f>
        <v>0</v>
      </c>
      <c r="U132" s="65">
        <f>SUM(A:B!U132)</f>
        <v>0</v>
      </c>
      <c r="V132" s="11">
        <f t="shared" si="58"/>
        <v>0</v>
      </c>
      <c r="W132" s="73">
        <f t="shared" si="62"/>
        <v>0</v>
      </c>
      <c r="X132" s="89"/>
      <c r="Y132" s="65">
        <f>SUM(A:B!Y132)</f>
        <v>0</v>
      </c>
      <c r="Z132" s="65">
        <f>SUM(A:B!Z132)</f>
        <v>0</v>
      </c>
      <c r="AA132" s="65">
        <f>SUM(A:B!AA132)</f>
        <v>0</v>
      </c>
      <c r="AB132" s="65">
        <f>SUM(A:B!AB132)</f>
        <v>0</v>
      </c>
      <c r="AC132" s="65">
        <f>SUM(A:B!AC132)</f>
        <v>0</v>
      </c>
      <c r="AD132" s="65">
        <f>SUM(A:B!AD132)</f>
        <v>0</v>
      </c>
      <c r="AE132" s="65">
        <f>SUM(A:B!AE132)</f>
        <v>0</v>
      </c>
      <c r="AF132" s="65">
        <f>SUM(A:B!AF132)</f>
        <v>0</v>
      </c>
      <c r="AG132" s="65">
        <f>SUM(A:B!AG132)</f>
        <v>0</v>
      </c>
      <c r="AH132" s="65">
        <f>SUM(A:B!AH132)</f>
        <v>0</v>
      </c>
      <c r="AI132" s="65">
        <f>SUM(A:B!AI132)</f>
        <v>0</v>
      </c>
      <c r="AJ132" s="65">
        <f>SUM(A:B!AJ132)</f>
        <v>0</v>
      </c>
      <c r="AK132" s="124">
        <f t="shared" si="63"/>
        <v>0</v>
      </c>
      <c r="AL132" s="73">
        <f t="shared" si="64"/>
        <v>0</v>
      </c>
      <c r="AM132" s="14">
        <f t="shared" si="65"/>
        <v>0</v>
      </c>
    </row>
    <row r="133" spans="1:39" ht="15" hidden="1" outlineLevel="1">
      <c r="A133" s="12"/>
      <c r="I133" s="246" t="s">
        <v>245</v>
      </c>
      <c r="J133" s="65">
        <f>SUM(A:B!J133)</f>
        <v>0</v>
      </c>
      <c r="K133" s="65">
        <f>SUM(A:B!K133)</f>
        <v>0</v>
      </c>
      <c r="L133" s="65">
        <f>SUM(A:B!L133)</f>
        <v>0</v>
      </c>
      <c r="M133" s="65">
        <f>SUM(A:B!M133)</f>
        <v>0</v>
      </c>
      <c r="N133" s="65">
        <f>SUM(A:B!N133)</f>
        <v>0</v>
      </c>
      <c r="O133" s="65">
        <f>SUM(A:B!O133)</f>
        <v>0</v>
      </c>
      <c r="P133" s="65">
        <f>SUM(A:B!P133)</f>
        <v>0</v>
      </c>
      <c r="Q133" s="65">
        <f>SUM(A:B!Q133)</f>
        <v>0</v>
      </c>
      <c r="R133" s="65">
        <f>SUM(A:B!R133)</f>
        <v>0</v>
      </c>
      <c r="S133" s="65">
        <f>SUM(A:B!S133)</f>
        <v>0</v>
      </c>
      <c r="T133" s="65">
        <f>SUM(A:B!T133)</f>
        <v>0</v>
      </c>
      <c r="U133" s="65">
        <f>SUM(A:B!U133)</f>
        <v>0</v>
      </c>
      <c r="V133" s="11">
        <f t="shared" si="58"/>
        <v>0</v>
      </c>
      <c r="W133" s="73">
        <f t="shared" si="62"/>
        <v>0</v>
      </c>
      <c r="X133" s="89"/>
      <c r="Y133" s="65">
        <f>SUM(A:B!Y133)</f>
        <v>0</v>
      </c>
      <c r="Z133" s="65">
        <f>SUM(A:B!Z133)</f>
        <v>0</v>
      </c>
      <c r="AA133" s="65">
        <f>SUM(A:B!AA133)</f>
        <v>0</v>
      </c>
      <c r="AB133" s="65">
        <f>SUM(A:B!AB133)</f>
        <v>0</v>
      </c>
      <c r="AC133" s="65">
        <f>SUM(A:B!AC133)</f>
        <v>0</v>
      </c>
      <c r="AD133" s="65">
        <f>SUM(A:B!AD133)</f>
        <v>0</v>
      </c>
      <c r="AE133" s="65">
        <f>SUM(A:B!AE133)</f>
        <v>0</v>
      </c>
      <c r="AF133" s="65">
        <f>SUM(A:B!AF133)</f>
        <v>0</v>
      </c>
      <c r="AG133" s="65">
        <f>SUM(A:B!AG133)</f>
        <v>0</v>
      </c>
      <c r="AH133" s="65">
        <f>SUM(A:B!AH133)</f>
        <v>0</v>
      </c>
      <c r="AI133" s="65">
        <f>SUM(A:B!AI133)</f>
        <v>0</v>
      </c>
      <c r="AJ133" s="65">
        <f>SUM(A:B!AJ133)</f>
        <v>0</v>
      </c>
      <c r="AK133" s="124">
        <f t="shared" si="63"/>
        <v>0</v>
      </c>
      <c r="AL133" s="73">
        <f t="shared" si="64"/>
        <v>0</v>
      </c>
      <c r="AM133" s="14">
        <f t="shared" si="65"/>
        <v>0</v>
      </c>
    </row>
    <row r="134" spans="1:39" ht="15" hidden="1" outlineLevel="1">
      <c r="A134" s="12"/>
      <c r="I134" s="246" t="s">
        <v>246</v>
      </c>
      <c r="J134" s="65">
        <f>SUM(A:B!J134)</f>
        <v>0</v>
      </c>
      <c r="K134" s="65">
        <f>SUM(A:B!K134)</f>
        <v>0</v>
      </c>
      <c r="L134" s="65">
        <f>SUM(A:B!L134)</f>
        <v>0</v>
      </c>
      <c r="M134" s="65">
        <f>SUM(A:B!M134)</f>
        <v>0</v>
      </c>
      <c r="N134" s="65">
        <f>SUM(A:B!N134)</f>
        <v>0</v>
      </c>
      <c r="O134" s="65">
        <f>SUM(A:B!O134)</f>
        <v>0</v>
      </c>
      <c r="P134" s="65">
        <f>SUM(A:B!P134)</f>
        <v>0</v>
      </c>
      <c r="Q134" s="65">
        <f>SUM(A:B!Q134)</f>
        <v>0</v>
      </c>
      <c r="R134" s="65">
        <f>SUM(A:B!R134)</f>
        <v>0</v>
      </c>
      <c r="S134" s="65">
        <f>SUM(A:B!S134)</f>
        <v>0</v>
      </c>
      <c r="T134" s="65">
        <f>SUM(A:B!T134)</f>
        <v>0</v>
      </c>
      <c r="U134" s="65">
        <f>SUM(A:B!U134)</f>
        <v>0</v>
      </c>
      <c r="V134" s="11">
        <f t="shared" si="58"/>
        <v>0</v>
      </c>
      <c r="W134" s="73">
        <f t="shared" si="62"/>
        <v>0</v>
      </c>
      <c r="X134" s="89"/>
      <c r="Y134" s="65">
        <f>SUM(A:B!Y134)</f>
        <v>0</v>
      </c>
      <c r="Z134" s="65">
        <f>SUM(A:B!Z134)</f>
        <v>0</v>
      </c>
      <c r="AA134" s="65">
        <f>SUM(A:B!AA134)</f>
        <v>0</v>
      </c>
      <c r="AB134" s="65">
        <f>SUM(A:B!AB134)</f>
        <v>0</v>
      </c>
      <c r="AC134" s="65">
        <f>SUM(A:B!AC134)</f>
        <v>0</v>
      </c>
      <c r="AD134" s="65">
        <f>SUM(A:B!AD134)</f>
        <v>0</v>
      </c>
      <c r="AE134" s="65">
        <f>SUM(A:B!AE134)</f>
        <v>0</v>
      </c>
      <c r="AF134" s="65">
        <f>SUM(A:B!AF134)</f>
        <v>0</v>
      </c>
      <c r="AG134" s="65">
        <f>SUM(A:B!AG134)</f>
        <v>0</v>
      </c>
      <c r="AH134" s="65">
        <f>SUM(A:B!AH134)</f>
        <v>0</v>
      </c>
      <c r="AI134" s="65">
        <f>SUM(A:B!AI134)</f>
        <v>0</v>
      </c>
      <c r="AJ134" s="65">
        <f>SUM(A:B!AJ134)</f>
        <v>0</v>
      </c>
      <c r="AK134" s="124">
        <f t="shared" si="63"/>
        <v>0</v>
      </c>
      <c r="AL134" s="73">
        <f t="shared" si="64"/>
        <v>0</v>
      </c>
      <c r="AM134" s="14">
        <f t="shared" si="65"/>
        <v>0</v>
      </c>
    </row>
    <row r="135" spans="1:39" ht="15" hidden="1" outlineLevel="1">
      <c r="A135" s="12"/>
      <c r="I135" s="246" t="s">
        <v>247</v>
      </c>
      <c r="J135" s="65">
        <f>SUM(A:B!J135)</f>
        <v>3600</v>
      </c>
      <c r="K135" s="65">
        <f>SUM(A:B!K135)</f>
        <v>39812</v>
      </c>
      <c r="L135" s="65">
        <f>SUM(A:B!L135)</f>
        <v>0</v>
      </c>
      <c r="M135" s="65">
        <f>SUM(A:B!M135)</f>
        <v>0</v>
      </c>
      <c r="N135" s="65">
        <f>SUM(A:B!N135)</f>
        <v>0</v>
      </c>
      <c r="O135" s="65">
        <f>SUM(A:B!O135)</f>
        <v>0</v>
      </c>
      <c r="P135" s="65">
        <f>SUM(A:B!P135)</f>
        <v>39252</v>
      </c>
      <c r="Q135" s="65">
        <f>SUM(A:B!Q135)</f>
        <v>0</v>
      </c>
      <c r="R135" s="65">
        <f>SUM(A:B!R135)</f>
        <v>0</v>
      </c>
      <c r="S135" s="65">
        <f>SUM(A:B!S135)</f>
        <v>0</v>
      </c>
      <c r="T135" s="65">
        <f>SUM(A:B!T135)</f>
        <v>10774.400000000001</v>
      </c>
      <c r="U135" s="65">
        <f>SUM(A:B!U135)</f>
        <v>0</v>
      </c>
      <c r="V135" s="11">
        <f t="shared" si="58"/>
        <v>93438.399999999994</v>
      </c>
      <c r="W135" s="73">
        <f t="shared" si="62"/>
        <v>1.042648570369335E-4</v>
      </c>
      <c r="X135" s="89"/>
      <c r="Y135" s="65">
        <f>SUM(A:B!Y135)</f>
        <v>26000</v>
      </c>
      <c r="Z135" s="65">
        <f>SUM(A:B!Z135)</f>
        <v>26000</v>
      </c>
      <c r="AA135" s="65">
        <f>SUM(A:B!AA135)</f>
        <v>0</v>
      </c>
      <c r="AB135" s="65">
        <f>SUM(A:B!AB135)</f>
        <v>0</v>
      </c>
      <c r="AC135" s="65">
        <f>SUM(A:B!AC135)</f>
        <v>11200</v>
      </c>
      <c r="AD135" s="65">
        <f>SUM(A:B!AD135)</f>
        <v>0</v>
      </c>
      <c r="AE135" s="65">
        <f>SUM(A:B!AE135)</f>
        <v>26000</v>
      </c>
      <c r="AF135" s="65">
        <f>SUM(A:B!AF135)</f>
        <v>26000</v>
      </c>
      <c r="AG135" s="65">
        <f>SUM(A:B!AG135)</f>
        <v>0</v>
      </c>
      <c r="AH135" s="65">
        <f>SUM(A:B!AH135)</f>
        <v>0</v>
      </c>
      <c r="AI135" s="65">
        <f>SUM(A:B!AI135)</f>
        <v>11200</v>
      </c>
      <c r="AJ135" s="65">
        <f>SUM(A:B!AJ135)</f>
        <v>0</v>
      </c>
      <c r="AK135" s="124">
        <f t="shared" si="63"/>
        <v>126400</v>
      </c>
      <c r="AL135" s="73">
        <f t="shared" si="64"/>
        <v>1.3123219525239049E-4</v>
      </c>
      <c r="AM135" s="14">
        <f t="shared" si="65"/>
        <v>0.35276288977550996</v>
      </c>
    </row>
    <row r="136" spans="1:39" ht="15" hidden="1" outlineLevel="1">
      <c r="A136" s="12"/>
      <c r="I136" s="246" t="s">
        <v>249</v>
      </c>
      <c r="J136" s="65">
        <f>SUM(A:B!J136)</f>
        <v>0</v>
      </c>
      <c r="K136" s="65">
        <f>SUM(A:B!K136)</f>
        <v>0</v>
      </c>
      <c r="L136" s="65">
        <f>SUM(A:B!L136)</f>
        <v>0</v>
      </c>
      <c r="M136" s="65">
        <f>SUM(A:B!M136)</f>
        <v>0</v>
      </c>
      <c r="N136" s="65">
        <f>SUM(A:B!N136)</f>
        <v>0</v>
      </c>
      <c r="O136" s="65">
        <f>SUM(A:B!O136)</f>
        <v>0</v>
      </c>
      <c r="P136" s="65">
        <f>SUM(A:B!P136)</f>
        <v>0</v>
      </c>
      <c r="Q136" s="65">
        <f>SUM(A:B!Q136)</f>
        <v>0</v>
      </c>
      <c r="R136" s="65">
        <f>SUM(A:B!R136)</f>
        <v>0</v>
      </c>
      <c r="S136" s="65">
        <f>SUM(A:B!S136)</f>
        <v>0</v>
      </c>
      <c r="T136" s="65">
        <f>SUM(A:B!T136)</f>
        <v>0</v>
      </c>
      <c r="U136" s="65">
        <f>SUM(A:B!U136)</f>
        <v>0</v>
      </c>
      <c r="V136" s="11">
        <f t="shared" si="58"/>
        <v>0</v>
      </c>
      <c r="W136" s="73">
        <f t="shared" si="62"/>
        <v>0</v>
      </c>
      <c r="X136" s="89"/>
      <c r="Y136" s="65">
        <f>SUM(A:B!Y136)</f>
        <v>0</v>
      </c>
      <c r="Z136" s="65">
        <f>SUM(A:B!Z136)</f>
        <v>0</v>
      </c>
      <c r="AA136" s="65">
        <f>SUM(A:B!AA136)</f>
        <v>0</v>
      </c>
      <c r="AB136" s="65">
        <f>SUM(A:B!AB136)</f>
        <v>0</v>
      </c>
      <c r="AC136" s="65">
        <f>SUM(A:B!AC136)</f>
        <v>0</v>
      </c>
      <c r="AD136" s="65">
        <f>SUM(A:B!AD136)</f>
        <v>0</v>
      </c>
      <c r="AE136" s="65">
        <f>SUM(A:B!AE136)</f>
        <v>0</v>
      </c>
      <c r="AF136" s="65">
        <f>SUM(A:B!AF136)</f>
        <v>0</v>
      </c>
      <c r="AG136" s="65">
        <f>SUM(A:B!AG136)</f>
        <v>0</v>
      </c>
      <c r="AH136" s="65">
        <f>SUM(A:B!AH136)</f>
        <v>0</v>
      </c>
      <c r="AI136" s="65">
        <f>SUM(A:B!AI136)</f>
        <v>0</v>
      </c>
      <c r="AJ136" s="65">
        <f>SUM(A:B!AJ136)</f>
        <v>0</v>
      </c>
      <c r="AK136" s="124">
        <f t="shared" si="63"/>
        <v>0</v>
      </c>
      <c r="AL136" s="73">
        <f t="shared" si="64"/>
        <v>0</v>
      </c>
      <c r="AM136" s="14">
        <f t="shared" si="65"/>
        <v>0</v>
      </c>
    </row>
    <row r="137" spans="1:39" ht="15" hidden="1" outlineLevel="1">
      <c r="A137" s="12"/>
      <c r="I137" s="246" t="s">
        <v>250</v>
      </c>
      <c r="J137" s="65">
        <f>SUM(A:B!J137)</f>
        <v>0</v>
      </c>
      <c r="K137" s="65">
        <f>SUM(A:B!K137)</f>
        <v>764</v>
      </c>
      <c r="L137" s="65">
        <f>SUM(A:B!L137)</f>
        <v>11784</v>
      </c>
      <c r="M137" s="65">
        <f>SUM(A:B!M137)</f>
        <v>4724</v>
      </c>
      <c r="N137" s="65">
        <f>SUM(A:B!N137)</f>
        <v>1230</v>
      </c>
      <c r="O137" s="65">
        <f>SUM(A:B!O137)</f>
        <v>0</v>
      </c>
      <c r="P137" s="65">
        <f>SUM(A:B!P137)</f>
        <v>0</v>
      </c>
      <c r="Q137" s="65">
        <f>SUM(A:B!Q137)</f>
        <v>2562</v>
      </c>
      <c r="R137" s="65">
        <f>SUM(A:B!R137)</f>
        <v>41</v>
      </c>
      <c r="S137" s="65">
        <f>SUM(A:B!S137)</f>
        <v>10199.280000000001</v>
      </c>
      <c r="T137" s="65">
        <f>SUM(A:B!T137)</f>
        <v>0</v>
      </c>
      <c r="U137" s="65">
        <f>SUM(A:B!U137)</f>
        <v>0</v>
      </c>
      <c r="V137" s="11">
        <f t="shared" si="58"/>
        <v>31304.28</v>
      </c>
      <c r="W137" s="73">
        <f t="shared" si="62"/>
        <v>3.4931423042818978E-5</v>
      </c>
      <c r="X137" s="89"/>
      <c r="Y137" s="65">
        <f>SUM(A:B!Y137)</f>
        <v>0</v>
      </c>
      <c r="Z137" s="65">
        <f>SUM(A:B!Z137)</f>
        <v>0</v>
      </c>
      <c r="AA137" s="65">
        <f>SUM(A:B!AA137)</f>
        <v>155265</v>
      </c>
      <c r="AB137" s="65">
        <f>SUM(A:B!AB137)</f>
        <v>0</v>
      </c>
      <c r="AC137" s="65">
        <f>SUM(A:B!AC137)</f>
        <v>0</v>
      </c>
      <c r="AD137" s="65">
        <f>SUM(A:B!AD137)</f>
        <v>0</v>
      </c>
      <c r="AE137" s="65">
        <f>SUM(A:B!AE137)</f>
        <v>0</v>
      </c>
      <c r="AF137" s="65">
        <f>SUM(A:B!AF137)</f>
        <v>155265</v>
      </c>
      <c r="AG137" s="65">
        <f>SUM(A:B!AG137)</f>
        <v>0</v>
      </c>
      <c r="AH137" s="65">
        <f>SUM(A:B!AH137)</f>
        <v>0</v>
      </c>
      <c r="AI137" s="65">
        <f>SUM(A:B!AI137)</f>
        <v>0</v>
      </c>
      <c r="AJ137" s="65">
        <f>SUM(A:B!AJ137)</f>
        <v>0</v>
      </c>
      <c r="AK137" s="124">
        <f t="shared" si="63"/>
        <v>310530</v>
      </c>
      <c r="AL137" s="73">
        <f t="shared" si="64"/>
        <v>3.2240137335225329E-4</v>
      </c>
      <c r="AM137" s="14">
        <f t="shared" si="65"/>
        <v>8.9197298260812907</v>
      </c>
    </row>
    <row r="138" spans="1:39" ht="15" hidden="1" outlineLevel="1">
      <c r="A138" s="12"/>
      <c r="I138" s="246" t="s">
        <v>251</v>
      </c>
      <c r="J138" s="65">
        <f>SUM(A:B!J138)</f>
        <v>0</v>
      </c>
      <c r="K138" s="65">
        <f>SUM(A:B!K138)</f>
        <v>0</v>
      </c>
      <c r="L138" s="65">
        <f>SUM(A:B!L138)</f>
        <v>0</v>
      </c>
      <c r="M138" s="65">
        <f>SUM(A:B!M138)</f>
        <v>0</v>
      </c>
      <c r="N138" s="65">
        <f>SUM(A:B!N138)</f>
        <v>0</v>
      </c>
      <c r="O138" s="65">
        <f>SUM(A:B!O138)</f>
        <v>0</v>
      </c>
      <c r="P138" s="65">
        <f>SUM(A:B!P138)</f>
        <v>0</v>
      </c>
      <c r="Q138" s="65">
        <f>SUM(A:B!Q138)</f>
        <v>0</v>
      </c>
      <c r="R138" s="65">
        <f>SUM(A:B!R138)</f>
        <v>0</v>
      </c>
      <c r="S138" s="65">
        <f>SUM(A:B!S138)</f>
        <v>0</v>
      </c>
      <c r="T138" s="65">
        <f>SUM(A:B!T138)</f>
        <v>0</v>
      </c>
      <c r="U138" s="65">
        <f>SUM(A:B!U138)</f>
        <v>0</v>
      </c>
      <c r="V138" s="11">
        <f t="shared" si="58"/>
        <v>0</v>
      </c>
      <c r="W138" s="73">
        <f t="shared" si="62"/>
        <v>0</v>
      </c>
      <c r="X138" s="89"/>
      <c r="Y138" s="65">
        <f>SUM(A:B!Y138)</f>
        <v>0</v>
      </c>
      <c r="Z138" s="65">
        <f>SUM(A:B!Z138)</f>
        <v>0</v>
      </c>
      <c r="AA138" s="65">
        <f>SUM(A:B!AA138)</f>
        <v>0</v>
      </c>
      <c r="AB138" s="65">
        <f>SUM(A:B!AB138)</f>
        <v>0</v>
      </c>
      <c r="AC138" s="65">
        <f>SUM(A:B!AC138)</f>
        <v>0</v>
      </c>
      <c r="AD138" s="65">
        <f>SUM(A:B!AD138)</f>
        <v>0</v>
      </c>
      <c r="AE138" s="65">
        <f>SUM(A:B!AE138)</f>
        <v>0</v>
      </c>
      <c r="AF138" s="65">
        <f>SUM(A:B!AF138)</f>
        <v>0</v>
      </c>
      <c r="AG138" s="65">
        <f>SUM(A:B!AG138)</f>
        <v>0</v>
      </c>
      <c r="AH138" s="65">
        <f>SUM(A:B!AH138)</f>
        <v>0</v>
      </c>
      <c r="AI138" s="65">
        <f>SUM(A:B!AI138)</f>
        <v>0</v>
      </c>
      <c r="AJ138" s="65">
        <f>SUM(A:B!AJ138)</f>
        <v>0</v>
      </c>
      <c r="AK138" s="124">
        <f t="shared" si="63"/>
        <v>0</v>
      </c>
      <c r="AL138" s="73">
        <f t="shared" si="64"/>
        <v>0</v>
      </c>
      <c r="AM138" s="14">
        <f t="shared" si="65"/>
        <v>0</v>
      </c>
    </row>
    <row r="139" spans="1:39" ht="15" hidden="1" outlineLevel="1">
      <c r="A139" s="12"/>
      <c r="I139" s="246" t="s">
        <v>252</v>
      </c>
      <c r="J139" s="65">
        <f>SUM(A:B!J139)</f>
        <v>0</v>
      </c>
      <c r="K139" s="65">
        <f>SUM(A:B!K139)</f>
        <v>0</v>
      </c>
      <c r="L139" s="65">
        <f>SUM(A:B!L139)</f>
        <v>0</v>
      </c>
      <c r="M139" s="65">
        <f>SUM(A:B!M139)</f>
        <v>0</v>
      </c>
      <c r="N139" s="65">
        <f>SUM(A:B!N139)</f>
        <v>0</v>
      </c>
      <c r="O139" s="65">
        <f>SUM(A:B!O139)</f>
        <v>0</v>
      </c>
      <c r="P139" s="65">
        <f>SUM(A:B!P139)</f>
        <v>0</v>
      </c>
      <c r="Q139" s="65">
        <f>SUM(A:B!Q139)</f>
        <v>0</v>
      </c>
      <c r="R139" s="65">
        <f>SUM(A:B!R139)</f>
        <v>0</v>
      </c>
      <c r="S139" s="65">
        <f>SUM(A:B!S139)</f>
        <v>0</v>
      </c>
      <c r="T139" s="65">
        <f>SUM(A:B!T139)</f>
        <v>0</v>
      </c>
      <c r="U139" s="65">
        <f>SUM(A:B!U139)</f>
        <v>0</v>
      </c>
      <c r="V139" s="11">
        <f t="shared" si="58"/>
        <v>0</v>
      </c>
      <c r="W139" s="73">
        <f>V139/V$6</f>
        <v>0</v>
      </c>
      <c r="X139" s="89"/>
      <c r="Y139" s="65">
        <f>SUM(A:B!Y139)</f>
        <v>0</v>
      </c>
      <c r="Z139" s="65">
        <f>SUM(A:B!Z139)</f>
        <v>0</v>
      </c>
      <c r="AA139" s="65">
        <f>SUM(A:B!AA139)</f>
        <v>0</v>
      </c>
      <c r="AB139" s="65">
        <f>SUM(A:B!AB139)</f>
        <v>0</v>
      </c>
      <c r="AC139" s="65">
        <f>SUM(A:B!AC139)</f>
        <v>0</v>
      </c>
      <c r="AD139" s="65">
        <f>SUM(A:B!AD139)</f>
        <v>0</v>
      </c>
      <c r="AE139" s="65">
        <f>SUM(A:B!AE139)</f>
        <v>0</v>
      </c>
      <c r="AF139" s="65">
        <f>SUM(A:B!AF139)</f>
        <v>0</v>
      </c>
      <c r="AG139" s="65">
        <f>SUM(A:B!AG139)</f>
        <v>0</v>
      </c>
      <c r="AH139" s="65">
        <f>SUM(A:B!AH139)</f>
        <v>0</v>
      </c>
      <c r="AI139" s="65">
        <f>SUM(A:B!AI139)</f>
        <v>0</v>
      </c>
      <c r="AJ139" s="65">
        <f>SUM(A:B!AJ139)</f>
        <v>0</v>
      </c>
      <c r="AK139" s="124">
        <f t="shared" si="63"/>
        <v>0</v>
      </c>
      <c r="AL139" s="73">
        <f t="shared" si="64"/>
        <v>0</v>
      </c>
      <c r="AM139" s="14">
        <f t="shared" si="65"/>
        <v>0</v>
      </c>
    </row>
    <row r="140" spans="1:39" ht="13.15" hidden="1" customHeight="1" outlineLevel="1">
      <c r="A140" s="12"/>
      <c r="I140" s="246" t="s">
        <v>253</v>
      </c>
      <c r="J140" s="65">
        <f>SUM(A:B!J140)</f>
        <v>0</v>
      </c>
      <c r="K140" s="65">
        <f>SUM(A:B!K140)</f>
        <v>0</v>
      </c>
      <c r="L140" s="65">
        <f>SUM(A:B!L140)</f>
        <v>42900</v>
      </c>
      <c r="M140" s="65">
        <f>SUM(A:B!M140)</f>
        <v>0</v>
      </c>
      <c r="N140" s="65">
        <f>SUM(A:B!N140)</f>
        <v>0</v>
      </c>
      <c r="O140" s="65">
        <f>SUM(A:B!O140)</f>
        <v>1850</v>
      </c>
      <c r="P140" s="65">
        <f>SUM(A:B!P140)</f>
        <v>5550</v>
      </c>
      <c r="Q140" s="65">
        <f>SUM(A:B!Q140)</f>
        <v>0</v>
      </c>
      <c r="R140" s="65">
        <f>SUM(A:B!R140)</f>
        <v>0</v>
      </c>
      <c r="S140" s="65">
        <f>SUM(A:B!S140)</f>
        <v>0</v>
      </c>
      <c r="T140" s="65">
        <f>SUM(A:B!T140)</f>
        <v>0</v>
      </c>
      <c r="U140" s="65">
        <f>SUM(A:B!U140)</f>
        <v>0</v>
      </c>
      <c r="V140" s="11">
        <f t="shared" si="58"/>
        <v>50300</v>
      </c>
      <c r="W140" s="73">
        <f>V140/V$6</f>
        <v>5.6128126219603022E-5</v>
      </c>
      <c r="X140" s="89"/>
      <c r="Y140" s="65">
        <f>SUM(A:B!Y140)</f>
        <v>0</v>
      </c>
      <c r="Z140" s="65">
        <f>SUM(A:B!Z140)</f>
        <v>0</v>
      </c>
      <c r="AA140" s="65">
        <f>SUM(A:B!AA140)</f>
        <v>46424.234999999993</v>
      </c>
      <c r="AB140" s="65">
        <f>SUM(A:B!AB140)</f>
        <v>0</v>
      </c>
      <c r="AC140" s="65">
        <f>SUM(A:B!AC140)</f>
        <v>0</v>
      </c>
      <c r="AD140" s="65">
        <f>SUM(A:B!AD140)</f>
        <v>0</v>
      </c>
      <c r="AE140" s="65">
        <f>SUM(A:B!AE140)</f>
        <v>0</v>
      </c>
      <c r="AF140" s="65">
        <f>SUM(A:B!AF140)</f>
        <v>0</v>
      </c>
      <c r="AG140" s="65">
        <f>SUM(A:B!AG140)</f>
        <v>0</v>
      </c>
      <c r="AH140" s="65">
        <f>SUM(A:B!AH140)</f>
        <v>0</v>
      </c>
      <c r="AI140" s="65">
        <f>SUM(A:B!AI140)</f>
        <v>0</v>
      </c>
      <c r="AJ140" s="65">
        <f>SUM(A:B!AJ140)</f>
        <v>0</v>
      </c>
      <c r="AK140" s="124">
        <f t="shared" si="63"/>
        <v>46424.234999999993</v>
      </c>
      <c r="AL140" s="73">
        <f t="shared" si="64"/>
        <v>4.8199005316161862E-5</v>
      </c>
      <c r="AM140" s="14">
        <f t="shared" si="65"/>
        <v>-7.7052982107356005E-2</v>
      </c>
    </row>
    <row r="141" spans="1:39" ht="15" hidden="1" outlineLevel="1">
      <c r="A141" s="12"/>
      <c r="I141" s="246" t="s">
        <v>254</v>
      </c>
      <c r="J141" s="65">
        <f>SUM(A:B!J141)</f>
        <v>0</v>
      </c>
      <c r="K141" s="65">
        <f>SUM(A:B!K141)</f>
        <v>0</v>
      </c>
      <c r="L141" s="65">
        <f>SUM(A:B!L141)</f>
        <v>0</v>
      </c>
      <c r="M141" s="65">
        <f>SUM(A:B!M141)</f>
        <v>0</v>
      </c>
      <c r="N141" s="65">
        <f>SUM(A:B!N141)</f>
        <v>0</v>
      </c>
      <c r="O141" s="65">
        <f>SUM(A:B!O141)</f>
        <v>0</v>
      </c>
      <c r="P141" s="65">
        <f>SUM(A:B!P141)</f>
        <v>0</v>
      </c>
      <c r="Q141" s="65">
        <f>SUM(A:B!Q141)</f>
        <v>0</v>
      </c>
      <c r="R141" s="65">
        <f>SUM(A:B!R141)</f>
        <v>0</v>
      </c>
      <c r="S141" s="65">
        <f>SUM(A:B!S141)</f>
        <v>0</v>
      </c>
      <c r="T141" s="65">
        <f>SUM(A:B!T141)</f>
        <v>0</v>
      </c>
      <c r="U141" s="65">
        <f>SUM(A:B!U141)</f>
        <v>0</v>
      </c>
      <c r="V141" s="11">
        <f t="shared" si="58"/>
        <v>0</v>
      </c>
      <c r="W141" s="73">
        <f>V141/V$6</f>
        <v>0</v>
      </c>
      <c r="X141" s="89"/>
      <c r="Y141" s="65">
        <f>SUM(A:B!Y141)</f>
        <v>0</v>
      </c>
      <c r="Z141" s="65">
        <f>SUM(A:B!Z141)</f>
        <v>0</v>
      </c>
      <c r="AA141" s="65">
        <f>SUM(A:B!AA141)</f>
        <v>0</v>
      </c>
      <c r="AB141" s="65">
        <f>SUM(A:B!AB141)</f>
        <v>0</v>
      </c>
      <c r="AC141" s="65">
        <f>SUM(A:B!AC141)</f>
        <v>0</v>
      </c>
      <c r="AD141" s="65">
        <f>SUM(A:B!AD141)</f>
        <v>0</v>
      </c>
      <c r="AE141" s="65">
        <f>SUM(A:B!AE141)</f>
        <v>0</v>
      </c>
      <c r="AF141" s="65">
        <f>SUM(A:B!AF141)</f>
        <v>0</v>
      </c>
      <c r="AG141" s="65">
        <f>SUM(A:B!AG141)</f>
        <v>0</v>
      </c>
      <c r="AH141" s="65">
        <f>SUM(A:B!AH141)</f>
        <v>0</v>
      </c>
      <c r="AI141" s="65">
        <f>SUM(A:B!AI141)</f>
        <v>0</v>
      </c>
      <c r="AJ141" s="65">
        <f>SUM(A:B!AJ141)</f>
        <v>0</v>
      </c>
      <c r="AK141" s="124">
        <f t="shared" si="55"/>
        <v>0</v>
      </c>
      <c r="AL141" s="73">
        <f>AK141/AK$6</f>
        <v>0</v>
      </c>
      <c r="AM141" s="14">
        <f>IFERROR(AK141/V141-1,0)</f>
        <v>0</v>
      </c>
    </row>
    <row r="142" spans="1:39" ht="15" hidden="1" outlineLevel="1">
      <c r="A142" s="12"/>
      <c r="I142" s="246" t="s">
        <v>255</v>
      </c>
      <c r="J142" s="65">
        <f>SUM(A:B!J142)</f>
        <v>0</v>
      </c>
      <c r="K142" s="65">
        <f>SUM(A:B!K142)</f>
        <v>0</v>
      </c>
      <c r="L142" s="65">
        <f>SUM(A:B!L142)</f>
        <v>0</v>
      </c>
      <c r="M142" s="65">
        <f>SUM(A:B!M142)</f>
        <v>9800</v>
      </c>
      <c r="N142" s="65">
        <f>SUM(A:B!N142)</f>
        <v>0</v>
      </c>
      <c r="O142" s="65">
        <f>SUM(A:B!O142)</f>
        <v>1200</v>
      </c>
      <c r="P142" s="65">
        <f>SUM(A:B!P142)</f>
        <v>0</v>
      </c>
      <c r="Q142" s="65">
        <f>SUM(A:B!Q142)</f>
        <v>14500</v>
      </c>
      <c r="R142" s="65">
        <f>SUM(A:B!R142)</f>
        <v>7900</v>
      </c>
      <c r="S142" s="65">
        <f>SUM(A:B!S142)</f>
        <v>9500</v>
      </c>
      <c r="T142" s="65">
        <f>SUM(A:B!T142)</f>
        <v>10000</v>
      </c>
      <c r="U142" s="65">
        <f>SUM(A:B!U142)</f>
        <v>6000</v>
      </c>
      <c r="V142" s="11">
        <f t="shared" si="58"/>
        <v>58900</v>
      </c>
      <c r="W142" s="73">
        <f t="shared" si="61"/>
        <v>6.5724585175638533E-5</v>
      </c>
      <c r="X142" s="89"/>
      <c r="Y142" s="65">
        <f>SUM(A:B!Y142)</f>
        <v>0</v>
      </c>
      <c r="Z142" s="65">
        <f>SUM(A:B!Z142)</f>
        <v>0</v>
      </c>
      <c r="AA142" s="65">
        <f>SUM(A:B!AA142)</f>
        <v>21737.099999999995</v>
      </c>
      <c r="AB142" s="65">
        <f>SUM(A:B!AB142)</f>
        <v>2070.1999999999998</v>
      </c>
      <c r="AC142" s="65">
        <f>SUM(A:B!AC142)</f>
        <v>0</v>
      </c>
      <c r="AD142" s="65">
        <f>SUM(A:B!AD142)</f>
        <v>21737.099999999995</v>
      </c>
      <c r="AE142" s="65">
        <f>SUM(A:B!AE142)</f>
        <v>2070.1999999999998</v>
      </c>
      <c r="AF142" s="65">
        <f>SUM(A:B!AF142)</f>
        <v>0</v>
      </c>
      <c r="AG142" s="65">
        <f>SUM(A:B!AG142)</f>
        <v>21737.099999999995</v>
      </c>
      <c r="AH142" s="65">
        <f>SUM(A:B!AH142)</f>
        <v>0</v>
      </c>
      <c r="AI142" s="65">
        <f>SUM(A:B!AI142)</f>
        <v>0</v>
      </c>
      <c r="AJ142" s="65">
        <f>SUM(A:B!AJ142)</f>
        <v>0</v>
      </c>
      <c r="AK142" s="124">
        <f t="shared" si="55"/>
        <v>69351.699999999983</v>
      </c>
      <c r="AL142" s="73">
        <f t="shared" si="59"/>
        <v>7.2002973382003221E-5</v>
      </c>
      <c r="AM142" s="14">
        <f t="shared" si="60"/>
        <v>0.17744821731748694</v>
      </c>
    </row>
    <row r="143" spans="1:39" ht="15" hidden="1" outlineLevel="1">
      <c r="A143" s="12"/>
      <c r="I143" s="246" t="s">
        <v>256</v>
      </c>
      <c r="J143" s="65">
        <f>SUM(A:B!J143)</f>
        <v>0</v>
      </c>
      <c r="K143" s="65">
        <f>SUM(A:B!K143)</f>
        <v>0</v>
      </c>
      <c r="L143" s="65">
        <f>SUM(A:B!L143)</f>
        <v>0</v>
      </c>
      <c r="M143" s="65">
        <f>SUM(A:B!M143)</f>
        <v>0</v>
      </c>
      <c r="N143" s="65">
        <f>SUM(A:B!N143)</f>
        <v>0</v>
      </c>
      <c r="O143" s="65">
        <f>SUM(A:B!O143)</f>
        <v>0</v>
      </c>
      <c r="P143" s="65">
        <f>SUM(A:B!P143)</f>
        <v>0</v>
      </c>
      <c r="Q143" s="65">
        <f>SUM(A:B!Q143)</f>
        <v>0</v>
      </c>
      <c r="R143" s="65">
        <f>SUM(A:B!R143)</f>
        <v>0</v>
      </c>
      <c r="S143" s="65">
        <f>SUM(A:B!S143)</f>
        <v>0</v>
      </c>
      <c r="T143" s="65">
        <f>SUM(A:B!T143)</f>
        <v>0</v>
      </c>
      <c r="U143" s="65">
        <f>SUM(A:B!U143)</f>
        <v>0</v>
      </c>
      <c r="V143" s="11">
        <f t="shared" si="58"/>
        <v>0</v>
      </c>
      <c r="W143" s="73">
        <f t="shared" si="61"/>
        <v>0</v>
      </c>
      <c r="X143" s="89"/>
      <c r="Y143" s="65">
        <f>SUM(A:B!Y143)</f>
        <v>0</v>
      </c>
      <c r="Z143" s="65">
        <f>SUM(A:B!Z143)</f>
        <v>0</v>
      </c>
      <c r="AA143" s="65">
        <f>SUM(A:B!AA143)</f>
        <v>0</v>
      </c>
      <c r="AB143" s="65">
        <f>SUM(A:B!AB143)</f>
        <v>0</v>
      </c>
      <c r="AC143" s="65">
        <f>SUM(A:B!AC143)</f>
        <v>0</v>
      </c>
      <c r="AD143" s="65">
        <f>SUM(A:B!AD143)</f>
        <v>0</v>
      </c>
      <c r="AE143" s="65">
        <f>SUM(A:B!AE143)</f>
        <v>0</v>
      </c>
      <c r="AF143" s="65">
        <f>SUM(A:B!AF143)</f>
        <v>0</v>
      </c>
      <c r="AG143" s="65">
        <f>SUM(A:B!AG143)</f>
        <v>0</v>
      </c>
      <c r="AH143" s="65">
        <f>SUM(A:B!AH143)</f>
        <v>0</v>
      </c>
      <c r="AI143" s="65">
        <f>SUM(A:B!AI143)</f>
        <v>0</v>
      </c>
      <c r="AJ143" s="65">
        <f>SUM(A:B!AJ143)</f>
        <v>0</v>
      </c>
      <c r="AK143" s="124">
        <f t="shared" si="55"/>
        <v>0</v>
      </c>
      <c r="AL143" s="73">
        <f t="shared" si="59"/>
        <v>0</v>
      </c>
      <c r="AM143" s="14">
        <f t="shared" si="60"/>
        <v>0</v>
      </c>
    </row>
    <row r="144" spans="1:39" ht="15" hidden="1" outlineLevel="1">
      <c r="A144" s="12"/>
      <c r="I144" s="246" t="s">
        <v>257</v>
      </c>
      <c r="J144" s="65">
        <f>SUM(A:B!J144)</f>
        <v>0</v>
      </c>
      <c r="K144" s="65">
        <f>SUM(A:B!K144)</f>
        <v>0</v>
      </c>
      <c r="L144" s="65">
        <f>SUM(A:B!L144)</f>
        <v>0</v>
      </c>
      <c r="M144" s="65">
        <f>SUM(A:B!M144)</f>
        <v>1960</v>
      </c>
      <c r="N144" s="65">
        <f>SUM(A:B!N144)</f>
        <v>0</v>
      </c>
      <c r="O144" s="65">
        <f>SUM(A:B!O144)</f>
        <v>0</v>
      </c>
      <c r="P144" s="65">
        <f>SUM(A:B!P144)</f>
        <v>3400</v>
      </c>
      <c r="Q144" s="65">
        <f>SUM(A:B!Q144)</f>
        <v>35100</v>
      </c>
      <c r="R144" s="65">
        <f>SUM(A:B!R144)</f>
        <v>0</v>
      </c>
      <c r="S144" s="65">
        <f>SUM(A:B!S144)</f>
        <v>24440</v>
      </c>
      <c r="T144" s="65">
        <f>SUM(A:B!T144)</f>
        <v>0</v>
      </c>
      <c r="U144" s="65">
        <f>SUM(A:B!U144)</f>
        <v>26156.000000000004</v>
      </c>
      <c r="V144" s="11">
        <f t="shared" si="58"/>
        <v>91056</v>
      </c>
      <c r="W144" s="73">
        <f t="shared" si="61"/>
        <v>1.0160641473264757E-4</v>
      </c>
      <c r="X144" s="89"/>
      <c r="Y144" s="65">
        <f>SUM(A:B!Y144)</f>
        <v>0</v>
      </c>
      <c r="Z144" s="65">
        <f>SUM(A:B!Z144)</f>
        <v>55869.522499999999</v>
      </c>
      <c r="AA144" s="65">
        <f>SUM(A:B!AA144)</f>
        <v>0</v>
      </c>
      <c r="AB144" s="65">
        <f>SUM(A:B!AB144)</f>
        <v>0</v>
      </c>
      <c r="AC144" s="65">
        <f>SUM(A:B!AC144)</f>
        <v>55869.522499999999</v>
      </c>
      <c r="AD144" s="65">
        <f>SUM(A:B!AD144)</f>
        <v>0</v>
      </c>
      <c r="AE144" s="65">
        <f>SUM(A:B!AE144)</f>
        <v>0</v>
      </c>
      <c r="AF144" s="65">
        <f>SUM(A:B!AF144)</f>
        <v>55869.522499999999</v>
      </c>
      <c r="AG144" s="65">
        <f>SUM(A:B!AG144)</f>
        <v>0</v>
      </c>
      <c r="AH144" s="65">
        <f>SUM(A:B!AH144)</f>
        <v>0</v>
      </c>
      <c r="AI144" s="65">
        <f>SUM(A:B!AI144)</f>
        <v>55869.522499999999</v>
      </c>
      <c r="AJ144" s="65">
        <f>SUM(A:B!AJ144)</f>
        <v>0</v>
      </c>
      <c r="AK144" s="124">
        <f t="shared" si="55"/>
        <v>223478.09</v>
      </c>
      <c r="AL144" s="73">
        <f t="shared" si="59"/>
        <v>2.3202152168917161E-4</v>
      </c>
      <c r="AM144" s="14">
        <f t="shared" si="60"/>
        <v>1.4542928527499561</v>
      </c>
    </row>
    <row r="145" spans="1:41" ht="15" hidden="1" outlineLevel="1">
      <c r="A145" s="12"/>
      <c r="I145" s="246" t="s">
        <v>258</v>
      </c>
      <c r="J145" s="65">
        <f>SUM(A:B!J145)</f>
        <v>0</v>
      </c>
      <c r="K145" s="65">
        <f>SUM(A:B!K145)</f>
        <v>0</v>
      </c>
      <c r="L145" s="65">
        <f>SUM(A:B!L145)</f>
        <v>1800</v>
      </c>
      <c r="M145" s="65">
        <f>SUM(A:B!M145)</f>
        <v>14705</v>
      </c>
      <c r="N145" s="65">
        <f>SUM(A:B!N145)</f>
        <v>17035</v>
      </c>
      <c r="O145" s="65">
        <f>SUM(A:B!O145)</f>
        <v>0</v>
      </c>
      <c r="P145" s="65">
        <f>SUM(A:B!P145)</f>
        <v>0</v>
      </c>
      <c r="Q145" s="65">
        <f>SUM(A:B!Q145)</f>
        <v>7650</v>
      </c>
      <c r="R145" s="65">
        <f>SUM(A:B!R145)</f>
        <v>0</v>
      </c>
      <c r="S145" s="65">
        <f>SUM(A:B!S145)</f>
        <v>5990</v>
      </c>
      <c r="T145" s="65">
        <f>SUM(A:B!T145)</f>
        <v>0</v>
      </c>
      <c r="U145" s="65">
        <f>SUM(A:B!U145)</f>
        <v>9464</v>
      </c>
      <c r="V145" s="11">
        <f t="shared" si="58"/>
        <v>56644</v>
      </c>
      <c r="W145" s="73">
        <f t="shared" si="61"/>
        <v>6.3207188500659912E-5</v>
      </c>
      <c r="X145" s="89"/>
      <c r="Y145" s="65">
        <f>SUM(A:B!Y145)</f>
        <v>0</v>
      </c>
      <c r="Z145" s="65">
        <f>SUM(A:B!Z145)</f>
        <v>10785.742</v>
      </c>
      <c r="AA145" s="65">
        <f>SUM(A:B!AA145)</f>
        <v>0</v>
      </c>
      <c r="AB145" s="65">
        <f>SUM(A:B!AB145)</f>
        <v>0</v>
      </c>
      <c r="AC145" s="65">
        <f>SUM(A:B!AC145)</f>
        <v>10785.742</v>
      </c>
      <c r="AD145" s="65">
        <f>SUM(A:B!AD145)</f>
        <v>0</v>
      </c>
      <c r="AE145" s="65">
        <f>SUM(A:B!AE145)</f>
        <v>0</v>
      </c>
      <c r="AF145" s="65">
        <f>SUM(A:B!AF145)</f>
        <v>10785.742</v>
      </c>
      <c r="AG145" s="65">
        <f>SUM(A:B!AG145)</f>
        <v>0</v>
      </c>
      <c r="AH145" s="65">
        <f>SUM(A:B!AH145)</f>
        <v>0</v>
      </c>
      <c r="AI145" s="65">
        <f>SUM(A:B!AI145)</f>
        <v>10785.742</v>
      </c>
      <c r="AJ145" s="65">
        <f>SUM(A:B!AJ145)</f>
        <v>0</v>
      </c>
      <c r="AK145" s="124">
        <f t="shared" si="55"/>
        <v>43142.968000000001</v>
      </c>
      <c r="AL145" s="73">
        <f t="shared" si="59"/>
        <v>4.4792297471073057E-5</v>
      </c>
      <c r="AM145" s="14">
        <f t="shared" si="60"/>
        <v>-0.23834884542052115</v>
      </c>
    </row>
    <row r="146" spans="1:41" ht="15" hidden="1" outlineLevel="1">
      <c r="A146" s="12"/>
      <c r="I146" s="246" t="s">
        <v>259</v>
      </c>
      <c r="J146" s="65">
        <f>SUM(A:B!J146)</f>
        <v>0</v>
      </c>
      <c r="K146" s="65">
        <f>SUM(A:B!K146)</f>
        <v>0</v>
      </c>
      <c r="L146" s="65">
        <f>SUM(A:B!L146)</f>
        <v>0</v>
      </c>
      <c r="M146" s="65">
        <f>SUM(A:B!M146)</f>
        <v>0</v>
      </c>
      <c r="N146" s="65">
        <f>SUM(A:B!N146)</f>
        <v>0</v>
      </c>
      <c r="O146" s="65">
        <f>SUM(A:B!O146)</f>
        <v>0</v>
      </c>
      <c r="P146" s="65">
        <f>SUM(A:B!P146)</f>
        <v>0</v>
      </c>
      <c r="Q146" s="65">
        <f>SUM(A:B!Q146)</f>
        <v>0</v>
      </c>
      <c r="R146" s="65">
        <f>SUM(A:B!R146)</f>
        <v>0</v>
      </c>
      <c r="S146" s="65">
        <f>SUM(A:B!S146)</f>
        <v>0</v>
      </c>
      <c r="T146" s="65">
        <f>SUM(A:B!T146)</f>
        <v>0</v>
      </c>
      <c r="U146" s="65">
        <f>SUM(A:B!U146)</f>
        <v>0</v>
      </c>
      <c r="V146" s="11">
        <f t="shared" si="58"/>
        <v>0</v>
      </c>
      <c r="W146" s="73">
        <f t="shared" si="61"/>
        <v>0</v>
      </c>
      <c r="X146" s="89"/>
      <c r="Y146" s="65">
        <f>SUM(A:B!Y146)</f>
        <v>0</v>
      </c>
      <c r="Z146" s="65">
        <f>SUM(A:B!Z146)</f>
        <v>0</v>
      </c>
      <c r="AA146" s="65">
        <f>SUM(A:B!AA146)</f>
        <v>0</v>
      </c>
      <c r="AB146" s="65">
        <f>SUM(A:B!AB146)</f>
        <v>0</v>
      </c>
      <c r="AC146" s="65">
        <f>SUM(A:B!AC146)</f>
        <v>0</v>
      </c>
      <c r="AD146" s="65">
        <f>SUM(A:B!AD146)</f>
        <v>0</v>
      </c>
      <c r="AE146" s="65">
        <f>SUM(A:B!AE146)</f>
        <v>0</v>
      </c>
      <c r="AF146" s="65">
        <f>SUM(A:B!AF146)</f>
        <v>0</v>
      </c>
      <c r="AG146" s="65">
        <f>SUM(A:B!AG146)</f>
        <v>0</v>
      </c>
      <c r="AH146" s="65">
        <f>SUM(A:B!AH146)</f>
        <v>0</v>
      </c>
      <c r="AI146" s="65">
        <f>SUM(A:B!AI146)</f>
        <v>0</v>
      </c>
      <c r="AJ146" s="65">
        <f>SUM(A:B!AJ146)</f>
        <v>0</v>
      </c>
      <c r="AK146" s="124">
        <f t="shared" si="55"/>
        <v>0</v>
      </c>
      <c r="AL146" s="73">
        <f t="shared" si="59"/>
        <v>0</v>
      </c>
      <c r="AM146" s="14">
        <f t="shared" si="60"/>
        <v>0</v>
      </c>
    </row>
    <row r="147" spans="1:41" ht="15" hidden="1" outlineLevel="1">
      <c r="A147" s="12"/>
      <c r="I147" s="251" t="s">
        <v>260</v>
      </c>
      <c r="J147" s="65">
        <f>SUM(A:B!J147)</f>
        <v>0</v>
      </c>
      <c r="K147" s="65">
        <f>SUM(A:B!K147)</f>
        <v>0</v>
      </c>
      <c r="L147" s="65">
        <f>SUM(A:B!L147)</f>
        <v>0</v>
      </c>
      <c r="M147" s="65">
        <f>SUM(A:B!M147)</f>
        <v>0</v>
      </c>
      <c r="N147" s="65">
        <f>SUM(A:B!N147)</f>
        <v>0</v>
      </c>
      <c r="O147" s="65">
        <f>SUM(A:B!O147)</f>
        <v>0</v>
      </c>
      <c r="P147" s="65">
        <f>SUM(A:B!P147)</f>
        <v>0</v>
      </c>
      <c r="Q147" s="65">
        <f>SUM(A:B!Q147)</f>
        <v>0</v>
      </c>
      <c r="R147" s="65">
        <f>SUM(A:B!R147)</f>
        <v>0</v>
      </c>
      <c r="S147" s="65">
        <f>SUM(A:B!S147)</f>
        <v>0</v>
      </c>
      <c r="T147" s="65">
        <f>SUM(A:B!T147)</f>
        <v>0</v>
      </c>
      <c r="U147" s="65">
        <f>SUM(A:B!U147)</f>
        <v>0</v>
      </c>
      <c r="V147" s="11">
        <f t="shared" si="58"/>
        <v>0</v>
      </c>
      <c r="W147" s="73">
        <f t="shared" si="61"/>
        <v>0</v>
      </c>
      <c r="X147" s="89"/>
      <c r="Y147" s="65">
        <f>SUM(A:B!Y147)</f>
        <v>0</v>
      </c>
      <c r="Z147" s="65">
        <f>SUM(A:B!Z147)</f>
        <v>0</v>
      </c>
      <c r="AA147" s="65">
        <f>SUM(A:B!AA147)</f>
        <v>0</v>
      </c>
      <c r="AB147" s="65">
        <f>SUM(A:B!AB147)</f>
        <v>0</v>
      </c>
      <c r="AC147" s="65">
        <f>SUM(A:B!AC147)</f>
        <v>0</v>
      </c>
      <c r="AD147" s="65">
        <f>SUM(A:B!AD147)</f>
        <v>0</v>
      </c>
      <c r="AE147" s="65">
        <f>SUM(A:B!AE147)</f>
        <v>0</v>
      </c>
      <c r="AF147" s="65">
        <f>SUM(A:B!AF147)</f>
        <v>0</v>
      </c>
      <c r="AG147" s="65">
        <f>SUM(A:B!AG147)</f>
        <v>0</v>
      </c>
      <c r="AH147" s="65">
        <f>SUM(A:B!AH147)</f>
        <v>0</v>
      </c>
      <c r="AI147" s="65">
        <f>SUM(A:B!AI147)</f>
        <v>0</v>
      </c>
      <c r="AJ147" s="65">
        <f>SUM(A:B!AJ147)</f>
        <v>0</v>
      </c>
      <c r="AK147" s="124">
        <f t="shared" si="55"/>
        <v>0</v>
      </c>
      <c r="AL147" s="73">
        <f t="shared" si="59"/>
        <v>0</v>
      </c>
      <c r="AM147" s="14">
        <f t="shared" si="60"/>
        <v>0</v>
      </c>
    </row>
    <row r="148" spans="1:41" ht="15" hidden="1" outlineLevel="1">
      <c r="A148" s="12"/>
      <c r="I148" s="251" t="s">
        <v>261</v>
      </c>
      <c r="J148" s="65">
        <f>SUM(A:B!J148)</f>
        <v>0</v>
      </c>
      <c r="K148" s="65">
        <f>SUM(A:B!K148)</f>
        <v>0</v>
      </c>
      <c r="L148" s="65">
        <f>SUM(A:B!L148)</f>
        <v>0</v>
      </c>
      <c r="M148" s="65">
        <f>SUM(A:B!M148)</f>
        <v>0</v>
      </c>
      <c r="N148" s="65">
        <f>SUM(A:B!N148)</f>
        <v>0</v>
      </c>
      <c r="O148" s="65">
        <f>SUM(A:B!O148)</f>
        <v>0</v>
      </c>
      <c r="P148" s="65">
        <f>SUM(A:B!P148)</f>
        <v>0</v>
      </c>
      <c r="Q148" s="65">
        <f>SUM(A:B!Q148)</f>
        <v>0</v>
      </c>
      <c r="R148" s="65">
        <f>SUM(A:B!R148)</f>
        <v>0</v>
      </c>
      <c r="S148" s="65">
        <f>SUM(A:B!S148)</f>
        <v>0</v>
      </c>
      <c r="T148" s="65">
        <f>SUM(A:B!T148)</f>
        <v>0</v>
      </c>
      <c r="U148" s="65">
        <f>SUM(A:B!U148)</f>
        <v>25480</v>
      </c>
      <c r="V148" s="11">
        <f t="shared" si="58"/>
        <v>25480</v>
      </c>
      <c r="W148" s="73">
        <f t="shared" si="61"/>
        <v>2.8432299325556364E-5</v>
      </c>
      <c r="X148" s="89"/>
      <c r="Y148" s="65">
        <f>SUM(A:B!Y148)</f>
        <v>0</v>
      </c>
      <c r="Z148" s="65">
        <f>SUM(A:B!Z148)</f>
        <v>0</v>
      </c>
      <c r="AA148" s="65">
        <f>SUM(A:B!AA148)</f>
        <v>0</v>
      </c>
      <c r="AB148" s="65">
        <f>SUM(A:B!AB148)</f>
        <v>0</v>
      </c>
      <c r="AC148" s="65">
        <f>SUM(A:B!AC148)</f>
        <v>0</v>
      </c>
      <c r="AD148" s="65">
        <f>SUM(A:B!AD148)</f>
        <v>0</v>
      </c>
      <c r="AE148" s="65">
        <f>SUM(A:B!AE148)</f>
        <v>0</v>
      </c>
      <c r="AF148" s="65">
        <f>SUM(A:B!AF148)</f>
        <v>0</v>
      </c>
      <c r="AG148" s="65">
        <f>SUM(A:B!AG148)</f>
        <v>0</v>
      </c>
      <c r="AH148" s="65">
        <f>SUM(A:B!AH148)</f>
        <v>0</v>
      </c>
      <c r="AI148" s="65">
        <f>SUM(A:B!AI148)</f>
        <v>0</v>
      </c>
      <c r="AJ148" s="65">
        <f>SUM(A:B!AJ148)</f>
        <v>22461.67</v>
      </c>
      <c r="AK148" s="124">
        <f t="shared" si="55"/>
        <v>22461.67</v>
      </c>
      <c r="AL148" s="73">
        <f t="shared" si="59"/>
        <v>2.3320366005812985E-5</v>
      </c>
      <c r="AM148" s="14">
        <f t="shared" si="60"/>
        <v>-0.11845879120879133</v>
      </c>
    </row>
    <row r="149" spans="1:41" ht="15" hidden="1" outlineLevel="1">
      <c r="A149" s="12"/>
      <c r="I149" s="290" t="s">
        <v>464</v>
      </c>
      <c r="J149" s="65">
        <f>SUM(A:B!J149)</f>
        <v>0</v>
      </c>
      <c r="K149" s="65">
        <f>SUM(A:B!K149)</f>
        <v>0</v>
      </c>
      <c r="L149" s="65">
        <f>SUM(A:B!L149)</f>
        <v>0</v>
      </c>
      <c r="M149" s="65">
        <f>SUM(A:B!M149)</f>
        <v>0</v>
      </c>
      <c r="N149" s="65">
        <f>SUM(A:B!N149)</f>
        <v>0</v>
      </c>
      <c r="O149" s="65">
        <f>SUM(A:B!O149)</f>
        <v>112500</v>
      </c>
      <c r="P149" s="65">
        <f>SUM(A:B!P149)</f>
        <v>0</v>
      </c>
      <c r="Q149" s="65">
        <f>SUM(A:B!Q149)</f>
        <v>0</v>
      </c>
      <c r="R149" s="65">
        <f>SUM(A:B!R149)</f>
        <v>0</v>
      </c>
      <c r="S149" s="65">
        <f>SUM(A:B!S149)</f>
        <v>0</v>
      </c>
      <c r="T149" s="65">
        <f>SUM(A:B!T149)</f>
        <v>0</v>
      </c>
      <c r="U149" s="65">
        <f>SUM(A:B!U149)</f>
        <v>0</v>
      </c>
      <c r="V149" s="11">
        <f t="shared" ref="V149" si="66">SUM(J149:U149)</f>
        <v>112500</v>
      </c>
      <c r="W149" s="73">
        <f t="shared" ref="W149" si="67">V149/V$6</f>
        <v>1.2553507355279008E-4</v>
      </c>
      <c r="X149" s="89"/>
      <c r="Y149" s="65">
        <f>SUM(A:B!Y149)</f>
        <v>0</v>
      </c>
      <c r="Z149" s="65">
        <f>SUM(A:B!Z149)</f>
        <v>0</v>
      </c>
      <c r="AA149" s="65">
        <f>SUM(A:B!AA149)</f>
        <v>0</v>
      </c>
      <c r="AB149" s="65">
        <f>SUM(A:B!AB149)</f>
        <v>0</v>
      </c>
      <c r="AC149" s="65">
        <f>SUM(A:B!AC149)</f>
        <v>0</v>
      </c>
      <c r="AD149" s="65">
        <f>SUM(A:B!AD149)</f>
        <v>0</v>
      </c>
      <c r="AE149" s="65">
        <f>SUM(A:B!AE149)</f>
        <v>0</v>
      </c>
      <c r="AF149" s="65">
        <f>SUM(A:B!AF149)</f>
        <v>0</v>
      </c>
      <c r="AG149" s="65">
        <f>SUM(A:B!AG149)</f>
        <v>0</v>
      </c>
      <c r="AH149" s="65">
        <f>SUM(A:B!AH149)</f>
        <v>0</v>
      </c>
      <c r="AI149" s="65">
        <f>SUM(A:B!AI149)</f>
        <v>0</v>
      </c>
      <c r="AJ149" s="65">
        <f>SUM(A:B!AJ149)</f>
        <v>0</v>
      </c>
      <c r="AK149" s="124">
        <f t="shared" ref="AK149" si="68">SUM(Y149:AJ149)</f>
        <v>0</v>
      </c>
      <c r="AL149" s="73">
        <f t="shared" ref="AL149" si="69">AK149/AK$6</f>
        <v>0</v>
      </c>
      <c r="AM149" s="14">
        <f t="shared" ref="AM149" si="70">IFERROR(AK149/V149-1,0)</f>
        <v>-1</v>
      </c>
    </row>
    <row r="150" spans="1:41" ht="15" hidden="1" outlineLevel="1">
      <c r="A150" s="12"/>
      <c r="I150" s="246" t="s">
        <v>262</v>
      </c>
      <c r="J150" s="65">
        <f>SUM(A:B!J150)</f>
        <v>1064377</v>
      </c>
      <c r="K150" s="65">
        <f>SUM(A:B!K150)</f>
        <v>111489</v>
      </c>
      <c r="L150" s="65">
        <f>SUM(A:B!L150)</f>
        <v>568756</v>
      </c>
      <c r="M150" s="65">
        <f>SUM(A:B!M150)</f>
        <v>750042</v>
      </c>
      <c r="N150" s="65">
        <f>SUM(A:B!N150)</f>
        <v>700886</v>
      </c>
      <c r="O150" s="65">
        <f>SUM(A:B!O150)</f>
        <v>535082</v>
      </c>
      <c r="P150" s="65">
        <f>SUM(A:B!P150)</f>
        <v>627083</v>
      </c>
      <c r="Q150" s="65">
        <f>SUM(A:B!Q150)</f>
        <v>868116</v>
      </c>
      <c r="R150" s="65">
        <f>SUM(A:B!R150)</f>
        <v>264415</v>
      </c>
      <c r="S150" s="65">
        <f>SUM(A:B!S150)</f>
        <v>264507.41781637911</v>
      </c>
      <c r="T150" s="65">
        <f>SUM(A:B!T150)</f>
        <v>684665.14230586227</v>
      </c>
      <c r="U150" s="65">
        <f>SUM(A:B!U150)</f>
        <v>674028.69146293553</v>
      </c>
      <c r="V150" s="11">
        <f t="shared" si="58"/>
        <v>7113447.2515851771</v>
      </c>
      <c r="W150" s="73">
        <f t="shared" si="61"/>
        <v>7.9376633239256669E-3</v>
      </c>
      <c r="X150" s="89"/>
      <c r="Y150" s="65">
        <f>SUM(A:B!Y150)</f>
        <v>582598.63949143328</v>
      </c>
      <c r="Z150" s="65">
        <f>SUM(A:B!Z150)</f>
        <v>582598.63949143328</v>
      </c>
      <c r="AA150" s="65">
        <f>SUM(A:B!AA150)</f>
        <v>586629.22793895134</v>
      </c>
      <c r="AB150" s="65">
        <f>SUM(A:B!AB150)</f>
        <v>631116.52921779803</v>
      </c>
      <c r="AC150" s="65">
        <f>SUM(A:B!AC150)</f>
        <v>616049.8775212639</v>
      </c>
      <c r="AD150" s="65">
        <f>SUM(A:B!AD150)</f>
        <v>690700.54882855038</v>
      </c>
      <c r="AE150" s="65">
        <f>SUM(A:B!AE150)</f>
        <v>677223.39376124332</v>
      </c>
      <c r="AF150" s="65">
        <f>SUM(A:B!AF150)</f>
        <v>670416.72794468491</v>
      </c>
      <c r="AG150" s="65">
        <f>SUM(A:B!AG150)</f>
        <v>686808.02271048969</v>
      </c>
      <c r="AH150" s="65">
        <f>SUM(A:B!AH150)</f>
        <v>671654.69121398078</v>
      </c>
      <c r="AI150" s="65">
        <f>SUM(A:B!AI150)</f>
        <v>675343.8024901991</v>
      </c>
      <c r="AJ150" s="65">
        <f>SUM(A:B!AJ150)</f>
        <v>650159.12208133622</v>
      </c>
      <c r="AK150" s="124">
        <f t="shared" si="55"/>
        <v>7721299.2226913655</v>
      </c>
      <c r="AL150" s="73">
        <f t="shared" si="59"/>
        <v>8.0164798037528802E-3</v>
      </c>
      <c r="AM150" s="14">
        <f t="shared" si="60"/>
        <v>8.5451111058809426E-2</v>
      </c>
    </row>
    <row r="151" spans="1:41" ht="15" collapsed="1">
      <c r="A151" s="12" t="s">
        <v>263</v>
      </c>
      <c r="B151" s="8" t="s">
        <v>88</v>
      </c>
      <c r="I151" s="121" t="s">
        <v>264</v>
      </c>
      <c r="J151" s="15">
        <f>SUM(J152:J158)</f>
        <v>278021</v>
      </c>
      <c r="K151" s="15">
        <f t="shared" ref="K151:V151" si="71">SUM(K152:K158)</f>
        <v>285538</v>
      </c>
      <c r="L151" s="15">
        <f t="shared" si="71"/>
        <v>287803</v>
      </c>
      <c r="M151" s="15">
        <f t="shared" si="71"/>
        <v>261154</v>
      </c>
      <c r="N151" s="15">
        <f t="shared" si="71"/>
        <v>267205</v>
      </c>
      <c r="O151" s="15">
        <f t="shared" si="71"/>
        <v>262834</v>
      </c>
      <c r="P151" s="15">
        <f t="shared" si="71"/>
        <v>279414</v>
      </c>
      <c r="Q151" s="15">
        <f t="shared" si="71"/>
        <v>274137</v>
      </c>
      <c r="R151" s="15">
        <f t="shared" si="71"/>
        <v>277220</v>
      </c>
      <c r="S151" s="15">
        <f t="shared" si="71"/>
        <v>273718.01049333334</v>
      </c>
      <c r="T151" s="15">
        <f t="shared" si="71"/>
        <v>278850.00347111118</v>
      </c>
      <c r="U151" s="15">
        <f t="shared" si="71"/>
        <v>280631.81828592595</v>
      </c>
      <c r="V151" s="15">
        <f t="shared" si="71"/>
        <v>3306525.8322503702</v>
      </c>
      <c r="W151" s="72">
        <f t="shared" si="39"/>
        <v>3.6896441204955607E-3</v>
      </c>
      <c r="X151" s="89"/>
      <c r="Y151" s="15">
        <f>SUM(Y152:Y158)</f>
        <v>281085.90539999999</v>
      </c>
      <c r="Z151" s="15">
        <f t="shared" ref="Z151:AJ151" si="72">SUM(Z152:Z158)</f>
        <v>289218.321</v>
      </c>
      <c r="AA151" s="15">
        <f t="shared" si="72"/>
        <v>291133.56299999997</v>
      </c>
      <c r="AB151" s="15">
        <f t="shared" si="72"/>
        <v>276097.5895</v>
      </c>
      <c r="AC151" s="15">
        <f t="shared" si="72"/>
        <v>271713.48939999996</v>
      </c>
      <c r="AD151" s="15">
        <f t="shared" si="72"/>
        <v>265695.48829999997</v>
      </c>
      <c r="AE151" s="15">
        <f t="shared" si="72"/>
        <v>285018.86779999995</v>
      </c>
      <c r="AF151" s="15">
        <f t="shared" si="72"/>
        <v>277446.97849999997</v>
      </c>
      <c r="AG151" s="15">
        <f t="shared" si="72"/>
        <v>278538.86319999996</v>
      </c>
      <c r="AH151" s="15">
        <f t="shared" si="72"/>
        <v>288543.29969333333</v>
      </c>
      <c r="AI151" s="15">
        <f t="shared" si="72"/>
        <v>282801.04203777778</v>
      </c>
      <c r="AJ151" s="15">
        <f t="shared" si="72"/>
        <v>284918.42270814808</v>
      </c>
      <c r="AK151" s="15">
        <f>SUM(AK152:AK158)</f>
        <v>3372211.8305392591</v>
      </c>
      <c r="AL151" s="72">
        <f t="shared" si="41"/>
        <v>3.5011294412796612E-3</v>
      </c>
      <c r="AM151" s="10">
        <f t="shared" si="51"/>
        <v>1.9865563319728885E-2</v>
      </c>
    </row>
    <row r="152" spans="1:41" ht="15" hidden="1" outlineLevel="1">
      <c r="A152" s="12" t="s">
        <v>263</v>
      </c>
      <c r="B152" s="8" t="s">
        <v>88</v>
      </c>
      <c r="I152" s="213" t="s">
        <v>265</v>
      </c>
      <c r="J152" s="65">
        <f>SUM(A:B!J152)</f>
        <v>0</v>
      </c>
      <c r="K152" s="65">
        <f>SUM(A:B!K152)</f>
        <v>0</v>
      </c>
      <c r="L152" s="65">
        <f>SUM(A:B!L152)</f>
        <v>0</v>
      </c>
      <c r="M152" s="65">
        <f>SUM(A:B!M152)</f>
        <v>0</v>
      </c>
      <c r="N152" s="65">
        <f>SUM(A:B!N152)</f>
        <v>0</v>
      </c>
      <c r="O152" s="65">
        <f>SUM(A:B!O152)</f>
        <v>0</v>
      </c>
      <c r="P152" s="65">
        <f>SUM(A:B!P152)</f>
        <v>0</v>
      </c>
      <c r="Q152" s="65">
        <f>SUM(A:B!Q152)</f>
        <v>0</v>
      </c>
      <c r="R152" s="65">
        <f>SUM(A:B!R152)</f>
        <v>0</v>
      </c>
      <c r="S152" s="65">
        <f>SUM(A:B!S152)</f>
        <v>0</v>
      </c>
      <c r="T152" s="65">
        <f>SUM(A:B!T152)</f>
        <v>0</v>
      </c>
      <c r="U152" s="65">
        <f>SUM(A:B!U152)</f>
        <v>0</v>
      </c>
      <c r="V152" s="11">
        <f t="shared" ref="V152:V157" si="73">SUM(J152:U152)</f>
        <v>0</v>
      </c>
      <c r="W152" s="73">
        <f t="shared" si="39"/>
        <v>0</v>
      </c>
      <c r="X152" s="89"/>
      <c r="Y152" s="65">
        <f>SUM(A:B!Y152)</f>
        <v>0</v>
      </c>
      <c r="Z152" s="65">
        <f>SUM(A:B!Z152)</f>
        <v>0</v>
      </c>
      <c r="AA152" s="65">
        <f>SUM(A:B!AA152)</f>
        <v>0</v>
      </c>
      <c r="AB152" s="65">
        <f>SUM(A:B!AB152)</f>
        <v>0</v>
      </c>
      <c r="AC152" s="65">
        <f>SUM(A:B!AC152)</f>
        <v>0</v>
      </c>
      <c r="AD152" s="65">
        <f>SUM(A:B!AD152)</f>
        <v>0</v>
      </c>
      <c r="AE152" s="65">
        <f>SUM(A:B!AE152)</f>
        <v>0</v>
      </c>
      <c r="AF152" s="65">
        <f>SUM(A:B!AF152)</f>
        <v>0</v>
      </c>
      <c r="AG152" s="65">
        <f>SUM(A:B!AG152)</f>
        <v>0</v>
      </c>
      <c r="AH152" s="65">
        <f>SUM(A:B!AH152)</f>
        <v>0</v>
      </c>
      <c r="AI152" s="65">
        <f>SUM(A:B!AI152)</f>
        <v>0</v>
      </c>
      <c r="AJ152" s="65">
        <f>SUM(A:B!AJ152)</f>
        <v>0</v>
      </c>
      <c r="AK152" s="124">
        <f t="shared" si="55"/>
        <v>0</v>
      </c>
      <c r="AL152" s="73">
        <f t="shared" si="41"/>
        <v>0</v>
      </c>
      <c r="AM152" s="14">
        <f t="shared" si="51"/>
        <v>0</v>
      </c>
    </row>
    <row r="153" spans="1:41" ht="15" hidden="1" outlineLevel="1">
      <c r="A153" s="12" t="s">
        <v>263</v>
      </c>
      <c r="B153" s="8" t="s">
        <v>88</v>
      </c>
      <c r="I153" s="137" t="s">
        <v>292</v>
      </c>
      <c r="J153" s="65">
        <f>SUM(A:B!J153)</f>
        <v>0</v>
      </c>
      <c r="K153" s="65">
        <f>SUM(A:B!K153)</f>
        <v>0</v>
      </c>
      <c r="L153" s="65">
        <f>SUM(A:B!L153)</f>
        <v>0</v>
      </c>
      <c r="M153" s="65">
        <f>SUM(A:B!M153)</f>
        <v>0</v>
      </c>
      <c r="N153" s="65">
        <f>SUM(A:B!N153)</f>
        <v>0</v>
      </c>
      <c r="O153" s="65">
        <f>SUM(A:B!O153)</f>
        <v>0</v>
      </c>
      <c r="P153" s="65">
        <f>SUM(A:B!P153)</f>
        <v>0</v>
      </c>
      <c r="Q153" s="65">
        <f>SUM(A:B!Q153)</f>
        <v>0</v>
      </c>
      <c r="R153" s="65">
        <f>SUM(A:B!R153)</f>
        <v>0</v>
      </c>
      <c r="S153" s="65">
        <f>SUM(A:B!S153)</f>
        <v>0</v>
      </c>
      <c r="T153" s="65">
        <f>SUM(A:B!T153)</f>
        <v>0</v>
      </c>
      <c r="U153" s="65">
        <f>SUM(A:B!U153)</f>
        <v>0</v>
      </c>
      <c r="V153" s="11">
        <f t="shared" si="73"/>
        <v>0</v>
      </c>
      <c r="W153" s="73">
        <f t="shared" si="39"/>
        <v>0</v>
      </c>
      <c r="X153" s="89"/>
      <c r="Y153" s="65">
        <f>SUM(A:B!Y153)</f>
        <v>0</v>
      </c>
      <c r="Z153" s="65">
        <f>SUM(A:B!Z153)</f>
        <v>0</v>
      </c>
      <c r="AA153" s="65">
        <f>SUM(A:B!AA153)</f>
        <v>0</v>
      </c>
      <c r="AB153" s="65">
        <f>SUM(A:B!AB153)</f>
        <v>0</v>
      </c>
      <c r="AC153" s="65">
        <f>SUM(A:B!AC153)</f>
        <v>0</v>
      </c>
      <c r="AD153" s="65">
        <f>SUM(A:B!AD153)</f>
        <v>0</v>
      </c>
      <c r="AE153" s="65">
        <f>SUM(A:B!AE153)</f>
        <v>0</v>
      </c>
      <c r="AF153" s="65">
        <f>SUM(A:B!AF153)</f>
        <v>0</v>
      </c>
      <c r="AG153" s="65">
        <f>SUM(A:B!AG153)</f>
        <v>0</v>
      </c>
      <c r="AH153" s="65">
        <f>SUM(A:B!AH153)</f>
        <v>0</v>
      </c>
      <c r="AI153" s="65">
        <f>SUM(A:B!AI153)</f>
        <v>0</v>
      </c>
      <c r="AJ153" s="65">
        <f>SUM(A:B!AJ153)</f>
        <v>0</v>
      </c>
      <c r="AK153" s="124">
        <f t="shared" si="55"/>
        <v>0</v>
      </c>
      <c r="AL153" s="73">
        <f t="shared" si="41"/>
        <v>0</v>
      </c>
      <c r="AM153" s="14">
        <f t="shared" si="51"/>
        <v>0</v>
      </c>
    </row>
    <row r="154" spans="1:41" ht="15" hidden="1" outlineLevel="1">
      <c r="A154" s="12" t="s">
        <v>263</v>
      </c>
      <c r="B154" s="8" t="s">
        <v>88</v>
      </c>
      <c r="I154" s="213" t="s">
        <v>266</v>
      </c>
      <c r="J154" s="65">
        <f>SUM(A:B!J154)</f>
        <v>87085</v>
      </c>
      <c r="K154" s="65">
        <f>SUM(A:B!K154)</f>
        <v>94266</v>
      </c>
      <c r="L154" s="65">
        <f>SUM(A:B!L154)</f>
        <v>86686</v>
      </c>
      <c r="M154" s="65">
        <f>SUM(A:B!M154)</f>
        <v>83826</v>
      </c>
      <c r="N154" s="65">
        <f>SUM(A:B!N154)</f>
        <v>88425</v>
      </c>
      <c r="O154" s="65">
        <f>SUM(A:B!O154)</f>
        <v>83514</v>
      </c>
      <c r="P154" s="65">
        <f>SUM(A:B!P154)</f>
        <v>97934</v>
      </c>
      <c r="Q154" s="65">
        <f>SUM(A:B!Q154)</f>
        <v>91466</v>
      </c>
      <c r="R154" s="65">
        <f>SUM(A:B!R154)</f>
        <v>94613</v>
      </c>
      <c r="S154" s="65">
        <f>SUM(A:B!S154)</f>
        <v>92325</v>
      </c>
      <c r="T154" s="65">
        <f>SUM(A:B!T154)</f>
        <v>92801.333333333343</v>
      </c>
      <c r="U154" s="65">
        <f>SUM(A:B!U154)</f>
        <v>93246.444444444438</v>
      </c>
      <c r="V154" s="11">
        <f t="shared" si="73"/>
        <v>1086187.7777777778</v>
      </c>
      <c r="W154" s="73">
        <f t="shared" si="39"/>
        <v>1.2120414451153327E-3</v>
      </c>
      <c r="X154" s="89"/>
      <c r="Y154" s="65">
        <f>SUM(A:B!Y154)</f>
        <v>90141.683499999985</v>
      </c>
      <c r="Z154" s="65">
        <f>SUM(A:B!Z154)</f>
        <v>97574.736600000004</v>
      </c>
      <c r="AA154" s="65">
        <f>SUM(A:B!AA154)</f>
        <v>89728.678599999985</v>
      </c>
      <c r="AB154" s="65">
        <f>SUM(A:B!AB154)</f>
        <v>86768.292599999986</v>
      </c>
      <c r="AC154" s="65">
        <f>SUM(A:B!AC154)</f>
        <v>91528.717499999984</v>
      </c>
      <c r="AD154" s="65">
        <f>SUM(A:B!AD154)</f>
        <v>86445.34139999999</v>
      </c>
      <c r="AE154" s="65">
        <f>SUM(A:B!AE154)</f>
        <v>101371.48339999997</v>
      </c>
      <c r="AF154" s="65">
        <f>SUM(A:B!AF154)</f>
        <v>94676.45659999999</v>
      </c>
      <c r="AG154" s="65">
        <f>SUM(A:B!AG154)</f>
        <v>97933.916299999997</v>
      </c>
      <c r="AH154" s="65">
        <f>SUM(A:B!AH154)</f>
        <v>97993.952099999995</v>
      </c>
      <c r="AI154" s="65">
        <f>SUM(A:B!AI154)</f>
        <v>96868.108333333323</v>
      </c>
      <c r="AJ154" s="65">
        <f>SUM(A:B!AJ154)</f>
        <v>97598.658911111081</v>
      </c>
      <c r="AK154" s="124">
        <f t="shared" si="55"/>
        <v>1128630.0258444443</v>
      </c>
      <c r="AL154" s="73">
        <f t="shared" si="41"/>
        <v>1.1717768664503848E-3</v>
      </c>
      <c r="AM154" s="14">
        <f t="shared" si="51"/>
        <v>3.9074503446815401E-2</v>
      </c>
      <c r="AN154" s="9"/>
    </row>
    <row r="155" spans="1:41" ht="15" hidden="1" outlineLevel="1">
      <c r="A155" s="12" t="s">
        <v>263</v>
      </c>
      <c r="B155" s="8" t="s">
        <v>88</v>
      </c>
      <c r="I155" s="213" t="s">
        <v>267</v>
      </c>
      <c r="J155" s="65">
        <f>SUM(A:B!J155)</f>
        <v>158144</v>
      </c>
      <c r="K155" s="65">
        <f>SUM(A:B!K155)</f>
        <v>160355</v>
      </c>
      <c r="L155" s="65">
        <f>SUM(A:B!L155)</f>
        <v>160812</v>
      </c>
      <c r="M155" s="65">
        <f>SUM(A:B!M155)</f>
        <v>160262</v>
      </c>
      <c r="N155" s="65">
        <f>SUM(A:B!N155)</f>
        <v>153788</v>
      </c>
      <c r="O155" s="65">
        <f>SUM(A:B!O155)</f>
        <v>151432</v>
      </c>
      <c r="P155" s="65">
        <f>SUM(A:B!P155)</f>
        <v>149155</v>
      </c>
      <c r="Q155" s="65">
        <f>SUM(A:B!Q155)</f>
        <v>147389</v>
      </c>
      <c r="R155" s="65">
        <f>SUM(A:B!R155)</f>
        <v>146180</v>
      </c>
      <c r="S155" s="65">
        <f>SUM(A:B!S155)</f>
        <v>147401.67716000002</v>
      </c>
      <c r="T155" s="65">
        <f>SUM(A:B!T155)</f>
        <v>156506.89236000003</v>
      </c>
      <c r="U155" s="65">
        <f>SUM(A:B!U155)</f>
        <v>156506.89236000003</v>
      </c>
      <c r="V155" s="11">
        <f>SUM(J155:U155)</f>
        <v>1847932.4618799998</v>
      </c>
      <c r="W155" s="73">
        <f t="shared" si="39"/>
        <v>2.0620474446461706E-3</v>
      </c>
      <c r="X155" s="89"/>
      <c r="Y155" s="65">
        <f>SUM(A:B!Y155)</f>
        <v>158144</v>
      </c>
      <c r="Z155" s="65">
        <f>SUM(A:B!Z155)</f>
        <v>160355</v>
      </c>
      <c r="AA155" s="65">
        <f>SUM(A:B!AA155)</f>
        <v>160812</v>
      </c>
      <c r="AB155" s="65">
        <f>SUM(A:B!AB155)</f>
        <v>160262</v>
      </c>
      <c r="AC155" s="65">
        <f>SUM(A:B!AC155)</f>
        <v>153788</v>
      </c>
      <c r="AD155" s="65">
        <f>SUM(A:B!AD155)</f>
        <v>151432</v>
      </c>
      <c r="AE155" s="65">
        <f>SUM(A:B!AE155)</f>
        <v>149155</v>
      </c>
      <c r="AF155" s="65">
        <f>SUM(A:B!AF155)</f>
        <v>147389</v>
      </c>
      <c r="AG155" s="65">
        <f>SUM(A:B!AG155)</f>
        <v>146180</v>
      </c>
      <c r="AH155" s="65">
        <f>SUM(A:B!AH155)</f>
        <v>156506.89236</v>
      </c>
      <c r="AI155" s="65">
        <f>SUM(A:B!AI155)</f>
        <v>156506.89236</v>
      </c>
      <c r="AJ155" s="65">
        <f>SUM(A:B!AJ155)</f>
        <v>156506.89236</v>
      </c>
      <c r="AK155" s="124">
        <f t="shared" si="55"/>
        <v>1857037.6770799998</v>
      </c>
      <c r="AL155" s="73">
        <f t="shared" si="41"/>
        <v>1.9280310999177863E-3</v>
      </c>
      <c r="AM155" s="14">
        <f t="shared" si="51"/>
        <v>4.9272445762096329E-3</v>
      </c>
      <c r="AN155" s="269"/>
    </row>
    <row r="156" spans="1:41" ht="15" hidden="1" outlineLevel="1">
      <c r="A156" s="12" t="s">
        <v>263</v>
      </c>
      <c r="B156" s="8" t="s">
        <v>88</v>
      </c>
      <c r="C156" s="19" t="s">
        <v>268</v>
      </c>
      <c r="D156" s="12"/>
      <c r="E156" s="20"/>
      <c r="F156" s="12"/>
      <c r="G156" s="12"/>
      <c r="H156" s="12"/>
      <c r="I156" s="213" t="s">
        <v>269</v>
      </c>
      <c r="J156" s="65">
        <f>SUM(A:B!J156)</f>
        <v>15084</v>
      </c>
      <c r="K156" s="65">
        <f>SUM(A:B!K156)</f>
        <v>13627</v>
      </c>
      <c r="L156" s="65">
        <f>SUM(A:B!L156)</f>
        <v>22595</v>
      </c>
      <c r="M156" s="65">
        <f>SUM(A:B!M156)</f>
        <v>11486</v>
      </c>
      <c r="N156" s="65">
        <f>SUM(A:B!N156)</f>
        <v>8912</v>
      </c>
      <c r="O156" s="65">
        <f>SUM(A:B!O156)</f>
        <v>10282</v>
      </c>
      <c r="P156" s="65">
        <f>SUM(A:B!P156)</f>
        <v>16715</v>
      </c>
      <c r="Q156" s="65">
        <f>SUM(A:B!Q156)</f>
        <v>17572</v>
      </c>
      <c r="R156" s="65">
        <f>SUM(A:B!R156)</f>
        <v>16650</v>
      </c>
      <c r="S156" s="65">
        <f>SUM(A:B!S156)</f>
        <v>16281.333333333332</v>
      </c>
      <c r="T156" s="65">
        <f>SUM(A:B!T156)</f>
        <v>11831.777777777777</v>
      </c>
      <c r="U156" s="65">
        <f>SUM(A:B!U156)</f>
        <v>13168.481481481482</v>
      </c>
      <c r="V156" s="11">
        <f t="shared" si="73"/>
        <v>174204.59259259261</v>
      </c>
      <c r="W156" s="73">
        <f t="shared" si="39"/>
        <v>1.943892119497328E-4</v>
      </c>
      <c r="X156" s="89"/>
      <c r="Y156" s="65">
        <f>SUM(A:B!Y156)</f>
        <v>15649.650000000001</v>
      </c>
      <c r="Z156" s="65">
        <f>SUM(A:B!Z156)</f>
        <v>14138.012500000001</v>
      </c>
      <c r="AA156" s="65">
        <f>SUM(A:B!AA156)</f>
        <v>23442.3125</v>
      </c>
      <c r="AB156" s="65">
        <f>SUM(A:B!AB156)</f>
        <v>11916.725000000002</v>
      </c>
      <c r="AC156" s="65">
        <f>SUM(A:B!AC156)</f>
        <v>9246.2000000000007</v>
      </c>
      <c r="AD156" s="65">
        <f>SUM(A:B!AD156)</f>
        <v>10667.575000000001</v>
      </c>
      <c r="AE156" s="65">
        <f>SUM(A:B!AE156)</f>
        <v>17341.812500000004</v>
      </c>
      <c r="AF156" s="65">
        <f>SUM(A:B!AF156)</f>
        <v>18230.950000000004</v>
      </c>
      <c r="AG156" s="65">
        <f>SUM(A:B!AG156)</f>
        <v>17274.375</v>
      </c>
      <c r="AH156" s="65">
        <f>SUM(A:B!AH156)</f>
        <v>16891.883333333335</v>
      </c>
      <c r="AI156" s="65">
        <f>SUM(A:B!AI156)</f>
        <v>12275.469444444445</v>
      </c>
      <c r="AJ156" s="65">
        <f>SUM(A:B!AJ156)</f>
        <v>13662.299537037037</v>
      </c>
      <c r="AK156" s="124">
        <f t="shared" si="55"/>
        <v>180737.26481481481</v>
      </c>
      <c r="AL156" s="73">
        <f t="shared" si="41"/>
        <v>1.8764674070855048E-4</v>
      </c>
      <c r="AM156" s="14">
        <f t="shared" si="51"/>
        <v>3.7499999999999867E-2</v>
      </c>
    </row>
    <row r="157" spans="1:41" ht="15" hidden="1" outlineLevel="1">
      <c r="A157" s="12" t="s">
        <v>263</v>
      </c>
      <c r="B157" s="8" t="s">
        <v>88</v>
      </c>
      <c r="I157" s="213"/>
      <c r="J157" s="65">
        <f>SUM(A:B!J157)</f>
        <v>0</v>
      </c>
      <c r="K157" s="65">
        <f>SUM(A:B!K157)</f>
        <v>0</v>
      </c>
      <c r="L157" s="65">
        <f>SUM(A:B!L157)</f>
        <v>0</v>
      </c>
      <c r="M157" s="65">
        <f>SUM(A:B!M157)</f>
        <v>0</v>
      </c>
      <c r="N157" s="65">
        <f>SUM(A:B!N157)</f>
        <v>0</v>
      </c>
      <c r="O157" s="65">
        <f>SUM(A:B!O157)</f>
        <v>0</v>
      </c>
      <c r="P157" s="65">
        <f>SUM(A:B!P157)</f>
        <v>0</v>
      </c>
      <c r="Q157" s="65">
        <f>SUM(A:B!Q157)</f>
        <v>0</v>
      </c>
      <c r="R157" s="65">
        <f>SUM(A:B!R157)</f>
        <v>0</v>
      </c>
      <c r="S157" s="65">
        <f>SUM(A:B!S157)</f>
        <v>0</v>
      </c>
      <c r="T157" s="65">
        <f>SUM(A:B!T157)</f>
        <v>0</v>
      </c>
      <c r="U157" s="65">
        <f>SUM(A:B!U157)</f>
        <v>0</v>
      </c>
      <c r="V157" s="11">
        <f t="shared" si="73"/>
        <v>0</v>
      </c>
      <c r="W157" s="73">
        <f t="shared" si="39"/>
        <v>0</v>
      </c>
      <c r="X157" s="89"/>
      <c r="Y157" s="65">
        <f>SUM(A:B!Y157)</f>
        <v>0</v>
      </c>
      <c r="Z157" s="65">
        <f>SUM(A:B!Z157)</f>
        <v>0</v>
      </c>
      <c r="AA157" s="65">
        <f>SUM(A:B!AA157)</f>
        <v>0</v>
      </c>
      <c r="AB157" s="65">
        <f>SUM(A:B!AB157)</f>
        <v>0</v>
      </c>
      <c r="AC157" s="65">
        <f>SUM(A:B!AC157)</f>
        <v>0</v>
      </c>
      <c r="AD157" s="65">
        <f>SUM(A:B!AD157)</f>
        <v>0</v>
      </c>
      <c r="AE157" s="65">
        <f>SUM(A:B!AE157)</f>
        <v>0</v>
      </c>
      <c r="AF157" s="65">
        <f>SUM(A:B!AF157)</f>
        <v>0</v>
      </c>
      <c r="AG157" s="65">
        <f>SUM(A:B!AG157)</f>
        <v>0</v>
      </c>
      <c r="AH157" s="65">
        <f>SUM(A:B!AH157)</f>
        <v>0</v>
      </c>
      <c r="AI157" s="65">
        <f>SUM(A:B!AI157)</f>
        <v>0</v>
      </c>
      <c r="AJ157" s="65">
        <f>SUM(A:B!AJ157)</f>
        <v>0</v>
      </c>
      <c r="AK157" s="124">
        <f t="shared" si="55"/>
        <v>0</v>
      </c>
      <c r="AL157" s="73">
        <f t="shared" si="41"/>
        <v>0</v>
      </c>
      <c r="AM157" s="14">
        <f t="shared" si="51"/>
        <v>0</v>
      </c>
    </row>
    <row r="158" spans="1:41" ht="15" hidden="1" outlineLevel="1">
      <c r="A158" s="12"/>
      <c r="I158" s="213" t="s">
        <v>270</v>
      </c>
      <c r="J158" s="65">
        <f>SUM(A:B!J158)</f>
        <v>17708</v>
      </c>
      <c r="K158" s="65">
        <f>SUM(A:B!K158)</f>
        <v>17290</v>
      </c>
      <c r="L158" s="65">
        <f>SUM(A:B!L158)</f>
        <v>17710</v>
      </c>
      <c r="M158" s="65">
        <f>SUM(A:B!M158)</f>
        <v>5580</v>
      </c>
      <c r="N158" s="65">
        <f>SUM(A:B!N158)</f>
        <v>16080</v>
      </c>
      <c r="O158" s="65">
        <f>SUM(A:B!O158)</f>
        <v>17606</v>
      </c>
      <c r="P158" s="65">
        <f>SUM(A:B!P158)</f>
        <v>15610</v>
      </c>
      <c r="Q158" s="65">
        <f>SUM(A:B!Q158)</f>
        <v>17710</v>
      </c>
      <c r="R158" s="65">
        <f>SUM(A:B!R158)</f>
        <v>19777</v>
      </c>
      <c r="S158" s="65">
        <f>SUM(A:B!S158)</f>
        <v>17710</v>
      </c>
      <c r="T158" s="65">
        <f>SUM(A:B!T158)</f>
        <v>17710</v>
      </c>
      <c r="U158" s="65">
        <f>SUM(A:B!U158)</f>
        <v>17710</v>
      </c>
      <c r="V158" s="11">
        <f>SUM(J158:U158)</f>
        <v>198201</v>
      </c>
      <c r="W158" s="73">
        <f>V158/V$6</f>
        <v>2.2116601878432483E-4</v>
      </c>
      <c r="X158" s="89"/>
      <c r="Y158" s="65">
        <f>SUM(A:B!Y158)</f>
        <v>17150.571899999995</v>
      </c>
      <c r="Z158" s="65">
        <f>SUM(A:B!Z158)</f>
        <v>17150.571899999995</v>
      </c>
      <c r="AA158" s="65">
        <f>SUM(A:B!AA158)</f>
        <v>17150.571899999995</v>
      </c>
      <c r="AB158" s="65">
        <f>SUM(A:B!AB158)</f>
        <v>17150.571899999995</v>
      </c>
      <c r="AC158" s="65">
        <f>SUM(A:B!AC158)</f>
        <v>17150.571899999995</v>
      </c>
      <c r="AD158" s="65">
        <f>SUM(A:B!AD158)</f>
        <v>17150.571899999995</v>
      </c>
      <c r="AE158" s="65">
        <f>SUM(A:B!AE158)</f>
        <v>17150.571899999995</v>
      </c>
      <c r="AF158" s="65">
        <f>SUM(A:B!AF158)</f>
        <v>17150.571899999995</v>
      </c>
      <c r="AG158" s="65">
        <f>SUM(A:B!AG158)</f>
        <v>17150.571899999995</v>
      </c>
      <c r="AH158" s="65">
        <f>SUM(A:B!AH158)</f>
        <v>17150.571899999995</v>
      </c>
      <c r="AI158" s="65">
        <f>SUM(A:B!AI158)</f>
        <v>17150.571899999995</v>
      </c>
      <c r="AJ158" s="65">
        <f>SUM(A:B!AJ158)</f>
        <v>17150.571899999995</v>
      </c>
      <c r="AK158" s="124">
        <f t="shared" ref="AK158" si="74">SUM(Y158:AJ158)</f>
        <v>205806.86279999989</v>
      </c>
      <c r="AL158" s="73">
        <f>AK158/AK$6</f>
        <v>2.1367473420293926E-4</v>
      </c>
      <c r="AM158" s="14">
        <f>IFERROR(AK158/V158-1,0)</f>
        <v>3.8374492560581785E-2</v>
      </c>
    </row>
    <row r="159" spans="1:41" ht="15" collapsed="1">
      <c r="E159" s="180"/>
      <c r="I159" s="121" t="s">
        <v>466</v>
      </c>
      <c r="J159" s="15">
        <f t="shared" ref="J159" si="75">SUM(J160)</f>
        <v>343901</v>
      </c>
      <c r="K159" s="15">
        <f t="shared" ref="K159" si="76">SUM(K160)</f>
        <v>365423.00000000006</v>
      </c>
      <c r="L159" s="15">
        <f t="shared" ref="L159" si="77">SUM(L160)</f>
        <v>419103.99999999994</v>
      </c>
      <c r="M159" s="15">
        <f t="shared" ref="M159" si="78">SUM(M160)</f>
        <v>385375</v>
      </c>
      <c r="N159" s="15">
        <f t="shared" ref="N159" si="79">SUM(N160)</f>
        <v>436174</v>
      </c>
      <c r="O159" s="15">
        <f t="shared" ref="O159" si="80">SUM(O160)</f>
        <v>431507.00000000006</v>
      </c>
      <c r="P159" s="15">
        <f t="shared" ref="P159" si="81">SUM(P160)</f>
        <v>469973</v>
      </c>
      <c r="Q159" s="15">
        <f t="shared" ref="Q159" si="82">SUM(Q160)</f>
        <v>391285</v>
      </c>
      <c r="R159" s="15">
        <f t="shared" ref="R159" si="83">SUM(R160)</f>
        <v>465583</v>
      </c>
      <c r="S159" s="15">
        <f t="shared" ref="S159" si="84">SUM(S160)</f>
        <v>472353</v>
      </c>
      <c r="T159" s="15">
        <f t="shared" ref="T159" si="85">SUM(T160)</f>
        <v>443073.66666666669</v>
      </c>
      <c r="U159" s="15">
        <f t="shared" ref="U159" si="86">SUM(U160)</f>
        <v>460336.55555555556</v>
      </c>
      <c r="V159" s="15">
        <f t="shared" ref="V159" si="87">SUM(V160)</f>
        <v>5084088.2222222229</v>
      </c>
      <c r="W159" s="72">
        <f>V159/V$6</f>
        <v>5.6731679015603591E-3</v>
      </c>
      <c r="X159" s="89"/>
      <c r="Y159" s="15">
        <f t="shared" ref="Y159" si="88">SUM(Y160)</f>
        <v>356797.28750000003</v>
      </c>
      <c r="Z159" s="15">
        <f t="shared" ref="Z159" si="89">SUM(Z160)</f>
        <v>379126.3625000001</v>
      </c>
      <c r="AA159" s="15">
        <f t="shared" ref="AA159" si="90">SUM(AA160)</f>
        <v>434820.4</v>
      </c>
      <c r="AB159" s="15">
        <f t="shared" ref="AB159" si="91">SUM(AB160)</f>
        <v>399826.56250000006</v>
      </c>
      <c r="AC159" s="15">
        <f t="shared" ref="AC159" si="92">SUM(AC160)</f>
        <v>452530.52500000008</v>
      </c>
      <c r="AD159" s="15">
        <f t="shared" ref="AD159" si="93">SUM(AD160)</f>
        <v>447688.51250000001</v>
      </c>
      <c r="AE159" s="15">
        <f t="shared" ref="AE159" si="94">SUM(AE160)</f>
        <v>487596.98750000005</v>
      </c>
      <c r="AF159" s="15">
        <f t="shared" ref="AF159" si="95">SUM(AF160)</f>
        <v>405958.18750000006</v>
      </c>
      <c r="AG159" s="15">
        <f t="shared" ref="AG159" si="96">SUM(AG160)</f>
        <v>483042.36250000005</v>
      </c>
      <c r="AH159" s="15">
        <f t="shared" ref="AH159" si="97">SUM(AH160)</f>
        <v>490066.23750000005</v>
      </c>
      <c r="AI159" s="15">
        <f t="shared" ref="AI159" si="98">SUM(AI160)</f>
        <v>459688.9291666667</v>
      </c>
      <c r="AJ159" s="15">
        <f t="shared" ref="AJ159" si="99">SUM(AJ160)</f>
        <v>477599.17638888897</v>
      </c>
      <c r="AK159" s="15">
        <f t="shared" ref="AK159" si="100">SUM(AK160)</f>
        <v>5274741.5305555565</v>
      </c>
      <c r="AL159" s="72">
        <f>AK159/AK$6</f>
        <v>5.4763916965487325E-3</v>
      </c>
      <c r="AM159" s="297">
        <f>IFERROR(AK159/V159-1,0)</f>
        <v>3.7500000000000089E-2</v>
      </c>
      <c r="AN159" s="89"/>
      <c r="AO159" s="129">
        <f>+AK159/AK39</f>
        <v>0.10639350462664098</v>
      </c>
    </row>
    <row r="160" spans="1:41" ht="15" hidden="1" outlineLevel="1">
      <c r="I160" s="251" t="s">
        <v>328</v>
      </c>
      <c r="J160" s="65">
        <f>SUM(A:B!J160)</f>
        <v>343901</v>
      </c>
      <c r="K160" s="65">
        <f>SUM(A:B!K160)</f>
        <v>365423.00000000006</v>
      </c>
      <c r="L160" s="65">
        <f>SUM(A:B!L160)</f>
        <v>419103.99999999994</v>
      </c>
      <c r="M160" s="65">
        <f>SUM(A:B!M160)</f>
        <v>385375</v>
      </c>
      <c r="N160" s="65">
        <f>SUM(A:B!N160)</f>
        <v>436174</v>
      </c>
      <c r="O160" s="65">
        <f>SUM(A:B!O160)</f>
        <v>431507.00000000006</v>
      </c>
      <c r="P160" s="65">
        <f>SUM(A:B!P160)</f>
        <v>469973</v>
      </c>
      <c r="Q160" s="65">
        <f>SUM(A:B!Q160)</f>
        <v>391285</v>
      </c>
      <c r="R160" s="65">
        <f>SUM(A:B!R160)</f>
        <v>465583</v>
      </c>
      <c r="S160" s="65">
        <f>SUM(A:B!S160)</f>
        <v>472353</v>
      </c>
      <c r="T160" s="65">
        <f>SUM(A:B!T160)</f>
        <v>443073.66666666669</v>
      </c>
      <c r="U160" s="65">
        <f>SUM(A:B!U160)</f>
        <v>460336.55555555556</v>
      </c>
      <c r="V160" s="65">
        <f t="shared" ref="V160" si="101">SUM(J160:U160)</f>
        <v>5084088.2222222229</v>
      </c>
      <c r="W160" s="73">
        <f t="shared" ref="W160" si="102">V160/V$6</f>
        <v>5.6731679015603591E-3</v>
      </c>
      <c r="X160" s="89"/>
      <c r="Y160" s="65">
        <f>SUM(A:B!Y160)</f>
        <v>356797.28750000003</v>
      </c>
      <c r="Z160" s="65">
        <f>SUM(A:B!Z160)</f>
        <v>379126.3625000001</v>
      </c>
      <c r="AA160" s="65">
        <f>SUM(A:B!AA160)</f>
        <v>434820.4</v>
      </c>
      <c r="AB160" s="65">
        <f>SUM(A:B!AB160)</f>
        <v>399826.56250000006</v>
      </c>
      <c r="AC160" s="65">
        <f>SUM(A:B!AC160)</f>
        <v>452530.52500000008</v>
      </c>
      <c r="AD160" s="65">
        <f>SUM(A:B!AD160)</f>
        <v>447688.51250000001</v>
      </c>
      <c r="AE160" s="65">
        <f>SUM(A:B!AE160)</f>
        <v>487596.98750000005</v>
      </c>
      <c r="AF160" s="65">
        <f>SUM(A:B!AF160)</f>
        <v>405958.18750000006</v>
      </c>
      <c r="AG160" s="65">
        <f>SUM(A:B!AG160)</f>
        <v>483042.36250000005</v>
      </c>
      <c r="AH160" s="65">
        <f>SUM(A:B!AH160)</f>
        <v>490066.23750000005</v>
      </c>
      <c r="AI160" s="65">
        <f>SUM(A:B!AI160)</f>
        <v>459688.9291666667</v>
      </c>
      <c r="AJ160" s="65">
        <f>SUM(A:B!AJ160)</f>
        <v>477599.17638888897</v>
      </c>
      <c r="AK160" s="65">
        <f>SUM(A:B!AK160)</f>
        <v>5274741.5305555565</v>
      </c>
      <c r="AL160" s="73">
        <f t="shared" ref="AL160" si="103">AK160/AK$6</f>
        <v>5.4763916965487325E-3</v>
      </c>
      <c r="AM160" s="14">
        <f t="shared" ref="AM160" si="104">IFERROR(AK160/V160-1,0)</f>
        <v>3.7500000000000089E-2</v>
      </c>
    </row>
    <row r="161" spans="9:41" ht="15">
      <c r="I161" s="28" t="s">
        <v>271</v>
      </c>
      <c r="J161" s="27">
        <f>J50+J92+J109+J114+J151</f>
        <v>5652163</v>
      </c>
      <c r="K161" s="27">
        <f>K50+K92+K109+K114+K151</f>
        <v>4032778</v>
      </c>
      <c r="L161" s="27">
        <f>L50+L92+L109+L114+L151</f>
        <v>5044310</v>
      </c>
      <c r="M161" s="27">
        <f>M50+M92+M109+M114+M151</f>
        <v>4997014</v>
      </c>
      <c r="N161" s="27">
        <f>N50+N92+N109+N114+N151</f>
        <v>5128632</v>
      </c>
      <c r="O161" s="27">
        <f>O50+O92+O109+O114+O151</f>
        <v>4994819</v>
      </c>
      <c r="P161" s="27">
        <f>P50+P92+P109+P114+P151</f>
        <v>5024155</v>
      </c>
      <c r="Q161" s="27">
        <f>Q50+Q92+Q109+Q114+Q151</f>
        <v>5476286</v>
      </c>
      <c r="R161" s="27">
        <f>R50+R92+R109+R114+R151</f>
        <v>4488784</v>
      </c>
      <c r="S161" s="27">
        <f>S50+S92+S109+S114+S151</f>
        <v>4830842.1123097129</v>
      </c>
      <c r="T161" s="27">
        <f>T50+T92+T109+T114+T151</f>
        <v>5169712.3183103073</v>
      </c>
      <c r="U161" s="27">
        <f>U50+U92+U109+U114+U151</f>
        <v>4810868.5963266399</v>
      </c>
      <c r="V161" s="27">
        <f>V50+V92+V109+V114+V151+V159</f>
        <v>64734452.249168888</v>
      </c>
      <c r="W161" s="76">
        <f t="shared" si="39"/>
        <v>7.2235059773324381E-2</v>
      </c>
      <c r="X161" s="89"/>
      <c r="Y161" s="27">
        <f>Y50+Y92+Y109+Y114+Y151+Y159</f>
        <v>6029550.8509129444</v>
      </c>
      <c r="Z161" s="27">
        <f>Z50+Z92+Z109+Z114+Z151+Z159</f>
        <v>5608020.0345038092</v>
      </c>
      <c r="AA161" s="27">
        <f>AA50+AA92+AA109+AA114+AA151+AA159</f>
        <v>6150673.8637056509</v>
      </c>
      <c r="AB161" s="27">
        <f>AB50+AB92+AB109+AB114+AB151+AB159</f>
        <v>5312764.3777627153</v>
      </c>
      <c r="AC161" s="27">
        <f>AC50+AC92+AC109+AC114+AC151+AC159</f>
        <v>5550592.6999140028</v>
      </c>
      <c r="AD161" s="27">
        <f>AD50+AD92+AD109+AD114+AD151+AD159</f>
        <v>5510049.1071455814</v>
      </c>
      <c r="AE161" s="27">
        <f>AE50+AE92+AE109+AE114+AE151+AE159</f>
        <v>5862389.7947264705</v>
      </c>
      <c r="AF161" s="27">
        <f>AF50+AF92+AF109+AF114+AF151+AF159</f>
        <v>5894959.0549487881</v>
      </c>
      <c r="AG161" s="27">
        <f>AG50+AG92+AG109+AG114+AG151+AG159</f>
        <v>5776740.1823966466</v>
      </c>
      <c r="AH161" s="27">
        <f>AH50+AH92+AH109+AH114+AH151+AH159</f>
        <v>5858804.3757001637</v>
      </c>
      <c r="AI161" s="27">
        <f>AI50+AI92+AI109+AI114+AI151+AI159</f>
        <v>5742668.9050480537</v>
      </c>
      <c r="AJ161" s="27">
        <f>AJ50+AJ92+AJ109+AJ114+AJ151+AJ159</f>
        <v>5635005.1734523689</v>
      </c>
      <c r="AK161" s="27">
        <f>AK50+AK92+AK109+AK114+AK151+AK159</f>
        <v>68932218.420217186</v>
      </c>
      <c r="AL161" s="76">
        <f t="shared" si="41"/>
        <v>7.1567455276126332E-2</v>
      </c>
      <c r="AM161" s="10">
        <f t="shared" si="51"/>
        <v>6.4845936363077783E-2</v>
      </c>
    </row>
    <row r="162" spans="9:41" ht="15">
      <c r="I162" s="271" t="s">
        <v>272</v>
      </c>
      <c r="J162" s="218">
        <f>+J161/J39</f>
        <v>1.5273767358479196</v>
      </c>
      <c r="K162" s="218">
        <f>+K161/K39</f>
        <v>1.1101207959395916</v>
      </c>
      <c r="L162" s="218">
        <f>+L161/L39</f>
        <v>1.2648121741472131</v>
      </c>
      <c r="M162" s="218">
        <f>+M161/M39</f>
        <v>1.3347723654546815</v>
      </c>
      <c r="N162" s="218">
        <f>+N161/N39</f>
        <v>1.1993741946497851</v>
      </c>
      <c r="O162" s="218">
        <f>+O161/O39</f>
        <v>1.1725499742710441</v>
      </c>
      <c r="P162" s="218">
        <f>+P161/P39</f>
        <v>1.1957001341313307</v>
      </c>
      <c r="Q162" s="218">
        <f>+Q161/Q39</f>
        <v>1.4135393269157801</v>
      </c>
      <c r="R162" s="218">
        <f>+R161/R39</f>
        <v>1.1403037382880801</v>
      </c>
      <c r="S162" s="218">
        <f>+S161/S39</f>
        <v>1.1335143618710268</v>
      </c>
      <c r="T162" s="218">
        <f>+T161/T39</f>
        <v>1.2706472792404762</v>
      </c>
      <c r="U162" s="218">
        <f>+U161/U39</f>
        <v>1.2493458599392424</v>
      </c>
      <c r="V162" s="218">
        <f>+V161/V39</f>
        <v>1.3544274208054217</v>
      </c>
      <c r="W162" s="272">
        <f t="shared" si="39"/>
        <v>1.5113612968242165E-9</v>
      </c>
      <c r="X162" s="273"/>
      <c r="Y162" s="218">
        <f>+Y161/Y39</f>
        <v>1.5778051568797806</v>
      </c>
      <c r="Z162" s="218">
        <f>+Z161/Z39</f>
        <v>1.4959674736282815</v>
      </c>
      <c r="AA162" s="218">
        <f>+AA161/AA39</f>
        <v>1.4949171976376701</v>
      </c>
      <c r="AB162" s="218">
        <f>+AB161/AB39</f>
        <v>1.3727530611225747</v>
      </c>
      <c r="AC162" s="218">
        <f>+AC161/AC39</f>
        <v>1.2573476647915693</v>
      </c>
      <c r="AD162" s="218">
        <f>+AD161/AD39</f>
        <v>1.2676060764365591</v>
      </c>
      <c r="AE162" s="218">
        <f>+AE161/AE39</f>
        <v>1.3690004356892735</v>
      </c>
      <c r="AF162" s="218">
        <f>+AF161/AF39</f>
        <v>1.3584034960983449</v>
      </c>
      <c r="AG162" s="218">
        <f>+AG161/AG39</f>
        <v>1.360859611581996</v>
      </c>
      <c r="AH162" s="218">
        <f>+AH161/AH39</f>
        <v>1.3594888892937114</v>
      </c>
      <c r="AI162" s="218">
        <f>+AI161/AI39</f>
        <v>1.3804973743190696</v>
      </c>
      <c r="AJ162" s="218">
        <f>+AJ161/AJ39</f>
        <v>1.435545754877888</v>
      </c>
      <c r="AK162" s="218">
        <f>+AK161/AK39</f>
        <v>1.39038856348352</v>
      </c>
      <c r="AL162" s="73">
        <f t="shared" si="41"/>
        <v>1.4435422740487343E-9</v>
      </c>
      <c r="AM162" s="16">
        <f t="shared" si="51"/>
        <v>2.6550808205517473E-2</v>
      </c>
    </row>
    <row r="163" spans="9:41" ht="15">
      <c r="I163" s="271" t="s">
        <v>273</v>
      </c>
      <c r="J163" s="218">
        <f>+(J161-J152)/J39</f>
        <v>1.5273767358479196</v>
      </c>
      <c r="K163" s="218">
        <f>+(K161-K152)/K39</f>
        <v>1.1101207959395916</v>
      </c>
      <c r="L163" s="218">
        <f>+(L161-L152)/L39</f>
        <v>1.2648121741472131</v>
      </c>
      <c r="M163" s="218">
        <f>+(M161-M152)/M39</f>
        <v>1.3347723654546815</v>
      </c>
      <c r="N163" s="218">
        <f>+(N161-N152)/N39</f>
        <v>1.1993741946497851</v>
      </c>
      <c r="O163" s="218">
        <f>+(O161-O152)/O39</f>
        <v>1.1725499742710441</v>
      </c>
      <c r="P163" s="218">
        <f>+(P161-P152)/P39</f>
        <v>1.1957001341313307</v>
      </c>
      <c r="Q163" s="218">
        <f>+(Q161-Q152)/Q39</f>
        <v>1.4135393269157801</v>
      </c>
      <c r="R163" s="218">
        <f>+(R161-R152)/R39</f>
        <v>1.1403037382880801</v>
      </c>
      <c r="S163" s="218">
        <f>+(S161-S152)/S39</f>
        <v>1.1335143618710268</v>
      </c>
      <c r="T163" s="218">
        <f>+(T161-T152)/T39</f>
        <v>1.2706472792404762</v>
      </c>
      <c r="U163" s="218">
        <f>+(U161-U152)/U39</f>
        <v>1.2493458599392424</v>
      </c>
      <c r="V163" s="218">
        <f>+(V161-V152)/V39</f>
        <v>1.3544274208054217</v>
      </c>
      <c r="W163" s="272">
        <f>V163/V$6</f>
        <v>1.5113612968242165E-9</v>
      </c>
      <c r="X163" s="273"/>
      <c r="Y163" s="218">
        <f>Y161/Y40</f>
        <v>2.0420721399336612</v>
      </c>
      <c r="Z163" s="218">
        <f>Z161/Z40</f>
        <v>1.9319739634034898</v>
      </c>
      <c r="AA163" s="218">
        <f>AA161/AA40</f>
        <v>1.9238416891498931</v>
      </c>
      <c r="AB163" s="218">
        <f>AB161/AB40</f>
        <v>1.7658833939313523</v>
      </c>
      <c r="AC163" s="218">
        <f>AC161/AC40</f>
        <v>1.6030958395625496</v>
      </c>
      <c r="AD163" s="218">
        <f>AD161/AD40</f>
        <v>1.6355166664328427</v>
      </c>
      <c r="AE163" s="218">
        <f>AE161/AE40</f>
        <v>1.7732463873419044</v>
      </c>
      <c r="AF163" s="218">
        <f>AF161/AF40</f>
        <v>1.7217621898247348</v>
      </c>
      <c r="AG163" s="218">
        <f>AG161/AG40</f>
        <v>1.7425685422206958</v>
      </c>
      <c r="AH163" s="218">
        <f>AH161/AH40</f>
        <v>1.7365419803405158</v>
      </c>
      <c r="AI163" s="218">
        <f>AI161/AI40</f>
        <v>1.7652071248789454</v>
      </c>
      <c r="AJ163" s="218">
        <f>AJ161/AJ40</f>
        <v>1.834688431592677</v>
      </c>
      <c r="AK163" s="218">
        <f>+AK161/AK39</f>
        <v>1.39038856348352</v>
      </c>
      <c r="AL163" s="73">
        <f>AK163/AK$6</f>
        <v>1.4435422740487343E-9</v>
      </c>
      <c r="AM163" s="16">
        <f>IFERROR(AK163/V163-1,0)</f>
        <v>2.6550808205517473E-2</v>
      </c>
    </row>
    <row r="164" spans="9:41" ht="15.75">
      <c r="I164" s="25" t="s">
        <v>274</v>
      </c>
      <c r="J164" s="24">
        <f>J34-J161</f>
        <v>4017210</v>
      </c>
      <c r="K164" s="24">
        <f>K34-K161</f>
        <v>6369646</v>
      </c>
      <c r="L164" s="24">
        <f>L34-L161</f>
        <v>5587638</v>
      </c>
      <c r="M164" s="24">
        <f>M34-M161</f>
        <v>5178065</v>
      </c>
      <c r="N164" s="24">
        <f>N34-N161</f>
        <v>7343045</v>
      </c>
      <c r="O164" s="24">
        <f>O34-O161</f>
        <v>5904556</v>
      </c>
      <c r="P164" s="24">
        <f>P34-P161</f>
        <v>5216948</v>
      </c>
      <c r="Q164" s="24">
        <f>Q34-Q161</f>
        <v>3821903</v>
      </c>
      <c r="R164" s="24">
        <f>R34-R161</f>
        <v>5657437.666666666</v>
      </c>
      <c r="S164" s="24">
        <f>S34-S161</f>
        <v>5064328.1099125091</v>
      </c>
      <c r="T164" s="24">
        <f>T34-T161</f>
        <v>4610148.3113193233</v>
      </c>
      <c r="U164" s="24">
        <f>U34-U161</f>
        <v>5129548.9098462015</v>
      </c>
      <c r="V164" s="24">
        <f>V34-V161</f>
        <v>58816378.775522485</v>
      </c>
      <c r="W164" s="77">
        <f t="shared" si="39"/>
        <v>6.5631274983946455E-2</v>
      </c>
      <c r="X164" s="89"/>
      <c r="Y164" s="24">
        <f>Y34-Y161</f>
        <v>3537687.5190870455</v>
      </c>
      <c r="Z164" s="24">
        <f>Z34-Z161</f>
        <v>3701817.0054962048</v>
      </c>
      <c r="AA164" s="24">
        <f>AA34-AA161</f>
        <v>4493338.4062943375</v>
      </c>
      <c r="AB164" s="24">
        <f>AB34-AB161</f>
        <v>4147534.3722372996</v>
      </c>
      <c r="AC164" s="24">
        <f>AC34-AC161</f>
        <v>6006417.0900859889</v>
      </c>
      <c r="AD164" s="24">
        <f>AD34-AD161</f>
        <v>5287065.8828544281</v>
      </c>
      <c r="AE164" s="24">
        <f>AE34-AE161</f>
        <v>4793799.1852735337</v>
      </c>
      <c r="AF164" s="24">
        <f>AF34-AF161</f>
        <v>5102072.5050511993</v>
      </c>
      <c r="AG164" s="24">
        <f>AG34-AG161</f>
        <v>4760864.3876033612</v>
      </c>
      <c r="AH164" s="24">
        <f>AH34-AH161</f>
        <v>5008187.0742998393</v>
      </c>
      <c r="AI164" s="24">
        <f>AI34-AI161</f>
        <v>4550319.4749519415</v>
      </c>
      <c r="AJ164" s="24">
        <f>AJ34-AJ161</f>
        <v>3978809.7665476287</v>
      </c>
      <c r="AK164" s="24">
        <f>AK34-AK161</f>
        <v>55367912.669782847</v>
      </c>
      <c r="AL164" s="77">
        <f>AK164/AK$6</f>
        <v>5.7484594352834234E-2</v>
      </c>
      <c r="AM164" s="23">
        <f>IFERROR(AK164/V164-1,0)</f>
        <v>-5.8631051035987647E-2</v>
      </c>
      <c r="AN164" s="9"/>
      <c r="AO164" s="256"/>
    </row>
    <row r="165" spans="9:41" ht="15">
      <c r="I165" s="26" t="s">
        <v>309</v>
      </c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>
        <f>+V164/V39</f>
        <v>1.2306046230130638</v>
      </c>
      <c r="W165" s="73">
        <f>V165/V$6</f>
        <v>1.3731914832386529E-9</v>
      </c>
      <c r="X165" s="89"/>
      <c r="Y165" s="215"/>
      <c r="Z165" s="215"/>
      <c r="AA165" s="215"/>
      <c r="AB165" s="215"/>
      <c r="AC165" s="215"/>
      <c r="AD165" s="215"/>
      <c r="AE165" s="215"/>
      <c r="AF165" s="215"/>
      <c r="AG165" s="215"/>
      <c r="AH165" s="215"/>
      <c r="AI165" s="215"/>
      <c r="AJ165" s="215"/>
      <c r="AK165" s="218">
        <f>+AK164/AK39</f>
        <v>1.1167914557852381</v>
      </c>
      <c r="AL165" s="73">
        <f>AK165/AK$6</f>
        <v>1.1594857150459635E-9</v>
      </c>
      <c r="AM165" s="16">
        <f>IFERROR(AK165/V165-1,0)</f>
        <v>-9.2485567744058028E-2</v>
      </c>
    </row>
    <row r="166" spans="9:41" ht="15">
      <c r="AK166" s="306">
        <f>+Fuentes!AK164+Satelite!AK164+Ejercito!AK164+Solis!AK164+Santiago!AK164+Clara!AK164+Jarudo!AK164</f>
        <v>55367912.669782773</v>
      </c>
      <c r="AN166" s="126"/>
    </row>
    <row r="167" spans="9:41" ht="15">
      <c r="V167" s="136"/>
      <c r="AK167" s="307">
        <f>+AK164-AK166</f>
        <v>7.4505805969238281E-8</v>
      </c>
      <c r="AN167" s="126"/>
    </row>
    <row r="168" spans="9:41" ht="15"/>
  </sheetData>
  <mergeCells count="4">
    <mergeCell ref="J2:U2"/>
    <mergeCell ref="V2:W2"/>
    <mergeCell ref="Y2:AJ2"/>
    <mergeCell ref="AK2:AL2"/>
  </mergeCells>
  <conditionalFormatting sqref="AM1:AM158 AM161:AM1048576">
    <cfRule type="cellIs" dxfId="29" priority="5" operator="lessThan">
      <formula>0</formula>
    </cfRule>
  </conditionalFormatting>
  <conditionalFormatting sqref="AM159">
    <cfRule type="cellIs" dxfId="28" priority="2" operator="lessThan">
      <formula>0</formula>
    </cfRule>
  </conditionalFormatting>
  <conditionalFormatting sqref="AM160">
    <cfRule type="cellIs" dxfId="27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40">
    <tabColor rgb="FF002060"/>
  </sheetPr>
  <dimension ref="A1"/>
  <sheetViews>
    <sheetView workbookViewId="0">
      <selection activeCell="Y142" sqref="Y142"/>
    </sheetView>
  </sheetViews>
  <sheetFormatPr defaultColWidth="11.5703125" defaultRowHeight="14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45">
    <outlinePr summaryBelow="0" summaryRight="0"/>
  </sheetPr>
  <dimension ref="A1:AO165"/>
  <sheetViews>
    <sheetView showGridLines="0" zoomScale="70" zoomScaleNormal="70" workbookViewId="0">
      <pane xSplit="9" ySplit="3" topLeftCell="Y39" activePane="bottomRight" state="frozen"/>
      <selection pane="bottomRight" activeCell="Y55" sqref="Y55"/>
      <selection pane="bottomLeft" activeCell="AB112" sqref="AB112"/>
      <selection pane="topRight" activeCell="AB112" sqref="AB112"/>
    </sheetView>
  </sheetViews>
  <sheetFormatPr defaultColWidth="11.42578125" defaultRowHeight="14.45" outlineLevelRow="1" outlineLevelCol="1"/>
  <cols>
    <col min="1" max="1" width="2.5703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0.28515625" style="7" customWidth="1"/>
    <col min="6" max="8" width="10.28515625" style="6" hidden="1" customWidth="1"/>
    <col min="9" max="9" width="35.28515625" style="5" customWidth="1" collapsed="1"/>
    <col min="10" max="10" width="16" style="4" hidden="1" customWidth="1" outlineLevel="1"/>
    <col min="11" max="12" width="16.42578125" style="4" hidden="1" customWidth="1" outlineLevel="1"/>
    <col min="13" max="14" width="16.42578125" style="3" hidden="1" customWidth="1" outlineLevel="1"/>
    <col min="15" max="15" width="17.85546875" style="3" hidden="1" customWidth="1" outlineLevel="1"/>
    <col min="16" max="16" width="16.42578125" style="3" hidden="1" customWidth="1" outlineLevel="1"/>
    <col min="17" max="17" width="17.42578125" style="4" hidden="1" customWidth="1" outlineLevel="1"/>
    <col min="18" max="18" width="17.85546875" style="3" hidden="1" customWidth="1" outlineLevel="1"/>
    <col min="19" max="19" width="17.42578125" style="3" hidden="1" customWidth="1" outlineLevel="1"/>
    <col min="20" max="20" width="18.28515625" style="3" hidden="1" customWidth="1" outlineLevel="1"/>
    <col min="21" max="21" width="17.42578125" style="4" hidden="1" customWidth="1" outlineLevel="1"/>
    <col min="22" max="22" width="18" style="4" bestFit="1" customWidth="1"/>
    <col min="23" max="23" width="6.7109375" style="83" bestFit="1" customWidth="1"/>
    <col min="24" max="24" width="1.140625" style="93" customWidth="1"/>
    <col min="25" max="25" width="16" style="4" customWidth="1" outlineLevel="1"/>
    <col min="26" max="27" width="16.42578125" style="4" customWidth="1" outlineLevel="1"/>
    <col min="28" max="28" width="16.42578125" style="3" customWidth="1" outlineLevel="1"/>
    <col min="29" max="29" width="16" style="3" customWidth="1" outlineLevel="1"/>
    <col min="30" max="31" width="16.42578125" style="3" customWidth="1" outlineLevel="1"/>
    <col min="32" max="32" width="16.42578125" style="4" customWidth="1" outlineLevel="1"/>
    <col min="33" max="35" width="16.42578125" style="3" customWidth="1" outlineLevel="1"/>
    <col min="36" max="36" width="16.42578125" style="4" customWidth="1" outlineLevel="1"/>
    <col min="37" max="37" width="18" style="4" bestFit="1" customWidth="1"/>
    <col min="38" max="38" width="6.7109375" style="83" bestFit="1" customWidth="1"/>
    <col min="39" max="39" width="9.140625" style="2" bestFit="1" customWidth="1"/>
    <col min="40" max="40" width="12.5703125" style="1" bestFit="1" customWidth="1"/>
    <col min="41" max="16384" width="11.42578125" style="1"/>
  </cols>
  <sheetData>
    <row r="1" spans="1:40" s="57" customFormat="1" ht="6.75" customHeight="1">
      <c r="A1" s="6"/>
      <c r="B1" s="8"/>
      <c r="C1" s="8"/>
      <c r="D1" s="6"/>
      <c r="E1" s="7" t="s">
        <v>472</v>
      </c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0" s="52" customFormat="1" ht="18" customHeight="1">
      <c r="A2" s="55"/>
      <c r="B2" s="55"/>
      <c r="C2" s="55"/>
      <c r="D2" s="55"/>
      <c r="E2" s="56"/>
      <c r="F2" s="55"/>
      <c r="G2" s="55"/>
      <c r="H2" s="55"/>
      <c r="I2" s="54"/>
      <c r="J2" s="309">
        <v>2025</v>
      </c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1"/>
      <c r="V2" s="312" t="s">
        <v>81</v>
      </c>
      <c r="W2" s="313"/>
      <c r="X2" s="85"/>
      <c r="Y2" s="309">
        <v>2026</v>
      </c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1"/>
      <c r="AK2" s="312" t="s">
        <v>81</v>
      </c>
      <c r="AL2" s="314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2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82</v>
      </c>
      <c r="X3" s="86"/>
      <c r="Y3" s="132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82</v>
      </c>
      <c r="AM3" s="45" t="s">
        <v>83</v>
      </c>
    </row>
    <row r="4" spans="1:40" ht="14.45" customHeight="1">
      <c r="I4" s="43" t="s">
        <v>84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 ht="14.45" customHeight="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0" ht="14.45" customHeight="1" collapsed="1">
      <c r="A6" s="12" t="s">
        <v>85</v>
      </c>
      <c r="B6" s="19"/>
      <c r="C6" s="19"/>
      <c r="D6" s="12"/>
      <c r="E6" s="7" t="s">
        <v>86</v>
      </c>
      <c r="I6" s="167" t="s">
        <v>87</v>
      </c>
      <c r="J6" s="15">
        <v>7831359</v>
      </c>
      <c r="K6" s="15">
        <v>7691789</v>
      </c>
      <c r="L6" s="15">
        <v>8636784</v>
      </c>
      <c r="M6" s="15">
        <v>7737189</v>
      </c>
      <c r="N6" s="15">
        <v>8627030</v>
      </c>
      <c r="O6" s="15">
        <v>8613220</v>
      </c>
      <c r="P6" s="15">
        <v>8665324</v>
      </c>
      <c r="Q6" s="15">
        <v>7998006</v>
      </c>
      <c r="R6" s="15">
        <v>8088336</v>
      </c>
      <c r="S6" s="15">
        <v>9597333</v>
      </c>
      <c r="T6" s="15">
        <v>10952753.066232515</v>
      </c>
      <c r="U6" s="15">
        <v>10665098.103398941</v>
      </c>
      <c r="V6" s="15">
        <f t="shared" ref="V6" si="1">SUM(V7:V12)</f>
        <v>105104219.16963145</v>
      </c>
      <c r="W6" s="72">
        <f t="shared" ref="W6:W34" si="2">V6/V$6</f>
        <v>1</v>
      </c>
      <c r="X6" s="89"/>
      <c r="Y6" s="15">
        <f t="shared" ref="Y6:AJ6" si="3">SUM(Y7:Y12)</f>
        <v>7735312.8399999989</v>
      </c>
      <c r="Z6" s="15">
        <f t="shared" si="3"/>
        <v>7598059.0187520003</v>
      </c>
      <c r="AA6" s="15">
        <f t="shared" si="3"/>
        <v>8423651.5641189981</v>
      </c>
      <c r="AB6" s="15">
        <f t="shared" si="3"/>
        <v>7999081.808434926</v>
      </c>
      <c r="AC6" s="15">
        <f t="shared" si="3"/>
        <v>9211692.2993653957</v>
      </c>
      <c r="AD6" s="15">
        <f t="shared" si="3"/>
        <v>9283250.3118172251</v>
      </c>
      <c r="AE6" s="15">
        <f t="shared" si="3"/>
        <v>9504642.3601173628</v>
      </c>
      <c r="AF6" s="15">
        <f t="shared" si="3"/>
        <v>9751437.4801144935</v>
      </c>
      <c r="AG6" s="15">
        <f t="shared" si="3"/>
        <v>9592851.5168173239</v>
      </c>
      <c r="AH6" s="15">
        <f t="shared" si="3"/>
        <v>10057752.187534846</v>
      </c>
      <c r="AI6" s="15">
        <f t="shared" si="3"/>
        <v>9132015.5855716839</v>
      </c>
      <c r="AJ6" s="15">
        <f t="shared" si="3"/>
        <v>8624880.4205140583</v>
      </c>
      <c r="AK6" s="15">
        <f>SUM(AK7:AK12)</f>
        <v>106914627.3931583</v>
      </c>
      <c r="AL6" s="72">
        <f t="shared" ref="AL6:AL34" si="4">AK6/AK$6</f>
        <v>1</v>
      </c>
      <c r="AM6" s="10">
        <f>IFERROR(AK6/V6-1,0)</f>
        <v>1.7224886287437791E-2</v>
      </c>
      <c r="AN6" s="9"/>
    </row>
    <row r="7" spans="1:40" ht="15" hidden="1" customHeight="1" outlineLevel="1">
      <c r="A7" s="12" t="s">
        <v>85</v>
      </c>
      <c r="B7" s="19" t="s">
        <v>88</v>
      </c>
      <c r="C7" s="19" t="s">
        <v>89</v>
      </c>
      <c r="D7" s="12" t="s">
        <v>90</v>
      </c>
      <c r="E7" s="20"/>
      <c r="F7" s="12"/>
      <c r="G7" s="12"/>
      <c r="H7" s="12"/>
      <c r="I7" s="117" t="s">
        <v>22</v>
      </c>
      <c r="J7" s="65">
        <v>5566581</v>
      </c>
      <c r="K7" s="65">
        <v>5434167</v>
      </c>
      <c r="L7" s="65">
        <v>5749069</v>
      </c>
      <c r="M7" s="65">
        <v>5350138</v>
      </c>
      <c r="N7" s="65">
        <v>6259416</v>
      </c>
      <c r="O7" s="65">
        <v>6136236</v>
      </c>
      <c r="P7" s="65">
        <v>6126808</v>
      </c>
      <c r="Q7" s="65">
        <v>6221573</v>
      </c>
      <c r="R7" s="65">
        <v>6354568</v>
      </c>
      <c r="S7" s="65">
        <v>6584180</v>
      </c>
      <c r="T7" s="65">
        <v>7542218.1229404015</v>
      </c>
      <c r="U7" s="65">
        <v>7475750.536284945</v>
      </c>
      <c r="V7" s="11">
        <f t="shared" ref="V7:V33" si="5">SUM(J7:U7)</f>
        <v>74800704.659225345</v>
      </c>
      <c r="W7" s="73">
        <f t="shared" si="2"/>
        <v>0.71168127454999519</v>
      </c>
      <c r="X7" s="89"/>
      <c r="Y7" s="65">
        <f>IFERROR(Y40*'[3]Margen ctvs-lit'!W$13,0)</f>
        <v>5510127.5999999996</v>
      </c>
      <c r="Z7" s="65">
        <f>IFERROR(Z40*'[3]Margen ctvs-lit'!X$13,0)</f>
        <v>5376922.074</v>
      </c>
      <c r="AA7" s="65">
        <f>IFERROR(AA40*'[3]Margen ctvs-lit'!Y$13,0)</f>
        <v>5922905.90976144</v>
      </c>
      <c r="AB7" s="65">
        <f>IFERROR(AB40*'[3]Margen ctvs-lit'!Z$13,0)</f>
        <v>5587571.6339161098</v>
      </c>
      <c r="AC7" s="65">
        <f>IFERROR(AC40*'[3]Margen ctvs-lit'!AA$13,0)</f>
        <v>6700124.6933707763</v>
      </c>
      <c r="AD7" s="65">
        <f>IFERROR(AD40*'[3]Margen ctvs-lit'!AB$13,0)</f>
        <v>6608282.0158441961</v>
      </c>
      <c r="AE7" s="65">
        <f>IFERROR(AE40*'[3]Margen ctvs-lit'!AC$13,0)</f>
        <v>6800529.0307370787</v>
      </c>
      <c r="AF7" s="65">
        <f>IFERROR(AF40*'[3]Margen ctvs-lit'!AD$13,0)</f>
        <v>7288346.359408427</v>
      </c>
      <c r="AG7" s="65">
        <f>IFERROR(AG40*'[3]Margen ctvs-lit'!AE$13,0)</f>
        <v>7152725.1284583537</v>
      </c>
      <c r="AH7" s="65">
        <f>IFERROR(AH40*'[3]Margen ctvs-lit'!AF$13,0)</f>
        <v>7302427.798465997</v>
      </c>
      <c r="AI7" s="65">
        <f>IFERROR(AI40*'[3]Margen ctvs-lit'!AG$13,0)</f>
        <v>6446730.9915060448</v>
      </c>
      <c r="AJ7" s="65">
        <f>IFERROR(AJ40*'[3]Margen ctvs-lit'!AH$13,0)</f>
        <v>6087704.2410386959</v>
      </c>
      <c r="AK7" s="65">
        <f t="shared" ref="AK7:AK33" si="6">SUM(Y7:AJ7)</f>
        <v>76784397.476507112</v>
      </c>
      <c r="AL7" s="73">
        <f t="shared" si="4"/>
        <v>0.71818421247587594</v>
      </c>
      <c r="AM7" s="14">
        <f t="shared" ref="AM7:AM46" si="7">IFERROR(AK7/V7-1,0)</f>
        <v>2.6519707619319988E-2</v>
      </c>
      <c r="AN7" s="9"/>
    </row>
    <row r="8" spans="1:40" ht="15" hidden="1" customHeight="1" outlineLevel="1">
      <c r="A8" s="12" t="s">
        <v>85</v>
      </c>
      <c r="B8" s="19" t="s">
        <v>88</v>
      </c>
      <c r="C8" s="19" t="s">
        <v>91</v>
      </c>
      <c r="D8" s="12" t="s">
        <v>92</v>
      </c>
      <c r="E8" s="20"/>
      <c r="F8" s="12"/>
      <c r="G8" s="12"/>
      <c r="H8" s="12"/>
      <c r="I8" s="117" t="s">
        <v>23</v>
      </c>
      <c r="J8" s="65">
        <v>967414</v>
      </c>
      <c r="K8" s="65">
        <v>1016424</v>
      </c>
      <c r="L8" s="65">
        <v>1032453</v>
      </c>
      <c r="M8" s="65">
        <v>1072451</v>
      </c>
      <c r="N8" s="65">
        <v>1088418</v>
      </c>
      <c r="O8" s="65">
        <v>1128272</v>
      </c>
      <c r="P8" s="65">
        <v>1038828</v>
      </c>
      <c r="Q8" s="65">
        <v>607520</v>
      </c>
      <c r="R8" s="65">
        <v>512527</v>
      </c>
      <c r="S8" s="65">
        <v>1089261</v>
      </c>
      <c r="T8" s="65">
        <v>995714.84950406908</v>
      </c>
      <c r="U8" s="65">
        <v>959887.41283388773</v>
      </c>
      <c r="V8" s="11">
        <f t="shared" si="5"/>
        <v>11509170.262337957</v>
      </c>
      <c r="W8" s="73">
        <f t="shared" si="2"/>
        <v>0.10950245721118861</v>
      </c>
      <c r="X8" s="89"/>
      <c r="Y8" s="65">
        <f>IFERROR(Y41*'[3]Margen ctvs-lit'!W$14,0)</f>
        <v>948317.55999999994</v>
      </c>
      <c r="Z8" s="65">
        <f>IFERROR(Z41*'[3]Margen ctvs-lit'!X$14,0)</f>
        <v>1004707.3217760001</v>
      </c>
      <c r="AA8" s="65">
        <f>IFERROR(AA41*'[3]Margen ctvs-lit'!Y$14,0)</f>
        <v>1041081.2484062114</v>
      </c>
      <c r="AB8" s="65">
        <f>IFERROR(AB41*'[3]Margen ctvs-lit'!Z$14,0)</f>
        <v>1081247.0705983005</v>
      </c>
      <c r="AC8" s="65">
        <f>IFERROR(AC41*'[3]Margen ctvs-lit'!AA$14,0)</f>
        <v>1148432.4312917828</v>
      </c>
      <c r="AD8" s="65">
        <f>IFERROR(AD41*'[3]Margen ctvs-lit'!AB$14,0)</f>
        <v>1217071.9758426067</v>
      </c>
      <c r="AE8" s="65">
        <f>IFERROR(AE41*'[3]Margen ctvs-lit'!AC$14,0)</f>
        <v>1128411.2203884895</v>
      </c>
      <c r="AF8" s="65">
        <f>IFERROR(AF41*'[3]Margen ctvs-lit'!AD$14,0)</f>
        <v>1198256.0966338071</v>
      </c>
      <c r="AG8" s="65">
        <f>IFERROR(AG41*'[3]Margen ctvs-lit'!AE$14,0)</f>
        <v>1103967.0536758569</v>
      </c>
      <c r="AH8" s="65">
        <f>IFERROR(AH41*'[3]Margen ctvs-lit'!AF$14,0)</f>
        <v>1246706.7465670817</v>
      </c>
      <c r="AI8" s="65">
        <f>IFERROR(AI41*'[3]Margen ctvs-lit'!AG$14,0)</f>
        <v>1215090.4334006112</v>
      </c>
      <c r="AJ8" s="65">
        <f>IFERROR(AJ41*'[3]Margen ctvs-lit'!AH$14,0)</f>
        <v>1142744.6556861452</v>
      </c>
      <c r="AK8" s="65">
        <f t="shared" si="6"/>
        <v>13476033.814266892</v>
      </c>
      <c r="AL8" s="73">
        <f t="shared" si="4"/>
        <v>0.12604480923560935</v>
      </c>
      <c r="AM8" s="14">
        <f t="shared" si="7"/>
        <v>0.17089533885559094</v>
      </c>
      <c r="AN8" s="9"/>
    </row>
    <row r="9" spans="1:40" ht="15" hidden="1" customHeight="1" outlineLevel="1">
      <c r="A9" s="12" t="s">
        <v>85</v>
      </c>
      <c r="B9" s="19" t="s">
        <v>88</v>
      </c>
      <c r="C9" s="19" t="s">
        <v>93</v>
      </c>
      <c r="D9" s="12" t="s">
        <v>94</v>
      </c>
      <c r="E9" s="20"/>
      <c r="F9" s="12"/>
      <c r="G9" s="12"/>
      <c r="H9" s="12"/>
      <c r="I9" s="117" t="s">
        <v>5</v>
      </c>
      <c r="J9" s="65">
        <v>1291576</v>
      </c>
      <c r="K9" s="65">
        <v>1234615</v>
      </c>
      <c r="L9" s="65">
        <v>1850650</v>
      </c>
      <c r="M9" s="65">
        <v>1309193</v>
      </c>
      <c r="N9" s="65">
        <v>1274296</v>
      </c>
      <c r="O9" s="65">
        <v>1340999</v>
      </c>
      <c r="P9" s="65">
        <v>1492681</v>
      </c>
      <c r="Q9" s="65">
        <v>1160437</v>
      </c>
      <c r="R9" s="65">
        <v>1214874</v>
      </c>
      <c r="S9" s="65">
        <v>1916410</v>
      </c>
      <c r="T9" s="65">
        <v>2408040.0937880441</v>
      </c>
      <c r="U9" s="65">
        <v>2223040.1542801093</v>
      </c>
      <c r="V9" s="11">
        <f t="shared" si="5"/>
        <v>18716811.248068154</v>
      </c>
      <c r="W9" s="73">
        <f t="shared" si="2"/>
        <v>0.17807859090661646</v>
      </c>
      <c r="X9" s="89"/>
      <c r="Y9" s="65">
        <f>IFERROR(Y42*'[3]Margen ctvs-lit'!W$15,0)</f>
        <v>1268947.68</v>
      </c>
      <c r="Z9" s="65">
        <f>IFERROR(Z42*'[3]Margen ctvs-lit'!X$15,0)</f>
        <v>1207489.6229760002</v>
      </c>
      <c r="AA9" s="65">
        <f>IFERROR(AA42*'[3]Margen ctvs-lit'!Y$15,0)</f>
        <v>1445864.4059513474</v>
      </c>
      <c r="AB9" s="65">
        <f>IFERROR(AB42*'[3]Margen ctvs-lit'!Z$15,0)</f>
        <v>1322823.1039205161</v>
      </c>
      <c r="AC9" s="65">
        <f>IFERROR(AC42*'[3]Margen ctvs-lit'!AA$15,0)</f>
        <v>1354795.1747028355</v>
      </c>
      <c r="AD9" s="65">
        <f>IFERROR(AD42*'[3]Margen ctvs-lit'!AB$15,0)</f>
        <v>1448596.3201304229</v>
      </c>
      <c r="AE9" s="65">
        <f>IFERROR(AE42*'[3]Margen ctvs-lit'!AC$15,0)</f>
        <v>1566462.1089917936</v>
      </c>
      <c r="AF9" s="65">
        <f>IFERROR(AF42*'[3]Margen ctvs-lit'!AD$15,0)</f>
        <v>1256195.024072259</v>
      </c>
      <c r="AG9" s="65">
        <f>IFERROR(AG42*'[3]Margen ctvs-lit'!AE$15,0)</f>
        <v>1327219.3346831121</v>
      </c>
      <c r="AH9" s="65">
        <f>IFERROR(AH42*'[3]Margen ctvs-lit'!AF$15,0)</f>
        <v>1500877.6425017668</v>
      </c>
      <c r="AI9" s="65">
        <f>IFERROR(AI42*'[3]Margen ctvs-lit'!AG$15,0)</f>
        <v>1460714.1606650287</v>
      </c>
      <c r="AJ9" s="65">
        <f>IFERROR(AJ42*'[3]Margen ctvs-lit'!AH$15,0)</f>
        <v>1384531.5237892168</v>
      </c>
      <c r="AK9" s="65">
        <f t="shared" si="6"/>
        <v>16544516.102384299</v>
      </c>
      <c r="AL9" s="73">
        <f t="shared" si="4"/>
        <v>0.15474511304748764</v>
      </c>
      <c r="AM9" s="14">
        <f t="shared" si="7"/>
        <v>-0.11606117713603947</v>
      </c>
      <c r="AN9" s="9"/>
    </row>
    <row r="10" spans="1:40" ht="15" hidden="1" customHeight="1" outlineLevel="1">
      <c r="A10" s="12"/>
      <c r="B10" s="19"/>
      <c r="C10" s="19"/>
      <c r="D10" s="12"/>
      <c r="E10" s="20"/>
      <c r="F10" s="12"/>
      <c r="G10" s="12"/>
      <c r="H10" s="12"/>
      <c r="I10" s="117" t="s">
        <v>95</v>
      </c>
      <c r="J10" s="65">
        <v>5787</v>
      </c>
      <c r="K10" s="65">
        <v>6584</v>
      </c>
      <c r="L10" s="65">
        <v>4611</v>
      </c>
      <c r="M10" s="65">
        <v>5407</v>
      </c>
      <c r="N10" s="65">
        <v>4900</v>
      </c>
      <c r="O10" s="65">
        <v>7713</v>
      </c>
      <c r="P10" s="65">
        <v>7007</v>
      </c>
      <c r="Q10" s="65">
        <v>8476</v>
      </c>
      <c r="R10" s="65">
        <v>6367</v>
      </c>
      <c r="S10" s="65">
        <v>7481</v>
      </c>
      <c r="T10" s="65">
        <v>6780</v>
      </c>
      <c r="U10" s="65">
        <v>6420</v>
      </c>
      <c r="V10" s="11">
        <f t="shared" si="5"/>
        <v>77533</v>
      </c>
      <c r="W10" s="73">
        <f t="shared" si="2"/>
        <v>7.3767733219983042E-4</v>
      </c>
      <c r="X10" s="89"/>
      <c r="Y10" s="65">
        <f>VLOOKUP($E$1,'[3]Resumen x Tipo Combustible'!$C$60:$O$66,Y1,0)</f>
        <v>7920</v>
      </c>
      <c r="Z10" s="65">
        <f>VLOOKUP($E$1,'[3]Resumen x Tipo Combustible'!$C$60:$O$66,Z1,0)</f>
        <v>8940</v>
      </c>
      <c r="AA10" s="65">
        <f>VLOOKUP($E$1,'[3]Resumen x Tipo Combustible'!$C$60:$O$66,AA1,0)</f>
        <v>13800</v>
      </c>
      <c r="AB10" s="65">
        <f>VLOOKUP($E$1,'[3]Resumen x Tipo Combustible'!$C$60:$O$66,AB1,0)</f>
        <v>7440</v>
      </c>
      <c r="AC10" s="65">
        <f>VLOOKUP($E$1,'[3]Resumen x Tipo Combustible'!$C$60:$O$66,AC1,0)</f>
        <v>8340</v>
      </c>
      <c r="AD10" s="65">
        <f>VLOOKUP($E$1,'[3]Resumen x Tipo Combustible'!$C$60:$O$66,AD1,0)</f>
        <v>9300</v>
      </c>
      <c r="AE10" s="65">
        <f>VLOOKUP($E$1,'[3]Resumen x Tipo Combustible'!$C$60:$O$66,AE1,0)</f>
        <v>9240</v>
      </c>
      <c r="AF10" s="65">
        <f>VLOOKUP($E$1,'[3]Resumen x Tipo Combustible'!$C$60:$O$66,AF1,0)</f>
        <v>8640</v>
      </c>
      <c r="AG10" s="65">
        <f>VLOOKUP($E$1,'[3]Resumen x Tipo Combustible'!$C$60:$O$66,AG1,0)</f>
        <v>8940</v>
      </c>
      <c r="AH10" s="65">
        <f>VLOOKUP($E$1,'[3]Resumen x Tipo Combustible'!$C$60:$O$66,AH1,0)</f>
        <v>7740</v>
      </c>
      <c r="AI10" s="65">
        <f>VLOOKUP($E$1,'[3]Resumen x Tipo Combustible'!$C$60:$O$66,AI1,0)</f>
        <v>9480</v>
      </c>
      <c r="AJ10" s="65">
        <f>VLOOKUP($E$1,'[3]Resumen x Tipo Combustible'!$C$60:$O$66,AJ1,0)</f>
        <v>9900</v>
      </c>
      <c r="AK10" s="65">
        <f t="shared" si="6"/>
        <v>109680</v>
      </c>
      <c r="AL10" s="73">
        <f t="shared" si="4"/>
        <v>1.0258652410270539E-3</v>
      </c>
      <c r="AM10" s="14">
        <f t="shared" si="7"/>
        <v>0.41462345065971906</v>
      </c>
      <c r="AN10" s="9"/>
    </row>
    <row r="11" spans="1:40" ht="15" hidden="1" customHeight="1" outlineLevel="1">
      <c r="A11" s="12"/>
      <c r="B11" s="19"/>
      <c r="C11" s="19"/>
      <c r="D11" s="12"/>
      <c r="E11" s="20"/>
      <c r="F11" s="12"/>
      <c r="G11" s="12"/>
      <c r="H11" s="12"/>
      <c r="I11" s="117" t="s">
        <v>473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11">
        <f t="shared" si="5"/>
        <v>0</v>
      </c>
      <c r="W11" s="73">
        <f t="shared" si="2"/>
        <v>0</v>
      </c>
      <c r="X11" s="89"/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f t="shared" si="6"/>
        <v>0</v>
      </c>
      <c r="AL11" s="73">
        <f t="shared" si="4"/>
        <v>0</v>
      </c>
      <c r="AM11" s="14">
        <f t="shared" si="7"/>
        <v>0</v>
      </c>
      <c r="AN11" s="9"/>
    </row>
    <row r="12" spans="1:40" ht="15" hidden="1" customHeight="1" outlineLevel="1">
      <c r="A12" s="12"/>
      <c r="B12" s="19"/>
      <c r="C12" s="19"/>
      <c r="D12" s="12"/>
      <c r="E12" s="20"/>
      <c r="F12" s="12"/>
      <c r="G12" s="12"/>
      <c r="H12" s="12"/>
      <c r="I12" s="117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11">
        <f t="shared" si="5"/>
        <v>0</v>
      </c>
      <c r="W12" s="73">
        <f t="shared" si="2"/>
        <v>0</v>
      </c>
      <c r="X12" s="89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>
        <f t="shared" si="6"/>
        <v>0</v>
      </c>
      <c r="AL12" s="73">
        <f t="shared" si="4"/>
        <v>0</v>
      </c>
      <c r="AM12" s="14">
        <f t="shared" si="7"/>
        <v>0</v>
      </c>
      <c r="AN12" s="9"/>
    </row>
    <row r="13" spans="1:40" ht="14.45" customHeight="1" collapsed="1">
      <c r="A13" s="12" t="s">
        <v>97</v>
      </c>
      <c r="B13" s="19"/>
      <c r="E13" s="7" t="s">
        <v>98</v>
      </c>
      <c r="I13" s="167" t="s">
        <v>99</v>
      </c>
      <c r="J13" s="15">
        <v>6793962</v>
      </c>
      <c r="K13" s="15">
        <v>6552573</v>
      </c>
      <c r="L13" s="15">
        <v>7436208</v>
      </c>
      <c r="M13" s="15">
        <v>6662963</v>
      </c>
      <c r="N13" s="15">
        <v>7177945</v>
      </c>
      <c r="O13" s="15">
        <v>7377075</v>
      </c>
      <c r="P13" s="15">
        <v>7569793</v>
      </c>
      <c r="Q13" s="15">
        <v>7026409</v>
      </c>
      <c r="R13" s="15">
        <v>7090913</v>
      </c>
      <c r="S13" s="15">
        <v>8181674</v>
      </c>
      <c r="T13" s="15">
        <v>9422677.6862325147</v>
      </c>
      <c r="U13" s="15">
        <v>9186905.5033989418</v>
      </c>
      <c r="V13" s="15">
        <f t="shared" ref="V13" si="8">SUM(V14:V33)</f>
        <v>90479097.189631462</v>
      </c>
      <c r="W13" s="72">
        <f t="shared" si="2"/>
        <v>0.86085123798507102</v>
      </c>
      <c r="X13" s="89"/>
      <c r="Y13" s="15">
        <f>SUM(Y14:Y33)</f>
        <v>6673448.1999999993</v>
      </c>
      <c r="Z13" s="15">
        <f t="shared" ref="Z13:AK13" si="9">SUM(Z14:Z33)</f>
        <v>6579624.9287519995</v>
      </c>
      <c r="AA13" s="15">
        <f t="shared" si="9"/>
        <v>7268068.3441189984</v>
      </c>
      <c r="AB13" s="15">
        <f t="shared" si="9"/>
        <v>6966486.7184349261</v>
      </c>
      <c r="AC13" s="15">
        <f t="shared" si="9"/>
        <v>7937247.0993653946</v>
      </c>
      <c r="AD13" s="15">
        <f t="shared" si="9"/>
        <v>8083599.2018172257</v>
      </c>
      <c r="AE13" s="15">
        <f t="shared" si="9"/>
        <v>8280386.940117362</v>
      </c>
      <c r="AF13" s="15">
        <f t="shared" si="9"/>
        <v>8480225.9301144946</v>
      </c>
      <c r="AG13" s="15">
        <f t="shared" si="9"/>
        <v>8397984.2668173239</v>
      </c>
      <c r="AH13" s="15">
        <f t="shared" si="9"/>
        <v>8799300.497534845</v>
      </c>
      <c r="AI13" s="15">
        <f t="shared" si="9"/>
        <v>8066639.2655716855</v>
      </c>
      <c r="AJ13" s="15">
        <f t="shared" si="9"/>
        <v>7607664.1505140578</v>
      </c>
      <c r="AK13" s="15">
        <f t="shared" si="9"/>
        <v>93140675.543158308</v>
      </c>
      <c r="AL13" s="72">
        <f t="shared" si="4"/>
        <v>0.8711686867752072</v>
      </c>
      <c r="AM13" s="10">
        <f t="shared" si="7"/>
        <v>2.9416499901060655E-2</v>
      </c>
      <c r="AN13" s="9"/>
    </row>
    <row r="14" spans="1:40" ht="14.45" hidden="1" customHeight="1" outlineLevel="1">
      <c r="A14" s="37" t="s">
        <v>97</v>
      </c>
      <c r="B14" s="39"/>
      <c r="C14" s="39" t="s">
        <v>100</v>
      </c>
      <c r="D14" s="37" t="s">
        <v>101</v>
      </c>
      <c r="E14" s="38"/>
      <c r="F14" s="37"/>
      <c r="G14" s="37"/>
      <c r="H14" s="37"/>
      <c r="I14" s="171" t="s">
        <v>102</v>
      </c>
      <c r="J14" s="65">
        <v>5828914</v>
      </c>
      <c r="K14" s="65">
        <v>5604354</v>
      </c>
      <c r="L14" s="65">
        <v>6062002</v>
      </c>
      <c r="M14" s="65">
        <v>5622948</v>
      </c>
      <c r="N14" s="65">
        <v>6479296</v>
      </c>
      <c r="O14" s="65">
        <v>6515158</v>
      </c>
      <c r="P14" s="65">
        <v>6609938</v>
      </c>
      <c r="Q14" s="65">
        <v>6683664</v>
      </c>
      <c r="R14" s="65">
        <v>6827219</v>
      </c>
      <c r="S14" s="65">
        <v>6863675</v>
      </c>
      <c r="T14" s="65">
        <v>6423954.7829404017</v>
      </c>
      <c r="U14" s="65">
        <v>6379550.7362849452</v>
      </c>
      <c r="V14" s="11">
        <f t="shared" si="5"/>
        <v>75900673.519225344</v>
      </c>
      <c r="W14" s="73">
        <f t="shared" si="2"/>
        <v>0.72214678077505656</v>
      </c>
      <c r="X14" s="89"/>
      <c r="Y14" s="65">
        <f>Y7-Y28-Y35</f>
        <v>4715275.8599999994</v>
      </c>
      <c r="Z14" s="65">
        <f>Z7-Z28-Z35</f>
        <v>4622398.824</v>
      </c>
      <c r="AA14" s="65">
        <f>AA7-AA28-AA35</f>
        <v>5061381.2597614396</v>
      </c>
      <c r="AB14" s="65">
        <f>AB7-AB28-AB35</f>
        <v>4830673.87391611</v>
      </c>
      <c r="AC14" s="65">
        <f>AC7-AC28-AC35</f>
        <v>5718355.0133707765</v>
      </c>
      <c r="AD14" s="65">
        <f>AD7-AD28-AD35</f>
        <v>5719189.6158441957</v>
      </c>
      <c r="AE14" s="65">
        <f>AE7-AE28-AE35</f>
        <v>5877827.9107370786</v>
      </c>
      <c r="AF14" s="65">
        <f>AF7-AF28-AF35</f>
        <v>6295342.0494084274</v>
      </c>
      <c r="AG14" s="65">
        <f>AG7-AG28-AG35</f>
        <v>6223109.5284583541</v>
      </c>
      <c r="AH14" s="65">
        <f>AH7-AH28-AH35</f>
        <v>6349106.7584659969</v>
      </c>
      <c r="AI14" s="65">
        <f>AI7-AI28-AI35</f>
        <v>5667593.5115060452</v>
      </c>
      <c r="AJ14" s="65">
        <f>AJ7-AJ28-AJ35</f>
        <v>5335740.1610386958</v>
      </c>
      <c r="AK14" s="65">
        <f t="shared" si="6"/>
        <v>66415994.36650712</v>
      </c>
      <c r="AL14" s="73">
        <f t="shared" si="4"/>
        <v>0.62120587225426949</v>
      </c>
      <c r="AM14" s="14">
        <f t="shared" si="7"/>
        <v>-0.12496172580492049</v>
      </c>
      <c r="AN14" s="9"/>
    </row>
    <row r="15" spans="1:40" ht="14.45" hidden="1" customHeight="1" outlineLevel="1">
      <c r="A15" s="37" t="s">
        <v>97</v>
      </c>
      <c r="B15" s="39"/>
      <c r="C15" s="39" t="s">
        <v>103</v>
      </c>
      <c r="D15" s="37" t="s">
        <v>104</v>
      </c>
      <c r="E15" s="38"/>
      <c r="F15" s="37"/>
      <c r="G15" s="37"/>
      <c r="H15" s="37"/>
      <c r="I15" s="172" t="s">
        <v>105</v>
      </c>
      <c r="J15" s="65">
        <v>949059</v>
      </c>
      <c r="K15" s="65">
        <v>992906</v>
      </c>
      <c r="L15" s="65">
        <v>1009477</v>
      </c>
      <c r="M15" s="65">
        <v>1038664</v>
      </c>
      <c r="N15" s="65">
        <v>1056656</v>
      </c>
      <c r="O15" s="65">
        <v>1106447</v>
      </c>
      <c r="P15" s="65">
        <v>1046127</v>
      </c>
      <c r="Q15" s="65">
        <v>625728</v>
      </c>
      <c r="R15" s="65">
        <v>527086</v>
      </c>
      <c r="S15" s="65">
        <v>1101453</v>
      </c>
      <c r="T15" s="65">
        <v>858114.20950406906</v>
      </c>
      <c r="U15" s="65">
        <v>827311.01283388771</v>
      </c>
      <c r="V15" s="11">
        <f t="shared" si="5"/>
        <v>11139028.222337957</v>
      </c>
      <c r="W15" s="73">
        <f t="shared" si="2"/>
        <v>0.10598079040347831</v>
      </c>
      <c r="X15" s="89"/>
      <c r="Y15" s="65">
        <f>Y8-Y29-Y36</f>
        <v>824261.53999999992</v>
      </c>
      <c r="Z15" s="65">
        <f>Z8-Z29-Z36</f>
        <v>872214.00177600002</v>
      </c>
      <c r="AA15" s="65">
        <f>AA8-AA29-AA36</f>
        <v>906943.59840621136</v>
      </c>
      <c r="AB15" s="65">
        <f>AB8-AB29-AB36</f>
        <v>942991.71059830056</v>
      </c>
      <c r="AC15" s="65">
        <f>AC8-AC29-AC36</f>
        <v>1002136.1112917827</v>
      </c>
      <c r="AD15" s="65">
        <f>AD8-AD29-AD36</f>
        <v>1063809.6558426067</v>
      </c>
      <c r="AE15" s="65">
        <f>AE8-AE29-AE36</f>
        <v>995565.4203884895</v>
      </c>
      <c r="AF15" s="65">
        <f>AF8-AF29-AF36</f>
        <v>1050803.9366338071</v>
      </c>
      <c r="AG15" s="65">
        <f>AG8-AG29-AG36</f>
        <v>977483.12367585686</v>
      </c>
      <c r="AH15" s="65">
        <f>AH8-AH29-AH36</f>
        <v>1093885.3365670817</v>
      </c>
      <c r="AI15" s="65">
        <f>AI8-AI29-AI36</f>
        <v>1075690.2734006112</v>
      </c>
      <c r="AJ15" s="65">
        <f>AJ8-AJ29-AJ36</f>
        <v>1015229.5056861452</v>
      </c>
      <c r="AK15" s="65">
        <f t="shared" si="6"/>
        <v>11821014.214266893</v>
      </c>
      <c r="AL15" s="73">
        <f t="shared" si="4"/>
        <v>0.11056498537657855</v>
      </c>
      <c r="AM15" s="14">
        <f t="shared" si="7"/>
        <v>6.1224909239505854E-2</v>
      </c>
      <c r="AN15" s="9"/>
    </row>
    <row r="16" spans="1:40" ht="14.45" hidden="1" customHeight="1" outlineLevel="1">
      <c r="A16" s="37" t="s">
        <v>97</v>
      </c>
      <c r="B16" s="39"/>
      <c r="C16" s="39" t="s">
        <v>106</v>
      </c>
      <c r="D16" s="37" t="s">
        <v>107</v>
      </c>
      <c r="E16" s="38"/>
      <c r="F16" s="37"/>
      <c r="G16" s="37"/>
      <c r="H16" s="37"/>
      <c r="I16" s="167" t="s">
        <v>5</v>
      </c>
      <c r="J16" s="65">
        <v>1146067</v>
      </c>
      <c r="K16" s="65">
        <v>1107933</v>
      </c>
      <c r="L16" s="65">
        <v>1639403</v>
      </c>
      <c r="M16" s="65">
        <v>1160995</v>
      </c>
      <c r="N16" s="65">
        <v>1125328</v>
      </c>
      <c r="O16" s="65">
        <v>1213410</v>
      </c>
      <c r="P16" s="65">
        <v>1362193</v>
      </c>
      <c r="Q16" s="65">
        <v>1062653</v>
      </c>
      <c r="R16" s="65">
        <v>1090045</v>
      </c>
      <c r="S16" s="65">
        <v>1683931</v>
      </c>
      <c r="T16" s="65">
        <v>2134845.6937880442</v>
      </c>
      <c r="U16" s="65">
        <v>1974586.7542801094</v>
      </c>
      <c r="V16" s="11">
        <f t="shared" si="5"/>
        <v>16701390.448068153</v>
      </c>
      <c r="W16" s="73">
        <f t="shared" si="2"/>
        <v>0.15890313995019728</v>
      </c>
      <c r="X16" s="89"/>
      <c r="Y16" s="65">
        <f>Y9-Y37</f>
        <v>1127178.7999999998</v>
      </c>
      <c r="Z16" s="65">
        <f>Z9-Z37</f>
        <v>1077413.1029760002</v>
      </c>
      <c r="AA16" s="65">
        <f>AA9-AA37</f>
        <v>1288013.4859513475</v>
      </c>
      <c r="AB16" s="65">
        <f>AB9-AB37</f>
        <v>1186497.1339205161</v>
      </c>
      <c r="AC16" s="65">
        <f>AC9-AC37</f>
        <v>1209666.9747028355</v>
      </c>
      <c r="AD16" s="65">
        <f>AD9-AD37</f>
        <v>1292694.930130423</v>
      </c>
      <c r="AE16" s="65">
        <f>AE9-AE37</f>
        <v>1399139.6089917936</v>
      </c>
      <c r="AF16" s="65">
        <f>AF9-AF37</f>
        <v>1126735.9440722589</v>
      </c>
      <c r="AG16" s="65">
        <f>AG9-AG37</f>
        <v>1189792.6146831121</v>
      </c>
      <c r="AH16" s="65">
        <f>AH9-AH37</f>
        <v>1349729.4025017668</v>
      </c>
      <c r="AI16" s="65">
        <f>AI9-AI37</f>
        <v>1315297.4806650288</v>
      </c>
      <c r="AJ16" s="65">
        <f>AJ9-AJ37</f>
        <v>1248279.4837892167</v>
      </c>
      <c r="AK16" s="65">
        <f t="shared" si="6"/>
        <v>14810438.962384298</v>
      </c>
      <c r="AL16" s="73">
        <f t="shared" si="4"/>
        <v>0.13852584368948612</v>
      </c>
      <c r="AM16" s="14">
        <f t="shared" si="7"/>
        <v>-0.11322120104692124</v>
      </c>
      <c r="AN16" s="9"/>
    </row>
    <row r="17" spans="1:40" ht="14.45" hidden="1" customHeight="1" outlineLevel="1">
      <c r="A17" s="37" t="s">
        <v>97</v>
      </c>
      <c r="B17" s="39"/>
      <c r="C17" s="39" t="s">
        <v>108</v>
      </c>
      <c r="D17" s="37"/>
      <c r="E17" s="38"/>
      <c r="F17" s="37"/>
      <c r="G17" s="37"/>
      <c r="H17" s="37"/>
      <c r="I17" s="171" t="s">
        <v>109</v>
      </c>
      <c r="J17" s="65">
        <v>32810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11">
        <f t="shared" si="5"/>
        <v>32810</v>
      </c>
      <c r="W17" s="73">
        <f t="shared" si="2"/>
        <v>3.1216634554933297E-4</v>
      </c>
      <c r="X17" s="89"/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5">
        <f t="shared" si="6"/>
        <v>0</v>
      </c>
      <c r="AL17" s="73">
        <f t="shared" si="4"/>
        <v>0</v>
      </c>
      <c r="AM17" s="14">
        <f t="shared" si="7"/>
        <v>-1</v>
      </c>
      <c r="AN17" s="9"/>
    </row>
    <row r="18" spans="1:40" ht="14.45" hidden="1" customHeight="1" outlineLevel="1">
      <c r="A18" s="37" t="s">
        <v>97</v>
      </c>
      <c r="B18" s="39"/>
      <c r="C18" s="39" t="s">
        <v>110</v>
      </c>
      <c r="D18" s="37"/>
      <c r="E18" s="38"/>
      <c r="F18" s="37"/>
      <c r="G18" s="37"/>
      <c r="H18" s="37"/>
      <c r="I18" s="172" t="s">
        <v>111</v>
      </c>
      <c r="J18" s="65">
        <v>14306</v>
      </c>
      <c r="K18" s="65">
        <v>10714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11">
        <f t="shared" si="5"/>
        <v>25020</v>
      </c>
      <c r="W18" s="73">
        <f t="shared" si="2"/>
        <v>2.3804943510040571E-4</v>
      </c>
      <c r="X18" s="89"/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5">
        <f t="shared" si="6"/>
        <v>0</v>
      </c>
      <c r="AL18" s="73">
        <f t="shared" si="4"/>
        <v>0</v>
      </c>
      <c r="AM18" s="14">
        <f t="shared" si="7"/>
        <v>-1</v>
      </c>
      <c r="AN18" s="9"/>
    </row>
    <row r="19" spans="1:40" ht="14.45" hidden="1" customHeight="1" outlineLevel="1">
      <c r="A19" s="37" t="s">
        <v>97</v>
      </c>
      <c r="B19" s="39"/>
      <c r="C19" s="39" t="s">
        <v>112</v>
      </c>
      <c r="D19" s="37"/>
      <c r="E19" s="38"/>
      <c r="F19" s="37"/>
      <c r="G19" s="37"/>
      <c r="H19" s="37"/>
      <c r="I19" s="167" t="s">
        <v>113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11">
        <f t="shared" si="5"/>
        <v>0</v>
      </c>
      <c r="W19" s="73">
        <f t="shared" si="2"/>
        <v>0</v>
      </c>
      <c r="X19" s="89"/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5">
        <f t="shared" si="6"/>
        <v>0</v>
      </c>
      <c r="AL19" s="73">
        <f t="shared" si="4"/>
        <v>0</v>
      </c>
      <c r="AM19" s="14">
        <f t="shared" si="7"/>
        <v>0</v>
      </c>
      <c r="AN19" s="9"/>
    </row>
    <row r="20" spans="1:40" ht="14.45" hidden="1" customHeight="1" outlineLevel="1">
      <c r="A20" s="37" t="s">
        <v>97</v>
      </c>
      <c r="B20" s="39"/>
      <c r="C20" s="39" t="s">
        <v>117</v>
      </c>
      <c r="D20" s="37" t="s">
        <v>118</v>
      </c>
      <c r="E20" s="38"/>
      <c r="F20" s="37"/>
      <c r="G20" s="37"/>
      <c r="H20" s="37"/>
      <c r="I20" s="167" t="s">
        <v>114</v>
      </c>
      <c r="J20" s="65">
        <v>0</v>
      </c>
      <c r="K20" s="65">
        <v>-25323</v>
      </c>
      <c r="L20" s="65">
        <v>-15744</v>
      </c>
      <c r="M20" s="65">
        <v>-46667</v>
      </c>
      <c r="N20" s="65">
        <v>-32178</v>
      </c>
      <c r="O20" s="65">
        <v>-87298</v>
      </c>
      <c r="P20" s="65">
        <v>-68546</v>
      </c>
      <c r="Q20" s="65">
        <v>-30160</v>
      </c>
      <c r="R20" s="65">
        <v>-35286</v>
      </c>
      <c r="S20" s="65">
        <v>-35421</v>
      </c>
      <c r="T20" s="65"/>
      <c r="U20" s="65"/>
      <c r="V20" s="11">
        <f t="shared" si="5"/>
        <v>-376623</v>
      </c>
      <c r="W20" s="73">
        <f t="shared" si="2"/>
        <v>-3.5833290326067187E-3</v>
      </c>
      <c r="X20" s="89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5">
        <f t="shared" si="6"/>
        <v>0</v>
      </c>
      <c r="AL20" s="73">
        <f t="shared" si="4"/>
        <v>0</v>
      </c>
      <c r="AM20" s="14">
        <f t="shared" si="7"/>
        <v>-1</v>
      </c>
      <c r="AN20" s="9"/>
    </row>
    <row r="21" spans="1:40" ht="14.45" hidden="1" customHeight="1" outlineLevel="1">
      <c r="A21" s="37" t="s">
        <v>97</v>
      </c>
      <c r="B21" s="39"/>
      <c r="C21" s="39" t="s">
        <v>120</v>
      </c>
      <c r="D21" s="37"/>
      <c r="E21" s="38"/>
      <c r="F21" s="37"/>
      <c r="G21" s="37"/>
      <c r="H21" s="37"/>
      <c r="I21" s="167" t="s">
        <v>115</v>
      </c>
      <c r="J21" s="65">
        <v>0</v>
      </c>
      <c r="K21" s="65">
        <v>0</v>
      </c>
      <c r="L21" s="65">
        <v>-4481</v>
      </c>
      <c r="M21" s="65">
        <v>-3798</v>
      </c>
      <c r="N21" s="65">
        <v>-8897</v>
      </c>
      <c r="O21" s="65">
        <v>-13020</v>
      </c>
      <c r="P21" s="65">
        <v>-14890</v>
      </c>
      <c r="Q21" s="65">
        <v>-848</v>
      </c>
      <c r="R21" s="65">
        <v>-7218</v>
      </c>
      <c r="S21" s="65">
        <v>-5652</v>
      </c>
      <c r="T21" s="65"/>
      <c r="U21" s="65"/>
      <c r="V21" s="11">
        <f t="shared" si="5"/>
        <v>-58804</v>
      </c>
      <c r="W21" s="73">
        <f t="shared" si="2"/>
        <v>-5.5948277304733245E-4</v>
      </c>
      <c r="X21" s="89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5">
        <f t="shared" si="6"/>
        <v>0</v>
      </c>
      <c r="AL21" s="73">
        <f t="shared" si="4"/>
        <v>0</v>
      </c>
      <c r="AM21" s="14">
        <f t="shared" si="7"/>
        <v>-1</v>
      </c>
      <c r="AN21" s="9"/>
    </row>
    <row r="22" spans="1:40" ht="14.45" hidden="1" customHeight="1" outlineLevel="1">
      <c r="A22" s="37" t="s">
        <v>97</v>
      </c>
      <c r="B22" s="39"/>
      <c r="C22" s="39" t="s">
        <v>122</v>
      </c>
      <c r="D22" s="37"/>
      <c r="E22" s="38"/>
      <c r="F22" s="37"/>
      <c r="G22" s="37"/>
      <c r="H22" s="37"/>
      <c r="I22" s="167" t="s">
        <v>116</v>
      </c>
      <c r="J22" s="65">
        <v>-4</v>
      </c>
      <c r="K22" s="65">
        <v>0</v>
      </c>
      <c r="L22" s="65">
        <v>-16455</v>
      </c>
      <c r="M22" s="65">
        <v>-13999</v>
      </c>
      <c r="N22" s="65">
        <v>-15039</v>
      </c>
      <c r="O22" s="65">
        <v>-21651</v>
      </c>
      <c r="P22" s="65">
        <v>-19559</v>
      </c>
      <c r="Q22" s="65">
        <v>-7965</v>
      </c>
      <c r="R22" s="65">
        <v>-13591</v>
      </c>
      <c r="S22" s="65">
        <v>-23555</v>
      </c>
      <c r="T22" s="65"/>
      <c r="U22" s="65"/>
      <c r="V22" s="11">
        <f t="shared" si="5"/>
        <v>-131818</v>
      </c>
      <c r="W22" s="73">
        <f t="shared" si="2"/>
        <v>-1.2541646856940559E-3</v>
      </c>
      <c r="X22" s="89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5">
        <f t="shared" si="6"/>
        <v>0</v>
      </c>
      <c r="AL22" s="73">
        <f t="shared" si="4"/>
        <v>0</v>
      </c>
      <c r="AM22" s="14">
        <f t="shared" si="7"/>
        <v>-1</v>
      </c>
      <c r="AN22" s="9"/>
    </row>
    <row r="23" spans="1:40" ht="14.45" hidden="1" customHeight="1" outlineLevel="1">
      <c r="A23" s="37" t="s">
        <v>97</v>
      </c>
      <c r="B23" s="39"/>
      <c r="C23" s="39" t="s">
        <v>124</v>
      </c>
      <c r="D23" s="37"/>
      <c r="E23" s="38"/>
      <c r="F23" s="37"/>
      <c r="G23" s="37"/>
      <c r="H23" s="37"/>
      <c r="I23" s="171" t="s">
        <v>119</v>
      </c>
      <c r="J23" s="65">
        <v>11297</v>
      </c>
      <c r="K23" s="65">
        <v>22919</v>
      </c>
      <c r="L23" s="65">
        <v>12222</v>
      </c>
      <c r="M23" s="65">
        <v>87046</v>
      </c>
      <c r="N23" s="65">
        <v>-60779</v>
      </c>
      <c r="O23" s="65">
        <v>13327</v>
      </c>
      <c r="P23" s="65">
        <v>16315</v>
      </c>
      <c r="Q23" s="65">
        <v>11779</v>
      </c>
      <c r="R23" s="65">
        <v>16320</v>
      </c>
      <c r="S23" s="65">
        <v>14028</v>
      </c>
      <c r="T23" s="65">
        <v>0</v>
      </c>
      <c r="U23" s="65">
        <v>0</v>
      </c>
      <c r="V23" s="11">
        <f t="shared" si="5"/>
        <v>144474</v>
      </c>
      <c r="W23" s="73">
        <f t="shared" si="2"/>
        <v>1.3745785006673067E-3</v>
      </c>
      <c r="X23" s="89"/>
      <c r="Y23" s="65">
        <f>0*Y40</f>
        <v>0</v>
      </c>
      <c r="Z23" s="65">
        <f t="shared" ref="Z23:AJ24" si="10">0*Z40</f>
        <v>0</v>
      </c>
      <c r="AA23" s="65">
        <f t="shared" si="10"/>
        <v>0</v>
      </c>
      <c r="AB23" s="65">
        <f t="shared" si="10"/>
        <v>0</v>
      </c>
      <c r="AC23" s="65">
        <f t="shared" si="10"/>
        <v>0</v>
      </c>
      <c r="AD23" s="65">
        <f t="shared" si="10"/>
        <v>0</v>
      </c>
      <c r="AE23" s="65">
        <f t="shared" si="10"/>
        <v>0</v>
      </c>
      <c r="AF23" s="65">
        <f t="shared" si="10"/>
        <v>0</v>
      </c>
      <c r="AG23" s="65">
        <f t="shared" si="10"/>
        <v>0</v>
      </c>
      <c r="AH23" s="65">
        <f t="shared" si="10"/>
        <v>0</v>
      </c>
      <c r="AI23" s="65">
        <f t="shared" si="10"/>
        <v>0</v>
      </c>
      <c r="AJ23" s="65">
        <f t="shared" si="10"/>
        <v>0</v>
      </c>
      <c r="AK23" s="65">
        <f t="shared" si="6"/>
        <v>0</v>
      </c>
      <c r="AL23" s="73">
        <f t="shared" si="4"/>
        <v>0</v>
      </c>
      <c r="AM23" s="14">
        <f t="shared" si="7"/>
        <v>-1</v>
      </c>
      <c r="AN23" s="9"/>
    </row>
    <row r="24" spans="1:40" ht="14.45" hidden="1" customHeight="1" outlineLevel="1">
      <c r="A24" s="37" t="s">
        <v>97</v>
      </c>
      <c r="B24" s="39"/>
      <c r="C24" s="39" t="s">
        <v>126</v>
      </c>
      <c r="D24" s="37"/>
      <c r="E24" s="38"/>
      <c r="F24" s="37"/>
      <c r="G24" s="37"/>
      <c r="H24" s="37"/>
      <c r="I24" s="172" t="s">
        <v>121</v>
      </c>
      <c r="J24" s="65">
        <v>2332</v>
      </c>
      <c r="K24" s="65">
        <v>2655</v>
      </c>
      <c r="L24" s="65">
        <v>2280</v>
      </c>
      <c r="M24" s="65">
        <v>2248</v>
      </c>
      <c r="N24" s="65">
        <v>2051</v>
      </c>
      <c r="O24" s="65">
        <v>1900</v>
      </c>
      <c r="P24" s="65">
        <v>2586</v>
      </c>
      <c r="Q24" s="65">
        <v>393</v>
      </c>
      <c r="R24" s="65">
        <v>1828</v>
      </c>
      <c r="S24" s="65">
        <v>2074</v>
      </c>
      <c r="T24" s="65">
        <v>0</v>
      </c>
      <c r="U24" s="65">
        <v>0</v>
      </c>
      <c r="V24" s="11">
        <f t="shared" si="5"/>
        <v>20347</v>
      </c>
      <c r="W24" s="73">
        <f t="shared" si="2"/>
        <v>1.9358880319696062E-4</v>
      </c>
      <c r="X24" s="89"/>
      <c r="Y24" s="65">
        <f>0*Y41</f>
        <v>0</v>
      </c>
      <c r="Z24" s="65">
        <f t="shared" si="10"/>
        <v>0</v>
      </c>
      <c r="AA24" s="65">
        <f t="shared" si="10"/>
        <v>0</v>
      </c>
      <c r="AB24" s="65">
        <f t="shared" si="10"/>
        <v>0</v>
      </c>
      <c r="AC24" s="65">
        <f t="shared" si="10"/>
        <v>0</v>
      </c>
      <c r="AD24" s="65">
        <f t="shared" si="10"/>
        <v>0</v>
      </c>
      <c r="AE24" s="65">
        <f t="shared" si="10"/>
        <v>0</v>
      </c>
      <c r="AF24" s="65">
        <f t="shared" si="10"/>
        <v>0</v>
      </c>
      <c r="AG24" s="65">
        <f t="shared" si="10"/>
        <v>0</v>
      </c>
      <c r="AH24" s="65">
        <f t="shared" si="10"/>
        <v>0</v>
      </c>
      <c r="AI24" s="65">
        <f t="shared" si="10"/>
        <v>0</v>
      </c>
      <c r="AJ24" s="65">
        <f t="shared" si="10"/>
        <v>0</v>
      </c>
      <c r="AK24" s="65">
        <f t="shared" si="6"/>
        <v>0</v>
      </c>
      <c r="AL24" s="73">
        <f t="shared" si="4"/>
        <v>0</v>
      </c>
      <c r="AM24" s="14">
        <f t="shared" si="7"/>
        <v>-1</v>
      </c>
      <c r="AN24" s="9"/>
    </row>
    <row r="25" spans="1:40" ht="14.45" hidden="1" customHeight="1" outlineLevel="1">
      <c r="A25" s="37" t="s">
        <v>97</v>
      </c>
      <c r="B25" s="39"/>
      <c r="C25" s="39" t="s">
        <v>127</v>
      </c>
      <c r="D25" s="37" t="s">
        <v>90</v>
      </c>
      <c r="E25" s="38"/>
      <c r="F25" s="37"/>
      <c r="G25" s="37"/>
      <c r="H25" s="37"/>
      <c r="I25" s="171" t="s">
        <v>123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11">
        <f t="shared" si="5"/>
        <v>0</v>
      </c>
      <c r="W25" s="73">
        <f t="shared" si="2"/>
        <v>0</v>
      </c>
      <c r="X25" s="89"/>
      <c r="Y25" s="65">
        <f>(Y40*'Parametros JRZ'!$N$48)*'Parametros JRZ'!$B$59</f>
        <v>0</v>
      </c>
      <c r="Z25" s="65">
        <f>(Z40*'Parametros JRZ'!$N$48)*'Parametros JRZ'!$B$59</f>
        <v>0</v>
      </c>
      <c r="AA25" s="65">
        <f>(AA40*'Parametros JRZ'!$N$48)*'Parametros JRZ'!$B$59</f>
        <v>0</v>
      </c>
      <c r="AB25" s="65">
        <f>(AB40*'Parametros JRZ'!$N$48)*'Parametros JRZ'!$B$59</f>
        <v>0</v>
      </c>
      <c r="AC25" s="65">
        <f>(AC40*'Parametros JRZ'!$N$48)*'Parametros JRZ'!$B$59</f>
        <v>0</v>
      </c>
      <c r="AD25" s="65">
        <f>(AD40*'Parametros JRZ'!$N$48)*'Parametros JRZ'!$B$59</f>
        <v>0</v>
      </c>
      <c r="AE25" s="65">
        <f>(AE40*'Parametros JRZ'!$N$48)*'Parametros JRZ'!$B$59</f>
        <v>0</v>
      </c>
      <c r="AF25" s="65">
        <f>(AF40*'Parametros JRZ'!$N$48)*'Parametros JRZ'!$B$59</f>
        <v>0</v>
      </c>
      <c r="AG25" s="65">
        <f>(AG40*'Parametros JRZ'!$N$48)*'Parametros JRZ'!$B$59</f>
        <v>0</v>
      </c>
      <c r="AH25" s="65">
        <f>(AH40*'Parametros JRZ'!$N$48)*'Parametros JRZ'!$B$59</f>
        <v>0</v>
      </c>
      <c r="AI25" s="65">
        <f>(AI40*'Parametros JRZ'!$N$48)*'Parametros JRZ'!$B$59</f>
        <v>0</v>
      </c>
      <c r="AJ25" s="65">
        <f>(AJ40*'Parametros JRZ'!$N$48)*'Parametros JRZ'!$B$59</f>
        <v>0</v>
      </c>
      <c r="AK25" s="65">
        <f t="shared" si="6"/>
        <v>0</v>
      </c>
      <c r="AL25" s="73">
        <f t="shared" si="4"/>
        <v>0</v>
      </c>
      <c r="AM25" s="14">
        <f t="shared" si="7"/>
        <v>0</v>
      </c>
      <c r="AN25" s="9"/>
    </row>
    <row r="26" spans="1:40" ht="14.45" hidden="1" customHeight="1" outlineLevel="1">
      <c r="A26" s="37" t="s">
        <v>97</v>
      </c>
      <c r="B26" s="39"/>
      <c r="C26" s="39" t="s">
        <v>129</v>
      </c>
      <c r="D26" s="37" t="s">
        <v>90</v>
      </c>
      <c r="E26" s="38"/>
      <c r="F26" s="37"/>
      <c r="G26" s="37"/>
      <c r="H26" s="37"/>
      <c r="I26" s="172" t="s">
        <v>125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11">
        <f t="shared" si="5"/>
        <v>0</v>
      </c>
      <c r="W26" s="73">
        <f t="shared" si="2"/>
        <v>0</v>
      </c>
      <c r="X26" s="89"/>
      <c r="Y26" s="65">
        <f>(Y41*'Parametros JRZ'!$N$49)*'Parametros JRZ'!$B$60</f>
        <v>0</v>
      </c>
      <c r="Z26" s="65">
        <f>(Z41*'Parametros JRZ'!$N$49)*'Parametros JRZ'!$B$60</f>
        <v>0</v>
      </c>
      <c r="AA26" s="65">
        <f>(AA41*'Parametros JRZ'!$N$49)*'Parametros JRZ'!$B$60</f>
        <v>0</v>
      </c>
      <c r="AB26" s="65">
        <f>(AB41*'Parametros JRZ'!$N$49)*'Parametros JRZ'!$B$60</f>
        <v>0</v>
      </c>
      <c r="AC26" s="65">
        <f>(AC41*'Parametros JRZ'!$N$49)*'Parametros JRZ'!$B$60</f>
        <v>0</v>
      </c>
      <c r="AD26" s="65">
        <f>(AD41*'Parametros JRZ'!$N$49)*'Parametros JRZ'!$B$60</f>
        <v>0</v>
      </c>
      <c r="AE26" s="65">
        <f>(AE41*'Parametros JRZ'!$N$49)*'Parametros JRZ'!$B$60</f>
        <v>0</v>
      </c>
      <c r="AF26" s="65">
        <f>(AF41*'Parametros JRZ'!$N$49)*'Parametros JRZ'!$B$60</f>
        <v>0</v>
      </c>
      <c r="AG26" s="65">
        <f>(AG41*'Parametros JRZ'!$N$49)*'Parametros JRZ'!$B$60</f>
        <v>0</v>
      </c>
      <c r="AH26" s="65">
        <f>(AH41*'Parametros JRZ'!$N$49)*'Parametros JRZ'!$B$60</f>
        <v>0</v>
      </c>
      <c r="AI26" s="65">
        <f>(AI41*'Parametros JRZ'!$N$49)*'Parametros JRZ'!$B$60</f>
        <v>0</v>
      </c>
      <c r="AJ26" s="65">
        <f>(AJ41*'Parametros JRZ'!$N$49)*'Parametros JRZ'!$B$60</f>
        <v>0</v>
      </c>
      <c r="AK26" s="65">
        <f t="shared" si="6"/>
        <v>0</v>
      </c>
      <c r="AL26" s="73">
        <f t="shared" si="4"/>
        <v>0</v>
      </c>
      <c r="AM26" s="14">
        <f t="shared" si="7"/>
        <v>0</v>
      </c>
      <c r="AN26" s="9"/>
    </row>
    <row r="27" spans="1:40" ht="14.45" hidden="1" customHeight="1" outlineLevel="1">
      <c r="A27" s="37"/>
      <c r="B27" s="39"/>
      <c r="C27" s="39"/>
      <c r="D27" s="37"/>
      <c r="E27" s="38"/>
      <c r="F27" s="37"/>
      <c r="G27" s="37"/>
      <c r="H27" s="37"/>
      <c r="I27" s="167" t="s">
        <v>126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11">
        <f t="shared" si="5"/>
        <v>0</v>
      </c>
      <c r="W27" s="73">
        <f t="shared" si="2"/>
        <v>0</v>
      </c>
      <c r="X27" s="89"/>
      <c r="Y27" s="65">
        <f>(Y42*'Parametros JRZ'!$N$50)*'Parametros JRZ'!$B$61</f>
        <v>0</v>
      </c>
      <c r="Z27" s="65">
        <f>(Z42*'Parametros JRZ'!$N$50)*'Parametros JRZ'!$B$61</f>
        <v>0</v>
      </c>
      <c r="AA27" s="65">
        <f>(AA42*'Parametros JRZ'!$N$50)*'Parametros JRZ'!$B$61</f>
        <v>0</v>
      </c>
      <c r="AB27" s="65">
        <f>(AB42*'Parametros JRZ'!$N$50)*'Parametros JRZ'!$B$61</f>
        <v>0</v>
      </c>
      <c r="AC27" s="65">
        <f>(AC42*'Parametros JRZ'!$N$50)*'Parametros JRZ'!$B$61</f>
        <v>0</v>
      </c>
      <c r="AD27" s="65">
        <f>(AD42*'Parametros JRZ'!$N$50)*'Parametros JRZ'!$B$61</f>
        <v>0</v>
      </c>
      <c r="AE27" s="65">
        <f>(AE42*'Parametros JRZ'!$N$50)*'Parametros JRZ'!$B$61</f>
        <v>0</v>
      </c>
      <c r="AF27" s="65">
        <f>(AF42*'Parametros JRZ'!$N$50)*'Parametros JRZ'!$B$61</f>
        <v>0</v>
      </c>
      <c r="AG27" s="65">
        <f>(AG42*'Parametros JRZ'!$N$50)*'Parametros JRZ'!$B$61</f>
        <v>0</v>
      </c>
      <c r="AH27" s="65">
        <f>(AH42*'Parametros JRZ'!$N$50)*'Parametros JRZ'!$B$61</f>
        <v>0</v>
      </c>
      <c r="AI27" s="65">
        <f>(AI42*'Parametros JRZ'!$N$50)*'Parametros JRZ'!$B$61</f>
        <v>0</v>
      </c>
      <c r="AJ27" s="65">
        <f>(AJ42*'Parametros JRZ'!$N$50)*'Parametros JRZ'!$B$61</f>
        <v>0</v>
      </c>
      <c r="AK27" s="65">
        <f t="shared" si="6"/>
        <v>0</v>
      </c>
      <c r="AL27" s="73">
        <f t="shared" si="4"/>
        <v>0</v>
      </c>
      <c r="AM27" s="14">
        <f t="shared" si="7"/>
        <v>0</v>
      </c>
      <c r="AN27" s="9"/>
    </row>
    <row r="28" spans="1:40" ht="15.6" hidden="1" customHeight="1" outlineLevel="1">
      <c r="I28" s="171" t="s">
        <v>128</v>
      </c>
      <c r="J28" s="65">
        <v>-1058636</v>
      </c>
      <c r="K28" s="65">
        <v>-1024960</v>
      </c>
      <c r="L28" s="65">
        <v>-1109005</v>
      </c>
      <c r="M28" s="65">
        <v>-1037950</v>
      </c>
      <c r="N28" s="65">
        <v>-1214329</v>
      </c>
      <c r="O28" s="65">
        <v>-1191300</v>
      </c>
      <c r="P28" s="65">
        <v>-1217324</v>
      </c>
      <c r="Q28" s="65">
        <v>-1236153</v>
      </c>
      <c r="R28" s="65">
        <v>-1239653</v>
      </c>
      <c r="S28" s="65">
        <v>-1275025</v>
      </c>
      <c r="T28" s="65">
        <v>0</v>
      </c>
      <c r="U28" s="65">
        <v>0</v>
      </c>
      <c r="V28" s="11">
        <f t="shared" si="5"/>
        <v>-11604335</v>
      </c>
      <c r="W28" s="73">
        <f t="shared" si="2"/>
        <v>-0.11040788934715694</v>
      </c>
      <c r="X28" s="89"/>
      <c r="Y28" s="66">
        <f>+-Y40*'[3]Margen ctvs-lit'!$T$2</f>
        <v>0</v>
      </c>
      <c r="Z28" s="66">
        <f>+-Z40*'[3]Margen ctvs-lit'!$T$2</f>
        <v>0</v>
      </c>
      <c r="AA28" s="66">
        <f>+-AA40*'[3]Margen ctvs-lit'!$T$2</f>
        <v>0</v>
      </c>
      <c r="AB28" s="66">
        <f>+-AB40*'[3]Margen ctvs-lit'!$T$2</f>
        <v>0</v>
      </c>
      <c r="AC28" s="66">
        <f>+-AC40*'[3]Margen ctvs-lit'!$T$2</f>
        <v>0</v>
      </c>
      <c r="AD28" s="66">
        <f>+-AD40*'[3]Margen ctvs-lit'!$T$2</f>
        <v>0</v>
      </c>
      <c r="AE28" s="66">
        <f>+-AE40*'[3]Margen ctvs-lit'!$T$2</f>
        <v>0</v>
      </c>
      <c r="AF28" s="66">
        <f>+-AF40*'[3]Margen ctvs-lit'!$T$2</f>
        <v>0</v>
      </c>
      <c r="AG28" s="66">
        <f>+-AG40*'[3]Margen ctvs-lit'!$T$2</f>
        <v>0</v>
      </c>
      <c r="AH28" s="66">
        <f>+-AH40*'[3]Margen ctvs-lit'!$T$2</f>
        <v>0</v>
      </c>
      <c r="AI28" s="66">
        <f>+-AI40*'[3]Margen ctvs-lit'!$T$2</f>
        <v>0</v>
      </c>
      <c r="AJ28" s="66">
        <f>+-AJ40*'[3]Margen ctvs-lit'!$T$2</f>
        <v>0</v>
      </c>
      <c r="AK28" s="65">
        <f t="shared" si="6"/>
        <v>0</v>
      </c>
      <c r="AL28" s="73">
        <f t="shared" si="4"/>
        <v>0</v>
      </c>
      <c r="AM28" s="14">
        <f t="shared" si="7"/>
        <v>-1</v>
      </c>
      <c r="AN28" s="9"/>
    </row>
    <row r="29" spans="1:40" ht="14.45" hidden="1" customHeight="1" outlineLevel="1">
      <c r="I29" s="172" t="s">
        <v>130</v>
      </c>
      <c r="J29" s="65">
        <v>-137152</v>
      </c>
      <c r="K29" s="65">
        <v>-143681</v>
      </c>
      <c r="L29" s="65">
        <v>-147301</v>
      </c>
      <c r="M29" s="65">
        <v>-150715</v>
      </c>
      <c r="N29" s="65">
        <v>-157836</v>
      </c>
      <c r="O29" s="65">
        <v>-165874</v>
      </c>
      <c r="P29" s="65">
        <v>-152465</v>
      </c>
      <c r="Q29" s="65">
        <v>-89164</v>
      </c>
      <c r="R29" s="65">
        <v>-75222</v>
      </c>
      <c r="S29" s="65">
        <v>-159867</v>
      </c>
      <c r="T29" s="65">
        <v>0</v>
      </c>
      <c r="U29" s="65">
        <v>0</v>
      </c>
      <c r="V29" s="11">
        <f t="shared" si="5"/>
        <v>-1379277</v>
      </c>
      <c r="W29" s="73">
        <f t="shared" si="2"/>
        <v>-1.3122946071022474E-2</v>
      </c>
      <c r="X29" s="89"/>
      <c r="Y29" s="66">
        <f>+-Y41*'[3]Margen ctvs-lit'!$T$3</f>
        <v>0</v>
      </c>
      <c r="Z29" s="66">
        <f>+-Z41*'[3]Margen ctvs-lit'!$T$3</f>
        <v>0</v>
      </c>
      <c r="AA29" s="66">
        <f>+-AA41*'[3]Margen ctvs-lit'!$T$3</f>
        <v>0</v>
      </c>
      <c r="AB29" s="66">
        <f>+-AB41*'[3]Margen ctvs-lit'!$T$3</f>
        <v>0</v>
      </c>
      <c r="AC29" s="66">
        <f>+-AC41*'[3]Margen ctvs-lit'!$T$3</f>
        <v>0</v>
      </c>
      <c r="AD29" s="66">
        <f>+-AD41*'[3]Margen ctvs-lit'!$T$3</f>
        <v>0</v>
      </c>
      <c r="AE29" s="66">
        <f>+-AE41*'[3]Margen ctvs-lit'!$T$3</f>
        <v>0</v>
      </c>
      <c r="AF29" s="66">
        <f>+-AF41*'[3]Margen ctvs-lit'!$T$3</f>
        <v>0</v>
      </c>
      <c r="AG29" s="66">
        <f>+-AG41*'[3]Margen ctvs-lit'!$T$3</f>
        <v>0</v>
      </c>
      <c r="AH29" s="66">
        <f>+-AH41*'[3]Margen ctvs-lit'!$T$3</f>
        <v>0</v>
      </c>
      <c r="AI29" s="66">
        <f>+-AI41*'[3]Margen ctvs-lit'!$T$3</f>
        <v>0</v>
      </c>
      <c r="AJ29" s="66">
        <f>+-AJ41*'[3]Margen ctvs-lit'!$T$3</f>
        <v>0</v>
      </c>
      <c r="AK29" s="65">
        <f t="shared" si="6"/>
        <v>0</v>
      </c>
      <c r="AL29" s="73">
        <f t="shared" si="4"/>
        <v>0</v>
      </c>
      <c r="AM29" s="14">
        <f t="shared" si="7"/>
        <v>-1</v>
      </c>
      <c r="AN29" s="9"/>
    </row>
    <row r="30" spans="1:40" ht="14.45" hidden="1" customHeight="1" outlineLevel="1">
      <c r="I30" s="172" t="s">
        <v>131</v>
      </c>
      <c r="J30" s="65">
        <v>4969</v>
      </c>
      <c r="K30" s="65">
        <v>5056</v>
      </c>
      <c r="L30" s="65">
        <v>3810</v>
      </c>
      <c r="M30" s="65">
        <v>4191</v>
      </c>
      <c r="N30" s="65">
        <v>3673</v>
      </c>
      <c r="O30" s="65">
        <v>5975</v>
      </c>
      <c r="P30" s="65">
        <v>5417</v>
      </c>
      <c r="Q30" s="65">
        <v>6481</v>
      </c>
      <c r="R30" s="65">
        <v>-615</v>
      </c>
      <c r="S30" s="65">
        <v>16034</v>
      </c>
      <c r="T30" s="65">
        <v>5763</v>
      </c>
      <c r="U30" s="65">
        <v>5457</v>
      </c>
      <c r="V30" s="11">
        <f t="shared" si="5"/>
        <v>66211</v>
      </c>
      <c r="W30" s="73">
        <f t="shared" si="2"/>
        <v>6.2995568135223675E-4</v>
      </c>
      <c r="X30" s="89"/>
      <c r="Y30" s="65">
        <f t="shared" ref="Y30:AJ30" si="11">+Y10*0.85</f>
        <v>6732</v>
      </c>
      <c r="Z30" s="65">
        <f t="shared" si="11"/>
        <v>7599</v>
      </c>
      <c r="AA30" s="65">
        <f t="shared" si="11"/>
        <v>11730</v>
      </c>
      <c r="AB30" s="65">
        <f t="shared" si="11"/>
        <v>6324</v>
      </c>
      <c r="AC30" s="65">
        <f t="shared" si="11"/>
        <v>7089</v>
      </c>
      <c r="AD30" s="65">
        <f t="shared" si="11"/>
        <v>7905</v>
      </c>
      <c r="AE30" s="65">
        <f t="shared" si="11"/>
        <v>7854</v>
      </c>
      <c r="AF30" s="65">
        <f t="shared" si="11"/>
        <v>7344</v>
      </c>
      <c r="AG30" s="65">
        <f t="shared" si="11"/>
        <v>7599</v>
      </c>
      <c r="AH30" s="65">
        <f t="shared" si="11"/>
        <v>6579</v>
      </c>
      <c r="AI30" s="65">
        <f t="shared" si="11"/>
        <v>8058</v>
      </c>
      <c r="AJ30" s="65">
        <f t="shared" si="11"/>
        <v>8415</v>
      </c>
      <c r="AK30" s="65">
        <f t="shared" si="6"/>
        <v>93228</v>
      </c>
      <c r="AL30" s="73">
        <f t="shared" si="4"/>
        <v>8.7198545487299586E-4</v>
      </c>
      <c r="AM30" s="14">
        <f t="shared" si="7"/>
        <v>0.40804398060745184</v>
      </c>
      <c r="AN30" s="9"/>
    </row>
    <row r="31" spans="1:40" ht="14.45" hidden="1" customHeight="1" outlineLevel="1">
      <c r="I31" s="172" t="s">
        <v>132</v>
      </c>
      <c r="J31" s="65">
        <v>0</v>
      </c>
      <c r="K31" s="65">
        <v>0</v>
      </c>
      <c r="L31" s="65"/>
      <c r="M31" s="65"/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/>
      <c r="U31" s="65"/>
      <c r="V31" s="11">
        <f t="shared" si="5"/>
        <v>0</v>
      </c>
      <c r="W31" s="73">
        <f t="shared" si="2"/>
        <v>0</v>
      </c>
      <c r="X31" s="89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>
        <f t="shared" si="6"/>
        <v>0</v>
      </c>
      <c r="AL31" s="73">
        <f t="shared" si="4"/>
        <v>0</v>
      </c>
      <c r="AM31" s="14">
        <f t="shared" si="7"/>
        <v>0</v>
      </c>
      <c r="AN31" s="9"/>
    </row>
    <row r="32" spans="1:40" ht="14.25" hidden="1" customHeight="1" outlineLevel="1">
      <c r="I32" s="172" t="s">
        <v>133</v>
      </c>
      <c r="J32" s="65">
        <v>0</v>
      </c>
      <c r="K32" s="65">
        <v>0</v>
      </c>
      <c r="L32" s="65"/>
      <c r="M32" s="65"/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/>
      <c r="U32" s="65"/>
      <c r="V32" s="11">
        <f t="shared" si="5"/>
        <v>0</v>
      </c>
      <c r="W32" s="73">
        <f t="shared" si="2"/>
        <v>0</v>
      </c>
      <c r="X32" s="89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f t="shared" si="6"/>
        <v>0</v>
      </c>
      <c r="AL32" s="73">
        <f t="shared" si="4"/>
        <v>0</v>
      </c>
      <c r="AM32" s="14">
        <f t="shared" si="7"/>
        <v>0</v>
      </c>
      <c r="AN32" s="9"/>
    </row>
    <row r="33" spans="1:41" ht="14.45" hidden="1" customHeight="1" outlineLevel="1">
      <c r="I33" s="172" t="s">
        <v>134</v>
      </c>
      <c r="J33" s="65">
        <v>0</v>
      </c>
      <c r="K33" s="65">
        <v>0</v>
      </c>
      <c r="L33" s="65"/>
      <c r="M33" s="65"/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/>
      <c r="U33" s="65"/>
      <c r="V33" s="11">
        <f t="shared" si="5"/>
        <v>0</v>
      </c>
      <c r="W33" s="73">
        <f t="shared" si="2"/>
        <v>0</v>
      </c>
      <c r="X33" s="89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>
        <f t="shared" si="6"/>
        <v>0</v>
      </c>
      <c r="AL33" s="73">
        <f t="shared" si="4"/>
        <v>0</v>
      </c>
      <c r="AM33" s="14">
        <f t="shared" si="7"/>
        <v>0</v>
      </c>
      <c r="AN33" s="9"/>
    </row>
    <row r="34" spans="1:41" ht="14.45" customHeight="1" collapsed="1">
      <c r="E34" s="127"/>
      <c r="I34" s="36" t="s">
        <v>135</v>
      </c>
      <c r="J34" s="35">
        <v>1037397</v>
      </c>
      <c r="K34" s="35">
        <v>1139217</v>
      </c>
      <c r="L34" s="35">
        <v>1200576</v>
      </c>
      <c r="M34" s="35">
        <v>1074226</v>
      </c>
      <c r="N34" s="35">
        <v>1449084</v>
      </c>
      <c r="O34" s="35">
        <v>1236145</v>
      </c>
      <c r="P34" s="35">
        <v>1095531</v>
      </c>
      <c r="Q34" s="35">
        <v>971598</v>
      </c>
      <c r="R34" s="228">
        <v>997423</v>
      </c>
      <c r="S34" s="228">
        <v>1415659</v>
      </c>
      <c r="T34" s="228">
        <f t="shared" ref="T34:V34" si="12">SUM(T35:T38)</f>
        <v>1156913</v>
      </c>
      <c r="U34" s="228">
        <f t="shared" si="12"/>
        <v>1189998.3333333335</v>
      </c>
      <c r="V34" s="228">
        <f t="shared" si="12"/>
        <v>13963763.333333334</v>
      </c>
      <c r="W34" s="73">
        <f t="shared" si="2"/>
        <v>0.13285635385194877</v>
      </c>
      <c r="X34" s="89"/>
      <c r="Y34" s="35">
        <f t="shared" ref="Y34:AJ34" si="13">Y6-Y13</f>
        <v>1061864.6399999997</v>
      </c>
      <c r="Z34" s="35">
        <f t="shared" si="13"/>
        <v>1018434.0900000008</v>
      </c>
      <c r="AA34" s="35">
        <f t="shared" si="13"/>
        <v>1155583.2199999997</v>
      </c>
      <c r="AB34" s="35">
        <f t="shared" si="13"/>
        <v>1032595.0899999999</v>
      </c>
      <c r="AC34" s="35">
        <f t="shared" si="13"/>
        <v>1274445.2000000011</v>
      </c>
      <c r="AD34" s="35">
        <f t="shared" si="13"/>
        <v>1199651.1099999994</v>
      </c>
      <c r="AE34" s="35">
        <f t="shared" si="13"/>
        <v>1224255.4200000009</v>
      </c>
      <c r="AF34" s="35">
        <f t="shared" si="13"/>
        <v>1271211.5499999989</v>
      </c>
      <c r="AG34" s="35">
        <f t="shared" si="13"/>
        <v>1194867.25</v>
      </c>
      <c r="AH34" s="35">
        <f t="shared" si="13"/>
        <v>1258451.6900000013</v>
      </c>
      <c r="AI34" s="35">
        <f t="shared" si="13"/>
        <v>1065376.3199999984</v>
      </c>
      <c r="AJ34" s="35">
        <f t="shared" si="13"/>
        <v>1017216.2700000005</v>
      </c>
      <c r="AK34" s="35">
        <f>AK6-AK13</f>
        <v>13773951.849999994</v>
      </c>
      <c r="AL34" s="73">
        <f t="shared" si="4"/>
        <v>0.12883131322479285</v>
      </c>
      <c r="AM34" s="34">
        <f t="shared" si="7"/>
        <v>-1.3593146689920954E-2</v>
      </c>
      <c r="AN34" s="9"/>
    </row>
    <row r="35" spans="1:41" ht="14.45" hidden="1" customHeight="1" outlineLevel="1">
      <c r="E35" s="127"/>
      <c r="I35" s="212" t="s">
        <v>136</v>
      </c>
      <c r="J35" s="30">
        <v>752196</v>
      </c>
      <c r="K35" s="30">
        <v>857177</v>
      </c>
      <c r="L35" s="30">
        <v>799594</v>
      </c>
      <c r="M35" s="30">
        <v>724761</v>
      </c>
      <c r="N35" s="30">
        <v>1087406</v>
      </c>
      <c r="O35" s="30">
        <v>886349</v>
      </c>
      <c r="P35" s="30">
        <v>786424</v>
      </c>
      <c r="Q35" s="30">
        <v>792442</v>
      </c>
      <c r="R35" s="229">
        <v>785968</v>
      </c>
      <c r="S35" s="229">
        <v>1016923</v>
      </c>
      <c r="T35" s="229">
        <f>IFERROR(AVERAGE(Q35:S35),0)</f>
        <v>865111</v>
      </c>
      <c r="U35" s="229">
        <f>IFERROR(AVERAGE(R35:T35),0)</f>
        <v>889334</v>
      </c>
      <c r="V35" s="229">
        <f t="shared" ref="V35:V38" si="14">SUM(J35:U35)</f>
        <v>10243685</v>
      </c>
      <c r="W35" s="74">
        <f t="shared" ref="W35:W46" si="15">V35/V$39</f>
        <v>1.9124368600121875</v>
      </c>
      <c r="X35" s="90"/>
      <c r="Y35" s="30">
        <f>+Y40*Y44</f>
        <v>794851.74</v>
      </c>
      <c r="Z35" s="30">
        <f t="shared" ref="Z35:AJ35" si="16">+Z40*Z44</f>
        <v>754523.25000000012</v>
      </c>
      <c r="AA35" s="30">
        <f t="shared" si="16"/>
        <v>861524.64999999991</v>
      </c>
      <c r="AB35" s="30">
        <f t="shared" si="16"/>
        <v>756897.76</v>
      </c>
      <c r="AC35" s="30">
        <f t="shared" si="16"/>
        <v>981769.67999999993</v>
      </c>
      <c r="AD35" s="30">
        <f t="shared" si="16"/>
        <v>889092.4</v>
      </c>
      <c r="AE35" s="30">
        <f t="shared" si="16"/>
        <v>922701.11999999988</v>
      </c>
      <c r="AF35" s="30">
        <f t="shared" si="16"/>
        <v>993004.30999999994</v>
      </c>
      <c r="AG35" s="30">
        <f t="shared" si="16"/>
        <v>929615.6</v>
      </c>
      <c r="AH35" s="30">
        <f t="shared" si="16"/>
        <v>953321.04</v>
      </c>
      <c r="AI35" s="30">
        <f t="shared" si="16"/>
        <v>779137.48</v>
      </c>
      <c r="AJ35" s="30">
        <f t="shared" si="16"/>
        <v>751964.08</v>
      </c>
      <c r="AK35" s="30">
        <f t="shared" ref="AK35:AK42" si="17">SUM(Y35:AJ35)</f>
        <v>10368403.110000001</v>
      </c>
      <c r="AL35" s="74">
        <f t="shared" ref="AL35:AL46" si="18">AK35/AK$39</f>
        <v>1.8861120588601257</v>
      </c>
      <c r="AM35" s="29">
        <f>IFERROR(AK35/V35-1,0)</f>
        <v>1.2175121550496826E-2</v>
      </c>
      <c r="AN35" s="9"/>
    </row>
    <row r="36" spans="1:41" ht="14.45" hidden="1" customHeight="1" outlineLevel="1">
      <c r="E36" s="127"/>
      <c r="I36" s="212" t="s">
        <v>137</v>
      </c>
      <c r="J36" s="30">
        <v>138869</v>
      </c>
      <c r="K36" s="30">
        <v>153830</v>
      </c>
      <c r="L36" s="30">
        <v>172478</v>
      </c>
      <c r="M36" s="30">
        <v>186052</v>
      </c>
      <c r="N36" s="30">
        <v>196444</v>
      </c>
      <c r="O36" s="30">
        <v>198818</v>
      </c>
      <c r="P36" s="30">
        <v>157470</v>
      </c>
      <c r="Q36" s="30">
        <v>71410</v>
      </c>
      <c r="R36" s="229">
        <v>66054</v>
      </c>
      <c r="S36" s="229">
        <v>151255</v>
      </c>
      <c r="T36" s="229">
        <f>IFERROR(AVERAGE(R36:S36,P36),0)</f>
        <v>124926.33333333333</v>
      </c>
      <c r="U36" s="229">
        <f>IFERROR(AVERAGE(R36:T36),0)</f>
        <v>114078.44444444444</v>
      </c>
      <c r="V36" s="229">
        <f t="shared" si="14"/>
        <v>1731684.7777777778</v>
      </c>
      <c r="W36" s="74">
        <f t="shared" si="15"/>
        <v>0.32329555222990902</v>
      </c>
      <c r="X36" s="90"/>
      <c r="Y36" s="30">
        <f t="shared" ref="Y36:AJ37" si="19">+Y41*Y45</f>
        <v>124056.01999999999</v>
      </c>
      <c r="Z36" s="30">
        <f t="shared" si="19"/>
        <v>132493.32</v>
      </c>
      <c r="AA36" s="30">
        <f t="shared" si="19"/>
        <v>134137.65</v>
      </c>
      <c r="AB36" s="30">
        <f t="shared" si="19"/>
        <v>138255.36000000002</v>
      </c>
      <c r="AC36" s="30">
        <f t="shared" si="19"/>
        <v>146296.32000000001</v>
      </c>
      <c r="AD36" s="30">
        <f t="shared" si="19"/>
        <v>153262.32</v>
      </c>
      <c r="AE36" s="30">
        <f t="shared" si="19"/>
        <v>132845.79999999999</v>
      </c>
      <c r="AF36" s="30">
        <f t="shared" si="19"/>
        <v>147452.16</v>
      </c>
      <c r="AG36" s="30">
        <f t="shared" si="19"/>
        <v>126483.93000000001</v>
      </c>
      <c r="AH36" s="30">
        <f t="shared" si="19"/>
        <v>152821.41</v>
      </c>
      <c r="AI36" s="30">
        <f t="shared" si="19"/>
        <v>139400.16</v>
      </c>
      <c r="AJ36" s="30">
        <f t="shared" si="19"/>
        <v>127515.15000000001</v>
      </c>
      <c r="AK36" s="30">
        <f t="shared" si="17"/>
        <v>1655019.5999999996</v>
      </c>
      <c r="AL36" s="74">
        <f t="shared" si="18"/>
        <v>0.30106395286649501</v>
      </c>
      <c r="AM36" s="29">
        <f>IFERROR(AK36/V36-1,0)</f>
        <v>-4.4272016917628831E-2</v>
      </c>
      <c r="AN36" s="9"/>
    </row>
    <row r="37" spans="1:41" ht="14.45" hidden="1" customHeight="1" outlineLevel="1">
      <c r="I37" s="212" t="s">
        <v>138</v>
      </c>
      <c r="J37" s="30">
        <v>145513</v>
      </c>
      <c r="K37" s="30">
        <v>126682</v>
      </c>
      <c r="L37" s="30">
        <v>227703</v>
      </c>
      <c r="M37" s="30">
        <v>162197</v>
      </c>
      <c r="N37" s="30">
        <v>164007</v>
      </c>
      <c r="O37" s="30">
        <v>149240</v>
      </c>
      <c r="P37" s="30">
        <v>150046</v>
      </c>
      <c r="Q37" s="30">
        <v>105750</v>
      </c>
      <c r="R37" s="229">
        <v>138419</v>
      </c>
      <c r="S37" s="229">
        <v>256034</v>
      </c>
      <c r="T37" s="229">
        <f>IFERROR(AVERAGE(Q37:S37),0)</f>
        <v>166734.33333333334</v>
      </c>
      <c r="U37" s="229">
        <f>IFERROR(AVERAGE(R37:T37),0)</f>
        <v>187062.44444444447</v>
      </c>
      <c r="V37" s="229">
        <f t="shared" si="14"/>
        <v>1979387.7777777778</v>
      </c>
      <c r="W37" s="74">
        <f t="shared" si="15"/>
        <v>0.36954027251714933</v>
      </c>
      <c r="X37" s="90"/>
      <c r="Y37" s="30">
        <f t="shared" si="19"/>
        <v>141768.88</v>
      </c>
      <c r="Z37" s="30">
        <f t="shared" si="19"/>
        <v>130076.51999999999</v>
      </c>
      <c r="AA37" s="30">
        <f t="shared" si="19"/>
        <v>157850.91999999998</v>
      </c>
      <c r="AB37" s="30">
        <f t="shared" si="19"/>
        <v>136325.97</v>
      </c>
      <c r="AC37" s="30">
        <f t="shared" si="19"/>
        <v>145128.20000000001</v>
      </c>
      <c r="AD37" s="30">
        <f t="shared" si="19"/>
        <v>155901.39000000001</v>
      </c>
      <c r="AE37" s="30">
        <f t="shared" si="19"/>
        <v>167322.5</v>
      </c>
      <c r="AF37" s="30">
        <f t="shared" si="19"/>
        <v>129459.08</v>
      </c>
      <c r="AG37" s="30">
        <f t="shared" si="19"/>
        <v>137426.72</v>
      </c>
      <c r="AH37" s="30">
        <f t="shared" si="19"/>
        <v>151148.24</v>
      </c>
      <c r="AI37" s="30">
        <f t="shared" si="19"/>
        <v>145416.68</v>
      </c>
      <c r="AJ37" s="30">
        <f t="shared" si="19"/>
        <v>136252.04</v>
      </c>
      <c r="AK37" s="30">
        <f t="shared" si="17"/>
        <v>1734077.14</v>
      </c>
      <c r="AL37" s="74">
        <f t="shared" si="18"/>
        <v>0.31544527831804925</v>
      </c>
      <c r="AM37" s="29">
        <f>IFERROR(AK37/V37-1,0)</f>
        <v>-0.12393258184769818</v>
      </c>
      <c r="AN37" s="173"/>
    </row>
    <row r="38" spans="1:41" ht="14.45" hidden="1" customHeight="1" outlineLevel="1">
      <c r="I38" s="212" t="s">
        <v>139</v>
      </c>
      <c r="J38" s="32">
        <v>818</v>
      </c>
      <c r="K38" s="32">
        <v>1528</v>
      </c>
      <c r="L38" s="32">
        <v>801</v>
      </c>
      <c r="M38" s="32">
        <v>1215</v>
      </c>
      <c r="N38" s="32">
        <v>1227</v>
      </c>
      <c r="O38" s="32">
        <v>1738</v>
      </c>
      <c r="P38" s="32">
        <v>1590</v>
      </c>
      <c r="Q38" s="32">
        <v>1995</v>
      </c>
      <c r="R38" s="229">
        <v>6982</v>
      </c>
      <c r="S38" s="229">
        <v>-8553</v>
      </c>
      <c r="T38" s="229">
        <f>IFERROR(AVERAGE(Q38:S38),0)</f>
        <v>141.33333333333334</v>
      </c>
      <c r="U38" s="229">
        <f>IFERROR(AVERAGE(R38:T38),0)</f>
        <v>-476.5555555555556</v>
      </c>
      <c r="V38" s="229">
        <f t="shared" si="14"/>
        <v>9005.7777777777792</v>
      </c>
      <c r="W38" s="74">
        <f t="shared" si="15"/>
        <v>1.6813267271788299E-3</v>
      </c>
      <c r="X38" s="90"/>
      <c r="Y38" s="32">
        <f>Y10-Y30</f>
        <v>1188</v>
      </c>
      <c r="Z38" s="32">
        <f t="shared" ref="Z38:AJ38" si="20">Z10-Z30</f>
        <v>1341</v>
      </c>
      <c r="AA38" s="32">
        <f t="shared" si="20"/>
        <v>2070</v>
      </c>
      <c r="AB38" s="32">
        <f t="shared" si="20"/>
        <v>1116</v>
      </c>
      <c r="AC38" s="32">
        <f t="shared" si="20"/>
        <v>1251</v>
      </c>
      <c r="AD38" s="32">
        <f t="shared" si="20"/>
        <v>1395</v>
      </c>
      <c r="AE38" s="32">
        <f t="shared" si="20"/>
        <v>1386</v>
      </c>
      <c r="AF38" s="32">
        <f t="shared" si="20"/>
        <v>1296</v>
      </c>
      <c r="AG38" s="32">
        <f t="shared" si="20"/>
        <v>1341</v>
      </c>
      <c r="AH38" s="32">
        <f t="shared" si="20"/>
        <v>1161</v>
      </c>
      <c r="AI38" s="32">
        <f t="shared" si="20"/>
        <v>1422</v>
      </c>
      <c r="AJ38" s="32">
        <f t="shared" si="20"/>
        <v>1485</v>
      </c>
      <c r="AK38" s="30">
        <f t="shared" si="17"/>
        <v>16452</v>
      </c>
      <c r="AL38" s="74">
        <f t="shared" si="18"/>
        <v>2.9927767336166756E-3</v>
      </c>
      <c r="AM38" s="29">
        <f>IFERROR(AK38/V38-1,0)</f>
        <v>0.82682722203030123</v>
      </c>
      <c r="AN38" s="9"/>
    </row>
    <row r="39" spans="1:41" ht="14.45" customHeight="1" collapsed="1">
      <c r="I39" s="18" t="s">
        <v>140</v>
      </c>
      <c r="J39" s="33">
        <v>415544</v>
      </c>
      <c r="K39" s="33">
        <v>404961</v>
      </c>
      <c r="L39" s="33">
        <v>458169</v>
      </c>
      <c r="M39" s="33">
        <v>415011</v>
      </c>
      <c r="N39" s="33">
        <v>468975</v>
      </c>
      <c r="O39" s="33">
        <v>468622</v>
      </c>
      <c r="P39" s="33">
        <v>476724</v>
      </c>
      <c r="Q39" s="33">
        <v>445197</v>
      </c>
      <c r="R39" s="33">
        <v>443900</v>
      </c>
      <c r="S39" s="33">
        <v>515183</v>
      </c>
      <c r="T39" s="33">
        <f>SUM(T40:T42)</f>
        <v>435475</v>
      </c>
      <c r="U39" s="33">
        <f>SUM(U40:U42)</f>
        <v>408591</v>
      </c>
      <c r="V39" s="33">
        <f>SUM(J39:U39)</f>
        <v>5356352</v>
      </c>
      <c r="W39" s="74">
        <f t="shared" si="15"/>
        <v>1</v>
      </c>
      <c r="X39" s="90"/>
      <c r="Y39" s="33">
        <f t="shared" ref="Y39:AJ39" si="21">SUM(Y40:Y42)</f>
        <v>423810</v>
      </c>
      <c r="Z39" s="33">
        <f t="shared" si="21"/>
        <v>411483</v>
      </c>
      <c r="AA39" s="33">
        <f t="shared" si="21"/>
        <v>449931</v>
      </c>
      <c r="AB39" s="33">
        <f t="shared" si="21"/>
        <v>422719</v>
      </c>
      <c r="AC39" s="33">
        <f t="shared" si="21"/>
        <v>483644</v>
      </c>
      <c r="AD39" s="33">
        <f t="shared" si="21"/>
        <v>480520</v>
      </c>
      <c r="AE39" s="33">
        <f t="shared" si="21"/>
        <v>486078</v>
      </c>
      <c r="AF39" s="33">
        <f t="shared" si="21"/>
        <v>496592</v>
      </c>
      <c r="AG39" s="33">
        <f t="shared" si="21"/>
        <v>482310</v>
      </c>
      <c r="AH39" s="33">
        <f t="shared" si="21"/>
        <v>498355</v>
      </c>
      <c r="AI39" s="33">
        <f t="shared" si="21"/>
        <v>445724</v>
      </c>
      <c r="AJ39" s="33">
        <f t="shared" si="21"/>
        <v>416070</v>
      </c>
      <c r="AK39" s="33">
        <f t="shared" si="17"/>
        <v>5497236</v>
      </c>
      <c r="AL39" s="74">
        <f t="shared" si="18"/>
        <v>1</v>
      </c>
      <c r="AM39" s="16">
        <f>IFERROR(AK39/V39-1,0)</f>
        <v>2.630222957714512E-2</v>
      </c>
      <c r="AN39" s="9" t="s">
        <v>447</v>
      </c>
    </row>
    <row r="40" spans="1:41" ht="14.45" hidden="1" customHeight="1" outlineLevel="1">
      <c r="I40" s="31" t="s">
        <v>141</v>
      </c>
      <c r="J40" s="32">
        <v>310451</v>
      </c>
      <c r="K40" s="32">
        <v>300575</v>
      </c>
      <c r="L40" s="32">
        <v>325222</v>
      </c>
      <c r="M40" s="32">
        <v>304384</v>
      </c>
      <c r="N40" s="32">
        <v>356108</v>
      </c>
      <c r="O40" s="32">
        <v>349360</v>
      </c>
      <c r="P40" s="32">
        <v>356986</v>
      </c>
      <c r="Q40" s="32">
        <v>362508</v>
      </c>
      <c r="R40" s="32">
        <v>363535</v>
      </c>
      <c r="S40" s="32">
        <v>373923</v>
      </c>
      <c r="T40" s="32">
        <v>322374</v>
      </c>
      <c r="U40" s="32">
        <v>303031</v>
      </c>
      <c r="V40" s="32">
        <f>SUM(J40:U40)</f>
        <v>4028457</v>
      </c>
      <c r="W40" s="74">
        <f t="shared" si="15"/>
        <v>0.75208966849079373</v>
      </c>
      <c r="X40" s="90"/>
      <c r="Y40" s="32">
        <f>VLOOKUP($E$1,'[3]Resumen x Tipo Combustible'!$C$4:$O$10,Y$1,0)</f>
        <v>316674</v>
      </c>
      <c r="Z40" s="32">
        <f>VLOOKUP($E$1,'[3]Resumen x Tipo Combustible'!$C$4:$O$10,Z$1,0)</f>
        <v>305475</v>
      </c>
      <c r="AA40" s="32">
        <f>VLOOKUP($E$1,'[3]Resumen x Tipo Combustible'!$C$4:$O$10,AA$1,0)</f>
        <v>332635</v>
      </c>
      <c r="AB40" s="32">
        <f>VLOOKUP($E$1,'[3]Resumen x Tipo Combustible'!$C$4:$O$10,AB$1,0)</f>
        <v>310204</v>
      </c>
      <c r="AC40" s="32">
        <f>VLOOKUP($E$1,'[3]Resumen x Tipo Combustible'!$C$4:$O$10,AC$1,0)</f>
        <v>367704</v>
      </c>
      <c r="AD40" s="32">
        <f>VLOOKUP($E$1,'[3]Resumen x Tipo Combustible'!$C$4:$O$10,AD$1,0)</f>
        <v>358505</v>
      </c>
      <c r="AE40" s="32">
        <f>VLOOKUP($E$1,'[3]Resumen x Tipo Combustible'!$C$4:$O$10,AE$1,0)</f>
        <v>364704</v>
      </c>
      <c r="AF40" s="32">
        <f>VLOOKUP($E$1,'[3]Resumen x Tipo Combustible'!$C$4:$O$10,AF$1,0)</f>
        <v>386383</v>
      </c>
      <c r="AG40" s="32">
        <f>VLOOKUP($E$1,'[3]Resumen x Tipo Combustible'!$C$4:$O$10,AG$1,0)</f>
        <v>374845</v>
      </c>
      <c r="AH40" s="32">
        <f>VLOOKUP($E$1,'[3]Resumen x Tipo Combustible'!$C$4:$O$10,AH$1,0)</f>
        <v>378302</v>
      </c>
      <c r="AI40" s="32">
        <f>VLOOKUP($E$1,'[3]Resumen x Tipo Combustible'!$C$4:$O$10,AI$1,0)</f>
        <v>330143</v>
      </c>
      <c r="AJ40" s="32">
        <f>VLOOKUP($E$1,'[3]Resumen x Tipo Combustible'!$C$4:$O$10,AJ$1,0)</f>
        <v>308182</v>
      </c>
      <c r="AK40" s="32">
        <f t="shared" si="17"/>
        <v>4133756</v>
      </c>
      <c r="AL40" s="74">
        <f t="shared" si="18"/>
        <v>0.751969899054725</v>
      </c>
      <c r="AM40" s="29">
        <f t="shared" si="7"/>
        <v>2.6138792098314489E-2</v>
      </c>
      <c r="AN40" s="9"/>
    </row>
    <row r="41" spans="1:41" ht="14.45" hidden="1" customHeight="1" outlineLevel="1">
      <c r="I41" s="31" t="s">
        <v>142</v>
      </c>
      <c r="J41" s="32">
        <v>47955</v>
      </c>
      <c r="K41" s="32">
        <v>50238</v>
      </c>
      <c r="L41" s="32">
        <v>51504</v>
      </c>
      <c r="M41" s="32">
        <v>52698</v>
      </c>
      <c r="N41" s="32">
        <v>55187</v>
      </c>
      <c r="O41" s="32">
        <v>57998</v>
      </c>
      <c r="P41" s="32">
        <v>53310</v>
      </c>
      <c r="Q41" s="32">
        <v>31176</v>
      </c>
      <c r="R41" s="32">
        <v>26301</v>
      </c>
      <c r="S41" s="32">
        <v>55898</v>
      </c>
      <c r="T41" s="32">
        <v>54672</v>
      </c>
      <c r="U41" s="32">
        <v>51027</v>
      </c>
      <c r="V41" s="32">
        <f>SUM(J41:U41)</f>
        <v>587964</v>
      </c>
      <c r="W41" s="74">
        <f t="shared" si="15"/>
        <v>0.10976948490315797</v>
      </c>
      <c r="X41" s="90"/>
      <c r="Y41" s="32">
        <f>VLOOKUP($E$1,'[3]Resumen x Tipo Combustible'!$C$15:$O$21,Y$1,0)</f>
        <v>49034</v>
      </c>
      <c r="Z41" s="32">
        <f>VLOOKUP($E$1,'[3]Resumen x Tipo Combustible'!$C$15:$O$21,Z$1,0)</f>
        <v>51354</v>
      </c>
      <c r="AA41" s="32">
        <f>VLOOKUP($E$1,'[3]Resumen x Tipo Combustible'!$C$15:$O$21,AA$1,0)</f>
        <v>52603</v>
      </c>
      <c r="AB41" s="32">
        <f>VLOOKUP($E$1,'[3]Resumen x Tipo Combustible'!$C$15:$O$21,AB$1,0)</f>
        <v>54006</v>
      </c>
      <c r="AC41" s="32">
        <f>VLOOKUP($E$1,'[3]Resumen x Tipo Combustible'!$C$15:$O$21,AC$1,0)</f>
        <v>56704</v>
      </c>
      <c r="AD41" s="32">
        <f>VLOOKUP($E$1,'[3]Resumen x Tipo Combustible'!$C$15:$O$21,AD$1,0)</f>
        <v>59404</v>
      </c>
      <c r="AE41" s="32">
        <f>VLOOKUP($E$1,'[3]Resumen x Tipo Combustible'!$C$15:$O$21,AE$1,0)</f>
        <v>54445</v>
      </c>
      <c r="AF41" s="32">
        <f>VLOOKUP($E$1,'[3]Resumen x Tipo Combustible'!$C$15:$O$21,AF$1,0)</f>
        <v>57152</v>
      </c>
      <c r="AG41" s="32">
        <f>VLOOKUP($E$1,'[3]Resumen x Tipo Combustible'!$C$15:$O$21,AG$1,0)</f>
        <v>52051</v>
      </c>
      <c r="AH41" s="32">
        <f>VLOOKUP($E$1,'[3]Resumen x Tipo Combustible'!$C$15:$O$21,AH$1,0)</f>
        <v>58107</v>
      </c>
      <c r="AI41" s="32">
        <f>VLOOKUP($E$1,'[3]Resumen x Tipo Combustible'!$C$15:$O$21,AI$1,0)</f>
        <v>55984</v>
      </c>
      <c r="AJ41" s="32">
        <f>VLOOKUP($E$1,'[3]Resumen x Tipo Combustible'!$C$15:$O$21,AJ$1,0)</f>
        <v>52047</v>
      </c>
      <c r="AK41" s="32">
        <f t="shared" si="17"/>
        <v>652891</v>
      </c>
      <c r="AL41" s="74">
        <f t="shared" si="18"/>
        <v>0.11876714043202802</v>
      </c>
      <c r="AM41" s="29">
        <f t="shared" si="7"/>
        <v>0.11042682885346733</v>
      </c>
      <c r="AN41" s="9"/>
    </row>
    <row r="42" spans="1:41" ht="14.45" hidden="1" customHeight="1" outlineLevel="1">
      <c r="A42" s="21"/>
      <c r="B42" s="21"/>
      <c r="C42" s="21"/>
      <c r="D42" s="21"/>
      <c r="E42" s="7" t="s">
        <v>98</v>
      </c>
      <c r="I42" s="31" t="s">
        <v>143</v>
      </c>
      <c r="J42" s="32">
        <v>57138</v>
      </c>
      <c r="K42" s="32">
        <v>54147</v>
      </c>
      <c r="L42" s="32">
        <v>81444</v>
      </c>
      <c r="M42" s="32">
        <v>57930</v>
      </c>
      <c r="N42" s="32">
        <v>57679</v>
      </c>
      <c r="O42" s="32">
        <v>61264</v>
      </c>
      <c r="P42" s="32">
        <v>66428</v>
      </c>
      <c r="Q42" s="32">
        <v>51512</v>
      </c>
      <c r="R42" s="32">
        <v>54064</v>
      </c>
      <c r="S42" s="32">
        <v>85362</v>
      </c>
      <c r="T42" s="32">
        <v>58429</v>
      </c>
      <c r="U42" s="32">
        <v>54533</v>
      </c>
      <c r="V42" s="32">
        <f>SUM(J42:U42)</f>
        <v>739930</v>
      </c>
      <c r="W42" s="74">
        <f t="shared" si="15"/>
        <v>0.13814065991182059</v>
      </c>
      <c r="X42" s="90"/>
      <c r="Y42" s="32">
        <f>VLOOKUP($E$1,'[3]Resumen x Tipo Combustible'!$C$26:$O$32,Y$1,0)</f>
        <v>58102</v>
      </c>
      <c r="Z42" s="32">
        <f>VLOOKUP($E$1,'[3]Resumen x Tipo Combustible'!$C$26:$O$32,Z$1,0)</f>
        <v>54654</v>
      </c>
      <c r="AA42" s="32">
        <f>VLOOKUP($E$1,'[3]Resumen x Tipo Combustible'!$C$26:$O$32,AA$1,0)</f>
        <v>64693</v>
      </c>
      <c r="AB42" s="32">
        <f>VLOOKUP($E$1,'[3]Resumen x Tipo Combustible'!$C$26:$O$32,AB$1,0)</f>
        <v>58509</v>
      </c>
      <c r="AC42" s="32">
        <f>VLOOKUP($E$1,'[3]Resumen x Tipo Combustible'!$C$26:$O$32,AC$1,0)</f>
        <v>59236</v>
      </c>
      <c r="AD42" s="32">
        <f>VLOOKUP($E$1,'[3]Resumen x Tipo Combustible'!$C$26:$O$32,AD$1,0)</f>
        <v>62611</v>
      </c>
      <c r="AE42" s="32">
        <f>VLOOKUP($E$1,'[3]Resumen x Tipo Combustible'!$C$26:$O$32,AE$1,0)</f>
        <v>66929</v>
      </c>
      <c r="AF42" s="32">
        <f>VLOOKUP($E$1,'[3]Resumen x Tipo Combustible'!$C$26:$O$32,AF$1,0)</f>
        <v>53057</v>
      </c>
      <c r="AG42" s="32">
        <f>VLOOKUP($E$1,'[3]Resumen x Tipo Combustible'!$C$26:$O$32,AG$1,0)</f>
        <v>55414</v>
      </c>
      <c r="AH42" s="32">
        <f>VLOOKUP($E$1,'[3]Resumen x Tipo Combustible'!$C$26:$O$32,AH$1,0)</f>
        <v>61946</v>
      </c>
      <c r="AI42" s="32">
        <f>VLOOKUP($E$1,'[3]Resumen x Tipo Combustible'!$C$26:$O$32,AI$1,0)</f>
        <v>59597</v>
      </c>
      <c r="AJ42" s="32">
        <f>VLOOKUP($E$1,'[3]Resumen x Tipo Combustible'!$C$26:$O$32,AJ$1,0)</f>
        <v>55841</v>
      </c>
      <c r="AK42" s="32">
        <f t="shared" si="17"/>
        <v>710589</v>
      </c>
      <c r="AL42" s="74">
        <f t="shared" si="18"/>
        <v>0.12926296051324701</v>
      </c>
      <c r="AM42" s="29">
        <f t="shared" si="7"/>
        <v>-3.9653751030502837E-2</v>
      </c>
      <c r="AN42" s="9"/>
    </row>
    <row r="43" spans="1:41" ht="13.5" customHeight="1" collapsed="1">
      <c r="A43" s="21"/>
      <c r="B43" s="21"/>
      <c r="C43" s="21"/>
      <c r="D43" s="21"/>
      <c r="E43" s="22"/>
      <c r="F43" s="21"/>
      <c r="G43" s="21"/>
      <c r="H43" s="21"/>
      <c r="I43" s="18" t="s">
        <v>359</v>
      </c>
      <c r="J43" s="17">
        <v>2.5</v>
      </c>
      <c r="K43" s="17">
        <v>2.81</v>
      </c>
      <c r="L43" s="17">
        <v>2.62</v>
      </c>
      <c r="M43" s="17">
        <v>2.59</v>
      </c>
      <c r="N43" s="17">
        <v>3.09</v>
      </c>
      <c r="O43" s="17">
        <v>2.64</v>
      </c>
      <c r="P43" s="17">
        <v>2.2999999999999998</v>
      </c>
      <c r="Q43" s="17">
        <v>2.1800000000000002</v>
      </c>
      <c r="R43" s="17">
        <v>2.25</v>
      </c>
      <c r="S43" s="17">
        <v>2.75</v>
      </c>
      <c r="T43" s="17">
        <f t="shared" ref="R43:U46" si="22">+T34/T39</f>
        <v>2.656669154371663</v>
      </c>
      <c r="U43" s="17">
        <f t="shared" si="22"/>
        <v>2.912443821164278</v>
      </c>
      <c r="V43" s="17">
        <f>+V34/V39</f>
        <v>2.6069540114864247</v>
      </c>
      <c r="W43" s="74">
        <f t="shared" si="15"/>
        <v>4.8670326585826039E-7</v>
      </c>
      <c r="X43" s="90"/>
      <c r="Y43" s="17">
        <f>+Y34/Y39</f>
        <v>2.505520492673603</v>
      </c>
      <c r="Z43" s="17">
        <f t="shared" ref="Z43:AK43" si="23">+Z34/Z39</f>
        <v>2.4750332091483749</v>
      </c>
      <c r="AA43" s="17">
        <f t="shared" si="23"/>
        <v>2.5683565257783965</v>
      </c>
      <c r="AB43" s="17">
        <f t="shared" si="23"/>
        <v>2.4427458666395405</v>
      </c>
      <c r="AC43" s="17">
        <f t="shared" si="23"/>
        <v>2.6350894459561189</v>
      </c>
      <c r="AD43" s="17">
        <f t="shared" si="23"/>
        <v>2.4965685299259124</v>
      </c>
      <c r="AE43" s="17">
        <f t="shared" si="23"/>
        <v>2.5186398479256433</v>
      </c>
      <c r="AF43" s="17">
        <f t="shared" si="23"/>
        <v>2.5598711819763484</v>
      </c>
      <c r="AG43" s="17">
        <f t="shared" si="23"/>
        <v>2.4773843586075346</v>
      </c>
      <c r="AH43" s="17">
        <f t="shared" si="23"/>
        <v>2.5252113252601083</v>
      </c>
      <c r="AI43" s="17">
        <f t="shared" si="23"/>
        <v>2.3902152901795697</v>
      </c>
      <c r="AJ43" s="17">
        <f t="shared" si="23"/>
        <v>2.4448200302833669</v>
      </c>
      <c r="AK43" s="17">
        <f>+AK34/AK39</f>
        <v>2.5056140667782851</v>
      </c>
      <c r="AL43" s="74">
        <f t="shared" si="18"/>
        <v>4.5579525179167953E-7</v>
      </c>
      <c r="AM43" s="16">
        <f t="shared" si="7"/>
        <v>-3.8872931498457053E-2</v>
      </c>
      <c r="AN43" s="173" t="s">
        <v>447</v>
      </c>
      <c r="AO43" s="291">
        <f>+AK43-V43</f>
        <v>-0.10133994470813956</v>
      </c>
    </row>
    <row r="44" spans="1:41" ht="14.45" hidden="1" customHeight="1" outlineLevel="1">
      <c r="A44" s="12" t="s">
        <v>146</v>
      </c>
      <c r="B44" s="19" t="s">
        <v>88</v>
      </c>
      <c r="I44" s="31" t="s">
        <v>141</v>
      </c>
      <c r="J44" s="30">
        <v>2.42</v>
      </c>
      <c r="K44" s="30">
        <v>2.85</v>
      </c>
      <c r="L44" s="30">
        <v>2.46</v>
      </c>
      <c r="M44" s="30">
        <v>2.38</v>
      </c>
      <c r="N44" s="30">
        <v>3.05</v>
      </c>
      <c r="O44" s="30">
        <v>2.54</v>
      </c>
      <c r="P44" s="30">
        <v>2.2000000000000002</v>
      </c>
      <c r="Q44" s="30">
        <v>2.19</v>
      </c>
      <c r="R44" s="30">
        <v>2.16</v>
      </c>
      <c r="S44" s="30">
        <v>2.72</v>
      </c>
      <c r="T44" s="30">
        <f t="shared" si="22"/>
        <v>2.6835631905798856</v>
      </c>
      <c r="U44" s="30">
        <f t="shared" si="22"/>
        <v>2.9347954499704652</v>
      </c>
      <c r="V44" s="30">
        <f t="shared" ref="V44:V46" si="24">+V35/V40</f>
        <v>2.5428309151618103</v>
      </c>
      <c r="W44" s="74">
        <f t="shared" si="15"/>
        <v>4.7473185391135802E-7</v>
      </c>
      <c r="X44" s="90"/>
      <c r="Y44" s="30">
        <f>VLOOKUP(Y3,'[3]Margen ctvs-lit'!$J$46:$O$57,$Y$1,0)</f>
        <v>2.5099999999999998</v>
      </c>
      <c r="Z44" s="30">
        <f>VLOOKUP(Z3,'[3]Margen ctvs-lit'!$J$46:$O$57,$Y$1,0)</f>
        <v>2.4700000000000002</v>
      </c>
      <c r="AA44" s="30">
        <f>VLOOKUP(AA3,'[3]Margen ctvs-lit'!$J$46:$O$57,$Y$1,0)</f>
        <v>2.59</v>
      </c>
      <c r="AB44" s="30">
        <f>VLOOKUP(AB3,'[3]Margen ctvs-lit'!$J$46:$O$57,$Y$1,0)</f>
        <v>2.44</v>
      </c>
      <c r="AC44" s="30">
        <f>VLOOKUP(AC3,'[3]Margen ctvs-lit'!$J$46:$O$57,$Y$1,0)</f>
        <v>2.67</v>
      </c>
      <c r="AD44" s="30">
        <f>VLOOKUP(AD3,'[3]Margen ctvs-lit'!$J$46:$O$57,$Y$1,0)</f>
        <v>2.48</v>
      </c>
      <c r="AE44" s="30">
        <f>VLOOKUP(AE3,'[3]Margen ctvs-lit'!$J$46:$O$57,$Y$1,0)</f>
        <v>2.5299999999999998</v>
      </c>
      <c r="AF44" s="30">
        <f>VLOOKUP(AF3,'[3]Margen ctvs-lit'!$J$46:$O$57,$Y$1,0)</f>
        <v>2.57</v>
      </c>
      <c r="AG44" s="30">
        <f>VLOOKUP(AG3,'[3]Margen ctvs-lit'!$J$46:$O$57,$Y$1,0)</f>
        <v>2.48</v>
      </c>
      <c r="AH44" s="30">
        <f>VLOOKUP(AH3,'[3]Margen ctvs-lit'!$J$46:$O$57,$Y$1,0)</f>
        <v>2.52</v>
      </c>
      <c r="AI44" s="30">
        <f>VLOOKUP(AI3,'[3]Margen ctvs-lit'!$J$46:$O$57,$Y$1,0)</f>
        <v>2.36</v>
      </c>
      <c r="AJ44" s="30">
        <f>VLOOKUP(AJ3,'[3]Margen ctvs-lit'!$J$46:$O$57,$Y$1,0)</f>
        <v>2.44</v>
      </c>
      <c r="AK44" s="30">
        <f>+AK35/AK40</f>
        <v>2.5082281368324595</v>
      </c>
      <c r="AL44" s="74">
        <f t="shared" si="18"/>
        <v>4.5627077622871923E-7</v>
      </c>
      <c r="AM44" s="29">
        <f t="shared" si="7"/>
        <v>-1.3607974530681188E-2</v>
      </c>
      <c r="AN44" s="9"/>
      <c r="AO44" s="291">
        <f>+AK44-V44</f>
        <v>-3.460277832935077E-2</v>
      </c>
    </row>
    <row r="45" spans="1:41" ht="14.45" hidden="1" customHeight="1" outlineLevel="1">
      <c r="A45" s="12" t="s">
        <v>146</v>
      </c>
      <c r="B45" s="8" t="s">
        <v>88</v>
      </c>
      <c r="C45" s="19" t="s">
        <v>148</v>
      </c>
      <c r="D45" s="12"/>
      <c r="E45" s="20"/>
      <c r="F45" s="12"/>
      <c r="G45" s="12"/>
      <c r="H45" s="12"/>
      <c r="I45" s="31" t="s">
        <v>142</v>
      </c>
      <c r="J45" s="30">
        <v>2.9</v>
      </c>
      <c r="K45" s="30">
        <v>3.06</v>
      </c>
      <c r="L45" s="30">
        <v>3.35</v>
      </c>
      <c r="M45" s="30">
        <v>3.53</v>
      </c>
      <c r="N45" s="30">
        <v>3.56</v>
      </c>
      <c r="O45" s="30">
        <v>3.43</v>
      </c>
      <c r="P45" s="30">
        <v>2.95</v>
      </c>
      <c r="Q45" s="30">
        <v>2.29</v>
      </c>
      <c r="R45" s="30">
        <v>2.5099999999999998</v>
      </c>
      <c r="S45" s="30">
        <v>2.71</v>
      </c>
      <c r="T45" s="30">
        <f t="shared" si="22"/>
        <v>2.2850148765974052</v>
      </c>
      <c r="U45" s="30">
        <f t="shared" si="22"/>
        <v>2.2356486653035539</v>
      </c>
      <c r="V45" s="30">
        <f t="shared" si="24"/>
        <v>2.94522245882023</v>
      </c>
      <c r="W45" s="74">
        <f t="shared" si="15"/>
        <v>5.4985603239298505E-7</v>
      </c>
      <c r="X45" s="90"/>
      <c r="Y45" s="30">
        <f>VLOOKUP(Y3,'[3]Margen ctvs-lit'!$J$46:$O$57,$AA$1,0)</f>
        <v>2.5299999999999998</v>
      </c>
      <c r="Z45" s="30">
        <f>VLOOKUP(Z3,'[3]Margen ctvs-lit'!$J$46:$O$57,$AA$1,0)</f>
        <v>2.58</v>
      </c>
      <c r="AA45" s="30">
        <f>VLOOKUP(AA3,'[3]Margen ctvs-lit'!$J$46:$O$57,$AA$1,0)</f>
        <v>2.5499999999999998</v>
      </c>
      <c r="AB45" s="30">
        <f>VLOOKUP(AB3,'[3]Margen ctvs-lit'!$J$46:$O$57,$AA$1,0)</f>
        <v>2.56</v>
      </c>
      <c r="AC45" s="30">
        <f>VLOOKUP(AC3,'[3]Margen ctvs-lit'!$J$46:$O$57,$AA$1,0)</f>
        <v>2.58</v>
      </c>
      <c r="AD45" s="30">
        <f>VLOOKUP(AD3,'[3]Margen ctvs-lit'!$J$46:$O$57,$AA$1,0)</f>
        <v>2.58</v>
      </c>
      <c r="AE45" s="30">
        <f>VLOOKUP(AE3,'[3]Margen ctvs-lit'!$J$46:$O$57,$AA$1,0)</f>
        <v>2.44</v>
      </c>
      <c r="AF45" s="30">
        <f>VLOOKUP(AF3,'[3]Margen ctvs-lit'!$J$46:$O$57,$AA$1,0)</f>
        <v>2.58</v>
      </c>
      <c r="AG45" s="30">
        <f>VLOOKUP(AG3,'[3]Margen ctvs-lit'!$J$46:$O$57,$AA$1,0)</f>
        <v>2.4300000000000002</v>
      </c>
      <c r="AH45" s="30">
        <f>VLOOKUP(AH3,'[3]Margen ctvs-lit'!$J$46:$O$57,$AA$1,0)</f>
        <v>2.63</v>
      </c>
      <c r="AI45" s="30">
        <f>VLOOKUP(AI3,'[3]Margen ctvs-lit'!$J$46:$O$57,$AA$1,0)</f>
        <v>2.4900000000000002</v>
      </c>
      <c r="AJ45" s="30">
        <f>VLOOKUP(AJ3,'[3]Margen ctvs-lit'!$J$46:$O$57,$AA$1,0)</f>
        <v>2.4500000000000002</v>
      </c>
      <c r="AK45" s="30">
        <f>+AK36/AK41</f>
        <v>2.5349095025050117</v>
      </c>
      <c r="AL45" s="74">
        <f t="shared" si="18"/>
        <v>4.6112437277661202E-7</v>
      </c>
      <c r="AM45" s="29">
        <f t="shared" si="7"/>
        <v>-0.13931475874986288</v>
      </c>
      <c r="AN45" s="9"/>
      <c r="AO45" s="291">
        <f>+AK45-V45</f>
        <v>-0.41031295631521836</v>
      </c>
    </row>
    <row r="46" spans="1:41" ht="14.45" hidden="1" customHeight="1" outlineLevel="1">
      <c r="A46" s="12" t="s">
        <v>146</v>
      </c>
      <c r="B46" s="8" t="s">
        <v>88</v>
      </c>
      <c r="I46" s="31" t="s">
        <v>143</v>
      </c>
      <c r="J46" s="30">
        <v>2.5499999999999998</v>
      </c>
      <c r="K46" s="30">
        <v>2.34</v>
      </c>
      <c r="L46" s="30">
        <v>2.8</v>
      </c>
      <c r="M46" s="30">
        <v>2.8</v>
      </c>
      <c r="N46" s="30">
        <v>2.84</v>
      </c>
      <c r="O46" s="30">
        <v>2.44</v>
      </c>
      <c r="P46" s="30">
        <v>2.2599999999999998</v>
      </c>
      <c r="Q46" s="30">
        <v>2.0499999999999998</v>
      </c>
      <c r="R46" s="30">
        <v>2.56</v>
      </c>
      <c r="S46" s="30">
        <v>3</v>
      </c>
      <c r="T46" s="30">
        <f t="shared" si="22"/>
        <v>2.8536229155613366</v>
      </c>
      <c r="U46" s="30">
        <f t="shared" si="22"/>
        <v>3.4302613911657982</v>
      </c>
      <c r="V46" s="30">
        <f t="shared" si="24"/>
        <v>2.6751013984806371</v>
      </c>
      <c r="W46" s="74">
        <f t="shared" si="15"/>
        <v>4.9942598964381669E-7</v>
      </c>
      <c r="X46" s="90"/>
      <c r="Y46" s="30">
        <f>VLOOKUP(Y3,'[3]Margen ctvs-lit'!$J$46:$O$57,$AC$1,0)</f>
        <v>2.44</v>
      </c>
      <c r="Z46" s="30">
        <f>VLOOKUP(Z3,'[3]Margen ctvs-lit'!$J$46:$O$57,$AC$1,0)</f>
        <v>2.38</v>
      </c>
      <c r="AA46" s="30">
        <f>VLOOKUP(AA3,'[3]Margen ctvs-lit'!$J$46:$O$57,$AC$1,0)</f>
        <v>2.44</v>
      </c>
      <c r="AB46" s="30">
        <f>VLOOKUP(AB3,'[3]Margen ctvs-lit'!$J$46:$O$57,$AC$1,0)</f>
        <v>2.33</v>
      </c>
      <c r="AC46" s="30">
        <f>VLOOKUP(AC3,'[3]Margen ctvs-lit'!$J$46:$O$57,$AC$1,0)</f>
        <v>2.4500000000000002</v>
      </c>
      <c r="AD46" s="30">
        <f>VLOOKUP(AD3,'[3]Margen ctvs-lit'!$J$46:$O$57,$AC$1,0)</f>
        <v>2.4900000000000002</v>
      </c>
      <c r="AE46" s="30">
        <f>VLOOKUP(AE3,'[3]Margen ctvs-lit'!$J$46:$O$57,$AC$1,0)</f>
        <v>2.5</v>
      </c>
      <c r="AF46" s="30">
        <f>VLOOKUP(AF3,'[3]Margen ctvs-lit'!$J$46:$O$57,$AC$1,0)</f>
        <v>2.44</v>
      </c>
      <c r="AG46" s="30">
        <f>VLOOKUP(AG3,'[3]Margen ctvs-lit'!$J$46:$O$57,$AC$1,0)</f>
        <v>2.48</v>
      </c>
      <c r="AH46" s="30">
        <f>VLOOKUP(AH3,'[3]Margen ctvs-lit'!$J$46:$O$57,$AC$1,0)</f>
        <v>2.44</v>
      </c>
      <c r="AI46" s="30">
        <f>VLOOKUP(AI3,'[3]Margen ctvs-lit'!$J$46:$O$57,$AC$1,0)</f>
        <v>2.44</v>
      </c>
      <c r="AJ46" s="30">
        <f>VLOOKUP(AJ3,'[3]Margen ctvs-lit'!$J$46:$O$57,$AC$1,0)</f>
        <v>2.44</v>
      </c>
      <c r="AK46" s="30">
        <f>IFERROR(+AK37/AK42,0)</f>
        <v>2.440337719835235</v>
      </c>
      <c r="AL46" s="74">
        <f t="shared" si="18"/>
        <v>4.4392085765196089E-7</v>
      </c>
      <c r="AM46" s="29">
        <f t="shared" si="7"/>
        <v>-8.7758796275438256E-2</v>
      </c>
      <c r="AN46" s="9"/>
      <c r="AO46" s="291">
        <f>+AK46-V46</f>
        <v>-0.23476367864540215</v>
      </c>
    </row>
    <row r="47" spans="1:41" ht="14.45" customHeight="1">
      <c r="A47" s="12" t="s">
        <v>146</v>
      </c>
      <c r="B47" s="8" t="s">
        <v>88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1" ht="14.45" customHeight="1">
      <c r="A48" s="12" t="s">
        <v>146</v>
      </c>
      <c r="B48" s="8" t="s">
        <v>88</v>
      </c>
      <c r="I48" s="139" t="s">
        <v>145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14.45" customHeight="1">
      <c r="A49" s="12" t="s">
        <v>146</v>
      </c>
      <c r="B49" s="8" t="s">
        <v>88</v>
      </c>
      <c r="C49" s="8" t="s">
        <v>155</v>
      </c>
      <c r="I49" s="139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ht="14.45" customHeight="1">
      <c r="A50" s="12" t="s">
        <v>146</v>
      </c>
      <c r="B50" s="8" t="s">
        <v>88</v>
      </c>
      <c r="I50" s="166" t="s">
        <v>147</v>
      </c>
      <c r="J50" s="15">
        <v>530614</v>
      </c>
      <c r="K50" s="15">
        <v>311062</v>
      </c>
      <c r="L50" s="15">
        <v>312407</v>
      </c>
      <c r="M50" s="15">
        <v>326827</v>
      </c>
      <c r="N50" s="15">
        <v>315510</v>
      </c>
      <c r="O50" s="15">
        <v>323265</v>
      </c>
      <c r="P50" s="15">
        <v>332577</v>
      </c>
      <c r="Q50" s="15">
        <v>347645</v>
      </c>
      <c r="R50" s="15">
        <v>320109</v>
      </c>
      <c r="S50" s="15">
        <v>338994</v>
      </c>
      <c r="T50" s="15">
        <f t="shared" ref="R50:U50" si="25">SUM(T51:T91)</f>
        <v>357657.61040000001</v>
      </c>
      <c r="U50" s="15">
        <f t="shared" si="25"/>
        <v>312306.00373333337</v>
      </c>
      <c r="V50" s="15">
        <f>SUM(V51:V91)</f>
        <v>4127449.6141333338</v>
      </c>
      <c r="W50" s="72">
        <f t="shared" ref="W50:W164" si="26">V50/V$6</f>
        <v>3.927006590926569E-2</v>
      </c>
      <c r="X50" s="89"/>
      <c r="Y50" s="15">
        <f t="shared" ref="Y50:AK50" si="27">SUM(Y51:Y91)</f>
        <v>343384.10325094423</v>
      </c>
      <c r="Z50" s="15">
        <f t="shared" si="27"/>
        <v>327878.60401644534</v>
      </c>
      <c r="AA50" s="15">
        <f t="shared" si="27"/>
        <v>338994.86799499817</v>
      </c>
      <c r="AB50" s="15">
        <f t="shared" si="27"/>
        <v>330075.40952546464</v>
      </c>
      <c r="AC50" s="15">
        <f t="shared" si="27"/>
        <v>321962.70064438775</v>
      </c>
      <c r="AD50" s="15">
        <f t="shared" si="27"/>
        <v>332157.76081542263</v>
      </c>
      <c r="AE50" s="15">
        <f t="shared" si="27"/>
        <v>332518.58547094167</v>
      </c>
      <c r="AF50" s="15">
        <f t="shared" si="27"/>
        <v>349390.78439812514</v>
      </c>
      <c r="AG50" s="15">
        <f t="shared" si="27"/>
        <v>350485.64726784278</v>
      </c>
      <c r="AH50" s="15">
        <f t="shared" si="27"/>
        <v>377763.65891634603</v>
      </c>
      <c r="AI50" s="15">
        <f t="shared" si="27"/>
        <v>341488.8502196999</v>
      </c>
      <c r="AJ50" s="15">
        <f t="shared" si="27"/>
        <v>329050.1450724614</v>
      </c>
      <c r="AK50" s="15">
        <f t="shared" si="27"/>
        <v>4075151.1175930803</v>
      </c>
      <c r="AL50" s="72">
        <f t="shared" ref="AL50:AL164" si="28">AK50/AK$6</f>
        <v>3.8115936209621566E-2</v>
      </c>
      <c r="AM50" s="10">
        <f t="shared" ref="AM50:AM144" si="29">IFERROR(AK50/V50-1,0)</f>
        <v>-1.2670898842997769E-2</v>
      </c>
      <c r="AN50" s="9"/>
    </row>
    <row r="51" spans="1:40" ht="14.45" customHeight="1" outlineLevel="1">
      <c r="A51" s="12" t="s">
        <v>146</v>
      </c>
      <c r="B51" s="8" t="s">
        <v>88</v>
      </c>
      <c r="I51" s="246" t="s">
        <v>149</v>
      </c>
      <c r="J51" s="65">
        <v>26080</v>
      </c>
      <c r="K51" s="65">
        <v>25715</v>
      </c>
      <c r="L51" s="65">
        <v>33946</v>
      </c>
      <c r="M51" s="65">
        <v>25101</v>
      </c>
      <c r="N51" s="65">
        <v>35660</v>
      </c>
      <c r="O51" s="65">
        <v>23517</v>
      </c>
      <c r="P51" s="65">
        <v>24819</v>
      </c>
      <c r="Q51" s="65">
        <v>43733</v>
      </c>
      <c r="R51" s="225">
        <v>25646</v>
      </c>
      <c r="S51" s="225">
        <v>40587</v>
      </c>
      <c r="T51" s="225">
        <f t="shared" ref="S51:U52" si="30">+AVERAGE(Q51:S51)</f>
        <v>36655.333333333336</v>
      </c>
      <c r="U51" s="225">
        <f t="shared" si="30"/>
        <v>34296.111111111117</v>
      </c>
      <c r="V51" s="65">
        <f>SUM(J51:U51)</f>
        <v>375755.44444444444</v>
      </c>
      <c r="W51" s="73">
        <f t="shared" si="26"/>
        <v>3.575074791602793E-3</v>
      </c>
      <c r="X51" s="89"/>
      <c r="Y51" s="65">
        <f>VLOOKUP($E$1,'[4]PPTO 2025'!$C$1:$P$9,Y1,0)</f>
        <v>30199.394158790401</v>
      </c>
      <c r="Z51" s="65">
        <f>VLOOKUP($E$1,'[4]PPTO 2025'!$C$1:$P$9,Z1,0)</f>
        <v>28643.934710753027</v>
      </c>
      <c r="AA51" s="65">
        <f>VLOOKUP($E$1,'[4]PPTO 2025'!$C$1:$P$9,AA1,0)</f>
        <v>31725.033591305808</v>
      </c>
      <c r="AB51" s="65">
        <f>VLOOKUP($E$1,'[4]PPTO 2025'!$C$1:$P$9,AB1,0)</f>
        <v>30695.052929464648</v>
      </c>
      <c r="AC51" s="65">
        <f>VLOOKUP($E$1,'[4]PPTO 2025'!$C$1:$P$9,AC1,0)</f>
        <v>32894.678048387774</v>
      </c>
      <c r="AD51" s="65">
        <f>VLOOKUP($E$1,'[4]PPTO 2025'!$C$1:$P$9,AD1,0)</f>
        <v>32559.232415422626</v>
      </c>
      <c r="AE51" s="65">
        <f>VLOOKUP($E$1,'[4]PPTO 2025'!$C$1:$P$9,AE1,0)</f>
        <v>33048.626874941692</v>
      </c>
      <c r="AF51" s="65">
        <f>VLOOKUP($E$1,'[4]PPTO 2025'!$C$1:$P$9,AF1,0)</f>
        <v>33740.956802125103</v>
      </c>
      <c r="AG51" s="65">
        <f>VLOOKUP($E$1,'[4]PPTO 2025'!$C$1:$P$9,AG1,0)</f>
        <v>32944.683073842782</v>
      </c>
      <c r="AH51" s="65">
        <f>VLOOKUP($E$1,'[4]PPTO 2025'!$C$1:$P$9,AH1,0)</f>
        <v>33905.777972346004</v>
      </c>
      <c r="AI51" s="65">
        <f>VLOOKUP($E$1,'[4]PPTO 2025'!$C$1:$P$9,AI1,0)</f>
        <v>31888.732290366592</v>
      </c>
      <c r="AJ51" s="65">
        <f>VLOOKUP($E$1,'[4]PPTO 2025'!$C$1:$P$9,AJ1,0)</f>
        <v>31239.359228016947</v>
      </c>
      <c r="AK51" s="65">
        <f>SUM(Y51:AJ51)</f>
        <v>383485.46209576342</v>
      </c>
      <c r="AL51" s="73">
        <f t="shared" si="28"/>
        <v>3.5868381291323985E-3</v>
      </c>
      <c r="AM51" s="14">
        <f t="shared" si="29"/>
        <v>2.0571937853749001E-2</v>
      </c>
      <c r="AN51" s="9"/>
    </row>
    <row r="52" spans="1:40" ht="14.45" customHeight="1" outlineLevel="1">
      <c r="A52" s="12" t="s">
        <v>146</v>
      </c>
      <c r="B52" s="8" t="s">
        <v>88</v>
      </c>
      <c r="I52" s="246" t="s">
        <v>148</v>
      </c>
      <c r="J52" s="65">
        <v>60887</v>
      </c>
      <c r="K52" s="65">
        <v>60887</v>
      </c>
      <c r="L52" s="65">
        <v>60887</v>
      </c>
      <c r="M52" s="65">
        <v>60887</v>
      </c>
      <c r="N52" s="65">
        <v>60887</v>
      </c>
      <c r="O52" s="65">
        <v>60887</v>
      </c>
      <c r="P52" s="65">
        <v>60887</v>
      </c>
      <c r="Q52" s="65">
        <v>60887</v>
      </c>
      <c r="R52" s="225">
        <v>63054</v>
      </c>
      <c r="S52" s="225">
        <v>63054</v>
      </c>
      <c r="T52" s="225">
        <v>63054</v>
      </c>
      <c r="U52" s="225">
        <v>63054</v>
      </c>
      <c r="V52" s="65">
        <f t="shared" ref="V52:V87" si="31">SUM(J52:U52)</f>
        <v>739312</v>
      </c>
      <c r="W52" s="73">
        <f t="shared" si="26"/>
        <v>7.034084890605561E-3</v>
      </c>
      <c r="X52" s="89"/>
      <c r="Y52" s="65">
        <f>VLOOKUP($E$1,[5]Resumen!$V$8:$AI$14,Y1,0)+VLOOKUP($E$1,[6]Resumen!$C$9:$O$15,Y1,0)</f>
        <v>64434</v>
      </c>
      <c r="Z52" s="65">
        <f>VLOOKUP($E$1,[5]Resumen!$V$8:$AI$14,Z1,0)+VLOOKUP($E$1,[6]Resumen!$C$9:$O$15,Z1,0)</f>
        <v>64434</v>
      </c>
      <c r="AA52" s="65">
        <f>VLOOKUP($E$1,[5]Resumen!$V$8:$AI$14,AA1,0)+VLOOKUP($E$1,[6]Resumen!$C$9:$O$15,AA1,0)</f>
        <v>64434</v>
      </c>
      <c r="AB52" s="65">
        <f>VLOOKUP($E$1,[5]Resumen!$V$8:$AI$14,AB1,0)+VLOOKUP($E$1,[6]Resumen!$C$9:$O$15,AB1,0)</f>
        <v>64434</v>
      </c>
      <c r="AC52" s="65">
        <f>VLOOKUP($E$1,[5]Resumen!$V$8:$AI$14,AC1,0)+VLOOKUP($E$1,[6]Resumen!$C$9:$O$15,AC1,0)</f>
        <v>64434</v>
      </c>
      <c r="AD52" s="65">
        <f>VLOOKUP($E$1,[5]Resumen!$V$8:$AI$14,AD1,0)+VLOOKUP($E$1,[6]Resumen!$C$9:$O$15,AD1,0)</f>
        <v>64434</v>
      </c>
      <c r="AE52" s="65">
        <f>VLOOKUP($E$1,[5]Resumen!$V$8:$AI$14,AE1,0)+VLOOKUP($E$1,[6]Resumen!$C$9:$O$15,AE1,0)</f>
        <v>64434</v>
      </c>
      <c r="AF52" s="65">
        <f>VLOOKUP($E$1,[5]Resumen!$V$8:$AI$14,AF1,0)+VLOOKUP($E$1,[6]Resumen!$C$9:$O$15,AF1,0)</f>
        <v>64434</v>
      </c>
      <c r="AG52" s="65">
        <f>VLOOKUP($E$1,[5]Resumen!$V$8:$AI$14,AG1,0)+VLOOKUP($E$1,[6]Resumen!$C$9:$O$15,AG1,0)</f>
        <v>66956.160000000003</v>
      </c>
      <c r="AH52" s="65">
        <f>VLOOKUP($E$1,[5]Resumen!$V$8:$AI$14,AH1,0)+VLOOKUP($E$1,[6]Resumen!$C$9:$O$15,AH1,0)</f>
        <v>66956.160000000003</v>
      </c>
      <c r="AI52" s="65">
        <f>VLOOKUP($E$1,[5]Resumen!$V$8:$AI$14,AI1,0)+VLOOKUP($E$1,[6]Resumen!$C$9:$O$15,AI1,0)</f>
        <v>66956.160000000003</v>
      </c>
      <c r="AJ52" s="65">
        <f>VLOOKUP($E$1,[5]Resumen!$V$8:$AI$14,AJ1,0)+VLOOKUP($E$1,[6]Resumen!$C$9:$O$15,AJ1,0)</f>
        <v>66956.160000000003</v>
      </c>
      <c r="AK52" s="65">
        <f t="shared" ref="AK52:AK91" si="32">SUM(Y52:AJ52)</f>
        <v>783296.64000000013</v>
      </c>
      <c r="AL52" s="73">
        <f t="shared" si="28"/>
        <v>7.3263748759051931E-3</v>
      </c>
      <c r="AM52" s="14">
        <f t="shared" si="29"/>
        <v>5.9494016058173171E-2</v>
      </c>
      <c r="AN52" s="9"/>
    </row>
    <row r="53" spans="1:40" ht="14.45" customHeight="1" outlineLevel="1">
      <c r="A53" s="12" t="s">
        <v>146</v>
      </c>
      <c r="B53" s="8" t="s">
        <v>88</v>
      </c>
      <c r="I53" s="246" t="s">
        <v>152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/>
      <c r="U53" s="65"/>
      <c r="V53" s="65">
        <f t="shared" si="31"/>
        <v>0</v>
      </c>
      <c r="W53" s="73">
        <f t="shared" si="26"/>
        <v>0</v>
      </c>
      <c r="X53" s="89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>
        <f t="shared" si="32"/>
        <v>0</v>
      </c>
      <c r="AL53" s="73">
        <f t="shared" si="28"/>
        <v>0</v>
      </c>
      <c r="AM53" s="14">
        <f t="shared" si="29"/>
        <v>0</v>
      </c>
      <c r="AN53" s="9"/>
    </row>
    <row r="54" spans="1:40" ht="14.45" customHeight="1" outlineLevel="1">
      <c r="A54" s="12" t="s">
        <v>146</v>
      </c>
      <c r="B54" s="8" t="s">
        <v>88</v>
      </c>
      <c r="I54" s="246" t="s">
        <v>153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225">
        <v>0</v>
      </c>
      <c r="S54" s="225">
        <v>0</v>
      </c>
      <c r="T54" s="225">
        <f t="shared" ref="S54:U54" si="33">+AVERAGE(Q54:S54)</f>
        <v>0</v>
      </c>
      <c r="U54" s="225">
        <f t="shared" si="33"/>
        <v>0</v>
      </c>
      <c r="V54" s="65">
        <f t="shared" si="31"/>
        <v>0</v>
      </c>
      <c r="W54" s="73">
        <f t="shared" si="26"/>
        <v>0</v>
      </c>
      <c r="X54" s="89"/>
      <c r="Y54" s="65">
        <f>VLOOKUP($E$1,[7]Resumen!$C$9:$O$15,Y1,0)</f>
        <v>0</v>
      </c>
      <c r="Z54" s="65">
        <f>VLOOKUP($E$1,[7]Resumen!$C$9:$O$15,Z1,0)</f>
        <v>0</v>
      </c>
      <c r="AA54" s="65">
        <f>VLOOKUP($E$1,[7]Resumen!$C$9:$O$15,AA1,0)</f>
        <v>0</v>
      </c>
      <c r="AB54" s="65">
        <f>VLOOKUP($E$1,[7]Resumen!$C$9:$O$15,AB1,0)</f>
        <v>0</v>
      </c>
      <c r="AC54" s="65">
        <f>VLOOKUP($E$1,[7]Resumen!$C$9:$O$15,AC1,0)</f>
        <v>0</v>
      </c>
      <c r="AD54" s="65">
        <f>VLOOKUP($E$1,[7]Resumen!$C$9:$O$15,AD1,0)</f>
        <v>0</v>
      </c>
      <c r="AE54" s="65">
        <f>VLOOKUP($E$1,[7]Resumen!$C$9:$O$15,AE1,0)</f>
        <v>0</v>
      </c>
      <c r="AF54" s="65">
        <f>VLOOKUP($E$1,[7]Resumen!$C$9:$O$15,AF1,0)</f>
        <v>0</v>
      </c>
      <c r="AG54" s="65">
        <f>VLOOKUP($E$1,[7]Resumen!$C$9:$O$15,AG1,0)</f>
        <v>0</v>
      </c>
      <c r="AH54" s="65">
        <f>VLOOKUP($E$1,[7]Resumen!$C$9:$O$15,AH1,0)</f>
        <v>0</v>
      </c>
      <c r="AI54" s="65">
        <f>VLOOKUP($E$1,[7]Resumen!$C$9:$O$15,AI1,0)</f>
        <v>0</v>
      </c>
      <c r="AJ54" s="65">
        <f>VLOOKUP($E$1,[7]Resumen!$C$9:$O$15,AJ1,0)</f>
        <v>1242.1199999999999</v>
      </c>
      <c r="AK54" s="65">
        <f t="shared" si="32"/>
        <v>1242.1199999999999</v>
      </c>
      <c r="AL54" s="73">
        <f t="shared" si="28"/>
        <v>1.1617867735088659E-5</v>
      </c>
      <c r="AM54" s="14">
        <f t="shared" si="29"/>
        <v>0</v>
      </c>
      <c r="AN54" s="9"/>
    </row>
    <row r="55" spans="1:40" ht="14.45" customHeight="1" outlineLevel="1">
      <c r="A55" s="12" t="s">
        <v>146</v>
      </c>
      <c r="B55" s="8" t="s">
        <v>88</v>
      </c>
      <c r="I55" s="246" t="s">
        <v>156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f t="shared" si="31"/>
        <v>0</v>
      </c>
      <c r="W55" s="73">
        <f t="shared" si="26"/>
        <v>0</v>
      </c>
      <c r="X55" s="89"/>
      <c r="Y55" s="65">
        <f>VLOOKUP($E$1,[8]Resumen!$V$140:$AH$146,Y1,0)</f>
        <v>0</v>
      </c>
      <c r="Z55" s="65">
        <f>VLOOKUP($E$1,[8]Resumen!$V$140:$AH$146,Z1,0)</f>
        <v>0</v>
      </c>
      <c r="AA55" s="65">
        <f>VLOOKUP($E$1,[8]Resumen!$V$140:$AH$146,AA1,0)</f>
        <v>0</v>
      </c>
      <c r="AB55" s="65">
        <f>VLOOKUP($E$1,[8]Resumen!$V$140:$AH$146,AB1,0)</f>
        <v>0</v>
      </c>
      <c r="AC55" s="65">
        <f>VLOOKUP($E$1,[8]Resumen!$V$140:$AH$146,AC1,0)</f>
        <v>0</v>
      </c>
      <c r="AD55" s="65">
        <f>VLOOKUP($E$1,[8]Resumen!$V$140:$AH$146,AD1,0)</f>
        <v>0</v>
      </c>
      <c r="AE55" s="65">
        <f>VLOOKUP($E$1,[8]Resumen!$V$140:$AH$146,AE1,0)</f>
        <v>0</v>
      </c>
      <c r="AF55" s="65">
        <f>VLOOKUP($E$1,[8]Resumen!$V$140:$AH$146,AF1,0)</f>
        <v>0</v>
      </c>
      <c r="AG55" s="65">
        <f>VLOOKUP($E$1,[8]Resumen!$V$140:$AH$146,AG1,0)</f>
        <v>0</v>
      </c>
      <c r="AH55" s="65">
        <f>VLOOKUP($E$1,[8]Resumen!$V$140:$AH$146,AH1,0)</f>
        <v>0</v>
      </c>
      <c r="AI55" s="65">
        <f>VLOOKUP($E$1,[8]Resumen!$V$140:$AH$146,AI1,0)</f>
        <v>0</v>
      </c>
      <c r="AJ55" s="65">
        <f>VLOOKUP($E$1,[8]Resumen!$V$140:$AH$146,AJ1,0)</f>
        <v>0</v>
      </c>
      <c r="AK55" s="65">
        <f t="shared" si="32"/>
        <v>0</v>
      </c>
      <c r="AL55" s="73">
        <f t="shared" si="28"/>
        <v>0</v>
      </c>
      <c r="AM55" s="14">
        <f t="shared" si="29"/>
        <v>0</v>
      </c>
      <c r="AN55" s="9"/>
    </row>
    <row r="56" spans="1:40" ht="14.45" customHeight="1" outlineLevel="1">
      <c r="A56" s="12" t="s">
        <v>146</v>
      </c>
      <c r="B56" s="8" t="s">
        <v>88</v>
      </c>
      <c r="I56" s="246" t="s">
        <v>158</v>
      </c>
      <c r="J56" s="65">
        <v>3297</v>
      </c>
      <c r="K56" s="65">
        <v>3512</v>
      </c>
      <c r="L56" s="65">
        <v>2689</v>
      </c>
      <c r="M56" s="65">
        <v>3001</v>
      </c>
      <c r="N56" s="65">
        <v>2966</v>
      </c>
      <c r="O56" s="65">
        <v>2924</v>
      </c>
      <c r="P56" s="65">
        <v>2843</v>
      </c>
      <c r="Q56" s="65">
        <v>3053</v>
      </c>
      <c r="R56" s="225">
        <v>2974</v>
      </c>
      <c r="S56" s="225">
        <v>2886</v>
      </c>
      <c r="T56" s="225">
        <f t="shared" ref="S56:U56" si="34">+AVERAGE(Q56:S56)</f>
        <v>2971</v>
      </c>
      <c r="U56" s="225">
        <f t="shared" si="34"/>
        <v>2943.6666666666665</v>
      </c>
      <c r="V56" s="65">
        <f t="shared" si="31"/>
        <v>36059.666666666664</v>
      </c>
      <c r="W56" s="73">
        <f t="shared" si="26"/>
        <v>3.4308486330571257E-4</v>
      </c>
      <c r="X56" s="89"/>
      <c r="Y56" s="65">
        <f>VLOOKUP($E$1,[9]Resumen!$V$238:$AH$244,Y1,0)</f>
        <v>3055.6151999999997</v>
      </c>
      <c r="Z56" s="65">
        <f>VLOOKUP($E$1,[9]Resumen!$V$238:$AH$244,Z1,0)</f>
        <v>3055.6151999999997</v>
      </c>
      <c r="AA56" s="65">
        <f>VLOOKUP($E$1,[9]Resumen!$V$238:$AH$244,AA1,0)</f>
        <v>3055.6151999999997</v>
      </c>
      <c r="AB56" s="65">
        <f>VLOOKUP($E$1,[9]Resumen!$V$238:$AH$244,AB1,0)</f>
        <v>3055.6151999999997</v>
      </c>
      <c r="AC56" s="65">
        <f>VLOOKUP($E$1,[9]Resumen!$V$238:$AH$244,AC1,0)</f>
        <v>3055.6151999999997</v>
      </c>
      <c r="AD56" s="65">
        <f>VLOOKUP($E$1,[9]Resumen!$V$238:$AH$244,AD1,0)</f>
        <v>3055.6151999999997</v>
      </c>
      <c r="AE56" s="65">
        <f>VLOOKUP($E$1,[9]Resumen!$V$238:$AH$244,AE1,0)</f>
        <v>3055.6151999999997</v>
      </c>
      <c r="AF56" s="65">
        <f>VLOOKUP($E$1,[9]Resumen!$V$238:$AH$244,AF1,0)</f>
        <v>3055.6151999999997</v>
      </c>
      <c r="AG56" s="65">
        <f>VLOOKUP($E$1,[9]Resumen!$V$238:$AH$244,AG1,0)</f>
        <v>3055.6151999999997</v>
      </c>
      <c r="AH56" s="65">
        <f>VLOOKUP($E$1,[9]Resumen!$V$238:$AH$244,AH1,0)</f>
        <v>3055.6151999999997</v>
      </c>
      <c r="AI56" s="65">
        <f>VLOOKUP($E$1,[9]Resumen!$V$238:$AH$244,AI1,0)</f>
        <v>3055.6151999999997</v>
      </c>
      <c r="AJ56" s="65">
        <f>VLOOKUP($E$1,[9]Resumen!$V$238:$AH$244,AJ1,0)</f>
        <v>3055.6151999999997</v>
      </c>
      <c r="AK56" s="65">
        <f t="shared" si="32"/>
        <v>36667.382399999995</v>
      </c>
      <c r="AL56" s="73">
        <f t="shared" si="28"/>
        <v>3.4295945553981718E-4</v>
      </c>
      <c r="AM56" s="14">
        <f t="shared" si="29"/>
        <v>1.6853060205769932E-2</v>
      </c>
      <c r="AN56" s="9"/>
    </row>
    <row r="57" spans="1:40" ht="14.45" customHeight="1" outlineLevel="1">
      <c r="A57" s="12" t="s">
        <v>146</v>
      </c>
      <c r="B57" s="8" t="s">
        <v>88</v>
      </c>
      <c r="I57" s="246" t="s">
        <v>159</v>
      </c>
      <c r="J57" s="65">
        <v>1000</v>
      </c>
      <c r="K57" s="65">
        <v>8899</v>
      </c>
      <c r="L57" s="65">
        <v>6849</v>
      </c>
      <c r="M57" s="65">
        <v>16800</v>
      </c>
      <c r="N57" s="65">
        <v>4570</v>
      </c>
      <c r="O57" s="65">
        <v>17333</v>
      </c>
      <c r="P57" s="65">
        <v>33925</v>
      </c>
      <c r="Q57" s="65">
        <v>15907</v>
      </c>
      <c r="R57" s="65">
        <v>12000</v>
      </c>
      <c r="S57" s="65">
        <v>1800</v>
      </c>
      <c r="T57" s="65">
        <v>0</v>
      </c>
      <c r="U57" s="65">
        <v>0</v>
      </c>
      <c r="V57" s="65">
        <f t="shared" si="31"/>
        <v>119083</v>
      </c>
      <c r="W57" s="73">
        <f t="shared" si="26"/>
        <v>1.1329992358138136E-3</v>
      </c>
      <c r="X57" s="89"/>
      <c r="Y57" s="65">
        <f>VLOOKUP($E$1,[10]Resumen!$V$8:$AH$14,Y1,0)</f>
        <v>207.01999999999998</v>
      </c>
      <c r="Z57" s="65">
        <f>VLOOKUP($E$1,[10]Resumen!$V$8:$AH$14,Z1,0)</f>
        <v>1552.6499999999999</v>
      </c>
      <c r="AA57" s="65">
        <f>VLOOKUP($E$1,[10]Resumen!$V$8:$AH$14,AA1,0)</f>
        <v>21902.715999999997</v>
      </c>
      <c r="AB57" s="65">
        <f>VLOOKUP($E$1,[10]Resumen!$V$8:$AH$14,AB1,0)</f>
        <v>8073.7799999999988</v>
      </c>
      <c r="AC57" s="65">
        <f>VLOOKUP($E$1,[10]Resumen!$V$8:$AH$14,AC1,0)</f>
        <v>1863.1799999999998</v>
      </c>
      <c r="AD57" s="65">
        <f>VLOOKUP($E$1,[10]Resumen!$V$8:$AH$14,AD1,0)</f>
        <v>3312.3199999999997</v>
      </c>
      <c r="AE57" s="65">
        <f>VLOOKUP($E$1,[10]Resumen!$V$8:$AH$14,AE1,0)</f>
        <v>6997.2759999999998</v>
      </c>
      <c r="AF57" s="65">
        <f>VLOOKUP($E$1,[10]Resumen!$V$8:$AH$14,AF1,0)</f>
        <v>11179.079999999998</v>
      </c>
      <c r="AG57" s="65">
        <f>VLOOKUP($E$1,[10]Resumen!$V$8:$AH$14,AG1,0)</f>
        <v>2484.2399999999998</v>
      </c>
      <c r="AH57" s="65">
        <f>VLOOKUP($E$1,[10]Resumen!$V$8:$AH$14,AH1,0)</f>
        <v>30742.469999999998</v>
      </c>
      <c r="AI57" s="65">
        <f>VLOOKUP($E$1,[10]Resumen!$V$8:$AH$14,AI1,0)</f>
        <v>1614.7559999999999</v>
      </c>
      <c r="AJ57" s="65">
        <f>VLOOKUP($E$1,[10]Resumen!$V$8:$AH$14,AJ1,0)</f>
        <v>8798.3499999999985</v>
      </c>
      <c r="AK57" s="65">
        <f t="shared" si="32"/>
        <v>98727.83799999996</v>
      </c>
      <c r="AL57" s="73">
        <f t="shared" si="28"/>
        <v>9.2342685381062992E-4</v>
      </c>
      <c r="AM57" s="14">
        <f t="shared" si="29"/>
        <v>-0.17093255964327436</v>
      </c>
      <c r="AN57" s="9"/>
    </row>
    <row r="58" spans="1:40" ht="14.45" customHeight="1" outlineLevel="1">
      <c r="A58" s="12" t="s">
        <v>146</v>
      </c>
      <c r="B58" s="8" t="s">
        <v>88</v>
      </c>
      <c r="I58" s="246" t="s">
        <v>160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1137.5</v>
      </c>
      <c r="U58" s="65">
        <v>0</v>
      </c>
      <c r="V58" s="65">
        <f t="shared" si="31"/>
        <v>1137.5</v>
      </c>
      <c r="W58" s="73">
        <f t="shared" si="26"/>
        <v>1.0822591224089189E-5</v>
      </c>
      <c r="X58" s="89"/>
      <c r="Y58" s="65">
        <f>VLOOKUP($E$1,[11]Resumen!$V$8:$AH$14,Y1,0)</f>
        <v>746.46634615384608</v>
      </c>
      <c r="Z58" s="65">
        <f>VLOOKUP($E$1,[11]Resumen!$V$8:$AH$14,Z1,0)</f>
        <v>2388.6923076923076</v>
      </c>
      <c r="AA58" s="65">
        <f>VLOOKUP($E$1,[11]Resumen!$V$8:$AH$14,AA1,0)</f>
        <v>447.87980769230762</v>
      </c>
      <c r="AB58" s="65">
        <f>VLOOKUP($E$1,[11]Resumen!$V$8:$AH$14,AB1,0)</f>
        <v>0</v>
      </c>
      <c r="AC58" s="65">
        <f>VLOOKUP($E$1,[11]Resumen!$V$8:$AH$14,AC1,0)</f>
        <v>0</v>
      </c>
      <c r="AD58" s="65">
        <f>VLOOKUP($E$1,[11]Resumen!$V$8:$AH$14,AD1,0)</f>
        <v>0</v>
      </c>
      <c r="AE58" s="65">
        <f>VLOOKUP($E$1,[11]Resumen!$V$8:$AH$14,AE1,0)</f>
        <v>0</v>
      </c>
      <c r="AF58" s="65">
        <f>VLOOKUP($E$1,[11]Resumen!$V$8:$AH$14,AF1,0)</f>
        <v>0</v>
      </c>
      <c r="AG58" s="65">
        <f>VLOOKUP($E$1,[11]Resumen!$V$8:$AH$14,AG1,0)</f>
        <v>0</v>
      </c>
      <c r="AH58" s="65">
        <f>VLOOKUP($E$1,[11]Resumen!$V$8:$AH$14,AH1,0)</f>
        <v>0</v>
      </c>
      <c r="AI58" s="65">
        <f>VLOOKUP($E$1,[11]Resumen!$V$8:$AH$14,AI1,0)</f>
        <v>0</v>
      </c>
      <c r="AJ58" s="65">
        <f>VLOOKUP($E$1,[11]Resumen!$V$8:$AH$14,AJ1,0)</f>
        <v>0</v>
      </c>
      <c r="AK58" s="65">
        <f t="shared" si="32"/>
        <v>3583.0384615384614</v>
      </c>
      <c r="AL58" s="73">
        <f t="shared" si="28"/>
        <v>3.3513080005063442E-5</v>
      </c>
      <c r="AM58" s="14">
        <f t="shared" si="29"/>
        <v>2.1499239222316144</v>
      </c>
      <c r="AN58" s="9"/>
    </row>
    <row r="59" spans="1:40" ht="14.45" customHeight="1" outlineLevel="1">
      <c r="A59" s="12" t="s">
        <v>146</v>
      </c>
      <c r="B59" s="8" t="s">
        <v>88</v>
      </c>
      <c r="I59" s="288" t="s">
        <v>161</v>
      </c>
      <c r="J59" s="65"/>
      <c r="K59" s="65">
        <v>0</v>
      </c>
      <c r="L59" s="65"/>
      <c r="M59" s="65">
        <v>0</v>
      </c>
      <c r="N59" s="65"/>
      <c r="O59" s="65"/>
      <c r="P59" s="65">
        <v>0</v>
      </c>
      <c r="Q59" s="65">
        <v>0</v>
      </c>
      <c r="R59" s="65">
        <v>0</v>
      </c>
      <c r="S59" s="65">
        <v>0</v>
      </c>
      <c r="T59" s="65"/>
      <c r="U59" s="65"/>
      <c r="V59" s="65">
        <f t="shared" si="31"/>
        <v>0</v>
      </c>
      <c r="W59" s="73">
        <f t="shared" si="26"/>
        <v>0</v>
      </c>
      <c r="X59" s="89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>
        <f t="shared" si="32"/>
        <v>0</v>
      </c>
      <c r="AL59" s="73">
        <f t="shared" si="28"/>
        <v>0</v>
      </c>
      <c r="AM59" s="14">
        <f t="shared" si="29"/>
        <v>0</v>
      </c>
      <c r="AN59" s="9"/>
    </row>
    <row r="60" spans="1:40" ht="14.45" customHeight="1" outlineLevel="1">
      <c r="A60" s="12" t="s">
        <v>146</v>
      </c>
      <c r="B60" s="8" t="s">
        <v>88</v>
      </c>
      <c r="I60" s="246" t="s">
        <v>162</v>
      </c>
      <c r="J60" s="65">
        <v>0</v>
      </c>
      <c r="K60" s="65">
        <v>0</v>
      </c>
      <c r="L60" s="65">
        <v>0</v>
      </c>
      <c r="M60" s="65">
        <v>2850</v>
      </c>
      <c r="N60" s="65">
        <v>0</v>
      </c>
      <c r="O60" s="65">
        <v>14359</v>
      </c>
      <c r="P60" s="65">
        <v>6000</v>
      </c>
      <c r="Q60" s="65">
        <v>14800</v>
      </c>
      <c r="R60" s="65">
        <v>6000</v>
      </c>
      <c r="S60" s="65">
        <v>6000</v>
      </c>
      <c r="T60" s="65">
        <v>6000</v>
      </c>
      <c r="U60" s="65">
        <v>6000</v>
      </c>
      <c r="V60" s="65">
        <f t="shared" si="31"/>
        <v>62009</v>
      </c>
      <c r="W60" s="73">
        <f t="shared" si="26"/>
        <v>5.8997631579300793E-4</v>
      </c>
      <c r="X60" s="89"/>
      <c r="Y60" s="65">
        <f>+J60*1.0375</f>
        <v>0</v>
      </c>
      <c r="Z60" s="65">
        <f>+K60*1.0375</f>
        <v>0</v>
      </c>
      <c r="AA60" s="65">
        <f>+L60*1.0375</f>
        <v>0</v>
      </c>
      <c r="AB60" s="65">
        <f>+M60*1.0375</f>
        <v>2956.8750000000005</v>
      </c>
      <c r="AC60" s="65">
        <f>+N60*1.0375</f>
        <v>0</v>
      </c>
      <c r="AD60" s="65">
        <f>+O60*1.0375</f>
        <v>14897.462500000001</v>
      </c>
      <c r="AE60" s="65">
        <f>+P60*1.0375</f>
        <v>6225.0000000000009</v>
      </c>
      <c r="AF60" s="65">
        <f>+Q60*1.0375</f>
        <v>15355.000000000002</v>
      </c>
      <c r="AG60" s="65">
        <f>+R60*1.0375</f>
        <v>6225.0000000000009</v>
      </c>
      <c r="AH60" s="65">
        <f>+S60*1.0375</f>
        <v>6225.0000000000009</v>
      </c>
      <c r="AI60" s="65">
        <f>+T60*1.0375</f>
        <v>6225.0000000000009</v>
      </c>
      <c r="AJ60" s="65">
        <f>+U60*1.0375</f>
        <v>6225.0000000000009</v>
      </c>
      <c r="AK60" s="65">
        <f t="shared" si="32"/>
        <v>64334.337500000001</v>
      </c>
      <c r="AL60" s="73">
        <f t="shared" si="28"/>
        <v>6.0173560034421352E-4</v>
      </c>
      <c r="AM60" s="14">
        <f t="shared" si="29"/>
        <v>3.7500000000000089E-2</v>
      </c>
      <c r="AN60" s="304"/>
    </row>
    <row r="61" spans="1:40" ht="14.45" customHeight="1" outlineLevel="1">
      <c r="A61" s="12" t="s">
        <v>146</v>
      </c>
      <c r="B61" s="8" t="s">
        <v>88</v>
      </c>
      <c r="I61" s="289" t="s">
        <v>278</v>
      </c>
      <c r="J61" s="65">
        <v>1425</v>
      </c>
      <c r="K61" s="65">
        <v>1425</v>
      </c>
      <c r="L61" s="65"/>
      <c r="M61" s="65"/>
      <c r="N61" s="65"/>
      <c r="O61" s="65"/>
      <c r="P61" s="65">
        <v>1425</v>
      </c>
      <c r="Q61" s="65"/>
      <c r="R61" s="65"/>
      <c r="S61" s="65"/>
      <c r="T61" s="65"/>
      <c r="U61" s="65"/>
      <c r="V61" s="65">
        <f t="shared" ref="V61" si="35">SUM(J61:U61)</f>
        <v>4275</v>
      </c>
      <c r="W61" s="73">
        <f t="shared" ref="W61" si="36">V61/V$6</f>
        <v>4.0673914270752776E-5</v>
      </c>
      <c r="X61" s="89"/>
      <c r="Y61" s="65">
        <f>+J61*1.0375</f>
        <v>1478.4375000000002</v>
      </c>
      <c r="Z61" s="65">
        <f>+K61*1.0375</f>
        <v>1478.4375000000002</v>
      </c>
      <c r="AA61" s="65">
        <f>+L61*1.0375</f>
        <v>0</v>
      </c>
      <c r="AB61" s="65">
        <f>+M61*1.0375</f>
        <v>0</v>
      </c>
      <c r="AC61" s="65">
        <f>+N61*1.0375</f>
        <v>0</v>
      </c>
      <c r="AD61" s="65">
        <f>+O61*1.0375</f>
        <v>0</v>
      </c>
      <c r="AE61" s="65">
        <f>+P61*1.0375</f>
        <v>1478.4375000000002</v>
      </c>
      <c r="AF61" s="65">
        <f>+Q61*1.0375</f>
        <v>0</v>
      </c>
      <c r="AG61" s="65">
        <f>+R61*1.0375</f>
        <v>0</v>
      </c>
      <c r="AH61" s="65">
        <f>+S61*1.0375</f>
        <v>0</v>
      </c>
      <c r="AI61" s="65">
        <f>+T61*1.0375</f>
        <v>0</v>
      </c>
      <c r="AJ61" s="65">
        <f>+U61*1.0375</f>
        <v>0</v>
      </c>
      <c r="AK61" s="65">
        <f t="shared" ref="AK61" si="37">SUM(Y61:AJ61)</f>
        <v>4435.3125000000009</v>
      </c>
      <c r="AL61" s="73">
        <f t="shared" ref="AL61" si="38">AK61/AK$6</f>
        <v>4.1484618224314425E-5</v>
      </c>
      <c r="AM61" s="14">
        <f t="shared" ref="AM61" si="39">IFERROR(AK61/V61-1,0)</f>
        <v>3.7500000000000311E-2</v>
      </c>
      <c r="AN61" s="304"/>
    </row>
    <row r="62" spans="1:40" ht="14.45" customHeight="1" outlineLevel="1">
      <c r="A62" s="12" t="s">
        <v>146</v>
      </c>
      <c r="B62" s="8" t="s">
        <v>88</v>
      </c>
      <c r="I62" s="246" t="s">
        <v>163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/>
      <c r="U62" s="65"/>
      <c r="V62" s="65">
        <f t="shared" si="31"/>
        <v>0</v>
      </c>
      <c r="W62" s="73">
        <f t="shared" si="26"/>
        <v>0</v>
      </c>
      <c r="X62" s="89"/>
      <c r="Y62" s="65">
        <f>+J62*1.0375</f>
        <v>0</v>
      </c>
      <c r="Z62" s="65">
        <f>+K62*1.0375</f>
        <v>0</v>
      </c>
      <c r="AA62" s="65">
        <f>+L62*1.0375</f>
        <v>0</v>
      </c>
      <c r="AB62" s="65">
        <f>+M62*1.0375</f>
        <v>0</v>
      </c>
      <c r="AC62" s="65">
        <f>+N62*1.0375</f>
        <v>0</v>
      </c>
      <c r="AD62" s="65">
        <f>+O62*1.0375</f>
        <v>0</v>
      </c>
      <c r="AE62" s="65">
        <f>+P62*1.0375</f>
        <v>0</v>
      </c>
      <c r="AF62" s="65">
        <f>+Q62*1.0375</f>
        <v>0</v>
      </c>
      <c r="AG62" s="65">
        <f>+R62*1.0375</f>
        <v>0</v>
      </c>
      <c r="AH62" s="65">
        <f>+S62*1.0375</f>
        <v>0</v>
      </c>
      <c r="AI62" s="65">
        <f>+T62*1.0375</f>
        <v>0</v>
      </c>
      <c r="AJ62" s="65">
        <f>+U62*1.0375</f>
        <v>0</v>
      </c>
      <c r="AK62" s="65">
        <f t="shared" si="32"/>
        <v>0</v>
      </c>
      <c r="AL62" s="73">
        <f t="shared" si="28"/>
        <v>0</v>
      </c>
      <c r="AM62" s="14">
        <f t="shared" si="29"/>
        <v>0</v>
      </c>
      <c r="AN62" s="304"/>
    </row>
    <row r="63" spans="1:40" ht="14.45" customHeight="1" outlineLevel="1">
      <c r="A63" s="12" t="s">
        <v>146</v>
      </c>
      <c r="B63" s="8" t="s">
        <v>88</v>
      </c>
      <c r="I63" s="246" t="s">
        <v>164</v>
      </c>
      <c r="J63" s="65">
        <v>486</v>
      </c>
      <c r="K63" s="65">
        <v>1</v>
      </c>
      <c r="L63" s="65">
        <v>501</v>
      </c>
      <c r="M63" s="65">
        <v>-1</v>
      </c>
      <c r="N63" s="65">
        <v>38</v>
      </c>
      <c r="O63" s="65">
        <v>0</v>
      </c>
      <c r="P63" s="65">
        <v>0</v>
      </c>
      <c r="Q63" s="65">
        <v>40</v>
      </c>
      <c r="R63" s="65">
        <v>1</v>
      </c>
      <c r="S63" s="65">
        <v>0</v>
      </c>
      <c r="T63" s="65"/>
      <c r="U63" s="65"/>
      <c r="V63" s="65">
        <f t="shared" si="31"/>
        <v>1066</v>
      </c>
      <c r="W63" s="73">
        <f t="shared" si="26"/>
        <v>1.0142314061432153E-5</v>
      </c>
      <c r="X63" s="89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>
        <f t="shared" si="32"/>
        <v>0</v>
      </c>
      <c r="AL63" s="73">
        <f t="shared" si="28"/>
        <v>0</v>
      </c>
      <c r="AM63" s="14">
        <f t="shared" si="29"/>
        <v>-1</v>
      </c>
      <c r="AN63" s="9"/>
    </row>
    <row r="64" spans="1:40" ht="14.45" customHeight="1" outlineLevel="1">
      <c r="A64" s="12" t="s">
        <v>146</v>
      </c>
      <c r="B64" s="8" t="s">
        <v>88</v>
      </c>
      <c r="I64" s="246" t="s">
        <v>165</v>
      </c>
      <c r="J64" s="65">
        <v>633</v>
      </c>
      <c r="K64" s="65">
        <v>829</v>
      </c>
      <c r="L64" s="65">
        <v>956</v>
      </c>
      <c r="M64" s="65">
        <v>1295</v>
      </c>
      <c r="N64" s="65">
        <v>1447</v>
      </c>
      <c r="O64" s="65">
        <v>990</v>
      </c>
      <c r="P64" s="65">
        <v>0</v>
      </c>
      <c r="Q64" s="65">
        <v>2060</v>
      </c>
      <c r="R64" s="225">
        <v>1308</v>
      </c>
      <c r="S64" s="225">
        <v>1233</v>
      </c>
      <c r="T64" s="225">
        <f t="shared" ref="S64:U64" si="40">+AVERAGE(Q64:S64)</f>
        <v>1533.6666666666667</v>
      </c>
      <c r="U64" s="225">
        <f t="shared" si="40"/>
        <v>1358.2222222222224</v>
      </c>
      <c r="V64" s="65">
        <f t="shared" si="31"/>
        <v>13642.888888888889</v>
      </c>
      <c r="W64" s="73">
        <f t="shared" si="26"/>
        <v>1.2980343697592333E-4</v>
      </c>
      <c r="X64" s="89"/>
      <c r="Y64" s="65">
        <f>VLOOKUP($E$1,[9]Resumen!$V$226:$AH$232,Y1,0)</f>
        <v>1228.6636999999998</v>
      </c>
      <c r="Z64" s="65">
        <f>VLOOKUP($E$1,[9]Resumen!$V$226:$AH$232,Z1,0)</f>
        <v>1228.6636999999998</v>
      </c>
      <c r="AA64" s="65">
        <f>VLOOKUP($E$1,[9]Resumen!$V$226:$AH$232,AA1,0)</f>
        <v>1228.6636999999998</v>
      </c>
      <c r="AB64" s="65">
        <f>VLOOKUP($E$1,[9]Resumen!$V$226:$AH$232,AB1,0)</f>
        <v>1228.6636999999998</v>
      </c>
      <c r="AC64" s="65">
        <f>VLOOKUP($E$1,[9]Resumen!$V$226:$AH$232,AC1,0)</f>
        <v>1228.6636999999998</v>
      </c>
      <c r="AD64" s="65">
        <f>VLOOKUP($E$1,[9]Resumen!$V$226:$AH$232,AD1,0)</f>
        <v>1228.6636999999998</v>
      </c>
      <c r="AE64" s="65">
        <f>VLOOKUP($E$1,[9]Resumen!$V$226:$AH$232,AE1,0)</f>
        <v>1228.6636999999998</v>
      </c>
      <c r="AF64" s="65">
        <f>VLOOKUP($E$1,[9]Resumen!$V$226:$AH$232,AF1,0)</f>
        <v>1228.6636999999998</v>
      </c>
      <c r="AG64" s="65">
        <f>VLOOKUP($E$1,[9]Resumen!$V$226:$AH$232,AG1,0)</f>
        <v>1228.6636999999998</v>
      </c>
      <c r="AH64" s="65">
        <f>VLOOKUP($E$1,[9]Resumen!$V$226:$AH$232,AH1,0)</f>
        <v>1228.6636999999998</v>
      </c>
      <c r="AI64" s="65">
        <f>VLOOKUP($E$1,[9]Resumen!$V$226:$AH$232,AI1,0)</f>
        <v>1228.6636999999998</v>
      </c>
      <c r="AJ64" s="65">
        <f>VLOOKUP($E$1,[9]Resumen!$V$226:$AH$232,AJ1,0)</f>
        <v>1228.6636999999998</v>
      </c>
      <c r="AK64" s="65">
        <f t="shared" si="32"/>
        <v>14743.964399999995</v>
      </c>
      <c r="AL64" s="73">
        <f t="shared" si="28"/>
        <v>1.3790409001550235E-4</v>
      </c>
      <c r="AM64" s="14">
        <f t="shared" si="29"/>
        <v>8.0706917726776295E-2</v>
      </c>
      <c r="AN64" s="9"/>
    </row>
    <row r="65" spans="1:40" ht="14.45" customHeight="1" outlineLevel="1">
      <c r="A65" s="12" t="s">
        <v>146</v>
      </c>
      <c r="B65" s="8" t="s">
        <v>88</v>
      </c>
      <c r="I65" s="252" t="s">
        <v>167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/>
      <c r="U65" s="65"/>
      <c r="V65" s="65">
        <f t="shared" si="31"/>
        <v>0</v>
      </c>
      <c r="W65" s="73">
        <f t="shared" si="26"/>
        <v>0</v>
      </c>
      <c r="X65" s="89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>
        <f t="shared" si="32"/>
        <v>0</v>
      </c>
      <c r="AL65" s="73">
        <f t="shared" si="28"/>
        <v>0</v>
      </c>
      <c r="AM65" s="14">
        <f t="shared" si="29"/>
        <v>0</v>
      </c>
      <c r="AN65" s="9"/>
    </row>
    <row r="66" spans="1:40" ht="14.45" customHeight="1" outlineLevel="1">
      <c r="A66" s="12" t="s">
        <v>146</v>
      </c>
      <c r="B66" s="8" t="s">
        <v>88</v>
      </c>
      <c r="I66" s="246" t="s">
        <v>168</v>
      </c>
      <c r="J66" s="65">
        <v>0</v>
      </c>
      <c r="K66" s="65">
        <v>0</v>
      </c>
      <c r="L66" s="65">
        <v>0</v>
      </c>
      <c r="M66" s="65">
        <v>8164</v>
      </c>
      <c r="N66" s="65">
        <v>0</v>
      </c>
      <c r="O66" s="65">
        <v>0</v>
      </c>
      <c r="P66" s="65">
        <v>0</v>
      </c>
      <c r="Q66" s="65">
        <v>0</v>
      </c>
      <c r="R66" s="65">
        <v>1510</v>
      </c>
      <c r="S66" s="65">
        <v>0</v>
      </c>
      <c r="T66" s="65">
        <v>0</v>
      </c>
      <c r="U66" s="65">
        <v>0</v>
      </c>
      <c r="V66" s="65">
        <f t="shared" si="31"/>
        <v>9674</v>
      </c>
      <c r="W66" s="73">
        <f t="shared" si="26"/>
        <v>9.2041975825792358E-5</v>
      </c>
      <c r="X66" s="89"/>
      <c r="Y66" s="65">
        <f>VLOOKUP($E$1,[8]Resumen!$V$32:$AH$38,Y1,0)</f>
        <v>0</v>
      </c>
      <c r="Z66" s="65">
        <f>VLOOKUP($E$1,[8]Resumen!$V$32:$AH$38,Z1,0)</f>
        <v>7670.0909999999994</v>
      </c>
      <c r="AA66" s="65">
        <f>VLOOKUP($E$1,[8]Resumen!$V$32:$AH$38,AA1,0)</f>
        <v>0</v>
      </c>
      <c r="AB66" s="65">
        <f>VLOOKUP($E$1,[8]Resumen!$V$32:$AH$38,AB1,0)</f>
        <v>3560.7439999999997</v>
      </c>
      <c r="AC66" s="65">
        <f>VLOOKUP($E$1,[8]Resumen!$V$32:$AH$38,AC1,0)</f>
        <v>0</v>
      </c>
      <c r="AD66" s="65">
        <f>VLOOKUP($E$1,[8]Resumen!$V$32:$AH$38,AD1,0)</f>
        <v>0</v>
      </c>
      <c r="AE66" s="65">
        <f>VLOOKUP($E$1,[8]Resumen!$V$32:$AH$38,AE1,0)</f>
        <v>0</v>
      </c>
      <c r="AF66" s="65">
        <f>VLOOKUP($E$1,[8]Resumen!$V$32:$AH$38,AF1,0)</f>
        <v>2184.0609999999997</v>
      </c>
      <c r="AG66" s="65">
        <f>VLOOKUP($E$1,[8]Resumen!$V$32:$AH$38,AG1,0)</f>
        <v>0</v>
      </c>
      <c r="AH66" s="65">
        <f>VLOOKUP($E$1,[8]Resumen!$V$32:$AH$38,AH1,0)</f>
        <v>0</v>
      </c>
      <c r="AI66" s="65">
        <f>VLOOKUP($E$1,[8]Resumen!$V$32:$AH$38,AI1,0)</f>
        <v>0</v>
      </c>
      <c r="AJ66" s="65">
        <f>VLOOKUP($E$1,[8]Resumen!$V$32:$AH$38,AJ1,0)</f>
        <v>0</v>
      </c>
      <c r="AK66" s="65">
        <f t="shared" si="32"/>
        <v>13414.895999999999</v>
      </c>
      <c r="AL66" s="73">
        <f t="shared" si="28"/>
        <v>1.254729715389575E-4</v>
      </c>
      <c r="AM66" s="14">
        <f t="shared" si="29"/>
        <v>0.3866958858796774</v>
      </c>
      <c r="AN66" s="9"/>
    </row>
    <row r="67" spans="1:40" ht="14.45" customHeight="1" outlineLevel="1">
      <c r="A67" s="12"/>
      <c r="I67" s="246" t="s">
        <v>170</v>
      </c>
      <c r="J67" s="65">
        <v>3298</v>
      </c>
      <c r="K67" s="65">
        <v>3298</v>
      </c>
      <c r="L67" s="65">
        <v>3298</v>
      </c>
      <c r="M67" s="65">
        <v>3298</v>
      </c>
      <c r="N67" s="65">
        <v>3298</v>
      </c>
      <c r="O67" s="65">
        <v>3298</v>
      </c>
      <c r="P67" s="65">
        <v>3298</v>
      </c>
      <c r="Q67" s="65">
        <v>3298</v>
      </c>
      <c r="R67" s="225">
        <v>3298</v>
      </c>
      <c r="S67" s="225">
        <v>3298</v>
      </c>
      <c r="T67" s="225">
        <f t="shared" ref="S67:U67" si="41">+AVERAGE(Q67:S67)</f>
        <v>3298</v>
      </c>
      <c r="U67" s="225">
        <f t="shared" si="41"/>
        <v>3298</v>
      </c>
      <c r="V67" s="65">
        <f t="shared" si="31"/>
        <v>39576</v>
      </c>
      <c r="W67" s="73">
        <f t="shared" si="26"/>
        <v>3.7654054530510215E-4</v>
      </c>
      <c r="X67" s="89"/>
      <c r="Y67" s="65">
        <f>VLOOKUP($E$1,[12]Resumen!$V$8:$AH$14,Y1,0)</f>
        <v>4942.6025</v>
      </c>
      <c r="Z67" s="65">
        <f>VLOOKUP($E$1,[12]Resumen!$V$8:$AH$14,Z1,0)</f>
        <v>4942.6025</v>
      </c>
      <c r="AA67" s="65">
        <f>VLOOKUP($E$1,[12]Resumen!$V$8:$AH$14,AA1,0)</f>
        <v>4942.6025</v>
      </c>
      <c r="AB67" s="65">
        <f>VLOOKUP($E$1,[12]Resumen!$V$8:$AH$14,AB1,0)</f>
        <v>4942.6025</v>
      </c>
      <c r="AC67" s="65">
        <f>VLOOKUP($E$1,[12]Resumen!$V$8:$AH$14,AC1,0)</f>
        <v>4942.6025</v>
      </c>
      <c r="AD67" s="65">
        <f>VLOOKUP($E$1,[12]Resumen!$V$8:$AH$14,AD1,0)</f>
        <v>4942.6025</v>
      </c>
      <c r="AE67" s="65">
        <f>VLOOKUP($E$1,[12]Resumen!$V$8:$AH$14,AE1,0)</f>
        <v>4942.6025</v>
      </c>
      <c r="AF67" s="65">
        <f>VLOOKUP($E$1,[12]Resumen!$V$8:$AH$14,AF1,0)</f>
        <v>4942.6025</v>
      </c>
      <c r="AG67" s="65">
        <f>VLOOKUP($E$1,[12]Resumen!$V$8:$AH$14,AG1,0)</f>
        <v>4942.6025</v>
      </c>
      <c r="AH67" s="65">
        <f>VLOOKUP($E$1,[12]Resumen!$V$8:$AH$14,AH1,0)</f>
        <v>4942.6025</v>
      </c>
      <c r="AI67" s="65">
        <f>VLOOKUP($E$1,[12]Resumen!$V$8:$AH$14,AI1,0)</f>
        <v>4942.6025</v>
      </c>
      <c r="AJ67" s="65">
        <f>VLOOKUP($E$1,[12]Resumen!$V$8:$AH$14,AJ1,0)</f>
        <v>4942.6025</v>
      </c>
      <c r="AK67" s="65">
        <f t="shared" si="32"/>
        <v>59311.23</v>
      </c>
      <c r="AL67" s="73">
        <f t="shared" si="28"/>
        <v>5.5475318435048351E-4</v>
      </c>
      <c r="AM67" s="14">
        <f t="shared" si="29"/>
        <v>0.4986666161309885</v>
      </c>
      <c r="AN67" s="9"/>
    </row>
    <row r="68" spans="1:40" ht="14.45" customHeight="1" outlineLevel="1">
      <c r="A68" s="12"/>
      <c r="I68" s="246" t="s">
        <v>171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/>
      <c r="U68" s="65"/>
      <c r="V68" s="65">
        <f t="shared" si="31"/>
        <v>0</v>
      </c>
      <c r="W68" s="73">
        <f t="shared" si="26"/>
        <v>0</v>
      </c>
      <c r="X68" s="89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>
        <f t="shared" si="32"/>
        <v>0</v>
      </c>
      <c r="AL68" s="73">
        <f t="shared" si="28"/>
        <v>0</v>
      </c>
      <c r="AM68" s="14">
        <f t="shared" si="29"/>
        <v>0</v>
      </c>
      <c r="AN68" s="9"/>
    </row>
    <row r="69" spans="1:40" ht="14.45" customHeight="1" outlineLevel="1">
      <c r="A69" s="12"/>
      <c r="I69" s="246" t="s">
        <v>172</v>
      </c>
      <c r="J69" s="65">
        <v>0</v>
      </c>
      <c r="K69" s="65">
        <v>0</v>
      </c>
      <c r="L69" s="65">
        <v>0</v>
      </c>
      <c r="M69" s="65">
        <v>0</v>
      </c>
      <c r="N69" s="65">
        <v>662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/>
      <c r="U69" s="65"/>
      <c r="V69" s="65">
        <f t="shared" si="31"/>
        <v>662</v>
      </c>
      <c r="W69" s="73">
        <f t="shared" si="26"/>
        <v>6.2985102332721255E-6</v>
      </c>
      <c r="X69" s="89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>
        <f t="shared" si="32"/>
        <v>0</v>
      </c>
      <c r="AL69" s="73">
        <f t="shared" si="28"/>
        <v>0</v>
      </c>
      <c r="AM69" s="14">
        <f t="shared" si="29"/>
        <v>-1</v>
      </c>
      <c r="AN69" s="9"/>
    </row>
    <row r="70" spans="1:40" ht="14.45" customHeight="1" outlineLevel="1">
      <c r="A70" s="12"/>
      <c r="I70" s="246" t="s">
        <v>173</v>
      </c>
      <c r="J70" s="65">
        <v>2082</v>
      </c>
      <c r="K70" s="65">
        <v>3600</v>
      </c>
      <c r="L70" s="65">
        <v>1800</v>
      </c>
      <c r="M70" s="65">
        <v>0</v>
      </c>
      <c r="N70" s="65">
        <v>1400</v>
      </c>
      <c r="O70" s="65">
        <v>2570</v>
      </c>
      <c r="P70" s="65">
        <v>1400</v>
      </c>
      <c r="Q70" s="65">
        <v>1400</v>
      </c>
      <c r="R70" s="225">
        <v>1400</v>
      </c>
      <c r="S70" s="225">
        <v>1400</v>
      </c>
      <c r="T70" s="225">
        <f t="shared" ref="T70" si="42">+AVERAGE(Q70:S70)</f>
        <v>1400</v>
      </c>
      <c r="U70" s="225">
        <f t="shared" ref="U70" si="43">+AVERAGE(R70:T70)</f>
        <v>1400</v>
      </c>
      <c r="V70" s="65">
        <f t="shared" si="31"/>
        <v>19852</v>
      </c>
      <c r="W70" s="73">
        <f t="shared" si="26"/>
        <v>1.8887919207087348E-4</v>
      </c>
      <c r="X70" s="89"/>
      <c r="Y70" s="65">
        <f>VLOOKUP($E$1,[8]Resumen!$V$44:$AH$50,Y1,0)</f>
        <v>1500</v>
      </c>
      <c r="Z70" s="65">
        <f>VLOOKUP($E$1,[8]Resumen!$V$44:$AH$50,Z1,0)</f>
        <v>1500</v>
      </c>
      <c r="AA70" s="65">
        <f>VLOOKUP($E$1,[8]Resumen!$V$44:$AH$50,AA1,0)</f>
        <v>1500</v>
      </c>
      <c r="AB70" s="65">
        <f>VLOOKUP($E$1,[8]Resumen!$V$44:$AH$50,AB1,0)</f>
        <v>1500</v>
      </c>
      <c r="AC70" s="65">
        <f>VLOOKUP($E$1,[8]Resumen!$V$44:$AH$50,AC1,0)</f>
        <v>1500</v>
      </c>
      <c r="AD70" s="65">
        <f>VLOOKUP($E$1,[8]Resumen!$V$44:$AH$50,AD1,0)</f>
        <v>1500</v>
      </c>
      <c r="AE70" s="65">
        <f>VLOOKUP($E$1,[8]Resumen!$V$44:$AH$50,AE1,0)</f>
        <v>1500</v>
      </c>
      <c r="AF70" s="65">
        <f>VLOOKUP($E$1,[8]Resumen!$V$44:$AH$50,AF1,0)</f>
        <v>1500</v>
      </c>
      <c r="AG70" s="65">
        <f>VLOOKUP($E$1,[8]Resumen!$V$44:$AH$50,AG1,0)</f>
        <v>1500</v>
      </c>
      <c r="AH70" s="65">
        <f>VLOOKUP($E$1,[8]Resumen!$V$44:$AH$50,AH1,0)</f>
        <v>1500</v>
      </c>
      <c r="AI70" s="65">
        <f>VLOOKUP($E$1,[8]Resumen!$V$44:$AH$50,AI1,0)</f>
        <v>1500</v>
      </c>
      <c r="AJ70" s="65">
        <f>VLOOKUP($E$1,[8]Resumen!$V$44:$AH$50,AJ1,0)</f>
        <v>1500</v>
      </c>
      <c r="AK70" s="65">
        <f t="shared" si="32"/>
        <v>18000</v>
      </c>
      <c r="AL70" s="73">
        <f t="shared" si="28"/>
        <v>1.6835862817730644E-4</v>
      </c>
      <c r="AM70" s="14">
        <f t="shared" si="29"/>
        <v>-9.3290348579488258E-2</v>
      </c>
      <c r="AN70" s="9"/>
    </row>
    <row r="71" spans="1:40" ht="14.45" customHeight="1" outlineLevel="1">
      <c r="A71" s="12"/>
      <c r="I71" s="246" t="s">
        <v>174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/>
      <c r="U71" s="65"/>
      <c r="V71" s="65">
        <f t="shared" si="31"/>
        <v>0</v>
      </c>
      <c r="W71" s="73">
        <f t="shared" si="26"/>
        <v>0</v>
      </c>
      <c r="X71" s="89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>
        <f t="shared" si="32"/>
        <v>0</v>
      </c>
      <c r="AL71" s="73">
        <f t="shared" si="28"/>
        <v>0</v>
      </c>
      <c r="AM71" s="14">
        <f t="shared" si="29"/>
        <v>0</v>
      </c>
      <c r="AN71" s="9"/>
    </row>
    <row r="72" spans="1:40" ht="14.45" customHeight="1" outlineLevel="1">
      <c r="A72" s="12"/>
      <c r="I72" s="246" t="s">
        <v>175</v>
      </c>
      <c r="J72" s="65">
        <v>902</v>
      </c>
      <c r="K72" s="65">
        <v>902</v>
      </c>
      <c r="L72" s="65">
        <v>902</v>
      </c>
      <c r="M72" s="65">
        <v>902</v>
      </c>
      <c r="N72" s="65">
        <v>902</v>
      </c>
      <c r="O72" s="65">
        <v>902</v>
      </c>
      <c r="P72" s="65">
        <v>902</v>
      </c>
      <c r="Q72" s="65">
        <v>902</v>
      </c>
      <c r="R72" s="225">
        <v>902</v>
      </c>
      <c r="S72" s="225">
        <v>902</v>
      </c>
      <c r="T72" s="225">
        <f t="shared" ref="T72" si="44">+AVERAGE(Q72:S72)</f>
        <v>902</v>
      </c>
      <c r="U72" s="225">
        <f t="shared" ref="U72" si="45">+AVERAGE(R72:T72)</f>
        <v>902</v>
      </c>
      <c r="V72" s="65">
        <f t="shared" si="31"/>
        <v>10824</v>
      </c>
      <c r="W72" s="73">
        <f t="shared" si="26"/>
        <v>1.0298349662377264E-4</v>
      </c>
      <c r="X72" s="89"/>
      <c r="Y72" s="65">
        <f>U72*1.0375</f>
        <v>935.82500000000005</v>
      </c>
      <c r="Z72" s="65">
        <f>+Y72</f>
        <v>935.82500000000005</v>
      </c>
      <c r="AA72" s="65">
        <f t="shared" ref="AA72:AJ72" si="46">+Z72</f>
        <v>935.82500000000005</v>
      </c>
      <c r="AB72" s="65">
        <f t="shared" si="46"/>
        <v>935.82500000000005</v>
      </c>
      <c r="AC72" s="65">
        <f t="shared" si="46"/>
        <v>935.82500000000005</v>
      </c>
      <c r="AD72" s="65">
        <f t="shared" si="46"/>
        <v>935.82500000000005</v>
      </c>
      <c r="AE72" s="65">
        <f t="shared" si="46"/>
        <v>935.82500000000005</v>
      </c>
      <c r="AF72" s="65">
        <f t="shared" si="46"/>
        <v>935.82500000000005</v>
      </c>
      <c r="AG72" s="65">
        <f t="shared" si="46"/>
        <v>935.82500000000005</v>
      </c>
      <c r="AH72" s="65">
        <f t="shared" si="46"/>
        <v>935.82500000000005</v>
      </c>
      <c r="AI72" s="65">
        <f t="shared" si="46"/>
        <v>935.82500000000005</v>
      </c>
      <c r="AJ72" s="65">
        <f t="shared" si="46"/>
        <v>935.82500000000005</v>
      </c>
      <c r="AK72" s="65">
        <f t="shared" si="32"/>
        <v>11229.900000000001</v>
      </c>
      <c r="AL72" s="73">
        <f t="shared" si="28"/>
        <v>1.0503614214268521E-4</v>
      </c>
      <c r="AM72" s="14">
        <f t="shared" si="29"/>
        <v>3.7500000000000089E-2</v>
      </c>
      <c r="AN72" s="9"/>
    </row>
    <row r="73" spans="1:40" ht="14.45" customHeight="1" outlineLevel="1">
      <c r="A73" s="12" t="s">
        <v>146</v>
      </c>
      <c r="B73" s="8" t="s">
        <v>88</v>
      </c>
      <c r="I73" s="246" t="s">
        <v>176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/>
      <c r="U73" s="65"/>
      <c r="V73" s="65">
        <f t="shared" si="31"/>
        <v>0</v>
      </c>
      <c r="W73" s="73">
        <f t="shared" si="26"/>
        <v>0</v>
      </c>
      <c r="X73" s="89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>
        <f t="shared" si="32"/>
        <v>0</v>
      </c>
      <c r="AL73" s="73">
        <f t="shared" si="28"/>
        <v>0</v>
      </c>
      <c r="AM73" s="14">
        <f t="shared" si="29"/>
        <v>0</v>
      </c>
      <c r="AN73" s="9"/>
    </row>
    <row r="74" spans="1:40" ht="14.45" customHeight="1" outlineLevel="1">
      <c r="A74" s="12" t="s">
        <v>146</v>
      </c>
      <c r="B74" s="8" t="s">
        <v>88</v>
      </c>
      <c r="I74" s="308" t="s">
        <v>177</v>
      </c>
      <c r="J74" s="65">
        <v>1300</v>
      </c>
      <c r="K74" s="65">
        <v>1300</v>
      </c>
      <c r="L74" s="65">
        <v>1300</v>
      </c>
      <c r="M74" s="65">
        <v>1300</v>
      </c>
      <c r="N74" s="65">
        <v>1300</v>
      </c>
      <c r="O74" s="65">
        <v>1300</v>
      </c>
      <c r="P74" s="65">
        <v>1300</v>
      </c>
      <c r="Q74" s="65">
        <v>1300</v>
      </c>
      <c r="R74" s="65">
        <v>1300</v>
      </c>
      <c r="S74" s="65">
        <v>1300</v>
      </c>
      <c r="T74" s="65">
        <v>1300</v>
      </c>
      <c r="U74" s="65">
        <v>1300</v>
      </c>
      <c r="V74" s="65">
        <f t="shared" si="31"/>
        <v>15600</v>
      </c>
      <c r="W74" s="73">
        <f t="shared" si="26"/>
        <v>1.484241082160803E-4</v>
      </c>
      <c r="X74" s="89"/>
      <c r="Y74" s="65">
        <f>+J74*1.0375</f>
        <v>1348.7500000000002</v>
      </c>
      <c r="Z74" s="65">
        <f>+K74*1.0375</f>
        <v>1348.7500000000002</v>
      </c>
      <c r="AA74" s="65">
        <f>+L74*1.0375</f>
        <v>1348.7500000000002</v>
      </c>
      <c r="AB74" s="65">
        <f>+M74*1.0375</f>
        <v>1348.7500000000002</v>
      </c>
      <c r="AC74" s="65">
        <f>+N74*1.0375</f>
        <v>1348.7500000000002</v>
      </c>
      <c r="AD74" s="65">
        <f>+O74*1.0375</f>
        <v>1348.7500000000002</v>
      </c>
      <c r="AE74" s="65">
        <f>+P74*1.0375</f>
        <v>1348.7500000000002</v>
      </c>
      <c r="AF74" s="65">
        <f>+Q74*1.0375</f>
        <v>1348.7500000000002</v>
      </c>
      <c r="AG74" s="65">
        <f>+R74*1.0375</f>
        <v>1348.7500000000002</v>
      </c>
      <c r="AH74" s="65">
        <f>+S74*1.0375</f>
        <v>1348.7500000000002</v>
      </c>
      <c r="AI74" s="65">
        <f>+T74*1.0375</f>
        <v>1348.7500000000002</v>
      </c>
      <c r="AJ74" s="65">
        <f>+U74*1.0375</f>
        <v>1348.7500000000002</v>
      </c>
      <c r="AK74" s="65">
        <f t="shared" si="32"/>
        <v>16185.000000000002</v>
      </c>
      <c r="AL74" s="73">
        <f t="shared" si="28"/>
        <v>1.513824665027614E-4</v>
      </c>
      <c r="AM74" s="14">
        <f t="shared" si="29"/>
        <v>3.7500000000000089E-2</v>
      </c>
      <c r="AN74" s="304"/>
    </row>
    <row r="75" spans="1:40" ht="14.45" customHeight="1" outlineLevel="1">
      <c r="A75" s="12"/>
      <c r="I75" s="246" t="s">
        <v>178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/>
      <c r="U75" s="65"/>
      <c r="V75" s="65">
        <f t="shared" si="31"/>
        <v>0</v>
      </c>
      <c r="W75" s="73">
        <f t="shared" si="26"/>
        <v>0</v>
      </c>
      <c r="X75" s="89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>
        <f t="shared" si="32"/>
        <v>0</v>
      </c>
      <c r="AL75" s="73">
        <f t="shared" si="28"/>
        <v>0</v>
      </c>
      <c r="AM75" s="14">
        <f t="shared" si="29"/>
        <v>0</v>
      </c>
      <c r="AN75" s="9"/>
    </row>
    <row r="76" spans="1:40" ht="14.45" customHeight="1" outlineLevel="1">
      <c r="A76" s="12" t="s">
        <v>146</v>
      </c>
      <c r="B76" s="8" t="s">
        <v>88</v>
      </c>
      <c r="I76" s="246" t="s">
        <v>179</v>
      </c>
      <c r="J76" s="65">
        <v>916</v>
      </c>
      <c r="K76" s="65">
        <v>902</v>
      </c>
      <c r="L76" s="65">
        <v>890</v>
      </c>
      <c r="M76" s="65">
        <v>884</v>
      </c>
      <c r="N76" s="65">
        <v>827</v>
      </c>
      <c r="O76" s="65">
        <v>953</v>
      </c>
      <c r="P76" s="65">
        <v>956</v>
      </c>
      <c r="Q76" s="65">
        <v>914</v>
      </c>
      <c r="R76" s="225">
        <v>855</v>
      </c>
      <c r="S76" s="225">
        <v>1008</v>
      </c>
      <c r="T76" s="225">
        <f t="shared" ref="T76:T77" si="47">+AVERAGE(Q76:S76)</f>
        <v>925.66666666666663</v>
      </c>
      <c r="U76" s="225">
        <f t="shared" ref="U76:U77" si="48">+AVERAGE(R76:T76)</f>
        <v>929.55555555555554</v>
      </c>
      <c r="V76" s="65">
        <f t="shared" si="31"/>
        <v>10960.222222222221</v>
      </c>
      <c r="W76" s="73">
        <f t="shared" si="26"/>
        <v>1.0427956469124352E-4</v>
      </c>
      <c r="X76" s="89"/>
      <c r="Y76" s="65">
        <f>VLOOKUP($E$1,[13]Resumen!$V$10:$AH$16,Y1,0)</f>
        <v>1086.855</v>
      </c>
      <c r="Z76" s="65">
        <f>VLOOKUP($E$1,[13]Resumen!$V$10:$AH$16,Z1,0)</f>
        <v>1086.855</v>
      </c>
      <c r="AA76" s="65">
        <f>VLOOKUP($E$1,[13]Resumen!$V$10:$AH$16,AA1,0)</f>
        <v>1086.855</v>
      </c>
      <c r="AB76" s="65">
        <f>VLOOKUP($E$1,[13]Resumen!$V$10:$AH$16,AB1,0)</f>
        <v>1086.855</v>
      </c>
      <c r="AC76" s="65">
        <f>VLOOKUP($E$1,[13]Resumen!$V$10:$AH$16,AC1,0)</f>
        <v>1086.855</v>
      </c>
      <c r="AD76" s="65">
        <f>VLOOKUP($E$1,[13]Resumen!$V$10:$AH$16,AD1,0)</f>
        <v>1086.855</v>
      </c>
      <c r="AE76" s="65">
        <f>VLOOKUP($E$1,[13]Resumen!$V$10:$AH$16,AE1,0)</f>
        <v>1086.855</v>
      </c>
      <c r="AF76" s="65">
        <f>VLOOKUP($E$1,[13]Resumen!$V$10:$AH$16,AF1,0)</f>
        <v>1086.855</v>
      </c>
      <c r="AG76" s="65">
        <f>VLOOKUP($E$1,[13]Resumen!$V$10:$AH$16,AG1,0)</f>
        <v>1086.855</v>
      </c>
      <c r="AH76" s="65">
        <f>VLOOKUP($E$1,[13]Resumen!$V$10:$AH$16,AH1,0)</f>
        <v>1086.855</v>
      </c>
      <c r="AI76" s="65">
        <f>VLOOKUP($E$1,[13]Resumen!$V$10:$AH$16,AI1,0)</f>
        <v>1086.855</v>
      </c>
      <c r="AJ76" s="65">
        <f>VLOOKUP($E$1,[13]Resumen!$V$10:$AH$16,AJ1,0)</f>
        <v>1086.855</v>
      </c>
      <c r="AK76" s="65">
        <f t="shared" si="32"/>
        <v>13042.259999999997</v>
      </c>
      <c r="AL76" s="73">
        <f t="shared" si="28"/>
        <v>1.219876112184309E-4</v>
      </c>
      <c r="AM76" s="14">
        <f t="shared" si="29"/>
        <v>0.1899630988828287</v>
      </c>
      <c r="AN76" s="9"/>
    </row>
    <row r="77" spans="1:40" ht="14.45" customHeight="1" outlineLevel="1">
      <c r="A77" s="12"/>
      <c r="I77" s="246" t="s">
        <v>180</v>
      </c>
      <c r="J77" s="65">
        <v>593</v>
      </c>
      <c r="K77" s="65">
        <v>569</v>
      </c>
      <c r="L77" s="65">
        <v>577</v>
      </c>
      <c r="M77" s="65">
        <v>636</v>
      </c>
      <c r="N77" s="65">
        <v>620</v>
      </c>
      <c r="O77" s="65">
        <v>657</v>
      </c>
      <c r="P77" s="65">
        <v>617</v>
      </c>
      <c r="Q77" s="65">
        <v>666</v>
      </c>
      <c r="R77" s="225">
        <v>579</v>
      </c>
      <c r="S77" s="225">
        <v>586</v>
      </c>
      <c r="T77" s="225">
        <f t="shared" si="47"/>
        <v>610.33333333333337</v>
      </c>
      <c r="U77" s="225">
        <f t="shared" si="48"/>
        <v>591.77777777777783</v>
      </c>
      <c r="V77" s="65">
        <f t="shared" si="31"/>
        <v>7302.1111111111113</v>
      </c>
      <c r="W77" s="73">
        <f t="shared" si="26"/>
        <v>6.9474957035987046E-5</v>
      </c>
      <c r="X77" s="89"/>
      <c r="Y77" s="65">
        <f>J77*1.0375</f>
        <v>615.23750000000007</v>
      </c>
      <c r="Z77" s="65">
        <f t="shared" ref="Z77:AJ77" si="49">K77*1.0375</f>
        <v>590.33750000000009</v>
      </c>
      <c r="AA77" s="65">
        <f t="shared" si="49"/>
        <v>598.63750000000005</v>
      </c>
      <c r="AB77" s="65">
        <f t="shared" si="49"/>
        <v>659.85</v>
      </c>
      <c r="AC77" s="65">
        <f t="shared" si="49"/>
        <v>643.25</v>
      </c>
      <c r="AD77" s="65">
        <f t="shared" si="49"/>
        <v>681.63750000000005</v>
      </c>
      <c r="AE77" s="65">
        <f t="shared" si="49"/>
        <v>640.13750000000005</v>
      </c>
      <c r="AF77" s="65">
        <f t="shared" si="49"/>
        <v>690.97500000000002</v>
      </c>
      <c r="AG77" s="65">
        <f t="shared" si="49"/>
        <v>600.71250000000009</v>
      </c>
      <c r="AH77" s="65">
        <f t="shared" si="49"/>
        <v>607.97500000000002</v>
      </c>
      <c r="AI77" s="65">
        <f t="shared" si="49"/>
        <v>633.22083333333342</v>
      </c>
      <c r="AJ77" s="65">
        <f t="shared" si="49"/>
        <v>613.96944444444455</v>
      </c>
      <c r="AK77" s="65">
        <f t="shared" si="32"/>
        <v>7575.9402777777805</v>
      </c>
      <c r="AL77" s="73">
        <f t="shared" si="28"/>
        <v>7.0859717351103832E-5</v>
      </c>
      <c r="AM77" s="14">
        <f t="shared" si="29"/>
        <v>3.7500000000000311E-2</v>
      </c>
      <c r="AN77" s="9"/>
    </row>
    <row r="78" spans="1:40" ht="14.45" customHeight="1" outlineLevel="1">
      <c r="A78" s="12"/>
      <c r="I78" s="246" t="s">
        <v>181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/>
      <c r="U78" s="65"/>
      <c r="V78" s="65">
        <f t="shared" si="31"/>
        <v>0</v>
      </c>
      <c r="W78" s="73">
        <f t="shared" si="26"/>
        <v>0</v>
      </c>
      <c r="X78" s="89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>
        <f t="shared" si="32"/>
        <v>0</v>
      </c>
      <c r="AL78" s="73">
        <f t="shared" si="28"/>
        <v>0</v>
      </c>
      <c r="AM78" s="14">
        <f t="shared" si="29"/>
        <v>0</v>
      </c>
      <c r="AN78" s="9"/>
    </row>
    <row r="79" spans="1:40" ht="14.45" customHeight="1" outlineLevel="1">
      <c r="A79" s="12"/>
      <c r="I79" s="246" t="s">
        <v>182</v>
      </c>
      <c r="J79" s="65">
        <v>2703</v>
      </c>
      <c r="K79" s="65">
        <v>4843</v>
      </c>
      <c r="L79" s="65">
        <v>5456</v>
      </c>
      <c r="M79" s="65">
        <v>11032</v>
      </c>
      <c r="N79" s="65">
        <v>8406</v>
      </c>
      <c r="O79" s="65">
        <v>0</v>
      </c>
      <c r="P79" s="65">
        <v>2641</v>
      </c>
      <c r="Q79" s="65">
        <v>2328</v>
      </c>
      <c r="R79" s="65">
        <v>5106</v>
      </c>
      <c r="S79" s="65">
        <v>0</v>
      </c>
      <c r="T79" s="65">
        <v>29207.110400000001</v>
      </c>
      <c r="U79" s="65">
        <v>3481.6704000000004</v>
      </c>
      <c r="V79" s="65">
        <f t="shared" si="31"/>
        <v>75203.780800000008</v>
      </c>
      <c r="W79" s="73">
        <f t="shared" si="26"/>
        <v>7.1551628844343485E-4</v>
      </c>
      <c r="X79" s="89"/>
      <c r="Y79" s="65">
        <f>VLOOKUP($E$1,[14]Resumen!$V$8:$AH$14,Y1,0)</f>
        <v>6933.575945999999</v>
      </c>
      <c r="Z79" s="65">
        <f>VLOOKUP($E$1,[14]Resumen!$V$8:$AH$14,Z1,0)</f>
        <v>2859.9605979999997</v>
      </c>
      <c r="AA79" s="65">
        <f>VLOOKUP($E$1,[14]Resumen!$V$8:$AH$14,AA1,0)</f>
        <v>5719.9211959999993</v>
      </c>
      <c r="AB79" s="65">
        <f>VLOOKUP($E$1,[14]Resumen!$V$8:$AH$14,AB1,0)</f>
        <v>5719.9211959999993</v>
      </c>
      <c r="AC79" s="65">
        <f>VLOOKUP($E$1,[14]Resumen!$V$8:$AH$14,AC1,0)</f>
        <v>5719.9211959999993</v>
      </c>
      <c r="AD79" s="65">
        <f>VLOOKUP($E$1,[14]Resumen!$V$8:$AH$14,AD1,0)</f>
        <v>0</v>
      </c>
      <c r="AE79" s="65">
        <f>VLOOKUP($E$1,[14]Resumen!$V$8:$AH$14,AE1,0)</f>
        <v>5719.9211959999993</v>
      </c>
      <c r="AF79" s="65">
        <f>VLOOKUP($E$1,[14]Resumen!$V$8:$AH$14,AF1,0)</f>
        <v>5719.9211959999993</v>
      </c>
      <c r="AG79" s="65">
        <f>VLOOKUP($E$1,[14]Resumen!$V$8:$AH$14,AG1,0)</f>
        <v>8579.8817939999972</v>
      </c>
      <c r="AH79" s="65">
        <f>VLOOKUP($E$1,[14]Resumen!$V$8:$AH$14,AH1,0)</f>
        <v>24357.393543999995</v>
      </c>
      <c r="AI79" s="65">
        <f>VLOOKUP($E$1,[14]Resumen!$V$8:$AH$14,AI1,0)</f>
        <v>5719.9211959999993</v>
      </c>
      <c r="AJ79" s="65">
        <f>VLOOKUP($E$1,[14]Resumen!$V$8:$AH$14,AJ1,0)</f>
        <v>0</v>
      </c>
      <c r="AK79" s="65">
        <f t="shared" si="32"/>
        <v>77050.339057999983</v>
      </c>
      <c r="AL79" s="73">
        <f t="shared" si="28"/>
        <v>7.2067163246673392E-4</v>
      </c>
      <c r="AM79" s="14">
        <f t="shared" si="29"/>
        <v>2.4554061489418855E-2</v>
      </c>
      <c r="AN79" s="9"/>
    </row>
    <row r="80" spans="1:40" ht="14.45" customHeight="1" outlineLevel="1">
      <c r="A80" s="12"/>
      <c r="I80" s="246" t="s">
        <v>183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292</v>
      </c>
      <c r="P80" s="65">
        <v>0</v>
      </c>
      <c r="Q80" s="65">
        <v>146</v>
      </c>
      <c r="R80" s="65">
        <v>0</v>
      </c>
      <c r="S80" s="65">
        <v>0</v>
      </c>
      <c r="T80" s="65">
        <v>0</v>
      </c>
      <c r="U80" s="65">
        <v>0</v>
      </c>
      <c r="V80" s="65">
        <f t="shared" si="31"/>
        <v>438</v>
      </c>
      <c r="W80" s="73">
        <f t="shared" si="26"/>
        <v>4.1672922691437929E-6</v>
      </c>
      <c r="X80" s="89"/>
      <c r="Y80" s="65">
        <f>VLOOKUP($E$1,[15]Resumen!$V$8:$AH$14,Y1,0)</f>
        <v>786.67599999999993</v>
      </c>
      <c r="Z80" s="65">
        <f>VLOOKUP($E$1,[15]Resumen!$V$8:$AH$14,Z1,0)</f>
        <v>0</v>
      </c>
      <c r="AA80" s="65">
        <f>VLOOKUP($E$1,[15]Resumen!$V$8:$AH$14,AA1,0)</f>
        <v>191.49349999999998</v>
      </c>
      <c r="AB80" s="65">
        <f>VLOOKUP($E$1,[15]Resumen!$V$8:$AH$14,AB1,0)</f>
        <v>0</v>
      </c>
      <c r="AC80" s="65">
        <f>VLOOKUP($E$1,[15]Resumen!$V$8:$AH$14,AC1,0)</f>
        <v>382.98699999999997</v>
      </c>
      <c r="AD80" s="65">
        <f>VLOOKUP($E$1,[15]Resumen!$V$8:$AH$14,AD1,0)</f>
        <v>0</v>
      </c>
      <c r="AE80" s="65">
        <f>VLOOKUP($E$1,[15]Resumen!$V$8:$AH$14,AE1,0)</f>
        <v>0</v>
      </c>
      <c r="AF80" s="65">
        <f>VLOOKUP($E$1,[15]Resumen!$V$8:$AH$14,AF1,0)</f>
        <v>0</v>
      </c>
      <c r="AG80" s="65">
        <f>VLOOKUP($E$1,[15]Resumen!$V$8:$AH$14,AG1,0)</f>
        <v>191.49349999999998</v>
      </c>
      <c r="AH80" s="65">
        <f>VLOOKUP($E$1,[15]Resumen!$V$8:$AH$14,AH1,0)</f>
        <v>0</v>
      </c>
      <c r="AI80" s="65">
        <f>VLOOKUP($E$1,[15]Resumen!$V$8:$AH$14,AI1,0)</f>
        <v>191.49349999999998</v>
      </c>
      <c r="AJ80" s="65">
        <f>VLOOKUP($E$1,[15]Resumen!$V$8:$AH$14,AJ1,0)</f>
        <v>0</v>
      </c>
      <c r="AK80" s="65">
        <f t="shared" si="32"/>
        <v>1744.1435000000001</v>
      </c>
      <c r="AL80" s="73">
        <f t="shared" si="28"/>
        <v>1.6313422611353662E-5</v>
      </c>
      <c r="AM80" s="14">
        <f t="shared" si="29"/>
        <v>2.9820627853881283</v>
      </c>
      <c r="AN80" s="9"/>
    </row>
    <row r="81" spans="1:40" ht="14.45" customHeight="1" outlineLevel="1">
      <c r="A81" s="12"/>
      <c r="I81" s="246" t="s">
        <v>184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2312</v>
      </c>
      <c r="Q81" s="65">
        <v>0</v>
      </c>
      <c r="R81" s="65">
        <v>0</v>
      </c>
      <c r="S81" s="65">
        <v>0</v>
      </c>
      <c r="T81" s="65"/>
      <c r="U81" s="65"/>
      <c r="V81" s="65">
        <f t="shared" si="31"/>
        <v>2312</v>
      </c>
      <c r="W81" s="73">
        <f t="shared" si="26"/>
        <v>2.1997213986896002E-5</v>
      </c>
      <c r="X81" s="89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>
        <f t="shared" si="32"/>
        <v>0</v>
      </c>
      <c r="AL81" s="73">
        <f t="shared" si="28"/>
        <v>0</v>
      </c>
      <c r="AM81" s="14">
        <f t="shared" si="29"/>
        <v>-1</v>
      </c>
      <c r="AN81" s="9"/>
    </row>
    <row r="82" spans="1:40" ht="14.45" customHeight="1" outlineLevel="1">
      <c r="A82" s="12"/>
      <c r="I82" s="246" t="s">
        <v>185</v>
      </c>
      <c r="J82" s="65">
        <v>2345</v>
      </c>
      <c r="K82" s="65">
        <v>2345</v>
      </c>
      <c r="L82" s="65">
        <v>2345</v>
      </c>
      <c r="M82" s="65">
        <v>2345</v>
      </c>
      <c r="N82" s="65">
        <v>2345</v>
      </c>
      <c r="O82" s="65">
        <v>2345</v>
      </c>
      <c r="P82" s="65">
        <v>2345</v>
      </c>
      <c r="Q82" s="65">
        <v>5845</v>
      </c>
      <c r="R82" s="65">
        <v>5845</v>
      </c>
      <c r="S82" s="65">
        <f>+R82</f>
        <v>5845</v>
      </c>
      <c r="T82" s="65">
        <f>+S82</f>
        <v>5845</v>
      </c>
      <c r="U82" s="65">
        <f>+T82</f>
        <v>5845</v>
      </c>
      <c r="V82" s="65">
        <f t="shared" si="31"/>
        <v>45640</v>
      </c>
      <c r="W82" s="73">
        <f t="shared" si="26"/>
        <v>4.3423566019114773E-4</v>
      </c>
      <c r="X82" s="89"/>
      <c r="Y82" s="65">
        <f>U82*1.02</f>
        <v>5961.9000000000005</v>
      </c>
      <c r="Z82" s="65">
        <f>+Y82</f>
        <v>5961.9000000000005</v>
      </c>
      <c r="AA82" s="65">
        <f t="shared" ref="AA82:AJ82" si="50">+Z82</f>
        <v>5961.9000000000005</v>
      </c>
      <c r="AB82" s="65">
        <f t="shared" si="50"/>
        <v>5961.9000000000005</v>
      </c>
      <c r="AC82" s="65">
        <f t="shared" si="50"/>
        <v>5961.9000000000005</v>
      </c>
      <c r="AD82" s="65">
        <f t="shared" si="50"/>
        <v>5961.9000000000005</v>
      </c>
      <c r="AE82" s="65">
        <f t="shared" si="50"/>
        <v>5961.9000000000005</v>
      </c>
      <c r="AF82" s="65">
        <f t="shared" si="50"/>
        <v>5961.9000000000005</v>
      </c>
      <c r="AG82" s="65">
        <f t="shared" si="50"/>
        <v>5961.9000000000005</v>
      </c>
      <c r="AH82" s="65">
        <f t="shared" si="50"/>
        <v>5961.9000000000005</v>
      </c>
      <c r="AI82" s="65">
        <f t="shared" si="50"/>
        <v>5961.9000000000005</v>
      </c>
      <c r="AJ82" s="65">
        <f t="shared" si="50"/>
        <v>5961.9000000000005</v>
      </c>
      <c r="AK82" s="65">
        <f t="shared" si="32"/>
        <v>71542.8</v>
      </c>
      <c r="AL82" s="73">
        <f t="shared" si="28"/>
        <v>6.6915820355352223E-4</v>
      </c>
      <c r="AM82" s="14">
        <f t="shared" si="29"/>
        <v>0.56754601226993873</v>
      </c>
      <c r="AN82" s="9"/>
    </row>
    <row r="83" spans="1:40" ht="14.45" customHeight="1" outlineLevel="1">
      <c r="A83" s="12" t="s">
        <v>195</v>
      </c>
      <c r="B83" s="8" t="s">
        <v>88</v>
      </c>
      <c r="I83" s="246" t="s">
        <v>186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/>
      <c r="U83" s="65"/>
      <c r="V83" s="65">
        <f t="shared" si="31"/>
        <v>0</v>
      </c>
      <c r="W83" s="73">
        <f t="shared" si="26"/>
        <v>0</v>
      </c>
      <c r="X83" s="89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>
        <f t="shared" si="32"/>
        <v>0</v>
      </c>
      <c r="AL83" s="73">
        <f t="shared" si="28"/>
        <v>0</v>
      </c>
      <c r="AM83" s="14">
        <f t="shared" si="29"/>
        <v>0</v>
      </c>
      <c r="AN83" s="9"/>
    </row>
    <row r="84" spans="1:40" ht="14.45" customHeight="1" outlineLevel="1">
      <c r="A84" s="12" t="s">
        <v>195</v>
      </c>
      <c r="B84" s="8" t="s">
        <v>88</v>
      </c>
      <c r="I84" s="246" t="s">
        <v>187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/>
      <c r="U84" s="65"/>
      <c r="V84" s="65">
        <f t="shared" si="31"/>
        <v>0</v>
      </c>
      <c r="W84" s="73">
        <f t="shared" si="26"/>
        <v>0</v>
      </c>
      <c r="X84" s="89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>
        <f t="shared" si="32"/>
        <v>0</v>
      </c>
      <c r="AL84" s="73">
        <f t="shared" si="28"/>
        <v>0</v>
      </c>
      <c r="AM84" s="14">
        <f t="shared" si="29"/>
        <v>0</v>
      </c>
      <c r="AN84" s="9"/>
    </row>
    <row r="85" spans="1:40" ht="14.45" customHeight="1" outlineLevel="1">
      <c r="A85" s="12" t="s">
        <v>195</v>
      </c>
      <c r="B85" s="8" t="s">
        <v>88</v>
      </c>
      <c r="I85" s="246" t="s">
        <v>188</v>
      </c>
      <c r="J85" s="65">
        <v>0</v>
      </c>
      <c r="K85" s="65">
        <v>0</v>
      </c>
      <c r="L85" s="65">
        <v>1425</v>
      </c>
      <c r="M85" s="65">
        <v>1425</v>
      </c>
      <c r="N85" s="65">
        <v>1425</v>
      </c>
      <c r="O85" s="65">
        <v>1425</v>
      </c>
      <c r="P85" s="65">
        <v>0</v>
      </c>
      <c r="Q85" s="65">
        <v>1425</v>
      </c>
      <c r="R85" s="65">
        <v>1425</v>
      </c>
      <c r="S85" s="65">
        <v>1425</v>
      </c>
      <c r="T85" s="65"/>
      <c r="U85" s="65"/>
      <c r="V85" s="65">
        <f t="shared" si="31"/>
        <v>9975</v>
      </c>
      <c r="W85" s="73">
        <f t="shared" si="26"/>
        <v>9.4905799965089803E-5</v>
      </c>
      <c r="X85" s="89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>
        <f t="shared" si="32"/>
        <v>0</v>
      </c>
      <c r="AL85" s="73">
        <f t="shared" si="28"/>
        <v>0</v>
      </c>
      <c r="AM85" s="14">
        <f t="shared" si="29"/>
        <v>-1</v>
      </c>
      <c r="AN85" s="9"/>
    </row>
    <row r="86" spans="1:40" ht="14.45" customHeight="1" outlineLevel="1">
      <c r="A86" s="12" t="s">
        <v>195</v>
      </c>
      <c r="B86" s="8" t="s">
        <v>88</v>
      </c>
      <c r="I86" s="253" t="s">
        <v>189</v>
      </c>
      <c r="J86" s="65">
        <v>0</v>
      </c>
      <c r="K86" s="65">
        <v>0</v>
      </c>
      <c r="L86" s="65">
        <v>1680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f t="shared" si="31"/>
        <v>1680</v>
      </c>
      <c r="W86" s="73">
        <f t="shared" si="26"/>
        <v>1.5984134730962492E-5</v>
      </c>
      <c r="X86" s="89"/>
      <c r="Y86" s="65">
        <f>VLOOKUP($E$1,[9]Resumen!$V$202:$AH$208,Y1,0)</f>
        <v>0</v>
      </c>
      <c r="Z86" s="65">
        <f>VLOOKUP($E$1,[9]Resumen!$V$202:$AH$208,Z1,0)</f>
        <v>0</v>
      </c>
      <c r="AA86" s="65">
        <f>VLOOKUP($E$1,[9]Resumen!$V$202:$AH$208,AA1,0)</f>
        <v>0</v>
      </c>
      <c r="AB86" s="65">
        <f>VLOOKUP($E$1,[9]Resumen!$V$202:$AH$208,AB1,0)</f>
        <v>0</v>
      </c>
      <c r="AC86" s="65">
        <f>VLOOKUP($E$1,[9]Resumen!$V$202:$AH$208,AC1,0)</f>
        <v>0</v>
      </c>
      <c r="AD86" s="65">
        <f>VLOOKUP($E$1,[9]Resumen!$V$202:$AH$208,AD1,0)</f>
        <v>0</v>
      </c>
      <c r="AE86" s="65">
        <f>VLOOKUP($E$1,[9]Resumen!$V$202:$AH$208,AE1,0)</f>
        <v>0</v>
      </c>
      <c r="AF86" s="65">
        <f>VLOOKUP($E$1,[9]Resumen!$V$202:$AH$208,AF1,0)</f>
        <v>0</v>
      </c>
      <c r="AG86" s="65">
        <f>VLOOKUP($E$1,[9]Resumen!$V$202:$AH$208,AG1,0)</f>
        <v>0</v>
      </c>
      <c r="AH86" s="65">
        <f>VLOOKUP($E$1,[9]Resumen!$V$202:$AH$208,AH1,0)</f>
        <v>0</v>
      </c>
      <c r="AI86" s="65">
        <f>VLOOKUP($E$1,[9]Resumen!$V$202:$AH$208,AI1,0)</f>
        <v>0</v>
      </c>
      <c r="AJ86" s="65">
        <f>VLOOKUP($E$1,[9]Resumen!$V$202:$AH$208,AJ1,0)</f>
        <v>0</v>
      </c>
      <c r="AK86" s="65">
        <f t="shared" si="32"/>
        <v>0</v>
      </c>
      <c r="AL86" s="73">
        <f t="shared" si="28"/>
        <v>0</v>
      </c>
      <c r="AM86" s="14">
        <f t="shared" si="29"/>
        <v>-1</v>
      </c>
      <c r="AN86" s="9"/>
    </row>
    <row r="87" spans="1:40" ht="14.45" customHeight="1" outlineLevel="1">
      <c r="A87" s="12" t="s">
        <v>195</v>
      </c>
      <c r="B87" s="8" t="s">
        <v>88</v>
      </c>
      <c r="I87" s="246" t="s">
        <v>190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/>
      <c r="U87" s="65"/>
      <c r="V87" s="65">
        <f t="shared" si="31"/>
        <v>0</v>
      </c>
      <c r="W87" s="73">
        <f t="shared" si="26"/>
        <v>0</v>
      </c>
      <c r="X87" s="89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>
        <f t="shared" si="32"/>
        <v>0</v>
      </c>
      <c r="AL87" s="73">
        <f t="shared" si="28"/>
        <v>0</v>
      </c>
      <c r="AM87" s="14">
        <f t="shared" si="29"/>
        <v>0</v>
      </c>
      <c r="AN87" s="9"/>
    </row>
    <row r="88" spans="1:40" ht="14.45" customHeight="1" outlineLevel="1">
      <c r="A88" s="12" t="s">
        <v>195</v>
      </c>
      <c r="B88" s="8" t="s">
        <v>88</v>
      </c>
      <c r="I88" s="251" t="s">
        <v>191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19240</v>
      </c>
      <c r="T88" s="65">
        <v>0</v>
      </c>
      <c r="U88" s="65">
        <v>0</v>
      </c>
      <c r="V88" s="65">
        <f t="shared" ref="V88:V91" si="51">SUM(J88:U88)</f>
        <v>19240</v>
      </c>
      <c r="W88" s="73">
        <f t="shared" ref="W88:W91" si="52">V88/V$6</f>
        <v>1.8305640013316571E-4</v>
      </c>
      <c r="X88" s="89"/>
      <c r="Y88" s="65">
        <f>VLOOKUP($E$1,[9]Resumen!$V$10:$AH$16,Y1,0)</f>
        <v>0</v>
      </c>
      <c r="Z88" s="65">
        <f>VLOOKUP($E$1,[9]Resumen!$V$10:$AH$16,Z1,0)</f>
        <v>0</v>
      </c>
      <c r="AA88" s="65">
        <f>VLOOKUP($E$1,[9]Resumen!$V$10:$AH$16,AA1,0)</f>
        <v>0</v>
      </c>
      <c r="AB88" s="65">
        <f>VLOOKUP($E$1,[9]Resumen!$V$10:$AH$16,AB1,0)</f>
        <v>0</v>
      </c>
      <c r="AC88" s="65">
        <f>VLOOKUP($E$1,[9]Resumen!$V$10:$AH$16,AC1,0)</f>
        <v>0</v>
      </c>
      <c r="AD88" s="65">
        <f>VLOOKUP($E$1,[9]Resumen!$V$10:$AH$16,AD1,0)</f>
        <v>0</v>
      </c>
      <c r="AE88" s="65">
        <f>VLOOKUP($E$1,[9]Resumen!$V$10:$AH$16,AE1,0)</f>
        <v>0</v>
      </c>
      <c r="AF88" s="65">
        <f>VLOOKUP($E$1,[9]Resumen!$V$10:$AH$16,AF1,0)</f>
        <v>0</v>
      </c>
      <c r="AG88" s="65">
        <f>VLOOKUP($E$1,[9]Resumen!$V$10:$AH$16,AG1,0)</f>
        <v>18528.289999999997</v>
      </c>
      <c r="AH88" s="65">
        <f>VLOOKUP($E$1,[9]Resumen!$V$10:$AH$16,AH1,0)</f>
        <v>0</v>
      </c>
      <c r="AI88" s="65">
        <f>VLOOKUP($E$1,[9]Resumen!$V$10:$AH$16,AI1,0)</f>
        <v>0</v>
      </c>
      <c r="AJ88" s="65">
        <f>VLOOKUP($E$1,[9]Resumen!$V$10:$AH$16,AJ1,0)</f>
        <v>0</v>
      </c>
      <c r="AK88" s="65">
        <f t="shared" si="32"/>
        <v>18528.289999999997</v>
      </c>
      <c r="AL88" s="73">
        <f t="shared" si="28"/>
        <v>1.7329986038173916E-4</v>
      </c>
      <c r="AM88" s="14">
        <f t="shared" si="29"/>
        <v>-3.6991164241164332E-2</v>
      </c>
      <c r="AN88" s="9"/>
    </row>
    <row r="89" spans="1:40" ht="14.45" customHeight="1" outlineLevel="1">
      <c r="A89" s="12" t="s">
        <v>195</v>
      </c>
      <c r="B89" s="8" t="s">
        <v>88</v>
      </c>
      <c r="I89" s="246" t="s">
        <v>192</v>
      </c>
      <c r="J89" s="65">
        <v>0</v>
      </c>
      <c r="K89" s="65">
        <v>5129</v>
      </c>
      <c r="L89" s="65">
        <v>0</v>
      </c>
      <c r="M89" s="65">
        <v>0</v>
      </c>
      <c r="N89" s="65">
        <v>1852</v>
      </c>
      <c r="O89" s="65">
        <v>2606</v>
      </c>
      <c r="P89" s="65">
        <v>0</v>
      </c>
      <c r="Q89" s="65">
        <v>2034</v>
      </c>
      <c r="R89" s="65">
        <v>0</v>
      </c>
      <c r="S89" s="65">
        <v>0</v>
      </c>
      <c r="T89" s="65">
        <v>15912</v>
      </c>
      <c r="U89" s="65">
        <v>0</v>
      </c>
      <c r="V89" s="65">
        <f t="shared" si="51"/>
        <v>27533</v>
      </c>
      <c r="W89" s="73">
        <f t="shared" si="52"/>
        <v>2.6195903663547046E-4</v>
      </c>
      <c r="X89" s="89"/>
      <c r="Y89" s="65">
        <f>VLOOKUP($E$1,[16]Resumen!$V$8:$AH$14,Y1,0)</f>
        <v>0</v>
      </c>
      <c r="Z89" s="65">
        <f>VLOOKUP($E$1,[16]Resumen!$V$8:$AH$14,Z1,0)</f>
        <v>4285.3139999999994</v>
      </c>
      <c r="AA89" s="65">
        <f>VLOOKUP($E$1,[16]Resumen!$V$8:$AH$14,AA1,0)</f>
        <v>0</v>
      </c>
      <c r="AB89" s="65">
        <f>VLOOKUP($E$1,[16]Resumen!$V$8:$AH$14,AB1,0)</f>
        <v>0</v>
      </c>
      <c r="AC89" s="65">
        <f>VLOOKUP($E$1,[16]Resumen!$V$8:$AH$14,AC1,0)</f>
        <v>2049.4979999999996</v>
      </c>
      <c r="AD89" s="65">
        <f>VLOOKUP($E$1,[16]Resumen!$V$8:$AH$14,AD1,0)</f>
        <v>2297.9219999999996</v>
      </c>
      <c r="AE89" s="65">
        <f>VLOOKUP($E$1,[16]Resumen!$V$8:$AH$14,AE1,0)</f>
        <v>0</v>
      </c>
      <c r="AF89" s="65">
        <f>VLOOKUP($E$1,[16]Resumen!$V$8:$AH$14,AF1,0)</f>
        <v>2111.6039999999998</v>
      </c>
      <c r="AG89" s="65">
        <f>VLOOKUP($E$1,[16]Resumen!$V$8:$AH$14,AG1,0)</f>
        <v>0</v>
      </c>
      <c r="AH89" s="65">
        <f>VLOOKUP($E$1,[16]Resumen!$V$8:$AH$14,AH1,0)</f>
        <v>993.69599999999991</v>
      </c>
      <c r="AI89" s="65">
        <f>VLOOKUP($E$1,[16]Resumen!$V$8:$AH$14,AI1,0)</f>
        <v>14284.38</v>
      </c>
      <c r="AJ89" s="65">
        <f>VLOOKUP($E$1,[16]Resumen!$V$8:$AH$14,AJ1,0)</f>
        <v>0</v>
      </c>
      <c r="AK89" s="65">
        <f t="shared" si="32"/>
        <v>26022.413999999997</v>
      </c>
      <c r="AL89" s="73">
        <f t="shared" si="28"/>
        <v>2.4339432905010739E-4</v>
      </c>
      <c r="AM89" s="14">
        <f t="shared" si="29"/>
        <v>-5.4864562524970184E-2</v>
      </c>
      <c r="AN89" s="9"/>
    </row>
    <row r="90" spans="1:40" ht="14.45" customHeight="1" outlineLevel="1">
      <c r="A90" s="12" t="s">
        <v>195</v>
      </c>
      <c r="B90" s="8" t="s">
        <v>88</v>
      </c>
      <c r="I90" s="246" t="s">
        <v>193</v>
      </c>
      <c r="J90" s="65">
        <v>186906</v>
      </c>
      <c r="K90" s="65">
        <v>186906</v>
      </c>
      <c r="L90" s="65">
        <v>186906</v>
      </c>
      <c r="M90" s="65">
        <v>186907</v>
      </c>
      <c r="N90" s="65">
        <v>186907</v>
      </c>
      <c r="O90" s="65">
        <v>186907</v>
      </c>
      <c r="P90" s="65">
        <v>186907</v>
      </c>
      <c r="Q90" s="65">
        <v>186907</v>
      </c>
      <c r="R90" s="65">
        <v>186906</v>
      </c>
      <c r="S90" s="65">
        <v>186906</v>
      </c>
      <c r="T90" s="65">
        <f>+S90</f>
        <v>186906</v>
      </c>
      <c r="U90" s="65">
        <f>+T90</f>
        <v>186906</v>
      </c>
      <c r="V90" s="65">
        <f t="shared" si="51"/>
        <v>2242877</v>
      </c>
      <c r="W90" s="73">
        <f t="shared" si="52"/>
        <v>2.1339552472010099E-2</v>
      </c>
      <c r="X90" s="89"/>
      <c r="Y90" s="65">
        <f>U90*1.0375</f>
        <v>193914.97500000001</v>
      </c>
      <c r="Z90" s="65">
        <f>+Y90</f>
        <v>193914.97500000001</v>
      </c>
      <c r="AA90" s="65">
        <f t="shared" ref="AA90:AJ90" si="53">+Z90</f>
        <v>193914.97500000001</v>
      </c>
      <c r="AB90" s="65">
        <f t="shared" si="53"/>
        <v>193914.97500000001</v>
      </c>
      <c r="AC90" s="65">
        <f t="shared" si="53"/>
        <v>193914.97500000001</v>
      </c>
      <c r="AD90" s="65">
        <f t="shared" si="53"/>
        <v>193914.97500000001</v>
      </c>
      <c r="AE90" s="65">
        <f t="shared" si="53"/>
        <v>193914.97500000001</v>
      </c>
      <c r="AF90" s="65">
        <f t="shared" si="53"/>
        <v>193914.97500000001</v>
      </c>
      <c r="AG90" s="65">
        <f t="shared" si="53"/>
        <v>193914.97500000001</v>
      </c>
      <c r="AH90" s="65">
        <f t="shared" si="53"/>
        <v>193914.97500000001</v>
      </c>
      <c r="AI90" s="65">
        <f t="shared" si="53"/>
        <v>193914.97500000001</v>
      </c>
      <c r="AJ90" s="65">
        <f t="shared" si="53"/>
        <v>193914.97500000001</v>
      </c>
      <c r="AK90" s="65">
        <f t="shared" si="32"/>
        <v>2326979.7000000007</v>
      </c>
      <c r="AL90" s="73">
        <f t="shared" si="28"/>
        <v>2.1764839449357788E-2</v>
      </c>
      <c r="AM90" s="14">
        <f t="shared" si="29"/>
        <v>3.7497687122388212E-2</v>
      </c>
      <c r="AN90" s="9"/>
    </row>
    <row r="91" spans="1:40" ht="14.45" customHeight="1" outlineLevel="1">
      <c r="A91" s="12" t="s">
        <v>195</v>
      </c>
      <c r="B91" s="8" t="s">
        <v>88</v>
      </c>
      <c r="I91" s="251" t="s">
        <v>194</v>
      </c>
      <c r="J91" s="65">
        <v>235760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f t="shared" si="51"/>
        <v>235760</v>
      </c>
      <c r="W91" s="73">
        <f t="shared" si="52"/>
        <v>2.2431069072450698E-3</v>
      </c>
      <c r="X91" s="89"/>
      <c r="Y91" s="65">
        <f>VLOOKUP($E$1,[8]Resumen!$V$56:$AH$62,Y1,0)</f>
        <v>24008.109399999998</v>
      </c>
      <c r="Z91" s="65">
        <f>VLOOKUP($E$1,[8]Resumen!$V$56:$AH$62,Z1,0)</f>
        <v>0</v>
      </c>
      <c r="AA91" s="65">
        <f>VLOOKUP($E$1,[8]Resumen!$V$56:$AH$62,AA1,0)</f>
        <v>0</v>
      </c>
      <c r="AB91" s="65">
        <f>VLOOKUP($E$1,[8]Resumen!$V$56:$AH$62,AB1,0)</f>
        <v>0</v>
      </c>
      <c r="AC91" s="65">
        <f>VLOOKUP($E$1,[8]Resumen!$V$56:$AH$62,AC1,0)</f>
        <v>0</v>
      </c>
      <c r="AD91" s="65">
        <f>VLOOKUP($E$1,[8]Resumen!$V$56:$AH$62,AD1,0)</f>
        <v>0</v>
      </c>
      <c r="AE91" s="65">
        <f>VLOOKUP($E$1,[8]Resumen!$V$56:$AH$62,AE1,0)</f>
        <v>0</v>
      </c>
      <c r="AF91" s="65">
        <f>VLOOKUP($E$1,[8]Resumen!$V$56:$AH$62,AF1,0)</f>
        <v>0</v>
      </c>
      <c r="AG91" s="65">
        <f>VLOOKUP($E$1,[8]Resumen!$V$56:$AH$62,AG1,0)</f>
        <v>0</v>
      </c>
      <c r="AH91" s="65">
        <f>VLOOKUP($E$1,[8]Resumen!$V$56:$AH$62,AH1,0)</f>
        <v>0</v>
      </c>
      <c r="AI91" s="65">
        <f>VLOOKUP($E$1,[8]Resumen!$V$56:$AH$62,AI1,0)</f>
        <v>0</v>
      </c>
      <c r="AJ91" s="65">
        <f>VLOOKUP($E$1,[8]Resumen!$V$56:$AH$62,AJ1,0)</f>
        <v>0</v>
      </c>
      <c r="AK91" s="65">
        <f t="shared" si="32"/>
        <v>24008.109399999998</v>
      </c>
      <c r="AL91" s="73">
        <f t="shared" si="28"/>
        <v>2.2455402020637194E-4</v>
      </c>
      <c r="AM91" s="14">
        <f t="shared" si="29"/>
        <v>-0.89816716406515096</v>
      </c>
      <c r="AN91" s="9"/>
    </row>
    <row r="92" spans="1:40" ht="14.45" customHeight="1" collapsed="1">
      <c r="A92" s="12" t="s">
        <v>195</v>
      </c>
      <c r="B92" s="8" t="s">
        <v>88</v>
      </c>
      <c r="I92" s="167" t="s">
        <v>196</v>
      </c>
      <c r="J92" s="15">
        <v>208693</v>
      </c>
      <c r="K92" s="15">
        <v>203538</v>
      </c>
      <c r="L92" s="15">
        <v>202278</v>
      </c>
      <c r="M92" s="15">
        <v>183071</v>
      </c>
      <c r="N92" s="15">
        <v>224290</v>
      </c>
      <c r="O92" s="15">
        <v>199973</v>
      </c>
      <c r="P92" s="15">
        <v>221276</v>
      </c>
      <c r="Q92" s="15">
        <v>209307</v>
      </c>
      <c r="R92" s="15">
        <v>212683</v>
      </c>
      <c r="S92" s="15">
        <v>216095</v>
      </c>
      <c r="T92" s="15">
        <f t="shared" ref="R92:U92" si="54">SUM(T93:T108)</f>
        <v>212694.66666666666</v>
      </c>
      <c r="U92" s="15">
        <f t="shared" si="54"/>
        <v>213824.22222222219</v>
      </c>
      <c r="V92" s="15">
        <f t="shared" ref="V92" si="55">SUM(V93:V108)</f>
        <v>2507717.888888889</v>
      </c>
      <c r="W92" s="72">
        <f t="shared" si="26"/>
        <v>2.3859345597169544E-2</v>
      </c>
      <c r="X92" s="89"/>
      <c r="Y92" s="15">
        <f t="shared" ref="Y92:AK92" si="56">SUM(Y93:Y108)</f>
        <v>229738.00878986498</v>
      </c>
      <c r="Z92" s="15">
        <f t="shared" si="56"/>
        <v>209926.19016861997</v>
      </c>
      <c r="AA92" s="15">
        <f t="shared" si="56"/>
        <v>229738.00878986498</v>
      </c>
      <c r="AB92" s="15">
        <f t="shared" si="56"/>
        <v>216722.98621244996</v>
      </c>
      <c r="AC92" s="15">
        <f t="shared" si="56"/>
        <v>229738.00878986498</v>
      </c>
      <c r="AD92" s="15">
        <f t="shared" si="56"/>
        <v>216722.98621244996</v>
      </c>
      <c r="AE92" s="15">
        <f t="shared" si="56"/>
        <v>223326.92575286498</v>
      </c>
      <c r="AF92" s="15">
        <f t="shared" si="56"/>
        <v>223326.92575286498</v>
      </c>
      <c r="AG92" s="15">
        <f t="shared" si="56"/>
        <v>223134.06924944997</v>
      </c>
      <c r="AH92" s="15">
        <f t="shared" si="56"/>
        <v>223326.92575286498</v>
      </c>
      <c r="AI92" s="15">
        <f t="shared" si="56"/>
        <v>223134.06924944997</v>
      </c>
      <c r="AJ92" s="15">
        <f t="shared" si="56"/>
        <v>229738.00878986498</v>
      </c>
      <c r="AK92" s="15">
        <f t="shared" si="56"/>
        <v>2678573.1135104746</v>
      </c>
      <c r="AL92" s="72">
        <f t="shared" si="28"/>
        <v>2.5053383047957779E-2</v>
      </c>
      <c r="AM92" s="10">
        <f t="shared" si="29"/>
        <v>6.8131756517989972E-2</v>
      </c>
      <c r="AN92" s="9"/>
    </row>
    <row r="93" spans="1:40" ht="14.45" hidden="1" customHeight="1" outlineLevel="1">
      <c r="A93" s="12" t="s">
        <v>195</v>
      </c>
      <c r="B93" s="8" t="s">
        <v>88</v>
      </c>
      <c r="I93" s="246" t="s">
        <v>197</v>
      </c>
      <c r="J93" s="65">
        <v>6398</v>
      </c>
      <c r="K93" s="65">
        <v>6376</v>
      </c>
      <c r="L93" s="65">
        <v>6638</v>
      </c>
      <c r="M93" s="65">
        <v>6336</v>
      </c>
      <c r="N93" s="65">
        <v>6416</v>
      </c>
      <c r="O93" s="65">
        <v>6610</v>
      </c>
      <c r="P93" s="65">
        <v>6830</v>
      </c>
      <c r="Q93" s="65">
        <v>6761</v>
      </c>
      <c r="R93" s="225">
        <v>6524</v>
      </c>
      <c r="S93" s="225">
        <v>6830</v>
      </c>
      <c r="T93" s="225">
        <f t="shared" ref="T93:T108" si="57">+AVERAGE(Q93:S93)</f>
        <v>6705</v>
      </c>
      <c r="U93" s="225">
        <f t="shared" ref="U93:U108" si="58">+AVERAGE(R93:T93)</f>
        <v>6686.333333333333</v>
      </c>
      <c r="V93" s="65">
        <f t="shared" ref="V93:V108" si="59">SUM(J93:U93)</f>
        <v>79110.333333333328</v>
      </c>
      <c r="W93" s="73">
        <f t="shared" si="26"/>
        <v>7.5268465869723401E-4</v>
      </c>
      <c r="X93" s="89"/>
      <c r="Y93" s="65">
        <f>VLOOKUP($I93,'[17]Resumen OPE'!$A$30:$M$51,Y$1,0)</f>
        <v>6806.2867858561631</v>
      </c>
      <c r="Z93" s="65">
        <f>VLOOKUP($I93,'[17]Resumen OPE'!$A$30:$M$51,Z$1,0)</f>
        <v>6147.6138710958894</v>
      </c>
      <c r="AA93" s="65">
        <f>VLOOKUP($I93,'[17]Resumen OPE'!$A$30:$M$51,AA$1,0)</f>
        <v>6806.2867858561631</v>
      </c>
      <c r="AB93" s="65">
        <f>VLOOKUP($I93,'[17]Resumen OPE'!$A$30:$M$51,AB$1,0)</f>
        <v>6586.7291476027385</v>
      </c>
      <c r="AC93" s="65">
        <f>VLOOKUP($I93,'[17]Resumen OPE'!$A$30:$M$51,AC$1,0)</f>
        <v>6806.2867858561631</v>
      </c>
      <c r="AD93" s="65">
        <f>VLOOKUP($I93,'[17]Resumen OPE'!$A$30:$M$51,AD$1,0)</f>
        <v>6586.7291476027385</v>
      </c>
      <c r="AE93" s="65">
        <f>VLOOKUP($I93,'[17]Resumen OPE'!$A$30:$M$51,AE$1,0)</f>
        <v>6806.2867858561631</v>
      </c>
      <c r="AF93" s="65">
        <f>VLOOKUP($I93,'[17]Resumen OPE'!$A$30:$M$51,AF$1,0)</f>
        <v>6806.2867858561631</v>
      </c>
      <c r="AG93" s="65">
        <f>VLOOKUP($I93,'[17]Resumen OPE'!$A$30:$M$51,AG$1,0)</f>
        <v>6586.7291476027385</v>
      </c>
      <c r="AH93" s="65">
        <f>VLOOKUP($I93,'[17]Resumen OPE'!$A$30:$M$51,AH$1,0)</f>
        <v>6806.2867858561631</v>
      </c>
      <c r="AI93" s="65">
        <f>VLOOKUP($I93,'[17]Resumen OPE'!$A$30:$M$51,AI$1,0)</f>
        <v>6586.7291476027385</v>
      </c>
      <c r="AJ93" s="65">
        <f>VLOOKUP($I93,'[17]Resumen OPE'!$A$30:$M$51,AJ$1,0)</f>
        <v>6806.2867858561631</v>
      </c>
      <c r="AK93" s="65">
        <f t="shared" ref="AK93:AK158" si="60">SUM(Y93:AJ93)</f>
        <v>80138.537962499991</v>
      </c>
      <c r="AL93" s="73">
        <f t="shared" si="28"/>
        <v>7.4955635086119401E-4</v>
      </c>
      <c r="AM93" s="14">
        <f t="shared" si="29"/>
        <v>1.299709640754898E-2</v>
      </c>
      <c r="AN93" s="9"/>
    </row>
    <row r="94" spans="1:40" ht="14.45" hidden="1" customHeight="1" outlineLevel="1">
      <c r="A94" s="12" t="s">
        <v>195</v>
      </c>
      <c r="B94" s="8" t="s">
        <v>88</v>
      </c>
      <c r="I94" s="246" t="s">
        <v>198</v>
      </c>
      <c r="J94" s="65">
        <v>19556</v>
      </c>
      <c r="K94" s="65">
        <v>16999</v>
      </c>
      <c r="L94" s="65">
        <v>15787</v>
      </c>
      <c r="M94" s="65">
        <v>8948</v>
      </c>
      <c r="N94" s="65">
        <v>24100</v>
      </c>
      <c r="O94" s="65">
        <v>12531</v>
      </c>
      <c r="P94" s="65">
        <v>11077</v>
      </c>
      <c r="Q94" s="65">
        <v>19785</v>
      </c>
      <c r="R94" s="225">
        <v>13475</v>
      </c>
      <c r="S94" s="225">
        <v>19798</v>
      </c>
      <c r="T94" s="225">
        <f t="shared" si="57"/>
        <v>17686</v>
      </c>
      <c r="U94" s="225">
        <f t="shared" si="58"/>
        <v>16986.333333333332</v>
      </c>
      <c r="V94" s="65">
        <f t="shared" si="59"/>
        <v>196728.33333333334</v>
      </c>
      <c r="W94" s="73">
        <f t="shared" si="26"/>
        <v>1.8717453484510119E-3</v>
      </c>
      <c r="X94" s="89"/>
      <c r="Y94" s="65">
        <f>VLOOKUP($I94,'[17]Resumen OPE'!$A$30:$M$51,Y$1,0)</f>
        <v>18604.8</v>
      </c>
      <c r="Z94" s="65">
        <f>VLOOKUP($I94,'[17]Resumen OPE'!$A$30:$M$51,Z$1,0)</f>
        <v>18604.8</v>
      </c>
      <c r="AA94" s="65">
        <f>VLOOKUP($I94,'[17]Resumen OPE'!$A$30:$M$51,AA$1,0)</f>
        <v>18604.8</v>
      </c>
      <c r="AB94" s="65">
        <f>VLOOKUP($I94,'[17]Resumen OPE'!$A$30:$M$51,AB$1,0)</f>
        <v>18604.8</v>
      </c>
      <c r="AC94" s="65">
        <f>VLOOKUP($I94,'[17]Resumen OPE'!$A$30:$M$51,AC$1,0)</f>
        <v>18604.8</v>
      </c>
      <c r="AD94" s="65">
        <f>VLOOKUP($I94,'[17]Resumen OPE'!$A$30:$M$51,AD$1,0)</f>
        <v>18604.8</v>
      </c>
      <c r="AE94" s="65">
        <f>VLOOKUP($I94,'[17]Resumen OPE'!$A$30:$M$51,AE$1,0)</f>
        <v>18604.8</v>
      </c>
      <c r="AF94" s="65">
        <f>VLOOKUP($I94,'[17]Resumen OPE'!$A$30:$M$51,AF$1,0)</f>
        <v>18604.8</v>
      </c>
      <c r="AG94" s="65">
        <f>VLOOKUP($I94,'[17]Resumen OPE'!$A$30:$M$51,AG$1,0)</f>
        <v>18604.8</v>
      </c>
      <c r="AH94" s="65">
        <f>VLOOKUP($I94,'[17]Resumen OPE'!$A$30:$M$51,AH$1,0)</f>
        <v>18604.8</v>
      </c>
      <c r="AI94" s="65">
        <f>VLOOKUP($I94,'[17]Resumen OPE'!$A$30:$M$51,AI$1,0)</f>
        <v>18604.8</v>
      </c>
      <c r="AJ94" s="65">
        <f>VLOOKUP($I94,'[17]Resumen OPE'!$A$30:$M$51,AJ$1,0)</f>
        <v>18604.8</v>
      </c>
      <c r="AK94" s="65">
        <f t="shared" si="60"/>
        <v>223257.59999999995</v>
      </c>
      <c r="AL94" s="73">
        <f t="shared" si="28"/>
        <v>2.0881857370087667E-3</v>
      </c>
      <c r="AM94" s="14">
        <f t="shared" si="29"/>
        <v>0.13485229207790739</v>
      </c>
      <c r="AN94" s="9"/>
    </row>
    <row r="95" spans="1:40" ht="14.45" hidden="1" customHeight="1" outlineLevel="1">
      <c r="A95" s="12" t="s">
        <v>195</v>
      </c>
      <c r="B95" s="8" t="s">
        <v>88</v>
      </c>
      <c r="I95" s="246" t="s">
        <v>199</v>
      </c>
      <c r="J95" s="65">
        <v>5377</v>
      </c>
      <c r="K95" s="65">
        <v>8203</v>
      </c>
      <c r="L95" s="65">
        <v>6523</v>
      </c>
      <c r="M95" s="65">
        <v>0</v>
      </c>
      <c r="N95" s="65">
        <v>9043</v>
      </c>
      <c r="O95" s="65">
        <v>0</v>
      </c>
      <c r="P95" s="65">
        <v>0</v>
      </c>
      <c r="Q95" s="65">
        <v>0</v>
      </c>
      <c r="R95" s="225">
        <v>9043</v>
      </c>
      <c r="S95" s="225">
        <v>0</v>
      </c>
      <c r="T95" s="225">
        <f t="shared" si="57"/>
        <v>3014.3333333333335</v>
      </c>
      <c r="U95" s="225">
        <f t="shared" si="58"/>
        <v>4019.1111111111113</v>
      </c>
      <c r="V95" s="65">
        <f t="shared" si="59"/>
        <v>45222.444444444445</v>
      </c>
      <c r="W95" s="73">
        <f t="shared" si="26"/>
        <v>4.3026288384730139E-4</v>
      </c>
      <c r="X95" s="89"/>
      <c r="Y95" s="65">
        <f>VLOOKUP($I95,'[17]Resumen OPE'!$A$30:$M$51,Y$1,0)</f>
        <v>6411.0830369999985</v>
      </c>
      <c r="Z95" s="65">
        <f>VLOOKUP($I95,'[17]Resumen OPE'!$A$30:$M$51,Z$1,0)</f>
        <v>6411.0830369999985</v>
      </c>
      <c r="AA95" s="65">
        <f>VLOOKUP($I95,'[17]Resumen OPE'!$A$30:$M$51,AA$1,0)</f>
        <v>6411.0830369999985</v>
      </c>
      <c r="AB95" s="65">
        <f>VLOOKUP($I95,'[17]Resumen OPE'!$A$30:$M$51,AB$1,0)</f>
        <v>0</v>
      </c>
      <c r="AC95" s="65">
        <f>VLOOKUP($I95,'[17]Resumen OPE'!$A$30:$M$51,AC$1,0)</f>
        <v>6411.0830369999985</v>
      </c>
      <c r="AD95" s="65">
        <f>VLOOKUP($I95,'[17]Resumen OPE'!$A$30:$M$51,AD$1,0)</f>
        <v>0</v>
      </c>
      <c r="AE95" s="65">
        <f>VLOOKUP($I95,'[17]Resumen OPE'!$A$30:$M$51,AE$1,0)</f>
        <v>0</v>
      </c>
      <c r="AF95" s="65">
        <f>VLOOKUP($I95,'[17]Resumen OPE'!$A$30:$M$51,AF$1,0)</f>
        <v>0</v>
      </c>
      <c r="AG95" s="65">
        <f>VLOOKUP($I95,'[17]Resumen OPE'!$A$30:$M$51,AG$1,0)</f>
        <v>6411.0830369999985</v>
      </c>
      <c r="AH95" s="65">
        <f>VLOOKUP($I95,'[17]Resumen OPE'!$A$30:$M$51,AH$1,0)</f>
        <v>0</v>
      </c>
      <c r="AI95" s="65">
        <f>VLOOKUP($I95,'[17]Resumen OPE'!$A$30:$M$51,AI$1,0)</f>
        <v>6411.0830369999985</v>
      </c>
      <c r="AJ95" s="65">
        <f>VLOOKUP($I95,'[17]Resumen OPE'!$A$30:$M$51,AJ$1,0)</f>
        <v>6411.0830369999985</v>
      </c>
      <c r="AK95" s="65">
        <f t="shared" si="60"/>
        <v>44877.581258999984</v>
      </c>
      <c r="AL95" s="73">
        <f t="shared" si="28"/>
        <v>4.1975155648226858E-4</v>
      </c>
      <c r="AM95" s="14">
        <f t="shared" si="29"/>
        <v>-7.6259297718442864E-3</v>
      </c>
      <c r="AN95" s="9"/>
    </row>
    <row r="96" spans="1:40" ht="14.45" hidden="1" customHeight="1" outlineLevel="1">
      <c r="A96" s="12" t="s">
        <v>195</v>
      </c>
      <c r="B96" s="8" t="s">
        <v>88</v>
      </c>
      <c r="I96" s="246" t="s">
        <v>200</v>
      </c>
      <c r="J96" s="65">
        <v>8194</v>
      </c>
      <c r="K96" s="65">
        <v>7778</v>
      </c>
      <c r="L96" s="65">
        <v>8043</v>
      </c>
      <c r="M96" s="65">
        <v>7615</v>
      </c>
      <c r="N96" s="65">
        <v>8452</v>
      </c>
      <c r="O96" s="65">
        <v>8739</v>
      </c>
      <c r="P96" s="65">
        <v>9191</v>
      </c>
      <c r="Q96" s="65">
        <v>8249</v>
      </c>
      <c r="R96" s="225">
        <v>8604</v>
      </c>
      <c r="S96" s="225">
        <v>8677</v>
      </c>
      <c r="T96" s="225">
        <f t="shared" si="57"/>
        <v>8510</v>
      </c>
      <c r="U96" s="225">
        <f t="shared" si="58"/>
        <v>8597</v>
      </c>
      <c r="V96" s="65">
        <f t="shared" si="59"/>
        <v>100649</v>
      </c>
      <c r="W96" s="73">
        <f t="shared" si="26"/>
        <v>9.5761141460514528E-4</v>
      </c>
      <c r="X96" s="89"/>
      <c r="Y96" s="65">
        <f>VLOOKUP($I96,'[17]Resumen OPE'!$A$30:$M$51,Y$1,0)</f>
        <v>8943.4608366149987</v>
      </c>
      <c r="Z96" s="65">
        <f>VLOOKUP($I96,'[17]Resumen OPE'!$A$30:$M$51,Z$1,0)</f>
        <v>8077.9646266199989</v>
      </c>
      <c r="AA96" s="65">
        <f>VLOOKUP($I96,'[17]Resumen OPE'!$A$30:$M$51,AA$1,0)</f>
        <v>8943.4608366149987</v>
      </c>
      <c r="AB96" s="65">
        <f>VLOOKUP($I96,'[17]Resumen OPE'!$A$30:$M$51,AB$1,0)</f>
        <v>8654.9620999499984</v>
      </c>
      <c r="AC96" s="65">
        <f>VLOOKUP($I96,'[17]Resumen OPE'!$A$30:$M$51,AC$1,0)</f>
        <v>8943.4608366149987</v>
      </c>
      <c r="AD96" s="65">
        <f>VLOOKUP($I96,'[17]Resumen OPE'!$A$30:$M$51,AD$1,0)</f>
        <v>8654.9620999499984</v>
      </c>
      <c r="AE96" s="65">
        <f>VLOOKUP($I96,'[17]Resumen OPE'!$A$30:$M$51,AE$1,0)</f>
        <v>8943.4608366149987</v>
      </c>
      <c r="AF96" s="65">
        <f>VLOOKUP($I96,'[17]Resumen OPE'!$A$30:$M$51,AF$1,0)</f>
        <v>8943.4608366149987</v>
      </c>
      <c r="AG96" s="65">
        <f>VLOOKUP($I96,'[17]Resumen OPE'!$A$30:$M$51,AG$1,0)</f>
        <v>8654.9620999499984</v>
      </c>
      <c r="AH96" s="65">
        <f>VLOOKUP($I96,'[17]Resumen OPE'!$A$30:$M$51,AH$1,0)</f>
        <v>8943.4608366149987</v>
      </c>
      <c r="AI96" s="65">
        <f>VLOOKUP($I96,'[17]Resumen OPE'!$A$30:$M$51,AI$1,0)</f>
        <v>8654.9620999499984</v>
      </c>
      <c r="AJ96" s="65">
        <f>VLOOKUP($I96,'[17]Resumen OPE'!$A$30:$M$51,AJ$1,0)</f>
        <v>8943.4608366149987</v>
      </c>
      <c r="AK96" s="65">
        <f t="shared" si="60"/>
        <v>105302.038882725</v>
      </c>
      <c r="AL96" s="73">
        <f t="shared" si="28"/>
        <v>9.8491704503160917E-4</v>
      </c>
      <c r="AM96" s="14">
        <f t="shared" si="29"/>
        <v>4.6230353830887472E-2</v>
      </c>
      <c r="AN96" s="9"/>
    </row>
    <row r="97" spans="1:40" ht="14.45" hidden="1" customHeight="1" outlineLevel="1">
      <c r="A97" s="12" t="s">
        <v>195</v>
      </c>
      <c r="B97" s="8" t="s">
        <v>88</v>
      </c>
      <c r="I97" s="246" t="s">
        <v>201</v>
      </c>
      <c r="J97" s="65"/>
      <c r="K97" s="65"/>
      <c r="L97" s="65">
        <v>0</v>
      </c>
      <c r="M97" s="65"/>
      <c r="N97" s="65">
        <v>0</v>
      </c>
      <c r="O97" s="65"/>
      <c r="P97" s="65">
        <v>0</v>
      </c>
      <c r="Q97" s="65">
        <v>0</v>
      </c>
      <c r="R97" s="225"/>
      <c r="S97" s="225"/>
      <c r="T97" s="225">
        <f t="shared" si="57"/>
        <v>0</v>
      </c>
      <c r="U97" s="225">
        <f t="shared" si="58"/>
        <v>0</v>
      </c>
      <c r="V97" s="65">
        <f t="shared" si="59"/>
        <v>0</v>
      </c>
      <c r="W97" s="73">
        <f t="shared" si="26"/>
        <v>0</v>
      </c>
      <c r="X97" s="89"/>
      <c r="Y97" s="65">
        <f>VLOOKUP($I97,'[17]Resumen OPE'!$A$30:$M$51,Y$1,0)</f>
        <v>0</v>
      </c>
      <c r="Z97" s="65">
        <f>VLOOKUP($I97,'[17]Resumen OPE'!$A$30:$M$51,Z$1,0)</f>
        <v>0</v>
      </c>
      <c r="AA97" s="65">
        <f>VLOOKUP($I97,'[17]Resumen OPE'!$A$30:$M$51,AA$1,0)</f>
        <v>0</v>
      </c>
      <c r="AB97" s="65">
        <f>VLOOKUP($I97,'[17]Resumen OPE'!$A$30:$M$51,AB$1,0)</f>
        <v>0</v>
      </c>
      <c r="AC97" s="65">
        <f>VLOOKUP($I97,'[17]Resumen OPE'!$A$30:$M$51,AC$1,0)</f>
        <v>0</v>
      </c>
      <c r="AD97" s="65">
        <f>VLOOKUP($I97,'[17]Resumen OPE'!$A$30:$M$51,AD$1,0)</f>
        <v>0</v>
      </c>
      <c r="AE97" s="65">
        <f>VLOOKUP($I97,'[17]Resumen OPE'!$A$30:$M$51,AE$1,0)</f>
        <v>0</v>
      </c>
      <c r="AF97" s="65">
        <f>VLOOKUP($I97,'[17]Resumen OPE'!$A$30:$M$51,AF$1,0)</f>
        <v>0</v>
      </c>
      <c r="AG97" s="65">
        <f>VLOOKUP($I97,'[17]Resumen OPE'!$A$30:$M$51,AG$1,0)</f>
        <v>0</v>
      </c>
      <c r="AH97" s="65">
        <f>VLOOKUP($I97,'[17]Resumen OPE'!$A$30:$M$51,AH$1,0)</f>
        <v>0</v>
      </c>
      <c r="AI97" s="65">
        <f>VLOOKUP($I97,'[17]Resumen OPE'!$A$30:$M$51,AI$1,0)</f>
        <v>0</v>
      </c>
      <c r="AJ97" s="65">
        <f>VLOOKUP($I97,'[17]Resumen OPE'!$A$30:$M$51,AJ$1,0)</f>
        <v>0</v>
      </c>
      <c r="AK97" s="65">
        <f t="shared" si="60"/>
        <v>0</v>
      </c>
      <c r="AL97" s="73">
        <f t="shared" si="28"/>
        <v>0</v>
      </c>
      <c r="AM97" s="14">
        <f t="shared" si="29"/>
        <v>0</v>
      </c>
      <c r="AN97" s="9"/>
    </row>
    <row r="98" spans="1:40" ht="14.45" hidden="1" customHeight="1" outlineLevel="1">
      <c r="A98" s="12" t="s">
        <v>195</v>
      </c>
      <c r="B98" s="8" t="s">
        <v>88</v>
      </c>
      <c r="I98" s="246" t="s">
        <v>202</v>
      </c>
      <c r="J98" s="65">
        <v>10877</v>
      </c>
      <c r="K98" s="65">
        <v>9919</v>
      </c>
      <c r="L98" s="65">
        <v>10555</v>
      </c>
      <c r="M98" s="65">
        <v>11526</v>
      </c>
      <c r="N98" s="65">
        <v>12320</v>
      </c>
      <c r="O98" s="65">
        <v>7449</v>
      </c>
      <c r="P98" s="65">
        <v>14933</v>
      </c>
      <c r="Q98" s="65">
        <v>11531</v>
      </c>
      <c r="R98" s="225">
        <v>11002</v>
      </c>
      <c r="S98" s="225">
        <v>9680</v>
      </c>
      <c r="T98" s="225">
        <f t="shared" si="57"/>
        <v>10737.666666666666</v>
      </c>
      <c r="U98" s="225">
        <f t="shared" si="58"/>
        <v>10473.222222222221</v>
      </c>
      <c r="V98" s="65">
        <f t="shared" si="59"/>
        <v>131002.88888888889</v>
      </c>
      <c r="W98" s="73">
        <f t="shared" si="26"/>
        <v>1.2464094203245889E-3</v>
      </c>
      <c r="X98" s="89"/>
      <c r="Y98" s="65">
        <f>VLOOKUP($I98,'[17]Resumen OPE'!$A$30:$M$51,Y$1,0)</f>
        <v>11855.391999999998</v>
      </c>
      <c r="Z98" s="65">
        <f>VLOOKUP($I98,'[17]Resumen OPE'!$A$30:$M$51,Z$1,0)</f>
        <v>10708.096</v>
      </c>
      <c r="AA98" s="65">
        <f>VLOOKUP($I98,'[17]Resumen OPE'!$A$30:$M$51,AA$1,0)</f>
        <v>11855.391999999998</v>
      </c>
      <c r="AB98" s="65">
        <f>VLOOKUP($I98,'[17]Resumen OPE'!$A$30:$M$51,AB$1,0)</f>
        <v>11472.96</v>
      </c>
      <c r="AC98" s="65">
        <f>VLOOKUP($I98,'[17]Resumen OPE'!$A$30:$M$51,AC$1,0)</f>
        <v>11855.391999999998</v>
      </c>
      <c r="AD98" s="65">
        <f>VLOOKUP($I98,'[17]Resumen OPE'!$A$30:$M$51,AD$1,0)</f>
        <v>11472.96</v>
      </c>
      <c r="AE98" s="65">
        <f>VLOOKUP($I98,'[17]Resumen OPE'!$A$30:$M$51,AE$1,0)</f>
        <v>11855.391999999998</v>
      </c>
      <c r="AF98" s="65">
        <f>VLOOKUP($I98,'[17]Resumen OPE'!$A$30:$M$51,AF$1,0)</f>
        <v>11855.391999999998</v>
      </c>
      <c r="AG98" s="65">
        <f>VLOOKUP($I98,'[17]Resumen OPE'!$A$30:$M$51,AG$1,0)</f>
        <v>11472.96</v>
      </c>
      <c r="AH98" s="65">
        <f>VLOOKUP($I98,'[17]Resumen OPE'!$A$30:$M$51,AH$1,0)</f>
        <v>11855.391999999998</v>
      </c>
      <c r="AI98" s="65">
        <f>VLOOKUP($I98,'[17]Resumen OPE'!$A$30:$M$51,AI$1,0)</f>
        <v>11472.96</v>
      </c>
      <c r="AJ98" s="65">
        <f>VLOOKUP($I98,'[17]Resumen OPE'!$A$30:$M$51,AJ$1,0)</f>
        <v>11855.391999999998</v>
      </c>
      <c r="AK98" s="65">
        <f t="shared" si="60"/>
        <v>139587.67999999996</v>
      </c>
      <c r="AL98" s="73">
        <f t="shared" si="28"/>
        <v>1.3055994619584905E-3</v>
      </c>
      <c r="AM98" s="14">
        <f t="shared" si="29"/>
        <v>6.5531311438424389E-2</v>
      </c>
      <c r="AN98" s="9"/>
    </row>
    <row r="99" spans="1:40" ht="14.45" hidden="1" customHeight="1" outlineLevel="1">
      <c r="A99" s="12" t="s">
        <v>215</v>
      </c>
      <c r="B99" s="8" t="s">
        <v>88</v>
      </c>
      <c r="I99" s="246" t="s">
        <v>203</v>
      </c>
      <c r="J99" s="65">
        <v>3422</v>
      </c>
      <c r="K99" s="65">
        <v>5136</v>
      </c>
      <c r="L99" s="65">
        <v>3695</v>
      </c>
      <c r="M99" s="65">
        <v>3411</v>
      </c>
      <c r="N99" s="65">
        <v>4133</v>
      </c>
      <c r="O99" s="65">
        <v>4019</v>
      </c>
      <c r="P99" s="65">
        <v>5388</v>
      </c>
      <c r="Q99" s="65">
        <v>5328</v>
      </c>
      <c r="R99" s="225">
        <v>3714</v>
      </c>
      <c r="S99" s="225">
        <v>5404</v>
      </c>
      <c r="T99" s="225">
        <f t="shared" si="57"/>
        <v>4815.333333333333</v>
      </c>
      <c r="U99" s="225">
        <f t="shared" si="58"/>
        <v>4644.4444444444443</v>
      </c>
      <c r="V99" s="65">
        <f t="shared" si="59"/>
        <v>53109.777777777781</v>
      </c>
      <c r="W99" s="73">
        <f t="shared" si="26"/>
        <v>5.0530585924492733E-4</v>
      </c>
      <c r="X99" s="89"/>
      <c r="Y99" s="65">
        <f>VLOOKUP($I99,'[17]Resumen OPE'!$A$30:$M$51,Y$1,0)</f>
        <v>6375.6893999999993</v>
      </c>
      <c r="Z99" s="65">
        <f>VLOOKUP($I99,'[17]Resumen OPE'!$A$30:$M$51,Z$1,0)</f>
        <v>5758.6871999999994</v>
      </c>
      <c r="AA99" s="65">
        <f>VLOOKUP($I99,'[17]Resumen OPE'!$A$30:$M$51,AA$1,0)</f>
        <v>6375.6893999999993</v>
      </c>
      <c r="AB99" s="65">
        <f>VLOOKUP($I99,'[17]Resumen OPE'!$A$30:$M$51,AB$1,0)</f>
        <v>6170.021999999999</v>
      </c>
      <c r="AC99" s="65">
        <f>VLOOKUP($I99,'[17]Resumen OPE'!$A$30:$M$51,AC$1,0)</f>
        <v>6375.6893999999993</v>
      </c>
      <c r="AD99" s="65">
        <f>VLOOKUP($I99,'[17]Resumen OPE'!$A$30:$M$51,AD$1,0)</f>
        <v>6170.021999999999</v>
      </c>
      <c r="AE99" s="65">
        <f>VLOOKUP($I99,'[17]Resumen OPE'!$A$30:$M$51,AE$1,0)</f>
        <v>6375.6893999999993</v>
      </c>
      <c r="AF99" s="65">
        <f>VLOOKUP($I99,'[17]Resumen OPE'!$A$30:$M$51,AF$1,0)</f>
        <v>6375.6893999999993</v>
      </c>
      <c r="AG99" s="65">
        <f>VLOOKUP($I99,'[17]Resumen OPE'!$A$30:$M$51,AG$1,0)</f>
        <v>6170.021999999999</v>
      </c>
      <c r="AH99" s="65">
        <f>VLOOKUP($I99,'[17]Resumen OPE'!$A$30:$M$51,AH$1,0)</f>
        <v>6375.6893999999993</v>
      </c>
      <c r="AI99" s="65">
        <f>VLOOKUP($I99,'[17]Resumen OPE'!$A$30:$M$51,AI$1,0)</f>
        <v>6170.021999999999</v>
      </c>
      <c r="AJ99" s="65">
        <f>VLOOKUP($I99,'[17]Resumen OPE'!$A$30:$M$51,AJ$1,0)</f>
        <v>6375.6893999999993</v>
      </c>
      <c r="AK99" s="65">
        <f t="shared" si="60"/>
        <v>75068.600999999995</v>
      </c>
      <c r="AL99" s="73">
        <f t="shared" si="28"/>
        <v>7.0213592686386517E-4</v>
      </c>
      <c r="AM99" s="14">
        <f t="shared" si="29"/>
        <v>0.41346102621823122</v>
      </c>
      <c r="AN99" s="221"/>
    </row>
    <row r="100" spans="1:40" ht="15" hidden="1" customHeight="1" outlineLevel="1">
      <c r="A100" s="12" t="s">
        <v>215</v>
      </c>
      <c r="B100" s="8" t="s">
        <v>88</v>
      </c>
      <c r="I100" s="246" t="s">
        <v>204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225">
        <v>0</v>
      </c>
      <c r="S100" s="225">
        <v>0</v>
      </c>
      <c r="T100" s="225">
        <f t="shared" si="57"/>
        <v>0</v>
      </c>
      <c r="U100" s="225">
        <f t="shared" si="58"/>
        <v>0</v>
      </c>
      <c r="V100" s="65">
        <f t="shared" si="59"/>
        <v>0</v>
      </c>
      <c r="W100" s="73">
        <f t="shared" si="26"/>
        <v>0</v>
      </c>
      <c r="X100" s="89"/>
      <c r="Y100" s="65">
        <f>VLOOKUP($I100,'[17]Resumen OPE'!$A$30:$M$51,Y$1,0)</f>
        <v>0</v>
      </c>
      <c r="Z100" s="65">
        <f>VLOOKUP($I100,'[17]Resumen OPE'!$A$30:$M$51,Z$1,0)</f>
        <v>0</v>
      </c>
      <c r="AA100" s="65">
        <f>VLOOKUP($I100,'[17]Resumen OPE'!$A$30:$M$51,AA$1,0)</f>
        <v>0</v>
      </c>
      <c r="AB100" s="65">
        <f>VLOOKUP($I100,'[17]Resumen OPE'!$A$30:$M$51,AB$1,0)</f>
        <v>0</v>
      </c>
      <c r="AC100" s="65">
        <f>VLOOKUP($I100,'[17]Resumen OPE'!$A$30:$M$51,AC$1,0)</f>
        <v>0</v>
      </c>
      <c r="AD100" s="65">
        <f>VLOOKUP($I100,'[17]Resumen OPE'!$A$30:$M$51,AD$1,0)</f>
        <v>0</v>
      </c>
      <c r="AE100" s="65">
        <f>VLOOKUP($I100,'[17]Resumen OPE'!$A$30:$M$51,AE$1,0)</f>
        <v>0</v>
      </c>
      <c r="AF100" s="65">
        <f>VLOOKUP($I100,'[17]Resumen OPE'!$A$30:$M$51,AF$1,0)</f>
        <v>0</v>
      </c>
      <c r="AG100" s="65">
        <f>VLOOKUP($I100,'[17]Resumen OPE'!$A$30:$M$51,AG$1,0)</f>
        <v>0</v>
      </c>
      <c r="AH100" s="65">
        <f>VLOOKUP($I100,'[17]Resumen OPE'!$A$30:$M$51,AH$1,0)</f>
        <v>0</v>
      </c>
      <c r="AI100" s="65">
        <f>VLOOKUP($I100,'[17]Resumen OPE'!$A$30:$M$51,AI$1,0)</f>
        <v>0</v>
      </c>
      <c r="AJ100" s="65">
        <f>VLOOKUP($I100,'[17]Resumen OPE'!$A$30:$M$51,AJ$1,0)</f>
        <v>0</v>
      </c>
      <c r="AK100" s="65">
        <f t="shared" si="60"/>
        <v>0</v>
      </c>
      <c r="AL100" s="73">
        <f t="shared" si="28"/>
        <v>0</v>
      </c>
      <c r="AM100" s="14">
        <f t="shared" si="29"/>
        <v>0</v>
      </c>
      <c r="AN100" s="9"/>
    </row>
    <row r="101" spans="1:40" ht="15" hidden="1" customHeight="1" outlineLevel="1">
      <c r="A101" s="12" t="s">
        <v>215</v>
      </c>
      <c r="B101" s="8" t="s">
        <v>88</v>
      </c>
      <c r="I101" s="246" t="s">
        <v>205</v>
      </c>
      <c r="J101" s="65">
        <v>3593</v>
      </c>
      <c r="K101" s="65">
        <v>2972</v>
      </c>
      <c r="L101" s="65">
        <v>3123</v>
      </c>
      <c r="M101" s="65">
        <v>3825</v>
      </c>
      <c r="N101" s="65">
        <v>2861</v>
      </c>
      <c r="O101" s="65">
        <v>3035</v>
      </c>
      <c r="P101" s="65">
        <v>4004</v>
      </c>
      <c r="Q101" s="65">
        <v>3090</v>
      </c>
      <c r="R101" s="225">
        <v>3438</v>
      </c>
      <c r="S101" s="225">
        <v>3058</v>
      </c>
      <c r="T101" s="225">
        <f t="shared" si="57"/>
        <v>3195.3333333333335</v>
      </c>
      <c r="U101" s="225">
        <f t="shared" si="58"/>
        <v>3230.4444444444448</v>
      </c>
      <c r="V101" s="65">
        <f t="shared" si="59"/>
        <v>39424.777777777781</v>
      </c>
      <c r="W101" s="73">
        <f t="shared" si="26"/>
        <v>3.75101761748962E-4</v>
      </c>
      <c r="X101" s="89"/>
      <c r="Y101" s="65">
        <f>VLOOKUP($I101,'[17]Resumen OPE'!$A$30:$M$51,Y$1,0)</f>
        <v>3646.9561376250003</v>
      </c>
      <c r="Z101" s="65">
        <f>VLOOKUP($I101,'[17]Resumen OPE'!$A$30:$M$51,Z$1,0)</f>
        <v>3294.0248984999998</v>
      </c>
      <c r="AA101" s="65">
        <f>VLOOKUP($I101,'[17]Resumen OPE'!$A$30:$M$51,AA$1,0)</f>
        <v>3646.9561376250003</v>
      </c>
      <c r="AB101" s="65">
        <f>VLOOKUP($I101,'[17]Resumen OPE'!$A$30:$M$51,AB$1,0)</f>
        <v>3529.31239125</v>
      </c>
      <c r="AC101" s="65">
        <f>VLOOKUP($I101,'[17]Resumen OPE'!$A$30:$M$51,AC$1,0)</f>
        <v>3646.9561376250003</v>
      </c>
      <c r="AD101" s="65">
        <f>VLOOKUP($I101,'[17]Resumen OPE'!$A$30:$M$51,AD$1,0)</f>
        <v>3529.31239125</v>
      </c>
      <c r="AE101" s="65">
        <f>VLOOKUP($I101,'[17]Resumen OPE'!$A$30:$M$51,AE$1,0)</f>
        <v>3646.9561376250003</v>
      </c>
      <c r="AF101" s="65">
        <f>VLOOKUP($I101,'[17]Resumen OPE'!$A$30:$M$51,AF$1,0)</f>
        <v>3646.9561376250003</v>
      </c>
      <c r="AG101" s="65">
        <f>VLOOKUP($I101,'[17]Resumen OPE'!$A$30:$M$51,AG$1,0)</f>
        <v>3529.31239125</v>
      </c>
      <c r="AH101" s="65">
        <f>VLOOKUP($I101,'[17]Resumen OPE'!$A$30:$M$51,AH$1,0)</f>
        <v>3646.9561376250003</v>
      </c>
      <c r="AI101" s="65">
        <f>VLOOKUP($I101,'[17]Resumen OPE'!$A$30:$M$51,AI$1,0)</f>
        <v>3529.31239125</v>
      </c>
      <c r="AJ101" s="65">
        <f>VLOOKUP($I101,'[17]Resumen OPE'!$A$30:$M$51,AJ$1,0)</f>
        <v>3646.9561376250003</v>
      </c>
      <c r="AK101" s="65">
        <f t="shared" si="60"/>
        <v>42939.967426875002</v>
      </c>
      <c r="AL101" s="73">
        <f t="shared" si="28"/>
        <v>4.0162855610927214E-4</v>
      </c>
      <c r="AM101" s="14">
        <f t="shared" si="29"/>
        <v>8.9161939451148919E-2</v>
      </c>
      <c r="AN101" s="9"/>
    </row>
    <row r="102" spans="1:40" ht="15" hidden="1" customHeight="1" outlineLevel="1">
      <c r="A102" s="12" t="s">
        <v>215</v>
      </c>
      <c r="B102" s="8" t="s">
        <v>88</v>
      </c>
      <c r="I102" s="246" t="s">
        <v>207</v>
      </c>
      <c r="J102" s="65">
        <v>2071</v>
      </c>
      <c r="K102" s="65">
        <v>1983</v>
      </c>
      <c r="L102" s="65">
        <v>2123</v>
      </c>
      <c r="M102" s="65">
        <v>1991</v>
      </c>
      <c r="N102" s="65">
        <v>2001</v>
      </c>
      <c r="O102" s="65">
        <v>2012</v>
      </c>
      <c r="P102" s="65">
        <v>2089</v>
      </c>
      <c r="Q102" s="65">
        <v>2090</v>
      </c>
      <c r="R102" s="225">
        <v>2005</v>
      </c>
      <c r="S102" s="225">
        <v>2115</v>
      </c>
      <c r="T102" s="225">
        <f t="shared" si="57"/>
        <v>2070</v>
      </c>
      <c r="U102" s="225">
        <f t="shared" si="58"/>
        <v>2063.3333333333335</v>
      </c>
      <c r="V102" s="65">
        <f t="shared" si="59"/>
        <v>24613.333333333332</v>
      </c>
      <c r="W102" s="73">
        <f t="shared" si="26"/>
        <v>2.3418025962981557E-4</v>
      </c>
      <c r="X102" s="89"/>
      <c r="Y102" s="65">
        <f>VLOOKUP($I102,'[17]Resumen OPE'!$A$30:$M$51,Y$1,0)</f>
        <v>1474.6954702688356</v>
      </c>
      <c r="Z102" s="65">
        <f>VLOOKUP($I102,'[17]Resumen OPE'!$A$30:$M$51,Z$1,0)</f>
        <v>1331.9830054041095</v>
      </c>
      <c r="AA102" s="65">
        <f>VLOOKUP($I102,'[17]Resumen OPE'!$A$30:$M$51,AA$1,0)</f>
        <v>1474.6954702688356</v>
      </c>
      <c r="AB102" s="65">
        <f>VLOOKUP($I102,'[17]Resumen OPE'!$A$30:$M$51,AB$1,0)</f>
        <v>1427.1246486472601</v>
      </c>
      <c r="AC102" s="65">
        <f>VLOOKUP($I102,'[17]Resumen OPE'!$A$30:$M$51,AC$1,0)</f>
        <v>1474.6954702688356</v>
      </c>
      <c r="AD102" s="65">
        <f>VLOOKUP($I102,'[17]Resumen OPE'!$A$30:$M$51,AD$1,0)</f>
        <v>1427.1246486472601</v>
      </c>
      <c r="AE102" s="65">
        <f>VLOOKUP($I102,'[17]Resumen OPE'!$A$30:$M$51,AE$1,0)</f>
        <v>1474.6954702688356</v>
      </c>
      <c r="AF102" s="65">
        <f>VLOOKUP($I102,'[17]Resumen OPE'!$A$30:$M$51,AF$1,0)</f>
        <v>1474.6954702688356</v>
      </c>
      <c r="AG102" s="65">
        <f>VLOOKUP($I102,'[17]Resumen OPE'!$A$30:$M$51,AG$1,0)</f>
        <v>1427.1246486472601</v>
      </c>
      <c r="AH102" s="65">
        <f>VLOOKUP($I102,'[17]Resumen OPE'!$A$30:$M$51,AH$1,0)</f>
        <v>1474.6954702688356</v>
      </c>
      <c r="AI102" s="65">
        <f>VLOOKUP($I102,'[17]Resumen OPE'!$A$30:$M$51,AI$1,0)</f>
        <v>1427.1246486472601</v>
      </c>
      <c r="AJ102" s="65">
        <f>VLOOKUP($I102,'[17]Resumen OPE'!$A$30:$M$51,AJ$1,0)</f>
        <v>1474.6954702688356</v>
      </c>
      <c r="AK102" s="65">
        <f t="shared" si="60"/>
        <v>17363.349891875001</v>
      </c>
      <c r="AL102" s="73">
        <f t="shared" si="28"/>
        <v>1.6240387601992539E-4</v>
      </c>
      <c r="AM102" s="14">
        <f t="shared" si="29"/>
        <v>-0.29455512356954217</v>
      </c>
      <c r="AN102" s="9"/>
    </row>
    <row r="103" spans="1:40" ht="15" hidden="1" customHeight="1" outlineLevel="1">
      <c r="A103" s="12"/>
      <c r="I103" s="246" t="s">
        <v>208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225">
        <v>0</v>
      </c>
      <c r="S103" s="225">
        <v>0</v>
      </c>
      <c r="T103" s="225">
        <f t="shared" si="57"/>
        <v>0</v>
      </c>
      <c r="U103" s="225">
        <f t="shared" si="58"/>
        <v>0</v>
      </c>
      <c r="V103" s="65">
        <f t="shared" ref="V103:V104" si="61">SUM(J103:U103)</f>
        <v>0</v>
      </c>
      <c r="W103" s="73">
        <f t="shared" ref="W103:W104" si="62">V103/V$6</f>
        <v>0</v>
      </c>
      <c r="X103" s="89"/>
      <c r="Y103" s="65">
        <f>VLOOKUP($I103,'[17]Resumen OPE'!$A$30:$M$51,Y$1,0)</f>
        <v>0</v>
      </c>
      <c r="Z103" s="65">
        <f>VLOOKUP($I103,'[17]Resumen OPE'!$A$30:$M$51,Z$1,0)</f>
        <v>0</v>
      </c>
      <c r="AA103" s="65">
        <f>VLOOKUP($I103,'[17]Resumen OPE'!$A$30:$M$51,AA$1,0)</f>
        <v>0</v>
      </c>
      <c r="AB103" s="65">
        <f>VLOOKUP($I103,'[17]Resumen OPE'!$A$30:$M$51,AB$1,0)</f>
        <v>0</v>
      </c>
      <c r="AC103" s="65">
        <f>VLOOKUP($I103,'[17]Resumen OPE'!$A$30:$M$51,AC$1,0)</f>
        <v>0</v>
      </c>
      <c r="AD103" s="65">
        <f>VLOOKUP($I103,'[17]Resumen OPE'!$A$30:$M$51,AD$1,0)</f>
        <v>0</v>
      </c>
      <c r="AE103" s="65">
        <f>VLOOKUP($I103,'[17]Resumen OPE'!$A$30:$M$51,AE$1,0)</f>
        <v>0</v>
      </c>
      <c r="AF103" s="65">
        <f>VLOOKUP($I103,'[17]Resumen OPE'!$A$30:$M$51,AF$1,0)</f>
        <v>0</v>
      </c>
      <c r="AG103" s="65">
        <f>VLOOKUP($I103,'[17]Resumen OPE'!$A$30:$M$51,AG$1,0)</f>
        <v>0</v>
      </c>
      <c r="AH103" s="65">
        <f>VLOOKUP($I103,'[17]Resumen OPE'!$A$30:$M$51,AH$1,0)</f>
        <v>0</v>
      </c>
      <c r="AI103" s="65">
        <f>VLOOKUP($I103,'[17]Resumen OPE'!$A$30:$M$51,AI$1,0)</f>
        <v>0</v>
      </c>
      <c r="AJ103" s="65">
        <f>VLOOKUP($I103,'[17]Resumen OPE'!$A$30:$M$51,AJ$1,0)</f>
        <v>0</v>
      </c>
      <c r="AK103" s="65">
        <f t="shared" ref="AK103:AK104" si="63">SUM(Y103:AJ103)</f>
        <v>0</v>
      </c>
      <c r="AL103" s="73">
        <f t="shared" ref="AL103:AL104" si="64">AK103/AK$6</f>
        <v>0</v>
      </c>
      <c r="AM103" s="14">
        <f t="shared" ref="AM103:AM104" si="65">IFERROR(AK103/V103-1,0)</f>
        <v>0</v>
      </c>
      <c r="AN103" s="9"/>
    </row>
    <row r="104" spans="1:40" ht="15" hidden="1" customHeight="1" outlineLevel="1">
      <c r="A104" s="12" t="s">
        <v>215</v>
      </c>
      <c r="B104" s="8" t="s">
        <v>88</v>
      </c>
      <c r="I104" s="246" t="s">
        <v>209</v>
      </c>
      <c r="J104" s="65"/>
      <c r="K104" s="65"/>
      <c r="L104" s="65">
        <v>0</v>
      </c>
      <c r="M104" s="65"/>
      <c r="N104" s="65"/>
      <c r="O104" s="65"/>
      <c r="P104" s="65"/>
      <c r="Q104" s="65"/>
      <c r="R104" s="225"/>
      <c r="S104" s="225"/>
      <c r="T104" s="225"/>
      <c r="U104" s="225"/>
      <c r="V104" s="65">
        <f t="shared" si="61"/>
        <v>0</v>
      </c>
      <c r="W104" s="73">
        <f t="shared" si="62"/>
        <v>0</v>
      </c>
      <c r="X104" s="89"/>
      <c r="Y104" s="65">
        <f>VLOOKUP($I104,'[17]Resumen OPE'!$A$30:$M$51,Y$1,0)</f>
        <v>0</v>
      </c>
      <c r="Z104" s="65">
        <f>VLOOKUP($I104,'[17]Resumen OPE'!$A$30:$M$51,Z$1,0)</f>
        <v>0</v>
      </c>
      <c r="AA104" s="65">
        <f>VLOOKUP($I104,'[17]Resumen OPE'!$A$30:$M$51,AA$1,0)</f>
        <v>0</v>
      </c>
      <c r="AB104" s="65">
        <f>VLOOKUP($I104,'[17]Resumen OPE'!$A$30:$M$51,AB$1,0)</f>
        <v>0</v>
      </c>
      <c r="AC104" s="65">
        <f>VLOOKUP($I104,'[17]Resumen OPE'!$A$30:$M$51,AC$1,0)</f>
        <v>0</v>
      </c>
      <c r="AD104" s="65">
        <f>VLOOKUP($I104,'[17]Resumen OPE'!$A$30:$M$51,AD$1,0)</f>
        <v>0</v>
      </c>
      <c r="AE104" s="65">
        <f>VLOOKUP($I104,'[17]Resumen OPE'!$A$30:$M$51,AE$1,0)</f>
        <v>0</v>
      </c>
      <c r="AF104" s="65">
        <f>VLOOKUP($I104,'[17]Resumen OPE'!$A$30:$M$51,AF$1,0)</f>
        <v>0</v>
      </c>
      <c r="AG104" s="65">
        <f>VLOOKUP($I104,'[17]Resumen OPE'!$A$30:$M$51,AG$1,0)</f>
        <v>0</v>
      </c>
      <c r="AH104" s="65">
        <f>VLOOKUP($I104,'[17]Resumen OPE'!$A$30:$M$51,AH$1,0)</f>
        <v>0</v>
      </c>
      <c r="AI104" s="65">
        <f>VLOOKUP($I104,'[17]Resumen OPE'!$A$30:$M$51,AI$1,0)</f>
        <v>0</v>
      </c>
      <c r="AJ104" s="65">
        <f>VLOOKUP($I104,'[17]Resumen OPE'!$A$30:$M$51,AJ$1,0)</f>
        <v>0</v>
      </c>
      <c r="AK104" s="65">
        <f t="shared" si="63"/>
        <v>0</v>
      </c>
      <c r="AL104" s="73">
        <f t="shared" si="64"/>
        <v>0</v>
      </c>
      <c r="AM104" s="14">
        <f t="shared" si="65"/>
        <v>0</v>
      </c>
      <c r="AN104" s="9"/>
    </row>
    <row r="105" spans="1:40" ht="14.45" hidden="1" customHeight="1" outlineLevel="1">
      <c r="A105" s="12" t="s">
        <v>221</v>
      </c>
      <c r="B105" s="8" t="s">
        <v>88</v>
      </c>
      <c r="C105" s="8" t="s">
        <v>222</v>
      </c>
      <c r="I105" s="246" t="s">
        <v>210</v>
      </c>
      <c r="J105" s="65">
        <v>0</v>
      </c>
      <c r="K105" s="65"/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225"/>
      <c r="S105" s="225"/>
      <c r="T105" s="225">
        <f t="shared" si="57"/>
        <v>0</v>
      </c>
      <c r="U105" s="225">
        <f t="shared" si="58"/>
        <v>0</v>
      </c>
      <c r="V105" s="65">
        <f t="shared" si="59"/>
        <v>0</v>
      </c>
      <c r="W105" s="73">
        <f t="shared" si="26"/>
        <v>0</v>
      </c>
      <c r="X105" s="89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>
        <f t="shared" si="60"/>
        <v>0</v>
      </c>
      <c r="AL105" s="73">
        <f t="shared" si="28"/>
        <v>0</v>
      </c>
      <c r="AM105" s="14">
        <f t="shared" si="29"/>
        <v>0</v>
      </c>
      <c r="AN105" s="9"/>
    </row>
    <row r="106" spans="1:40" ht="14.45" hidden="1" customHeight="1" outlineLevel="1">
      <c r="A106" s="12" t="s">
        <v>221</v>
      </c>
      <c r="B106" s="8" t="s">
        <v>88</v>
      </c>
      <c r="I106" s="246" t="s">
        <v>211</v>
      </c>
      <c r="J106" s="65">
        <v>136571</v>
      </c>
      <c r="K106" s="65">
        <v>129628</v>
      </c>
      <c r="L106" s="65">
        <v>135306</v>
      </c>
      <c r="M106" s="65">
        <v>127567</v>
      </c>
      <c r="N106" s="65">
        <v>140870</v>
      </c>
      <c r="O106" s="65">
        <v>146690</v>
      </c>
      <c r="P106" s="65">
        <v>154473</v>
      </c>
      <c r="Q106" s="65">
        <v>139072</v>
      </c>
      <c r="R106" s="225">
        <v>143396</v>
      </c>
      <c r="S106" s="225">
        <v>146612</v>
      </c>
      <c r="T106" s="225">
        <f t="shared" si="57"/>
        <v>143026.66666666666</v>
      </c>
      <c r="U106" s="225">
        <f t="shared" si="58"/>
        <v>144344.88888888888</v>
      </c>
      <c r="V106" s="65">
        <f t="shared" si="59"/>
        <v>1687556.5555555555</v>
      </c>
      <c r="W106" s="73">
        <f t="shared" si="26"/>
        <v>1.6056030565547018E-2</v>
      </c>
      <c r="X106" s="89"/>
      <c r="Y106" s="65">
        <f>VLOOKUP($I106,'[17]Resumen OPE'!$A$30:$M$51,Y$1,0)</f>
        <v>165619.64512249999</v>
      </c>
      <c r="Z106" s="65">
        <f>VLOOKUP($I106,'[17]Resumen OPE'!$A$30:$M$51,Z$1,0)</f>
        <v>149591.93753</v>
      </c>
      <c r="AA106" s="65">
        <f>VLOOKUP($I106,'[17]Resumen OPE'!$A$30:$M$51,AA$1,0)</f>
        <v>165619.64512249999</v>
      </c>
      <c r="AB106" s="65">
        <f>VLOOKUP($I106,'[17]Resumen OPE'!$A$30:$M$51,AB$1,0)</f>
        <v>160277.07592499998</v>
      </c>
      <c r="AC106" s="65">
        <f>VLOOKUP($I106,'[17]Resumen OPE'!$A$30:$M$51,AC$1,0)</f>
        <v>165619.64512249999</v>
      </c>
      <c r="AD106" s="65">
        <f>VLOOKUP($I106,'[17]Resumen OPE'!$A$30:$M$51,AD$1,0)</f>
        <v>160277.07592499998</v>
      </c>
      <c r="AE106" s="65">
        <f>VLOOKUP($I106,'[17]Resumen OPE'!$A$30:$M$51,AE$1,0)</f>
        <v>165619.64512249999</v>
      </c>
      <c r="AF106" s="65">
        <f>VLOOKUP($I106,'[17]Resumen OPE'!$A$30:$M$51,AF$1,0)</f>
        <v>165619.64512249999</v>
      </c>
      <c r="AG106" s="65">
        <f>VLOOKUP($I106,'[17]Resumen OPE'!$A$30:$M$51,AG$1,0)</f>
        <v>160277.07592499998</v>
      </c>
      <c r="AH106" s="65">
        <f>VLOOKUP($I106,'[17]Resumen OPE'!$A$30:$M$51,AH$1,0)</f>
        <v>165619.64512249999</v>
      </c>
      <c r="AI106" s="65">
        <f>VLOOKUP($I106,'[17]Resumen OPE'!$A$30:$M$51,AI$1,0)</f>
        <v>160277.07592499998</v>
      </c>
      <c r="AJ106" s="65">
        <f>VLOOKUP($I106,'[17]Resumen OPE'!$A$30:$M$51,AJ$1,0)</f>
        <v>165619.64512249999</v>
      </c>
      <c r="AK106" s="65">
        <f t="shared" si="60"/>
        <v>1950037.7570874998</v>
      </c>
      <c r="AL106" s="73">
        <f t="shared" si="28"/>
        <v>1.8239204537622389E-2</v>
      </c>
      <c r="AM106" s="14">
        <f t="shared" si="29"/>
        <v>0.15553920291905921</v>
      </c>
      <c r="AN106" s="9"/>
    </row>
    <row r="107" spans="1:40" ht="14.45" hidden="1" customHeight="1" outlineLevel="1">
      <c r="A107" s="12"/>
      <c r="I107" s="246" t="s">
        <v>213</v>
      </c>
      <c r="J107" s="65">
        <v>4515</v>
      </c>
      <c r="K107" s="65">
        <v>6615</v>
      </c>
      <c r="L107" s="65">
        <v>1995</v>
      </c>
      <c r="M107" s="65">
        <v>3885</v>
      </c>
      <c r="N107" s="65">
        <v>6090</v>
      </c>
      <c r="O107" s="65">
        <v>840</v>
      </c>
      <c r="P107" s="65">
        <v>4935</v>
      </c>
      <c r="Q107" s="65">
        <v>5040</v>
      </c>
      <c r="R107" s="225">
        <v>3465</v>
      </c>
      <c r="S107" s="225">
        <v>5460</v>
      </c>
      <c r="T107" s="225">
        <f t="shared" si="57"/>
        <v>4655</v>
      </c>
      <c r="U107" s="225">
        <f t="shared" si="58"/>
        <v>4526.666666666667</v>
      </c>
      <c r="V107" s="65">
        <f t="shared" si="59"/>
        <v>52021.666666666664</v>
      </c>
      <c r="W107" s="73">
        <f t="shared" si="26"/>
        <v>4.9495317198167891E-4</v>
      </c>
      <c r="X107" s="89"/>
      <c r="Y107" s="65">
        <f>VLOOKUP($I107,'[17]Resumen OPE'!$A$30:$M$51,Y$1,0)</f>
        <v>0</v>
      </c>
      <c r="Z107" s="65">
        <f>VLOOKUP($I107,'[17]Resumen OPE'!$A$30:$M$51,Z$1,0)</f>
        <v>0</v>
      </c>
      <c r="AA107" s="65">
        <f>VLOOKUP($I107,'[17]Resumen OPE'!$A$30:$M$51,AA$1,0)</f>
        <v>0</v>
      </c>
      <c r="AB107" s="65">
        <f>VLOOKUP($I107,'[17]Resumen OPE'!$A$30:$M$51,AB$1,0)</f>
        <v>0</v>
      </c>
      <c r="AC107" s="65">
        <f>VLOOKUP($I107,'[17]Resumen OPE'!$A$30:$M$51,AC$1,0)</f>
        <v>0</v>
      </c>
      <c r="AD107" s="65">
        <f>VLOOKUP($I107,'[17]Resumen OPE'!$A$30:$M$51,AD$1,0)</f>
        <v>0</v>
      </c>
      <c r="AE107" s="65">
        <f>VLOOKUP($I107,'[17]Resumen OPE'!$A$30:$M$51,AE$1,0)</f>
        <v>0</v>
      </c>
      <c r="AF107" s="65">
        <f>VLOOKUP($I107,'[17]Resumen OPE'!$A$30:$M$51,AF$1,0)</f>
        <v>0</v>
      </c>
      <c r="AG107" s="65">
        <f>VLOOKUP($I107,'[17]Resumen OPE'!$A$30:$M$51,AG$1,0)</f>
        <v>0</v>
      </c>
      <c r="AH107" s="65">
        <f>VLOOKUP($I107,'[17]Resumen OPE'!$A$30:$M$51,AH$1,0)</f>
        <v>0</v>
      </c>
      <c r="AI107" s="65">
        <f>VLOOKUP($I107,'[17]Resumen OPE'!$A$30:$M$51,AI$1,0)</f>
        <v>0</v>
      </c>
      <c r="AJ107" s="65">
        <f>VLOOKUP($I107,'[17]Resumen OPE'!$A$30:$M$51,AJ$1,0)</f>
        <v>0</v>
      </c>
      <c r="AK107" s="65">
        <f t="shared" si="60"/>
        <v>0</v>
      </c>
      <c r="AL107" s="73">
        <f t="shared" si="28"/>
        <v>0</v>
      </c>
      <c r="AM107" s="14">
        <f t="shared" si="29"/>
        <v>-1</v>
      </c>
      <c r="AN107" s="9"/>
    </row>
    <row r="108" spans="1:40" ht="14.45" hidden="1" customHeight="1" outlineLevel="1">
      <c r="A108" s="12"/>
      <c r="I108" s="246" t="s">
        <v>214</v>
      </c>
      <c r="J108" s="65">
        <v>8119</v>
      </c>
      <c r="K108" s="65">
        <v>7930</v>
      </c>
      <c r="L108" s="65">
        <v>8491</v>
      </c>
      <c r="M108" s="65">
        <v>7965</v>
      </c>
      <c r="N108" s="65">
        <v>8003</v>
      </c>
      <c r="O108" s="65">
        <v>8047</v>
      </c>
      <c r="P108" s="65">
        <v>8354</v>
      </c>
      <c r="Q108" s="65">
        <v>8360</v>
      </c>
      <c r="R108" s="225">
        <v>8018</v>
      </c>
      <c r="S108" s="225">
        <v>8460</v>
      </c>
      <c r="T108" s="225">
        <f t="shared" si="57"/>
        <v>8279.3333333333339</v>
      </c>
      <c r="U108" s="225">
        <f t="shared" si="58"/>
        <v>8252.4444444444453</v>
      </c>
      <c r="V108" s="65">
        <f t="shared" si="59"/>
        <v>98278.777777777781</v>
      </c>
      <c r="W108" s="73">
        <f t="shared" si="26"/>
        <v>9.3506025309185881E-4</v>
      </c>
      <c r="X108" s="89"/>
      <c r="Y108" s="65">
        <f>VLOOKUP($I108,'[17]Resumen OPE'!$A$30:$M$51,Y$1,0)</f>
        <v>0</v>
      </c>
      <c r="Z108" s="65">
        <f>VLOOKUP($I108,'[17]Resumen OPE'!$A$30:$M$51,Z$1,0)</f>
        <v>0</v>
      </c>
      <c r="AA108" s="65">
        <f>VLOOKUP($I108,'[17]Resumen OPE'!$A$30:$M$51,AA$1,0)</f>
        <v>0</v>
      </c>
      <c r="AB108" s="65">
        <f>VLOOKUP($I108,'[17]Resumen OPE'!$A$30:$M$51,AB$1,0)</f>
        <v>0</v>
      </c>
      <c r="AC108" s="65">
        <f>VLOOKUP($I108,'[17]Resumen OPE'!$A$30:$M$51,AC$1,0)</f>
        <v>0</v>
      </c>
      <c r="AD108" s="65">
        <f>VLOOKUP($I108,'[17]Resumen OPE'!$A$30:$M$51,AD$1,0)</f>
        <v>0</v>
      </c>
      <c r="AE108" s="65">
        <f>VLOOKUP($I108,'[17]Resumen OPE'!$A$30:$M$51,AE$1,0)</f>
        <v>0</v>
      </c>
      <c r="AF108" s="65">
        <f>VLOOKUP($I108,'[17]Resumen OPE'!$A$30:$M$51,AF$1,0)</f>
        <v>0</v>
      </c>
      <c r="AG108" s="65">
        <f>VLOOKUP($I108,'[17]Resumen OPE'!$A$30:$M$51,AG$1,0)</f>
        <v>0</v>
      </c>
      <c r="AH108" s="65">
        <f>VLOOKUP($I108,'[17]Resumen OPE'!$A$30:$M$51,AH$1,0)</f>
        <v>0</v>
      </c>
      <c r="AI108" s="65">
        <f>VLOOKUP($I108,'[17]Resumen OPE'!$A$30:$M$51,AI$1,0)</f>
        <v>0</v>
      </c>
      <c r="AJ108" s="65">
        <f>VLOOKUP($I108,'[17]Resumen OPE'!$A$30:$M$51,AJ$1,0)</f>
        <v>0</v>
      </c>
      <c r="AK108" s="65">
        <f t="shared" si="60"/>
        <v>0</v>
      </c>
      <c r="AL108" s="73">
        <f t="shared" si="28"/>
        <v>0</v>
      </c>
      <c r="AM108" s="14">
        <f t="shared" si="29"/>
        <v>-1</v>
      </c>
      <c r="AN108" s="9"/>
    </row>
    <row r="109" spans="1:40" ht="14.45" customHeight="1" collapsed="1">
      <c r="A109" s="12"/>
      <c r="E109" s="7" t="s">
        <v>474</v>
      </c>
      <c r="I109" s="167" t="s">
        <v>216</v>
      </c>
      <c r="J109" s="15">
        <v>50858</v>
      </c>
      <c r="K109" s="15">
        <v>46782</v>
      </c>
      <c r="L109" s="15">
        <v>49948</v>
      </c>
      <c r="M109" s="15">
        <v>49772</v>
      </c>
      <c r="N109" s="15">
        <v>48655</v>
      </c>
      <c r="O109" s="15">
        <v>50252</v>
      </c>
      <c r="P109" s="15">
        <v>54275</v>
      </c>
      <c r="Q109" s="15">
        <v>52465</v>
      </c>
      <c r="R109" s="15">
        <v>51849</v>
      </c>
      <c r="S109" s="15">
        <v>51804</v>
      </c>
      <c r="T109" s="15">
        <f t="shared" ref="R109:U109" si="66">SUM(T110:T113)</f>
        <v>52038.999999999993</v>
      </c>
      <c r="U109" s="15">
        <f t="shared" si="66"/>
        <v>51897</v>
      </c>
      <c r="V109" s="15">
        <f t="shared" ref="V109" si="67">SUM(V110:V113)</f>
        <v>610594</v>
      </c>
      <c r="W109" s="72">
        <f t="shared" si="26"/>
        <v>5.8094147392364955E-3</v>
      </c>
      <c r="X109" s="89"/>
      <c r="Y109" s="15">
        <f>SUM(Y110:Y113)</f>
        <v>58996.262126975067</v>
      </c>
      <c r="Z109" s="15">
        <f t="shared" ref="Z109:AK109" si="68">SUM(Z110:Z113)</f>
        <v>54591.778693424108</v>
      </c>
      <c r="AA109" s="15">
        <f t="shared" si="68"/>
        <v>58996.262126975067</v>
      </c>
      <c r="AB109" s="15">
        <f t="shared" si="68"/>
        <v>56157.008813132757</v>
      </c>
      <c r="AC109" s="15">
        <f t="shared" si="68"/>
        <v>58996.262126975067</v>
      </c>
      <c r="AD109" s="15">
        <f t="shared" si="68"/>
        <v>56157.008813132757</v>
      </c>
      <c r="AE109" s="15">
        <f t="shared" si="68"/>
        <v>57625.169957649734</v>
      </c>
      <c r="AF109" s="15">
        <f t="shared" si="68"/>
        <v>57625.169957649734</v>
      </c>
      <c r="AG109" s="15">
        <f t="shared" si="68"/>
        <v>57528.100982458083</v>
      </c>
      <c r="AH109" s="15">
        <f t="shared" si="68"/>
        <v>57625.169957649734</v>
      </c>
      <c r="AI109" s="15">
        <f t="shared" si="68"/>
        <v>57528.100982458083</v>
      </c>
      <c r="AJ109" s="15">
        <f t="shared" si="68"/>
        <v>58996.262126975067</v>
      </c>
      <c r="AK109" s="15">
        <f t="shared" si="68"/>
        <v>690822.55666545534</v>
      </c>
      <c r="AL109" s="72">
        <f t="shared" si="28"/>
        <v>6.4614409974519775E-3</v>
      </c>
      <c r="AM109" s="10">
        <f t="shared" si="29"/>
        <v>0.13139427617280108</v>
      </c>
      <c r="AN109" s="9"/>
    </row>
    <row r="110" spans="1:40" ht="14.45" hidden="1" customHeight="1" outlineLevel="1">
      <c r="A110" s="12"/>
      <c r="I110" s="246" t="s">
        <v>217</v>
      </c>
      <c r="J110" s="65">
        <v>9642</v>
      </c>
      <c r="K110" s="65">
        <v>9236</v>
      </c>
      <c r="L110" s="65">
        <v>9855</v>
      </c>
      <c r="M110" s="65">
        <v>9750</v>
      </c>
      <c r="N110" s="65">
        <v>8802</v>
      </c>
      <c r="O110" s="65">
        <v>9383</v>
      </c>
      <c r="P110" s="65">
        <v>10165</v>
      </c>
      <c r="Q110" s="65">
        <v>9801</v>
      </c>
      <c r="R110" s="225">
        <v>9764</v>
      </c>
      <c r="S110" s="225">
        <v>9613</v>
      </c>
      <c r="T110" s="225">
        <f t="shared" ref="T110:T113" si="69">+AVERAGE(Q110:S110)</f>
        <v>9726</v>
      </c>
      <c r="U110" s="225">
        <f t="shared" ref="U110:U113" si="70">+AVERAGE(R110:T110)</f>
        <v>9701</v>
      </c>
      <c r="V110" s="65">
        <f t="shared" ref="V110:V113" si="71">SUM(J110:U110)</f>
        <v>115438</v>
      </c>
      <c r="W110" s="73">
        <f t="shared" si="26"/>
        <v>1.0983193720671717E-3</v>
      </c>
      <c r="X110" s="89"/>
      <c r="Y110" s="65">
        <f>VLOOKUP($I110,'[17]Resumen OPE'!$A$30:$M$51,Y$1,0)</f>
        <v>10236.8997826625</v>
      </c>
      <c r="Z110" s="65">
        <f>VLOOKUP($I110,'[17]Resumen OPE'!$A$30:$M$51,Z$1,0)</f>
        <v>9367.2766570999993</v>
      </c>
      <c r="AA110" s="65">
        <f>VLOOKUP($I110,'[17]Resumen OPE'!$A$30:$M$51,AA$1,0)</f>
        <v>10236.8997826625</v>
      </c>
      <c r="AB110" s="65">
        <f>VLOOKUP($I110,'[17]Resumen OPE'!$A$30:$M$51,AB$1,0)</f>
        <v>9626.4712556249997</v>
      </c>
      <c r="AC110" s="65">
        <f>VLOOKUP($I110,'[17]Resumen OPE'!$A$30:$M$51,AC$1,0)</f>
        <v>10236.8997826625</v>
      </c>
      <c r="AD110" s="65">
        <f>VLOOKUP($I110,'[17]Resumen OPE'!$A$30:$M$51,AD$1,0)</f>
        <v>9626.4712556249997</v>
      </c>
      <c r="AE110" s="65">
        <f>VLOOKUP($I110,'[17]Resumen OPE'!$A$30:$M$51,AE$1,0)</f>
        <v>9916.3456308124987</v>
      </c>
      <c r="AF110" s="65">
        <f>VLOOKUP($I110,'[17]Resumen OPE'!$A$30:$M$51,AF$1,0)</f>
        <v>9916.3456308124987</v>
      </c>
      <c r="AG110" s="65">
        <f>VLOOKUP($I110,'[17]Resumen OPE'!$A$30:$M$51,AG$1,0)</f>
        <v>9947.0254074749992</v>
      </c>
      <c r="AH110" s="65">
        <f>VLOOKUP($I110,'[17]Resumen OPE'!$A$30:$M$51,AH$1,0)</f>
        <v>9916.3456308124987</v>
      </c>
      <c r="AI110" s="65">
        <f>VLOOKUP($I110,'[17]Resumen OPE'!$A$30:$M$51,AI$1,0)</f>
        <v>9947.0254074749992</v>
      </c>
      <c r="AJ110" s="65">
        <f>VLOOKUP($I110,'[17]Resumen OPE'!$A$30:$M$51,AJ$1,0)</f>
        <v>10236.8997826625</v>
      </c>
      <c r="AK110" s="65">
        <f t="shared" si="60"/>
        <v>119210.90600638749</v>
      </c>
      <c r="AL110" s="73">
        <f t="shared" si="28"/>
        <v>1.1150102555005121E-3</v>
      </c>
      <c r="AM110" s="14">
        <f t="shared" si="29"/>
        <v>3.2683397203585374E-2</v>
      </c>
      <c r="AN110" s="9"/>
    </row>
    <row r="111" spans="1:40" ht="14.45" hidden="1" customHeight="1" outlineLevel="1">
      <c r="A111" s="12"/>
      <c r="I111" s="246" t="s">
        <v>218</v>
      </c>
      <c r="J111" s="65">
        <v>15861</v>
      </c>
      <c r="K111" s="65">
        <v>14491</v>
      </c>
      <c r="L111" s="65">
        <v>15359</v>
      </c>
      <c r="M111" s="65">
        <v>15795</v>
      </c>
      <c r="N111" s="65">
        <v>14733</v>
      </c>
      <c r="O111" s="65">
        <v>15640</v>
      </c>
      <c r="P111" s="65">
        <v>17118</v>
      </c>
      <c r="Q111" s="65">
        <v>16290</v>
      </c>
      <c r="R111" s="225">
        <v>16066</v>
      </c>
      <c r="S111" s="225">
        <v>16100</v>
      </c>
      <c r="T111" s="225">
        <f t="shared" si="69"/>
        <v>16152</v>
      </c>
      <c r="U111" s="225">
        <f t="shared" si="70"/>
        <v>16106</v>
      </c>
      <c r="V111" s="65">
        <f t="shared" si="71"/>
        <v>189711</v>
      </c>
      <c r="W111" s="73">
        <f t="shared" si="26"/>
        <v>1.8049798713962058E-3</v>
      </c>
      <c r="X111" s="89"/>
      <c r="Y111" s="65">
        <f>VLOOKUP($I111,'[17]Resumen OPE'!$A$30:$M$51,Y$1,0)</f>
        <v>19476.725526493672</v>
      </c>
      <c r="Z111" s="65">
        <f>VLOOKUP($I111,'[17]Resumen OPE'!$A$30:$M$51,Z$1,0)</f>
        <v>17822.180567798459</v>
      </c>
      <c r="AA111" s="65">
        <f>VLOOKUP($I111,'[17]Resumen OPE'!$A$30:$M$51,AA$1,0)</f>
        <v>19476.725526493672</v>
      </c>
      <c r="AB111" s="65">
        <f>VLOOKUP($I111,'[17]Resumen OPE'!$A$30:$M$51,AB$1,0)</f>
        <v>18315.324210952123</v>
      </c>
      <c r="AC111" s="65">
        <f>VLOOKUP($I111,'[17]Resumen OPE'!$A$30:$M$51,AC$1,0)</f>
        <v>19476.725526493672</v>
      </c>
      <c r="AD111" s="65">
        <f>VLOOKUP($I111,'[17]Resumen OPE'!$A$30:$M$51,AD$1,0)</f>
        <v>18315.324210952123</v>
      </c>
      <c r="AE111" s="65">
        <f>VLOOKUP($I111,'[17]Resumen OPE'!$A$30:$M$51,AE$1,0)</f>
        <v>18866.839197183865</v>
      </c>
      <c r="AF111" s="65">
        <f>VLOOKUP($I111,'[17]Resumen OPE'!$A$30:$M$51,AF$1,0)</f>
        <v>18866.839197183865</v>
      </c>
      <c r="AG111" s="65">
        <f>VLOOKUP($I111,'[17]Resumen OPE'!$A$30:$M$51,AG$1,0)</f>
        <v>18925.210540261935</v>
      </c>
      <c r="AH111" s="65">
        <f>VLOOKUP($I111,'[17]Resumen OPE'!$A$30:$M$51,AH$1,0)</f>
        <v>18866.839197183865</v>
      </c>
      <c r="AI111" s="65">
        <f>VLOOKUP($I111,'[17]Resumen OPE'!$A$30:$M$51,AI$1,0)</f>
        <v>18925.210540261935</v>
      </c>
      <c r="AJ111" s="65">
        <f>VLOOKUP($I111,'[17]Resumen OPE'!$A$30:$M$51,AJ$1,0)</f>
        <v>19476.725526493672</v>
      </c>
      <c r="AK111" s="65">
        <f t="shared" si="60"/>
        <v>226810.66976775287</v>
      </c>
      <c r="AL111" s="73">
        <f t="shared" si="28"/>
        <v>2.1214185121152746E-3</v>
      </c>
      <c r="AM111" s="14">
        <f t="shared" si="29"/>
        <v>0.19555887517198722</v>
      </c>
      <c r="AN111" s="9"/>
    </row>
    <row r="112" spans="1:40" ht="14.45" hidden="1" customHeight="1" outlineLevel="1">
      <c r="A112" s="12"/>
      <c r="I112" s="246" t="s">
        <v>219</v>
      </c>
      <c r="J112" s="65">
        <v>18242</v>
      </c>
      <c r="K112" s="65">
        <v>16572</v>
      </c>
      <c r="L112" s="65">
        <v>17559</v>
      </c>
      <c r="M112" s="65">
        <v>18264</v>
      </c>
      <c r="N112" s="65">
        <v>17935</v>
      </c>
      <c r="O112" s="65">
        <v>18745</v>
      </c>
      <c r="P112" s="65">
        <v>19762</v>
      </c>
      <c r="Q112" s="65">
        <v>19072</v>
      </c>
      <c r="R112" s="225">
        <v>18593</v>
      </c>
      <c r="S112" s="225">
        <v>19213</v>
      </c>
      <c r="T112" s="225">
        <f t="shared" si="69"/>
        <v>18959.333333333332</v>
      </c>
      <c r="U112" s="225">
        <f t="shared" si="70"/>
        <v>18921.777777777777</v>
      </c>
      <c r="V112" s="65">
        <f t="shared" si="71"/>
        <v>221838.11111111112</v>
      </c>
      <c r="W112" s="73">
        <f t="shared" si="26"/>
        <v>2.1106489621798975E-3</v>
      </c>
      <c r="X112" s="89"/>
      <c r="Y112" s="65">
        <f>VLOOKUP($I112,'[17]Resumen OPE'!$A$30:$M$51,Y$1,0)</f>
        <v>21149.336961635701</v>
      </c>
      <c r="Z112" s="65">
        <f>VLOOKUP($I112,'[17]Resumen OPE'!$A$30:$M$51,Z$1,0)</f>
        <v>19269.021612342458</v>
      </c>
      <c r="AA112" s="65">
        <f>VLOOKUP($I112,'[17]Resumen OPE'!$A$30:$M$51,AA$1,0)</f>
        <v>21149.336961635701</v>
      </c>
      <c r="AB112" s="65">
        <f>VLOOKUP($I112,'[17]Resumen OPE'!$A$30:$M$51,AB$1,0)</f>
        <v>20081.913490372441</v>
      </c>
      <c r="AC112" s="65">
        <f>VLOOKUP($I112,'[17]Resumen OPE'!$A$30:$M$51,AC$1,0)</f>
        <v>21149.336961635701</v>
      </c>
      <c r="AD112" s="65">
        <f>VLOOKUP($I112,'[17]Resumen OPE'!$A$30:$M$51,AD$1,0)</f>
        <v>20081.913490372441</v>
      </c>
      <c r="AE112" s="65">
        <f>VLOOKUP($I112,'[17]Resumen OPE'!$A$30:$M$51,AE$1,0)</f>
        <v>20708.685273470182</v>
      </c>
      <c r="AF112" s="65">
        <f>VLOOKUP($I112,'[17]Resumen OPE'!$A$30:$M$51,AF$1,0)</f>
        <v>20708.685273470182</v>
      </c>
      <c r="AG112" s="65">
        <f>VLOOKUP($I112,'[17]Resumen OPE'!$A$30:$M$51,AG$1,0)</f>
        <v>20522.565178537956</v>
      </c>
      <c r="AH112" s="65">
        <f>VLOOKUP($I112,'[17]Resumen OPE'!$A$30:$M$51,AH$1,0)</f>
        <v>20708.685273470182</v>
      </c>
      <c r="AI112" s="65">
        <f>VLOOKUP($I112,'[17]Resumen OPE'!$A$30:$M$51,AI$1,0)</f>
        <v>20522.565178537956</v>
      </c>
      <c r="AJ112" s="65">
        <f>VLOOKUP($I112,'[17]Resumen OPE'!$A$30:$M$51,AJ$1,0)</f>
        <v>21149.336961635701</v>
      </c>
      <c r="AK112" s="65">
        <f t="shared" si="60"/>
        <v>247201.38261711659</v>
      </c>
      <c r="AL112" s="73">
        <f t="shared" si="28"/>
        <v>2.3121380922750665E-3</v>
      </c>
      <c r="AM112" s="14">
        <f t="shared" si="29"/>
        <v>0.11433234523576452</v>
      </c>
      <c r="AN112" s="9"/>
    </row>
    <row r="113" spans="1:40" ht="14.45" hidden="1" customHeight="1" outlineLevel="1">
      <c r="A113" s="12"/>
      <c r="I113" s="246" t="s">
        <v>220</v>
      </c>
      <c r="J113" s="65">
        <v>7113</v>
      </c>
      <c r="K113" s="65">
        <v>6483</v>
      </c>
      <c r="L113" s="65">
        <v>7175</v>
      </c>
      <c r="M113" s="65">
        <v>5963</v>
      </c>
      <c r="N113" s="65">
        <v>7185</v>
      </c>
      <c r="O113" s="65">
        <v>6483</v>
      </c>
      <c r="P113" s="65">
        <v>7230</v>
      </c>
      <c r="Q113" s="65">
        <v>7302</v>
      </c>
      <c r="R113" s="225">
        <v>7426</v>
      </c>
      <c r="S113" s="225">
        <v>6877</v>
      </c>
      <c r="T113" s="225">
        <f t="shared" si="69"/>
        <v>7201.666666666667</v>
      </c>
      <c r="U113" s="225">
        <f t="shared" si="70"/>
        <v>7168.2222222222226</v>
      </c>
      <c r="V113" s="65">
        <f t="shared" si="71"/>
        <v>83606.888888888891</v>
      </c>
      <c r="W113" s="73">
        <f t="shared" si="26"/>
        <v>7.9546653359322092E-4</v>
      </c>
      <c r="X113" s="89"/>
      <c r="Y113" s="65">
        <f>VLOOKUP($I113,'[17]Resumen OPE'!$A$30:$M$51,Y$1,0)</f>
        <v>8133.2998561831946</v>
      </c>
      <c r="Z113" s="65">
        <f>VLOOKUP($I113,'[17]Resumen OPE'!$A$30:$M$51,Z$1,0)</f>
        <v>8133.2998561831946</v>
      </c>
      <c r="AA113" s="65">
        <f>VLOOKUP($I113,'[17]Resumen OPE'!$A$30:$M$51,AA$1,0)</f>
        <v>8133.2998561831946</v>
      </c>
      <c r="AB113" s="65">
        <f>VLOOKUP($I113,'[17]Resumen OPE'!$A$30:$M$51,AB$1,0)</f>
        <v>8133.2998561831946</v>
      </c>
      <c r="AC113" s="65">
        <f>VLOOKUP($I113,'[17]Resumen OPE'!$A$30:$M$51,AC$1,0)</f>
        <v>8133.2998561831946</v>
      </c>
      <c r="AD113" s="65">
        <f>VLOOKUP($I113,'[17]Resumen OPE'!$A$30:$M$51,AD$1,0)</f>
        <v>8133.2998561831946</v>
      </c>
      <c r="AE113" s="65">
        <f>VLOOKUP($I113,'[17]Resumen OPE'!$A$30:$M$51,AE$1,0)</f>
        <v>8133.2998561831946</v>
      </c>
      <c r="AF113" s="65">
        <f>VLOOKUP($I113,'[17]Resumen OPE'!$A$30:$M$51,AF$1,0)</f>
        <v>8133.2998561831946</v>
      </c>
      <c r="AG113" s="65">
        <f>VLOOKUP($I113,'[17]Resumen OPE'!$A$30:$M$51,AG$1,0)</f>
        <v>8133.2998561831946</v>
      </c>
      <c r="AH113" s="65">
        <f>VLOOKUP($I113,'[17]Resumen OPE'!$A$30:$M$51,AH$1,0)</f>
        <v>8133.2998561831946</v>
      </c>
      <c r="AI113" s="65">
        <f>VLOOKUP($I113,'[17]Resumen OPE'!$A$30:$M$51,AI$1,0)</f>
        <v>8133.2998561831946</v>
      </c>
      <c r="AJ113" s="65">
        <f>VLOOKUP($I113,'[17]Resumen OPE'!$A$30:$M$51,AJ$1,0)</f>
        <v>8133.2998561831946</v>
      </c>
      <c r="AK113" s="65">
        <f t="shared" si="60"/>
        <v>97599.598274198317</v>
      </c>
      <c r="AL113" s="73">
        <f t="shared" si="28"/>
        <v>9.128741375611241E-4</v>
      </c>
      <c r="AM113" s="14">
        <f t="shared" si="29"/>
        <v>0.16736311530387549</v>
      </c>
      <c r="AN113" s="9"/>
    </row>
    <row r="114" spans="1:40" ht="14.45" customHeight="1" collapsed="1">
      <c r="A114" s="12"/>
      <c r="I114" s="167" t="s">
        <v>223</v>
      </c>
      <c r="J114" s="15">
        <v>186084</v>
      </c>
      <c r="K114" s="15">
        <v>53051</v>
      </c>
      <c r="L114" s="15">
        <v>95125</v>
      </c>
      <c r="M114" s="15">
        <v>129441</v>
      </c>
      <c r="N114" s="15">
        <v>145053</v>
      </c>
      <c r="O114" s="15">
        <v>128630</v>
      </c>
      <c r="P114" s="15">
        <v>124542</v>
      </c>
      <c r="Q114" s="15">
        <v>184892</v>
      </c>
      <c r="R114" s="15">
        <v>78082</v>
      </c>
      <c r="S114" s="15">
        <v>66940</v>
      </c>
      <c r="T114" s="15">
        <v>105567.5961545334</v>
      </c>
      <c r="U114" s="15">
        <v>112581.52636604606</v>
      </c>
      <c r="V114" s="15">
        <f t="shared" ref="V114" si="72">SUM(V115:V150)</f>
        <v>1409989.1225205795</v>
      </c>
      <c r="W114" s="72">
        <f t="shared" si="26"/>
        <v>1.341515244259555E-2</v>
      </c>
      <c r="X114" s="89"/>
      <c r="Y114" s="15">
        <f>SUM(Y115:Y150)</f>
        <v>140051.37959110941</v>
      </c>
      <c r="Z114" s="15">
        <f t="shared" ref="Z114:AK114" si="73">SUM(Z115:Z150)</f>
        <v>153280.34633326542</v>
      </c>
      <c r="AA114" s="15">
        <f t="shared" si="73"/>
        <v>125163.50808411863</v>
      </c>
      <c r="AB114" s="15">
        <f t="shared" si="73"/>
        <v>94900.22480918678</v>
      </c>
      <c r="AC114" s="15">
        <f t="shared" si="73"/>
        <v>107088.99656673822</v>
      </c>
      <c r="AD114" s="15">
        <f t="shared" si="73"/>
        <v>104441.84616407122</v>
      </c>
      <c r="AE114" s="15">
        <f t="shared" si="73"/>
        <v>138366.58501772018</v>
      </c>
      <c r="AF114" s="15">
        <f t="shared" si="73"/>
        <v>145808.41809788567</v>
      </c>
      <c r="AG114" s="15">
        <f t="shared" si="73"/>
        <v>118401.78841943244</v>
      </c>
      <c r="AH114" s="15">
        <f t="shared" si="73"/>
        <v>103529.64060414556</v>
      </c>
      <c r="AI114" s="15">
        <f t="shared" si="73"/>
        <v>114375.06076096097</v>
      </c>
      <c r="AJ114" s="15">
        <f t="shared" si="73"/>
        <v>97824.370225011982</v>
      </c>
      <c r="AK114" s="15">
        <f t="shared" si="73"/>
        <v>1443232.1646736464</v>
      </c>
      <c r="AL114" s="72">
        <f t="shared" si="28"/>
        <v>1.3498921521434419E-2</v>
      </c>
      <c r="AM114" s="10">
        <f t="shared" si="29"/>
        <v>2.3576807524330112E-2</v>
      </c>
      <c r="AN114" s="9"/>
    </row>
    <row r="115" spans="1:40" ht="14.45" hidden="1" customHeight="1" outlineLevel="1">
      <c r="A115" s="12"/>
      <c r="I115" s="246" t="s">
        <v>225</v>
      </c>
      <c r="J115" s="65">
        <v>0</v>
      </c>
      <c r="K115" s="65">
        <v>11896</v>
      </c>
      <c r="L115" s="65">
        <v>1310</v>
      </c>
      <c r="M115" s="65">
        <v>15001</v>
      </c>
      <c r="N115" s="65">
        <v>4770</v>
      </c>
      <c r="O115" s="65">
        <v>0</v>
      </c>
      <c r="P115" s="65">
        <v>3398</v>
      </c>
      <c r="Q115" s="65">
        <v>3300</v>
      </c>
      <c r="R115" s="65">
        <v>5878</v>
      </c>
      <c r="S115" s="65">
        <v>6600</v>
      </c>
      <c r="T115" s="65">
        <v>3762.7200000000003</v>
      </c>
      <c r="U115" s="65">
        <v>3762.7200000000003</v>
      </c>
      <c r="V115" s="65">
        <f t="shared" ref="V115:V150" si="74">SUM(J115:U115)</f>
        <v>59678.44</v>
      </c>
      <c r="W115" s="73">
        <f t="shared" si="26"/>
        <v>5.6780251517479839E-4</v>
      </c>
      <c r="X115" s="89"/>
      <c r="Y115" s="65">
        <f>VLOOKUP($E$1,[18]Resumen!$V$8:$AI$14,Y1,0)+VLOOKUP($E$1,[6]Resumen!$C$32:$O$39,Y1,0)</f>
        <v>4047.3343999999997</v>
      </c>
      <c r="Z115" s="65">
        <f>VLOOKUP($E$1,[18]Resumen!$V$8:$AI$14,Z1,0)+VLOOKUP($E$1,[6]Resumen!$C$32:$O$39,Z1,0)</f>
        <v>4047.3343999999997</v>
      </c>
      <c r="AA115" s="65">
        <f>VLOOKUP($E$1,[18]Resumen!$V$8:$AI$14,AA1,0)+VLOOKUP($E$1,[6]Resumen!$C$32:$O$39,AA1,0)</f>
        <v>4047.3343999999997</v>
      </c>
      <c r="AB115" s="65">
        <f>VLOOKUP($E$1,[18]Resumen!$V$8:$AI$14,AB1,0)+VLOOKUP($E$1,[6]Resumen!$C$32:$O$39,AB1,0)</f>
        <v>4047.3343999999997</v>
      </c>
      <c r="AC115" s="65">
        <f>VLOOKUP($E$1,[18]Resumen!$V$8:$AI$14,AC1,0)+VLOOKUP($E$1,[6]Resumen!$C$32:$O$39,AC1,0)</f>
        <v>4047.3343999999997</v>
      </c>
      <c r="AD115" s="65">
        <f>VLOOKUP($E$1,[18]Resumen!$V$8:$AI$14,AD1,0)+VLOOKUP($E$1,[6]Resumen!$C$32:$O$39,AD1,0)</f>
        <v>4047.3343999999997</v>
      </c>
      <c r="AE115" s="65">
        <f>VLOOKUP($E$1,[18]Resumen!$V$8:$AI$14,AE1,0)+VLOOKUP($E$1,[6]Resumen!$C$32:$O$39,AE1,0)</f>
        <v>4047.3343999999997</v>
      </c>
      <c r="AF115" s="65">
        <f>VLOOKUP($E$1,[18]Resumen!$V$8:$AI$14,AF1,0)+VLOOKUP($E$1,[6]Resumen!$C$32:$O$39,AF1,0)</f>
        <v>4047.3343999999997</v>
      </c>
      <c r="AG115" s="65">
        <f>VLOOKUP($E$1,[18]Resumen!$V$8:$AI$14,AG1,0)+VLOOKUP($E$1,[6]Resumen!$C$32:$O$39,AG1,0)</f>
        <v>4047.3343999999997</v>
      </c>
      <c r="AH115" s="65">
        <f>VLOOKUP($E$1,[18]Resumen!$V$8:$AI$14,AH1,0)+VLOOKUP($E$1,[6]Resumen!$C$32:$O$39,AH1,0)</f>
        <v>4047.3343999999997</v>
      </c>
      <c r="AI115" s="65">
        <f>VLOOKUP($E$1,[18]Resumen!$V$8:$AI$14,AI1,0)+VLOOKUP($E$1,[6]Resumen!$C$32:$O$39,AI1,0)</f>
        <v>4047.3343999999997</v>
      </c>
      <c r="AJ115" s="65">
        <f>VLOOKUP($E$1,[18]Resumen!$V$8:$AI$14,AJ1,0)+VLOOKUP($E$1,[6]Resumen!$C$32:$O$39,AJ1,0)</f>
        <v>4047.3343999999997</v>
      </c>
      <c r="AK115" s="65">
        <f t="shared" si="60"/>
        <v>48568.012799999997</v>
      </c>
      <c r="AL115" s="73">
        <f t="shared" si="28"/>
        <v>4.5426911157254773E-4</v>
      </c>
      <c r="AM115" s="14">
        <f t="shared" si="29"/>
        <v>-0.18617154201751929</v>
      </c>
      <c r="AN115" s="9"/>
    </row>
    <row r="116" spans="1:40" ht="14.45" hidden="1" customHeight="1" outlineLevel="1">
      <c r="A116" s="12"/>
      <c r="I116" s="246" t="s">
        <v>227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/>
      <c r="U116" s="65"/>
      <c r="V116" s="65">
        <f t="shared" si="74"/>
        <v>0</v>
      </c>
      <c r="W116" s="73">
        <f t="shared" si="26"/>
        <v>0</v>
      </c>
      <c r="X116" s="89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>
        <f t="shared" si="60"/>
        <v>0</v>
      </c>
      <c r="AL116" s="73">
        <f t="shared" si="28"/>
        <v>0</v>
      </c>
      <c r="AM116" s="14">
        <f t="shared" si="29"/>
        <v>0</v>
      </c>
      <c r="AN116" s="9"/>
    </row>
    <row r="117" spans="1:40" ht="14.45" hidden="1" customHeight="1" outlineLevel="1">
      <c r="A117" s="12"/>
      <c r="I117" s="246" t="s">
        <v>228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/>
      <c r="U117" s="65"/>
      <c r="V117" s="65">
        <f t="shared" si="74"/>
        <v>0</v>
      </c>
      <c r="W117" s="73">
        <f t="shared" si="26"/>
        <v>0</v>
      </c>
      <c r="X117" s="89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>
        <f t="shared" si="60"/>
        <v>0</v>
      </c>
      <c r="AL117" s="73">
        <f t="shared" si="28"/>
        <v>0</v>
      </c>
      <c r="AM117" s="14">
        <f t="shared" si="29"/>
        <v>0</v>
      </c>
      <c r="AN117" s="9"/>
    </row>
    <row r="118" spans="1:40" ht="14.45" hidden="1" customHeight="1" outlineLevel="1">
      <c r="A118" s="12"/>
      <c r="I118" s="246" t="s">
        <v>229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15080</v>
      </c>
      <c r="S118" s="65">
        <v>0</v>
      </c>
      <c r="T118" s="65">
        <v>0</v>
      </c>
      <c r="U118" s="65">
        <v>0</v>
      </c>
      <c r="V118" s="65">
        <f t="shared" si="74"/>
        <v>15080</v>
      </c>
      <c r="W118" s="73">
        <f t="shared" si="26"/>
        <v>1.4347663794221096E-4</v>
      </c>
      <c r="X118" s="89"/>
      <c r="Y118" s="65">
        <f>VLOOKUP($E$1,[9]Resumen!$V$22:$AH$28,Y1,0)</f>
        <v>0</v>
      </c>
      <c r="Z118" s="65">
        <f>VLOOKUP($E$1,[9]Resumen!$V$22:$AH$28,Z1,0)</f>
        <v>36228.5</v>
      </c>
      <c r="AA118" s="65">
        <f>VLOOKUP($E$1,[9]Resumen!$V$22:$AH$28,AA1,0)</f>
        <v>0</v>
      </c>
      <c r="AB118" s="65">
        <f>VLOOKUP($E$1,[9]Resumen!$V$22:$AH$28,AB1,0)</f>
        <v>0</v>
      </c>
      <c r="AC118" s="65">
        <f>VLOOKUP($E$1,[9]Resumen!$V$22:$AH$28,AC1,0)</f>
        <v>0</v>
      </c>
      <c r="AD118" s="65">
        <f>VLOOKUP($E$1,[9]Resumen!$V$22:$AH$28,AD1,0)</f>
        <v>0</v>
      </c>
      <c r="AE118" s="65">
        <f>VLOOKUP($E$1,[9]Resumen!$V$22:$AH$28,AE1,0)</f>
        <v>0</v>
      </c>
      <c r="AF118" s="65">
        <f>VLOOKUP($E$1,[9]Resumen!$V$22:$AH$28,AF1,0)</f>
        <v>0</v>
      </c>
      <c r="AG118" s="65">
        <f>VLOOKUP($E$1,[9]Resumen!$V$22:$AH$28,AG1,0)</f>
        <v>0</v>
      </c>
      <c r="AH118" s="65">
        <f>VLOOKUP($E$1,[9]Resumen!$V$22:$AH$28,AH1,0)</f>
        <v>0</v>
      </c>
      <c r="AI118" s="65">
        <f>VLOOKUP($E$1,[9]Resumen!$V$22:$AH$28,AI1,0)</f>
        <v>0</v>
      </c>
      <c r="AJ118" s="65">
        <f>VLOOKUP($E$1,[9]Resumen!$V$22:$AH$28,AJ1,0)</f>
        <v>0</v>
      </c>
      <c r="AK118" s="65">
        <f t="shared" si="60"/>
        <v>36228.5</v>
      </c>
      <c r="AL118" s="73">
        <f t="shared" si="28"/>
        <v>3.3885447560675258E-4</v>
      </c>
      <c r="AM118" s="14">
        <f t="shared" si="29"/>
        <v>1.402420424403183</v>
      </c>
      <c r="AN118" s="9"/>
    </row>
    <row r="119" spans="1:40" ht="14.45" hidden="1" customHeight="1" outlineLevel="1">
      <c r="A119" s="12"/>
      <c r="I119" s="246" t="s">
        <v>231</v>
      </c>
      <c r="J119" s="65">
        <v>0</v>
      </c>
      <c r="K119" s="65">
        <v>3611</v>
      </c>
      <c r="L119" s="65">
        <v>0</v>
      </c>
      <c r="M119" s="65">
        <v>2200</v>
      </c>
      <c r="N119" s="65">
        <v>0</v>
      </c>
      <c r="O119" s="65">
        <v>0</v>
      </c>
      <c r="P119" s="65">
        <v>11314</v>
      </c>
      <c r="Q119" s="65">
        <v>6900</v>
      </c>
      <c r="R119" s="65">
        <v>0</v>
      </c>
      <c r="S119" s="65">
        <v>0</v>
      </c>
      <c r="T119" s="65">
        <v>0</v>
      </c>
      <c r="U119" s="65">
        <v>0</v>
      </c>
      <c r="V119" s="65">
        <f t="shared" si="74"/>
        <v>24025</v>
      </c>
      <c r="W119" s="73">
        <f t="shared" si="26"/>
        <v>2.2858264101867495E-4</v>
      </c>
      <c r="X119" s="89"/>
      <c r="Y119" s="65">
        <f>VLOOKUP($E$1,[9]Resumen!$V$34:$AH$40,Y1,0)</f>
        <v>0</v>
      </c>
      <c r="Z119" s="65">
        <f>VLOOKUP($E$1,[9]Resumen!$V$34:$AH$40,Z1,0)</f>
        <v>0</v>
      </c>
      <c r="AA119" s="65">
        <f>VLOOKUP($E$1,[9]Resumen!$V$34:$AH$40,AA1,0)</f>
        <v>0</v>
      </c>
      <c r="AB119" s="65">
        <f>VLOOKUP($E$1,[9]Resumen!$V$34:$AH$40,AB1,0)</f>
        <v>0</v>
      </c>
      <c r="AC119" s="65">
        <f>VLOOKUP($E$1,[9]Resumen!$V$34:$AH$40,AC1,0)</f>
        <v>0</v>
      </c>
      <c r="AD119" s="65">
        <f>VLOOKUP($E$1,[9]Resumen!$V$34:$AH$40,AD1,0)</f>
        <v>0</v>
      </c>
      <c r="AE119" s="65">
        <f>VLOOKUP($E$1,[9]Resumen!$V$34:$AH$40,AE1,0)</f>
        <v>22169.771799999999</v>
      </c>
      <c r="AF119" s="65">
        <f>VLOOKUP($E$1,[9]Resumen!$V$34:$AH$40,AF1,0)</f>
        <v>0</v>
      </c>
      <c r="AG119" s="65">
        <f>VLOOKUP($E$1,[9]Resumen!$V$34:$AH$40,AG1,0)</f>
        <v>0</v>
      </c>
      <c r="AH119" s="65">
        <f>VLOOKUP($E$1,[9]Resumen!$V$34:$AH$40,AH1,0)</f>
        <v>0</v>
      </c>
      <c r="AI119" s="65">
        <f>VLOOKUP($E$1,[9]Resumen!$V$34:$AH$40,AI1,0)</f>
        <v>0</v>
      </c>
      <c r="AJ119" s="65">
        <f>VLOOKUP($E$1,[9]Resumen!$V$34:$AH$40,AJ1,0)</f>
        <v>0</v>
      </c>
      <c r="AK119" s="65">
        <f t="shared" si="60"/>
        <v>22169.771799999999</v>
      </c>
      <c r="AL119" s="73">
        <f t="shared" si="28"/>
        <v>2.0735957595844075E-4</v>
      </c>
      <c r="AM119" s="14">
        <f t="shared" si="29"/>
        <v>-7.722073673257035E-2</v>
      </c>
      <c r="AN119" s="9"/>
    </row>
    <row r="120" spans="1:40" ht="14.45" hidden="1" customHeight="1" outlineLevel="1">
      <c r="A120" s="12"/>
      <c r="I120" s="246" t="s">
        <v>232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/>
      <c r="U120" s="65"/>
      <c r="V120" s="65">
        <f t="shared" si="74"/>
        <v>0</v>
      </c>
      <c r="W120" s="73">
        <f t="shared" si="26"/>
        <v>0</v>
      </c>
      <c r="X120" s="89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>
        <f t="shared" si="60"/>
        <v>0</v>
      </c>
      <c r="AL120" s="73">
        <f t="shared" si="28"/>
        <v>0</v>
      </c>
      <c r="AM120" s="14">
        <f t="shared" si="29"/>
        <v>0</v>
      </c>
      <c r="AN120" s="9"/>
    </row>
    <row r="121" spans="1:40" ht="14.45" hidden="1" customHeight="1" outlineLevel="1">
      <c r="A121" s="12"/>
      <c r="E121" s="7" t="s">
        <v>254</v>
      </c>
      <c r="I121" s="246" t="s">
        <v>233</v>
      </c>
      <c r="J121" s="65">
        <v>37688</v>
      </c>
      <c r="K121" s="65">
        <v>0</v>
      </c>
      <c r="L121" s="65">
        <v>0</v>
      </c>
      <c r="M121" s="65">
        <v>2496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f t="shared" si="74"/>
        <v>40184</v>
      </c>
      <c r="W121" s="73">
        <f>V121/V$6</f>
        <v>3.8232527977916477E-4</v>
      </c>
      <c r="X121" s="89"/>
      <c r="Y121" s="65">
        <f>VLOOKUP($E$1,[8]Resumen!$V$68:$AH$74,Y1,0)</f>
        <v>39010.8488</v>
      </c>
      <c r="Z121" s="65">
        <f>VLOOKUP($E$1,[8]Resumen!$V$68:$AH$74,Z1,0)</f>
        <v>0</v>
      </c>
      <c r="AA121" s="65">
        <f>VLOOKUP($E$1,[8]Resumen!$V$68:$AH$74,AA1,0)</f>
        <v>0</v>
      </c>
      <c r="AB121" s="65">
        <f>VLOOKUP($E$1,[8]Resumen!$V$68:$AH$74,AB1,0)</f>
        <v>0</v>
      </c>
      <c r="AC121" s="65">
        <f>VLOOKUP($E$1,[8]Resumen!$V$68:$AH$74,AC1,0)</f>
        <v>0</v>
      </c>
      <c r="AD121" s="65">
        <f>VLOOKUP($E$1,[8]Resumen!$V$68:$AH$74,AD1,0)</f>
        <v>0</v>
      </c>
      <c r="AE121" s="65">
        <f>VLOOKUP($E$1,[8]Resumen!$V$68:$AH$74,AE1,0)</f>
        <v>0</v>
      </c>
      <c r="AF121" s="65">
        <f>VLOOKUP($E$1,[8]Resumen!$V$68:$AH$74,AF1,0)</f>
        <v>0</v>
      </c>
      <c r="AG121" s="65">
        <f>VLOOKUP($E$1,[8]Resumen!$V$68:$AH$74,AG1,0)</f>
        <v>0</v>
      </c>
      <c r="AH121" s="65">
        <f>VLOOKUP($E$1,[8]Resumen!$V$68:$AH$74,AH1,0)</f>
        <v>0</v>
      </c>
      <c r="AI121" s="65">
        <f>VLOOKUP($E$1,[8]Resumen!$V$68:$AH$74,AI1,0)</f>
        <v>0</v>
      </c>
      <c r="AJ121" s="65">
        <f>VLOOKUP($E$1,[8]Resumen!$V$68:$AH$74,AJ1,0)</f>
        <v>0</v>
      </c>
      <c r="AK121" s="65">
        <f t="shared" si="60"/>
        <v>39010.8488</v>
      </c>
      <c r="AL121" s="73">
        <f>AK121/AK$6</f>
        <v>3.6487849933335116E-4</v>
      </c>
      <c r="AM121" s="14">
        <f>IFERROR(AK121/V121-1,0)</f>
        <v>-2.9194485367310397E-2</v>
      </c>
      <c r="AN121" s="9"/>
    </row>
    <row r="122" spans="1:40" ht="14.45" hidden="1" customHeight="1" outlineLevel="1">
      <c r="A122" s="12"/>
      <c r="I122" s="246" t="s">
        <v>234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/>
      <c r="U122" s="65"/>
      <c r="V122" s="65">
        <f t="shared" si="74"/>
        <v>0</v>
      </c>
      <c r="W122" s="73">
        <f>V122/V$6</f>
        <v>0</v>
      </c>
      <c r="X122" s="89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>
        <f t="shared" si="60"/>
        <v>0</v>
      </c>
      <c r="AL122" s="73">
        <f>AK122/AK$6</f>
        <v>0</v>
      </c>
      <c r="AM122" s="14">
        <f>IFERROR(AK122/V122-1,0)</f>
        <v>0</v>
      </c>
      <c r="AN122" s="9"/>
    </row>
    <row r="123" spans="1:40" ht="14.45" hidden="1" customHeight="1" outlineLevel="1">
      <c r="A123" s="12"/>
      <c r="I123" s="246" t="s">
        <v>235</v>
      </c>
      <c r="J123" s="65">
        <v>6100</v>
      </c>
      <c r="K123" s="65">
        <v>0</v>
      </c>
      <c r="L123" s="65"/>
      <c r="M123" s="65">
        <v>0</v>
      </c>
      <c r="N123" s="65"/>
      <c r="O123" s="65"/>
      <c r="P123" s="65"/>
      <c r="Q123" s="65"/>
      <c r="R123" s="65"/>
      <c r="S123" s="65"/>
      <c r="T123" s="65">
        <v>0</v>
      </c>
      <c r="U123" s="65">
        <v>0</v>
      </c>
      <c r="V123" s="65">
        <f t="shared" si="74"/>
        <v>6100</v>
      </c>
      <c r="W123" s="73">
        <f>V123/V$6</f>
        <v>5.8037632058851913E-5</v>
      </c>
      <c r="X123" s="89"/>
      <c r="Y123" s="65">
        <f>VLOOKUP($E$1,[9]Resumen!$V$46:$AH$52,Y1,0)</f>
        <v>0</v>
      </c>
      <c r="Z123" s="65">
        <f>VLOOKUP($E$1,[9]Resumen!$V$46:$AH$52,Z1,0)</f>
        <v>6314.11</v>
      </c>
      <c r="AA123" s="65">
        <f>VLOOKUP($E$1,[9]Resumen!$V$46:$AH$52,AA1,0)</f>
        <v>0</v>
      </c>
      <c r="AB123" s="65">
        <f>VLOOKUP($E$1,[9]Resumen!$V$46:$AH$52,AB1,0)</f>
        <v>0</v>
      </c>
      <c r="AC123" s="65">
        <f>VLOOKUP($E$1,[9]Resumen!$V$46:$AH$52,AC1,0)</f>
        <v>0</v>
      </c>
      <c r="AD123" s="65">
        <f>VLOOKUP($E$1,[9]Resumen!$V$46:$AH$52,AD1,0)</f>
        <v>0</v>
      </c>
      <c r="AE123" s="65">
        <f>VLOOKUP($E$1,[9]Resumen!$V$46:$AH$52,AE1,0)</f>
        <v>0</v>
      </c>
      <c r="AF123" s="65">
        <f>VLOOKUP($E$1,[9]Resumen!$V$46:$AH$52,AF1,0)</f>
        <v>0</v>
      </c>
      <c r="AG123" s="65">
        <f>VLOOKUP($E$1,[9]Resumen!$V$46:$AH$52,AG1,0)</f>
        <v>0</v>
      </c>
      <c r="AH123" s="65">
        <f>VLOOKUP($E$1,[9]Resumen!$V$46:$AH$52,AH1,0)</f>
        <v>0</v>
      </c>
      <c r="AI123" s="65">
        <f>VLOOKUP($E$1,[9]Resumen!$V$46:$AH$52,AI1,0)</f>
        <v>0</v>
      </c>
      <c r="AJ123" s="65">
        <f>VLOOKUP($E$1,[9]Resumen!$V$46:$AH$52,AJ1,0)</f>
        <v>0</v>
      </c>
      <c r="AK123" s="65">
        <f t="shared" si="60"/>
        <v>6314.11</v>
      </c>
      <c r="AL123" s="73">
        <f>AK123/AK$6</f>
        <v>5.9057494320034017E-5</v>
      </c>
      <c r="AM123" s="14">
        <f>IFERROR(AK123/V123-1,0)</f>
        <v>3.5099999999999909E-2</v>
      </c>
      <c r="AN123" s="9"/>
    </row>
    <row r="124" spans="1:40" ht="14.45" hidden="1" customHeight="1" outlineLevel="1">
      <c r="A124" s="12"/>
      <c r="I124" s="246" t="s">
        <v>236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/>
      <c r="U124" s="65"/>
      <c r="V124" s="65">
        <f t="shared" si="74"/>
        <v>0</v>
      </c>
      <c r="W124" s="73">
        <f>V124/V$6</f>
        <v>0</v>
      </c>
      <c r="X124" s="89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>
        <f t="shared" si="60"/>
        <v>0</v>
      </c>
      <c r="AL124" s="73">
        <f>AK124/AK$6</f>
        <v>0</v>
      </c>
      <c r="AM124" s="14">
        <f>IFERROR(AK124/V124-1,0)</f>
        <v>0</v>
      </c>
      <c r="AN124" s="9"/>
    </row>
    <row r="125" spans="1:40" ht="14.45" hidden="1" customHeight="1" outlineLevel="1">
      <c r="A125" s="12"/>
      <c r="I125" s="246" t="s">
        <v>237</v>
      </c>
      <c r="J125" s="65">
        <v>19385</v>
      </c>
      <c r="K125" s="65">
        <v>16146</v>
      </c>
      <c r="L125" s="65">
        <v>23023</v>
      </c>
      <c r="M125" s="65">
        <v>13369</v>
      </c>
      <c r="N125" s="65">
        <v>46892</v>
      </c>
      <c r="O125" s="65">
        <v>40120</v>
      </c>
      <c r="P125" s="65">
        <v>20649</v>
      </c>
      <c r="Q125" s="65">
        <v>58695</v>
      </c>
      <c r="R125" s="65">
        <v>18046</v>
      </c>
      <c r="S125" s="65">
        <v>31568</v>
      </c>
      <c r="T125" s="65">
        <v>16132.729600000001</v>
      </c>
      <c r="U125" s="65">
        <v>16584.671999999999</v>
      </c>
      <c r="V125" s="65">
        <f t="shared" ref="V125:V135" si="75">SUM(J125:U125)</f>
        <v>320610.40160000004</v>
      </c>
      <c r="W125" s="73">
        <f t="shared" ref="W125:W135" si="76">V125/V$6</f>
        <v>3.050404675787139E-3</v>
      </c>
      <c r="X125" s="89"/>
      <c r="Y125" s="65">
        <f>VLOOKUP($E$1,[9]Resumen!$V$58:$AH$64,Y1,0)</f>
        <v>27493.010888078996</v>
      </c>
      <c r="Z125" s="65">
        <f>VLOOKUP($E$1,[9]Resumen!$V$58:$AH$64,Z1,0)</f>
        <v>19246.757930234999</v>
      </c>
      <c r="AA125" s="65">
        <f>VLOOKUP($E$1,[9]Resumen!$V$58:$AH$64,AA1,0)</f>
        <v>25748.613923141998</v>
      </c>
      <c r="AB125" s="65">
        <f>VLOOKUP($E$1,[9]Resumen!$V$58:$AH$64,AB1,0)</f>
        <v>21054.590646737997</v>
      </c>
      <c r="AC125" s="65">
        <f>VLOOKUP($E$1,[9]Resumen!$V$58:$AH$64,AC1,0)</f>
        <v>23687.050311044997</v>
      </c>
      <c r="AD125" s="65">
        <f>VLOOKUP($E$1,[9]Resumen!$V$58:$AH$64,AD1,0)</f>
        <v>20578.843677787998</v>
      </c>
      <c r="AE125" s="65">
        <f>VLOOKUP($E$1,[9]Resumen!$V$58:$AH$64,AE1,0)</f>
        <v>28127.339669362998</v>
      </c>
      <c r="AF125" s="65">
        <f>VLOOKUP($E$1,[9]Resumen!$V$58:$AH$64,AF1,0)</f>
        <v>19785.934595415998</v>
      </c>
      <c r="AG125" s="65">
        <f>VLOOKUP($E$1,[9]Resumen!$V$58:$AH$64,AG1,0)</f>
        <v>30902.522968910995</v>
      </c>
      <c r="AH125" s="65">
        <f>VLOOKUP($E$1,[9]Resumen!$V$58:$AH$64,AH1,0)</f>
        <v>20631.592404840998</v>
      </c>
      <c r="AI125" s="65">
        <f>VLOOKUP($E$1,[9]Resumen!$V$58:$AH$64,AI1,0)</f>
        <v>19387.367259864997</v>
      </c>
      <c r="AJ125" s="65">
        <f>VLOOKUP($E$1,[9]Resumen!$V$58:$AH$64,AJ1,0)</f>
        <v>19785.934595415998</v>
      </c>
      <c r="AK125" s="65">
        <f t="shared" si="60"/>
        <v>276429.55887083896</v>
      </c>
      <c r="AL125" s="73">
        <f t="shared" ref="AL125:AL135" si="77">AK125/AK$6</f>
        <v>2.5855167399529118E-3</v>
      </c>
      <c r="AM125" s="14">
        <f t="shared" ref="AM125:AM135" si="78">IFERROR(AK125/V125-1,0)</f>
        <v>-0.13780227500005438</v>
      </c>
      <c r="AN125" s="9"/>
    </row>
    <row r="126" spans="1:40" ht="14.45" hidden="1" customHeight="1" outlineLevel="1">
      <c r="A126" s="12"/>
      <c r="I126" s="246" t="s">
        <v>238</v>
      </c>
      <c r="J126" s="65">
        <v>2028</v>
      </c>
      <c r="K126" s="65">
        <v>0</v>
      </c>
      <c r="L126" s="65">
        <v>0</v>
      </c>
      <c r="M126" s="65">
        <v>0</v>
      </c>
      <c r="N126" s="65">
        <v>1722</v>
      </c>
      <c r="O126" s="65">
        <v>861</v>
      </c>
      <c r="P126" s="65">
        <v>0</v>
      </c>
      <c r="Q126" s="65">
        <v>0</v>
      </c>
      <c r="R126" s="65">
        <v>1292</v>
      </c>
      <c r="S126" s="65">
        <v>0</v>
      </c>
      <c r="T126" s="65">
        <v>844.48</v>
      </c>
      <c r="U126" s="65">
        <v>844.48</v>
      </c>
      <c r="V126" s="65">
        <f t="shared" si="75"/>
        <v>7591.9599999999991</v>
      </c>
      <c r="W126" s="73">
        <f t="shared" si="76"/>
        <v>7.2232685423855947E-5</v>
      </c>
      <c r="X126" s="89"/>
      <c r="Y126" s="65">
        <f>VLOOKUP($E$1,[9]Resumen!$V$70:$AH$76,Y1,0)</f>
        <v>0</v>
      </c>
      <c r="Z126" s="65">
        <f>VLOOKUP($E$1,[9]Resumen!$V$70:$AH$76,Z1,0)</f>
        <v>455.44399999999996</v>
      </c>
      <c r="AA126" s="65">
        <f>VLOOKUP($E$1,[9]Resumen!$V$70:$AH$76,AA1,0)</f>
        <v>0</v>
      </c>
      <c r="AB126" s="65">
        <f>VLOOKUP($E$1,[9]Resumen!$V$70:$AH$76,AB1,0)</f>
        <v>910.88799999999992</v>
      </c>
      <c r="AC126" s="65">
        <f>VLOOKUP($E$1,[9]Resumen!$V$70:$AH$76,AC1,0)</f>
        <v>455.44399999999996</v>
      </c>
      <c r="AD126" s="65">
        <f>VLOOKUP($E$1,[9]Resumen!$V$70:$AH$76,AD1,0)</f>
        <v>0</v>
      </c>
      <c r="AE126" s="65">
        <f>VLOOKUP($E$1,[9]Resumen!$V$70:$AH$76,AE1,0)</f>
        <v>0</v>
      </c>
      <c r="AF126" s="65">
        <f>VLOOKUP($E$1,[9]Resumen!$V$70:$AH$76,AF1,0)</f>
        <v>2277.2199999999998</v>
      </c>
      <c r="AG126" s="65">
        <f>VLOOKUP($E$1,[9]Resumen!$V$70:$AH$76,AG1,0)</f>
        <v>0</v>
      </c>
      <c r="AH126" s="65">
        <f>VLOOKUP($E$1,[9]Resumen!$V$70:$AH$76,AH1,0)</f>
        <v>455.44399999999996</v>
      </c>
      <c r="AI126" s="65">
        <f>VLOOKUP($E$1,[9]Resumen!$V$70:$AH$76,AI1,0)</f>
        <v>1366.3319999999999</v>
      </c>
      <c r="AJ126" s="65">
        <f>VLOOKUP($E$1,[9]Resumen!$V$70:$AH$76,AJ1,0)</f>
        <v>910.88799999999992</v>
      </c>
      <c r="AK126" s="65">
        <f t="shared" si="60"/>
        <v>6831.6599999999989</v>
      </c>
      <c r="AL126" s="73">
        <f t="shared" si="77"/>
        <v>6.3898272542987612E-5</v>
      </c>
      <c r="AM126" s="14">
        <f t="shared" si="78"/>
        <v>-0.10014541699376711</v>
      </c>
      <c r="AN126" s="9"/>
    </row>
    <row r="127" spans="1:40" ht="14.45" hidden="1" customHeight="1" outlineLevel="1">
      <c r="A127" s="12"/>
      <c r="I127" s="250" t="s">
        <v>239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3499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f t="shared" si="75"/>
        <v>3499</v>
      </c>
      <c r="W127" s="73">
        <f t="shared" si="76"/>
        <v>3.3290766323593911E-5</v>
      </c>
      <c r="X127" s="89"/>
      <c r="Y127" s="65">
        <f>VLOOKUP($E$1,[8]Resumen!$V$80:$AH$86,Y1,0)</f>
        <v>0</v>
      </c>
      <c r="Z127" s="65">
        <f>VLOOKUP($E$1,[8]Resumen!$V$80:$AH$86,Z1,0)</f>
        <v>0</v>
      </c>
      <c r="AA127" s="65">
        <f>VLOOKUP($E$1,[8]Resumen!$V$80:$AH$86,AA1,0)</f>
        <v>0</v>
      </c>
      <c r="AB127" s="65">
        <f>VLOOKUP($E$1,[8]Resumen!$V$80:$AH$86,AB1,0)</f>
        <v>0</v>
      </c>
      <c r="AC127" s="65">
        <f>VLOOKUP($E$1,[8]Resumen!$V$80:$AH$86,AC1,0)</f>
        <v>0</v>
      </c>
      <c r="AD127" s="65">
        <f>VLOOKUP($E$1,[8]Resumen!$V$80:$AH$86,AD1,0)</f>
        <v>0</v>
      </c>
      <c r="AE127" s="65">
        <f>VLOOKUP($E$1,[8]Resumen!$V$80:$AH$86,AE1,0)</f>
        <v>4201.305284</v>
      </c>
      <c r="AF127" s="65">
        <f>VLOOKUP($E$1,[8]Resumen!$V$80:$AH$86,AF1,0)</f>
        <v>0</v>
      </c>
      <c r="AG127" s="65">
        <f>VLOOKUP($E$1,[8]Resumen!$V$80:$AH$86,AG1,0)</f>
        <v>0</v>
      </c>
      <c r="AH127" s="65">
        <f>VLOOKUP($E$1,[8]Resumen!$V$80:$AH$86,AH1,0)</f>
        <v>0</v>
      </c>
      <c r="AI127" s="65">
        <f>VLOOKUP($E$1,[8]Resumen!$V$80:$AH$86,AI1,0)</f>
        <v>0</v>
      </c>
      <c r="AJ127" s="65">
        <f>VLOOKUP($E$1,[8]Resumen!$V$80:$AH$86,AJ1,0)</f>
        <v>0</v>
      </c>
      <c r="AK127" s="65">
        <f t="shared" si="60"/>
        <v>4201.305284</v>
      </c>
      <c r="AL127" s="73">
        <f t="shared" si="77"/>
        <v>3.9295888564906044E-5</v>
      </c>
      <c r="AM127" s="14">
        <f t="shared" si="78"/>
        <v>0.20071600000000012</v>
      </c>
      <c r="AN127" s="9"/>
    </row>
    <row r="128" spans="1:40" ht="14.45" hidden="1" customHeight="1" outlineLevel="1">
      <c r="A128" s="12"/>
      <c r="I128" s="246" t="s">
        <v>240</v>
      </c>
      <c r="J128" s="65">
        <v>0</v>
      </c>
      <c r="K128" s="65">
        <v>0</v>
      </c>
      <c r="L128" s="65">
        <v>0</v>
      </c>
      <c r="M128" s="65">
        <v>7200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f t="shared" si="75"/>
        <v>7200</v>
      </c>
      <c r="W128" s="73">
        <f t="shared" si="76"/>
        <v>6.8503434561267834E-5</v>
      </c>
      <c r="X128" s="89"/>
      <c r="Y128" s="65">
        <f>VLOOKUP($E$1,[6]Resumen!$C$45:$O$51,Y1,0)+VLOOKUP($E$1,[9]Resumen!$V$82:$AH$88,Y1,0)</f>
        <v>0</v>
      </c>
      <c r="Z128" s="65">
        <f>VLOOKUP($E$1,[6]Resumen!$C$45:$O$51,Z1,0)+VLOOKUP($E$1,[9]Resumen!$V$82:$AH$88,Z1,0)</f>
        <v>7763.2499999999991</v>
      </c>
      <c r="AA128" s="65">
        <f>VLOOKUP($E$1,[6]Resumen!$C$45:$O$51,AA1,0)+VLOOKUP($E$1,[9]Resumen!$V$82:$AH$88,AA1,0)</f>
        <v>0</v>
      </c>
      <c r="AB128" s="65">
        <f>VLOOKUP($E$1,[6]Resumen!$C$45:$O$51,AB1,0)+VLOOKUP($E$1,[9]Resumen!$V$82:$AH$88,AB1,0)</f>
        <v>0</v>
      </c>
      <c r="AC128" s="65">
        <f>VLOOKUP($E$1,[6]Resumen!$C$45:$O$51,AC1,0)+VLOOKUP($E$1,[9]Resumen!$V$82:$AH$88,AC1,0)</f>
        <v>0</v>
      </c>
      <c r="AD128" s="65">
        <f>VLOOKUP($E$1,[6]Resumen!$C$45:$O$51,AD1,0)+VLOOKUP($E$1,[9]Resumen!$V$82:$AH$88,AD1,0)</f>
        <v>0</v>
      </c>
      <c r="AE128" s="65">
        <f>VLOOKUP($E$1,[6]Resumen!$C$45:$O$51,AE1,0)+VLOOKUP($E$1,[9]Resumen!$V$82:$AH$88,AE1,0)</f>
        <v>0</v>
      </c>
      <c r="AF128" s="65">
        <f>VLOOKUP($E$1,[6]Resumen!$C$45:$O$51,AF1,0)+VLOOKUP($E$1,[9]Resumen!$V$82:$AH$88,AF1,0)</f>
        <v>7763.2499999999991</v>
      </c>
      <c r="AG128" s="65">
        <f>VLOOKUP($E$1,[6]Resumen!$C$45:$O$51,AG1,0)+VLOOKUP($E$1,[9]Resumen!$V$82:$AH$88,AG1,0)</f>
        <v>0</v>
      </c>
      <c r="AH128" s="65">
        <f>VLOOKUP($E$1,[6]Resumen!$C$45:$O$51,AH1,0)+VLOOKUP($E$1,[9]Resumen!$V$82:$AH$88,AH1,0)</f>
        <v>0</v>
      </c>
      <c r="AI128" s="65">
        <f>VLOOKUP($E$1,[6]Resumen!$C$45:$O$51,AI1,0)+VLOOKUP($E$1,[9]Resumen!$V$82:$AH$88,AI1,0)</f>
        <v>0</v>
      </c>
      <c r="AJ128" s="65">
        <f>VLOOKUP($E$1,[6]Resumen!$C$45:$O$51,AJ1,0)+VLOOKUP($E$1,[9]Resumen!$V$82:$AH$88,AJ1,0)</f>
        <v>0</v>
      </c>
      <c r="AK128" s="65">
        <f t="shared" si="60"/>
        <v>15526.499999999998</v>
      </c>
      <c r="AL128" s="73">
        <f t="shared" si="77"/>
        <v>1.4522334668860823E-4</v>
      </c>
      <c r="AM128" s="14">
        <f t="shared" si="78"/>
        <v>1.1564583333333331</v>
      </c>
      <c r="AN128" s="9"/>
    </row>
    <row r="129" spans="1:40" ht="14.45" hidden="1" customHeight="1" outlineLevel="1">
      <c r="A129" s="12"/>
      <c r="I129" s="246" t="s">
        <v>241</v>
      </c>
      <c r="J129" s="65">
        <v>0</v>
      </c>
      <c r="K129" s="65">
        <v>0</v>
      </c>
      <c r="L129" s="65">
        <v>0</v>
      </c>
      <c r="M129" s="65">
        <v>4950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f t="shared" si="75"/>
        <v>4950</v>
      </c>
      <c r="W129" s="73">
        <f t="shared" si="76"/>
        <v>4.7096111260871634E-5</v>
      </c>
      <c r="X129" s="89"/>
      <c r="Y129" s="65">
        <f>VLOOKUP($E$1,[9]Resumen!$V$94:$AH$100,Y1,0)</f>
        <v>0</v>
      </c>
      <c r="Z129" s="65">
        <f>VLOOKUP($E$1,[9]Resumen!$V$94:$AH$100,Z1,0)</f>
        <v>0</v>
      </c>
      <c r="AA129" s="65">
        <f>VLOOKUP($E$1,[9]Resumen!$V$94:$AH$100,AA1,0)</f>
        <v>0</v>
      </c>
      <c r="AB129" s="65">
        <f>VLOOKUP($E$1,[9]Resumen!$V$94:$AH$100,AB1,0)</f>
        <v>0</v>
      </c>
      <c r="AC129" s="65">
        <f>VLOOKUP($E$1,[9]Resumen!$V$94:$AH$100,AC1,0)</f>
        <v>0</v>
      </c>
      <c r="AD129" s="65">
        <f>VLOOKUP($E$1,[9]Resumen!$V$94:$AH$100,AD1,0)</f>
        <v>0</v>
      </c>
      <c r="AE129" s="65">
        <f>VLOOKUP($E$1,[9]Resumen!$V$94:$AH$100,AE1,0)</f>
        <v>0</v>
      </c>
      <c r="AF129" s="65">
        <f>VLOOKUP($E$1,[9]Resumen!$V$94:$AH$100,AF1,0)</f>
        <v>0</v>
      </c>
      <c r="AG129" s="65">
        <f>VLOOKUP($E$1,[9]Resumen!$V$94:$AH$100,AG1,0)</f>
        <v>0</v>
      </c>
      <c r="AH129" s="65">
        <f>VLOOKUP($E$1,[9]Resumen!$V$94:$AH$100,AH1,0)</f>
        <v>0</v>
      </c>
      <c r="AI129" s="65">
        <f>VLOOKUP($E$1,[9]Resumen!$V$94:$AH$100,AI1,0)</f>
        <v>0</v>
      </c>
      <c r="AJ129" s="65">
        <f>VLOOKUP($E$1,[9]Resumen!$V$94:$AH$100,AJ1,0)</f>
        <v>0</v>
      </c>
      <c r="AK129" s="65">
        <f t="shared" si="60"/>
        <v>0</v>
      </c>
      <c r="AL129" s="73">
        <f t="shared" si="77"/>
        <v>0</v>
      </c>
      <c r="AM129" s="14">
        <f t="shared" si="78"/>
        <v>-1</v>
      </c>
      <c r="AN129" s="9"/>
    </row>
    <row r="130" spans="1:40" ht="14.45" hidden="1" customHeight="1" outlineLevel="1">
      <c r="A130" s="12" t="s">
        <v>263</v>
      </c>
      <c r="B130" s="8" t="s">
        <v>88</v>
      </c>
      <c r="I130" s="246" t="s">
        <v>242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/>
      <c r="U130" s="65"/>
      <c r="V130" s="65">
        <f t="shared" si="75"/>
        <v>0</v>
      </c>
      <c r="W130" s="73">
        <f t="shared" si="76"/>
        <v>0</v>
      </c>
      <c r="X130" s="89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>
        <f t="shared" si="60"/>
        <v>0</v>
      </c>
      <c r="AL130" s="73">
        <f t="shared" si="77"/>
        <v>0</v>
      </c>
      <c r="AM130" s="14">
        <f t="shared" si="78"/>
        <v>0</v>
      </c>
      <c r="AN130" s="9"/>
    </row>
    <row r="131" spans="1:40" ht="14.45" hidden="1" customHeight="1" outlineLevel="1">
      <c r="A131" s="12" t="s">
        <v>263</v>
      </c>
      <c r="B131" s="8" t="s">
        <v>88</v>
      </c>
      <c r="I131" s="246" t="s">
        <v>243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f t="shared" si="75"/>
        <v>0</v>
      </c>
      <c r="W131" s="73">
        <f t="shared" si="76"/>
        <v>0</v>
      </c>
      <c r="X131" s="89"/>
      <c r="Y131" s="65">
        <f>VLOOKUP($E$1,[9]Resumen!$V$106:$AH$112,Y1,0)</f>
        <v>0</v>
      </c>
      <c r="Z131" s="65">
        <f>VLOOKUP($E$1,[9]Resumen!$V$106:$AH$112,Z1,0)</f>
        <v>0</v>
      </c>
      <c r="AA131" s="65">
        <f>VLOOKUP($E$1,[9]Resumen!$V$106:$AH$112,AA1,0)</f>
        <v>0</v>
      </c>
      <c r="AB131" s="65">
        <f>VLOOKUP($E$1,[9]Resumen!$V$106:$AH$112,AB1,0)</f>
        <v>0</v>
      </c>
      <c r="AC131" s="65">
        <f>VLOOKUP($E$1,[9]Resumen!$V$106:$AH$112,AC1,0)</f>
        <v>0</v>
      </c>
      <c r="AD131" s="65">
        <f>VLOOKUP($E$1,[9]Resumen!$V$106:$AH$112,AD1,0)</f>
        <v>0</v>
      </c>
      <c r="AE131" s="65">
        <f>VLOOKUP($E$1,[9]Resumen!$V$106:$AH$112,AE1,0)</f>
        <v>0</v>
      </c>
      <c r="AF131" s="65">
        <f>VLOOKUP($E$1,[9]Resumen!$V$106:$AH$112,AF1,0)</f>
        <v>0</v>
      </c>
      <c r="AG131" s="65">
        <f>VLOOKUP($E$1,[9]Resumen!$V$106:$AH$112,AG1,0)</f>
        <v>0</v>
      </c>
      <c r="AH131" s="65">
        <f>VLOOKUP($E$1,[9]Resumen!$V$106:$AH$112,AH1,0)</f>
        <v>0</v>
      </c>
      <c r="AI131" s="65">
        <f>VLOOKUP($E$1,[9]Resumen!$V$106:$AH$112,AI1,0)</f>
        <v>0</v>
      </c>
      <c r="AJ131" s="65">
        <f>VLOOKUP($E$1,[9]Resumen!$V$106:$AH$112,AJ1,0)</f>
        <v>0</v>
      </c>
      <c r="AK131" s="65">
        <f t="shared" si="60"/>
        <v>0</v>
      </c>
      <c r="AL131" s="73">
        <f t="shared" si="77"/>
        <v>0</v>
      </c>
      <c r="AM131" s="14">
        <f t="shared" si="78"/>
        <v>0</v>
      </c>
      <c r="AN131" s="9"/>
    </row>
    <row r="132" spans="1:40" ht="14.45" hidden="1" customHeight="1" outlineLevel="1">
      <c r="A132" s="12" t="s">
        <v>263</v>
      </c>
      <c r="B132" s="8" t="s">
        <v>88</v>
      </c>
      <c r="I132" s="246" t="s">
        <v>244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/>
      <c r="U132" s="65"/>
      <c r="V132" s="65">
        <f t="shared" si="75"/>
        <v>0</v>
      </c>
      <c r="W132" s="73">
        <f t="shared" si="76"/>
        <v>0</v>
      </c>
      <c r="X132" s="89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>
        <f t="shared" si="60"/>
        <v>0</v>
      </c>
      <c r="AL132" s="73">
        <f t="shared" si="77"/>
        <v>0</v>
      </c>
      <c r="AM132" s="14">
        <f t="shared" si="78"/>
        <v>0</v>
      </c>
      <c r="AN132" s="9"/>
    </row>
    <row r="133" spans="1:40" ht="14.45" hidden="1" customHeight="1" outlineLevel="1">
      <c r="A133" s="12" t="s">
        <v>263</v>
      </c>
      <c r="B133" s="8" t="s">
        <v>88</v>
      </c>
      <c r="I133" s="246" t="s">
        <v>245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/>
      <c r="U133" s="65"/>
      <c r="V133" s="65">
        <f t="shared" si="75"/>
        <v>0</v>
      </c>
      <c r="W133" s="73">
        <f t="shared" si="76"/>
        <v>0</v>
      </c>
      <c r="X133" s="89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>
        <f t="shared" si="60"/>
        <v>0</v>
      </c>
      <c r="AL133" s="73">
        <f t="shared" si="77"/>
        <v>0</v>
      </c>
      <c r="AM133" s="14">
        <f t="shared" si="78"/>
        <v>0</v>
      </c>
      <c r="AN133" s="9"/>
    </row>
    <row r="134" spans="1:40" ht="14.45" hidden="1" customHeight="1" outlineLevel="1">
      <c r="A134" s="12" t="s">
        <v>263</v>
      </c>
      <c r="B134" s="8" t="s">
        <v>88</v>
      </c>
      <c r="I134" s="246" t="s">
        <v>246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/>
      <c r="U134" s="65"/>
      <c r="V134" s="65">
        <f t="shared" si="75"/>
        <v>0</v>
      </c>
      <c r="W134" s="73">
        <f t="shared" si="76"/>
        <v>0</v>
      </c>
      <c r="X134" s="89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>
        <f t="shared" si="60"/>
        <v>0</v>
      </c>
      <c r="AL134" s="73">
        <f t="shared" si="77"/>
        <v>0</v>
      </c>
      <c r="AM134" s="14">
        <f t="shared" si="78"/>
        <v>0</v>
      </c>
      <c r="AN134" s="9"/>
    </row>
    <row r="135" spans="1:40" ht="14.45" hidden="1" customHeight="1" outlineLevel="1">
      <c r="A135" s="12" t="s">
        <v>263</v>
      </c>
      <c r="B135" s="8" t="s">
        <v>88</v>
      </c>
      <c r="C135" s="19" t="s">
        <v>268</v>
      </c>
      <c r="D135" s="12"/>
      <c r="E135" s="20"/>
      <c r="F135" s="12"/>
      <c r="G135" s="12"/>
      <c r="H135" s="12"/>
      <c r="I135" s="246" t="s">
        <v>247</v>
      </c>
      <c r="J135" s="65">
        <v>0</v>
      </c>
      <c r="K135" s="65">
        <v>5471</v>
      </c>
      <c r="L135" s="65">
        <v>0</v>
      </c>
      <c r="M135" s="65">
        <v>0</v>
      </c>
      <c r="N135" s="65">
        <v>0</v>
      </c>
      <c r="O135" s="65">
        <v>0</v>
      </c>
      <c r="P135" s="65">
        <v>5962</v>
      </c>
      <c r="Q135" s="65">
        <v>0</v>
      </c>
      <c r="R135" s="65">
        <v>0</v>
      </c>
      <c r="S135" s="65">
        <v>0</v>
      </c>
      <c r="T135" s="65">
        <v>1539.2</v>
      </c>
      <c r="U135" s="65">
        <v>0</v>
      </c>
      <c r="V135" s="65">
        <f t="shared" si="75"/>
        <v>12972.2</v>
      </c>
      <c r="W135" s="73">
        <f t="shared" si="76"/>
        <v>1.234222574743998E-4</v>
      </c>
      <c r="X135" s="89"/>
      <c r="Y135" s="65">
        <f>VLOOKUP($E$1,[6]Resumen!$C$21:$O$27,Y1,0)+VLOOKUP($E$1,[9]Resumen!$V$118:$AH$124,Y1,0)</f>
        <v>4000</v>
      </c>
      <c r="Z135" s="65">
        <f>VLOOKUP($E$1,[6]Resumen!$C$21:$O$27,Z1,0)+VLOOKUP($E$1,[9]Resumen!$V$118:$AH$124,Z1,0)</f>
        <v>4000</v>
      </c>
      <c r="AA135" s="65">
        <f>VLOOKUP($E$1,[6]Resumen!$C$21:$O$27,AA1,0)+VLOOKUP($E$1,[9]Resumen!$V$118:$AH$124,AA1,0)</f>
        <v>0</v>
      </c>
      <c r="AB135" s="65">
        <f>VLOOKUP($E$1,[6]Resumen!$C$21:$O$27,AB1,0)+VLOOKUP($E$1,[9]Resumen!$V$118:$AH$124,AB1,0)</f>
        <v>0</v>
      </c>
      <c r="AC135" s="65">
        <f>VLOOKUP($E$1,[6]Resumen!$C$21:$O$27,AC1,0)+VLOOKUP($E$1,[9]Resumen!$V$118:$AH$124,AC1,0)</f>
        <v>1600</v>
      </c>
      <c r="AD135" s="65">
        <f>VLOOKUP($E$1,[6]Resumen!$C$21:$O$27,AD1,0)+VLOOKUP($E$1,[9]Resumen!$V$118:$AH$124,AD1,0)</f>
        <v>0</v>
      </c>
      <c r="AE135" s="65">
        <f>VLOOKUP($E$1,[6]Resumen!$C$21:$O$27,AE1,0)+VLOOKUP($E$1,[9]Resumen!$V$118:$AH$124,AE1,0)</f>
        <v>4000</v>
      </c>
      <c r="AF135" s="65">
        <f>VLOOKUP($E$1,[6]Resumen!$C$21:$O$27,AF1,0)+VLOOKUP($E$1,[9]Resumen!$V$118:$AH$124,AF1,0)</f>
        <v>4000</v>
      </c>
      <c r="AG135" s="65">
        <f>VLOOKUP($E$1,[6]Resumen!$C$21:$O$27,AG1,0)+VLOOKUP($E$1,[9]Resumen!$V$118:$AH$124,AG1,0)</f>
        <v>0</v>
      </c>
      <c r="AH135" s="65">
        <f>VLOOKUP($E$1,[6]Resumen!$C$21:$O$27,AH1,0)+VLOOKUP($E$1,[9]Resumen!$V$118:$AH$124,AH1,0)</f>
        <v>0</v>
      </c>
      <c r="AI135" s="65">
        <f>VLOOKUP($E$1,[6]Resumen!$C$21:$O$27,AI1,0)+VLOOKUP($E$1,[9]Resumen!$V$118:$AH$124,AI1,0)</f>
        <v>1600</v>
      </c>
      <c r="AJ135" s="65">
        <f>VLOOKUP($E$1,[6]Resumen!$C$21:$O$27,AJ1,0)+VLOOKUP($E$1,[9]Resumen!$V$118:$AH$124,AJ1,0)</f>
        <v>0</v>
      </c>
      <c r="AK135" s="65">
        <f t="shared" si="60"/>
        <v>19200</v>
      </c>
      <c r="AL135" s="73">
        <f t="shared" si="77"/>
        <v>1.7958253672246019E-4</v>
      </c>
      <c r="AM135" s="14">
        <f t="shared" si="78"/>
        <v>0.48008818858790336</v>
      </c>
      <c r="AN135" s="9"/>
    </row>
    <row r="136" spans="1:40" ht="14.45" hidden="1" customHeight="1" outlineLevel="1">
      <c r="A136" s="12" t="s">
        <v>263</v>
      </c>
      <c r="B136" s="8" t="s">
        <v>88</v>
      </c>
      <c r="I136" s="246" t="s">
        <v>249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/>
      <c r="U136" s="65"/>
      <c r="V136" s="65">
        <f t="shared" si="74"/>
        <v>0</v>
      </c>
      <c r="W136" s="73">
        <f t="shared" si="26"/>
        <v>0</v>
      </c>
      <c r="X136" s="89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>
        <f t="shared" si="60"/>
        <v>0</v>
      </c>
      <c r="AL136" s="73">
        <f t="shared" si="28"/>
        <v>0</v>
      </c>
      <c r="AM136" s="14">
        <f t="shared" si="29"/>
        <v>0</v>
      </c>
      <c r="AN136" s="9"/>
    </row>
    <row r="137" spans="1:40" ht="14.45" hidden="1" customHeight="1" outlineLevel="1">
      <c r="A137" s="12"/>
      <c r="I137" s="246" t="s">
        <v>250</v>
      </c>
      <c r="J137" s="65">
        <v>0</v>
      </c>
      <c r="K137" s="65">
        <v>0</v>
      </c>
      <c r="L137" s="65">
        <v>0</v>
      </c>
      <c r="M137" s="65">
        <v>705</v>
      </c>
      <c r="N137" s="65">
        <v>246</v>
      </c>
      <c r="O137" s="65">
        <v>0</v>
      </c>
      <c r="P137" s="65">
        <v>0</v>
      </c>
      <c r="Q137" s="65">
        <v>427</v>
      </c>
      <c r="R137" s="65">
        <v>0</v>
      </c>
      <c r="S137" s="65">
        <v>0</v>
      </c>
      <c r="T137" s="65">
        <v>0</v>
      </c>
      <c r="U137" s="65">
        <v>0</v>
      </c>
      <c r="V137" s="65">
        <f t="shared" si="74"/>
        <v>1378</v>
      </c>
      <c r="W137" s="73">
        <f t="shared" si="26"/>
        <v>1.3110796225753759E-5</v>
      </c>
      <c r="X137" s="89"/>
      <c r="Y137" s="65">
        <f>VLOOKUP($E$1,[9]Resumen!$V$130:$AH$136,Y1,0)</f>
        <v>0</v>
      </c>
      <c r="Z137" s="65">
        <f>VLOOKUP($E$1,[9]Resumen!$V$130:$AH$136,Z1,0)</f>
        <v>0</v>
      </c>
      <c r="AA137" s="65">
        <f>VLOOKUP($E$1,[9]Resumen!$V$130:$AH$136,AA1,0)</f>
        <v>21162.619499999997</v>
      </c>
      <c r="AB137" s="65">
        <f>VLOOKUP($E$1,[9]Resumen!$V$130:$AH$136,AB1,0)</f>
        <v>0</v>
      </c>
      <c r="AC137" s="65">
        <f>VLOOKUP($E$1,[9]Resumen!$V$130:$AH$136,AC1,0)</f>
        <v>0</v>
      </c>
      <c r="AD137" s="65">
        <f>VLOOKUP($E$1,[9]Resumen!$V$130:$AH$136,AD1,0)</f>
        <v>0</v>
      </c>
      <c r="AE137" s="65">
        <f>VLOOKUP($E$1,[9]Resumen!$V$130:$AH$136,AE1,0)</f>
        <v>0</v>
      </c>
      <c r="AF137" s="65">
        <f>VLOOKUP($E$1,[9]Resumen!$V$130:$AH$136,AF1,0)</f>
        <v>21162.619499999997</v>
      </c>
      <c r="AG137" s="65">
        <f>VLOOKUP($E$1,[9]Resumen!$V$130:$AH$136,AG1,0)</f>
        <v>0</v>
      </c>
      <c r="AH137" s="65">
        <f>VLOOKUP($E$1,[9]Resumen!$V$130:$AH$136,AH1,0)</f>
        <v>0</v>
      </c>
      <c r="AI137" s="65">
        <f>VLOOKUP($E$1,[9]Resumen!$V$130:$AH$136,AI1,0)</f>
        <v>0</v>
      </c>
      <c r="AJ137" s="65">
        <f>VLOOKUP($E$1,[9]Resumen!$V$130:$AH$136,AJ1,0)</f>
        <v>0</v>
      </c>
      <c r="AK137" s="65">
        <f t="shared" si="60"/>
        <v>42325.238999999994</v>
      </c>
      <c r="AL137" s="73">
        <f t="shared" si="28"/>
        <v>3.9587884307314602E-4</v>
      </c>
      <c r="AM137" s="14">
        <f t="shared" si="29"/>
        <v>29.714977503628443</v>
      </c>
      <c r="AN137" s="9"/>
    </row>
    <row r="138" spans="1:40" ht="14.45" hidden="1" customHeight="1" outlineLevel="1">
      <c r="I138" s="246" t="s">
        <v>251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/>
      <c r="U138" s="65"/>
      <c r="V138" s="65">
        <f t="shared" si="74"/>
        <v>0</v>
      </c>
      <c r="W138" s="73">
        <f t="shared" si="26"/>
        <v>0</v>
      </c>
      <c r="X138" s="89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>
        <f t="shared" si="60"/>
        <v>0</v>
      </c>
      <c r="AL138" s="73">
        <f t="shared" si="28"/>
        <v>0</v>
      </c>
      <c r="AM138" s="14">
        <f t="shared" si="29"/>
        <v>0</v>
      </c>
      <c r="AN138" s="9"/>
    </row>
    <row r="139" spans="1:40" ht="14.45" hidden="1" customHeight="1" outlineLevel="1">
      <c r="I139" s="246" t="s">
        <v>252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/>
      <c r="U139" s="65"/>
      <c r="V139" s="65">
        <f t="shared" si="74"/>
        <v>0</v>
      </c>
      <c r="W139" s="73">
        <f t="shared" si="26"/>
        <v>0</v>
      </c>
      <c r="X139" s="89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>
        <f t="shared" si="60"/>
        <v>0</v>
      </c>
      <c r="AL139" s="73">
        <f t="shared" si="28"/>
        <v>0</v>
      </c>
      <c r="AM139" s="14">
        <f t="shared" si="29"/>
        <v>0</v>
      </c>
      <c r="AN139" s="9"/>
    </row>
    <row r="140" spans="1:40" ht="14.45" hidden="1" customHeight="1" outlineLevel="1">
      <c r="I140" s="246" t="s">
        <v>253</v>
      </c>
      <c r="J140" s="65">
        <v>0</v>
      </c>
      <c r="K140" s="65">
        <v>0</v>
      </c>
      <c r="L140" s="65">
        <v>5850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f t="shared" si="74"/>
        <v>5850</v>
      </c>
      <c r="W140" s="73">
        <f t="shared" si="26"/>
        <v>5.565904058103011E-5</v>
      </c>
      <c r="X140" s="89"/>
      <c r="Y140" s="65">
        <f>VLOOKUP($E$1,[9]Resumen!$V$142:$AH$148,Y1,0)</f>
        <v>0</v>
      </c>
      <c r="Z140" s="65">
        <f>VLOOKUP($E$1,[9]Resumen!$V$142:$AH$148,Z1,0)</f>
        <v>0</v>
      </c>
      <c r="AA140" s="65">
        <f>VLOOKUP($E$1,[9]Resumen!$V$142:$AH$148,AA1,0)</f>
        <v>6055.3349999999991</v>
      </c>
      <c r="AB140" s="65">
        <f>VLOOKUP($E$1,[9]Resumen!$V$142:$AH$148,AB1,0)</f>
        <v>0</v>
      </c>
      <c r="AC140" s="65">
        <f>VLOOKUP($E$1,[9]Resumen!$V$142:$AH$148,AC1,0)</f>
        <v>0</v>
      </c>
      <c r="AD140" s="65">
        <f>VLOOKUP($E$1,[9]Resumen!$V$142:$AH$148,AD1,0)</f>
        <v>0</v>
      </c>
      <c r="AE140" s="65">
        <f>VLOOKUP($E$1,[9]Resumen!$V$142:$AH$148,AE1,0)</f>
        <v>0</v>
      </c>
      <c r="AF140" s="65">
        <f>VLOOKUP($E$1,[9]Resumen!$V$142:$AH$148,AF1,0)</f>
        <v>0</v>
      </c>
      <c r="AG140" s="65">
        <f>VLOOKUP($E$1,[9]Resumen!$V$142:$AH$148,AG1,0)</f>
        <v>0</v>
      </c>
      <c r="AH140" s="65">
        <f>VLOOKUP($E$1,[9]Resumen!$V$142:$AH$148,AH1,0)</f>
        <v>0</v>
      </c>
      <c r="AI140" s="65">
        <f>VLOOKUP($E$1,[9]Resumen!$V$142:$AH$148,AI1,0)</f>
        <v>0</v>
      </c>
      <c r="AJ140" s="65">
        <f>VLOOKUP($E$1,[9]Resumen!$V$142:$AH$148,AJ1,0)</f>
        <v>0</v>
      </c>
      <c r="AK140" s="65">
        <f t="shared" si="60"/>
        <v>6055.3349999999991</v>
      </c>
      <c r="AL140" s="73">
        <f t="shared" si="28"/>
        <v>5.6637105208557205E-5</v>
      </c>
      <c r="AM140" s="14">
        <f t="shared" si="29"/>
        <v>3.5099999999999909E-2</v>
      </c>
      <c r="AN140" s="9"/>
    </row>
    <row r="141" spans="1:40" ht="15.6" hidden="1" customHeight="1" outlineLevel="1">
      <c r="I141" s="246" t="s">
        <v>254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f t="shared" si="74"/>
        <v>0</v>
      </c>
      <c r="W141" s="73">
        <f t="shared" si="26"/>
        <v>0</v>
      </c>
      <c r="X141" s="89"/>
      <c r="Y141" s="65">
        <f>VLOOKUP($E$1,[9]Resumen!$V$154:$AH$160,Y1,0)</f>
        <v>0</v>
      </c>
      <c r="Z141" s="65">
        <f>VLOOKUP($E$1,[9]Resumen!$V$154:$AH$160,Z1,0)</f>
        <v>0</v>
      </c>
      <c r="AA141" s="65">
        <f>VLOOKUP($E$1,[9]Resumen!$V$154:$AH$160,AA1,0)</f>
        <v>0</v>
      </c>
      <c r="AB141" s="65">
        <f>VLOOKUP($E$1,[9]Resumen!$V$154:$AH$160,AB1,0)</f>
        <v>0</v>
      </c>
      <c r="AC141" s="65">
        <f>VLOOKUP($E$1,[9]Resumen!$V$154:$AH$160,AC1,0)</f>
        <v>0</v>
      </c>
      <c r="AD141" s="65">
        <f>VLOOKUP($E$1,[9]Resumen!$V$154:$AH$160,AD1,0)</f>
        <v>0</v>
      </c>
      <c r="AE141" s="65">
        <f>VLOOKUP($E$1,[9]Resumen!$V$154:$AH$160,AE1,0)</f>
        <v>0</v>
      </c>
      <c r="AF141" s="65">
        <f>VLOOKUP($E$1,[9]Resumen!$V$154:$AH$160,AF1,0)</f>
        <v>0</v>
      </c>
      <c r="AG141" s="65">
        <f>VLOOKUP($E$1,[9]Resumen!$V$154:$AH$160,AG1,0)</f>
        <v>0</v>
      </c>
      <c r="AH141" s="65">
        <f>VLOOKUP($E$1,[9]Resumen!$V$154:$AH$160,AH1,0)</f>
        <v>0</v>
      </c>
      <c r="AI141" s="65">
        <f>VLOOKUP($E$1,[9]Resumen!$V$154:$AH$160,AI1,0)</f>
        <v>0</v>
      </c>
      <c r="AJ141" s="65">
        <f>VLOOKUP($E$1,[9]Resumen!$V$154:$AH$160,AJ1,0)</f>
        <v>0</v>
      </c>
      <c r="AK141" s="65">
        <f t="shared" si="60"/>
        <v>0</v>
      </c>
      <c r="AL141" s="73">
        <f t="shared" si="28"/>
        <v>0</v>
      </c>
      <c r="AM141" s="14">
        <f t="shared" si="29"/>
        <v>0</v>
      </c>
      <c r="AN141" s="9"/>
    </row>
    <row r="142" spans="1:40" ht="14.45" hidden="1" customHeight="1" outlineLevel="1">
      <c r="I142" s="246" t="s">
        <v>255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1200</v>
      </c>
      <c r="P142" s="65">
        <v>0</v>
      </c>
      <c r="Q142" s="65">
        <v>0</v>
      </c>
      <c r="R142" s="65">
        <v>1500</v>
      </c>
      <c r="S142" s="65">
        <v>0</v>
      </c>
      <c r="T142" s="65">
        <v>0</v>
      </c>
      <c r="U142" s="65">
        <v>0</v>
      </c>
      <c r="V142" s="65">
        <f t="shared" si="74"/>
        <v>2700</v>
      </c>
      <c r="W142" s="73">
        <f t="shared" si="26"/>
        <v>2.5688787960475438E-5</v>
      </c>
      <c r="X142" s="89"/>
      <c r="Y142" s="65">
        <f>VLOOKUP($E$1,[9]Resumen!$V$166:$AH$172,Y1,0)</f>
        <v>0</v>
      </c>
      <c r="Z142" s="65">
        <f>VLOOKUP($E$1,[9]Resumen!$V$166:$AH$172,Z1,0)</f>
        <v>0</v>
      </c>
      <c r="AA142" s="65">
        <f>VLOOKUP($E$1,[9]Resumen!$V$166:$AH$172,AA1,0)</f>
        <v>3105.2999999999997</v>
      </c>
      <c r="AB142" s="65">
        <f>VLOOKUP($E$1,[9]Resumen!$V$166:$AH$172,AB1,0)</f>
        <v>0</v>
      </c>
      <c r="AC142" s="65">
        <f>VLOOKUP($E$1,[9]Resumen!$V$166:$AH$172,AC1,0)</f>
        <v>0</v>
      </c>
      <c r="AD142" s="65">
        <f>VLOOKUP($E$1,[9]Resumen!$V$166:$AH$172,AD1,0)</f>
        <v>3105.2999999999997</v>
      </c>
      <c r="AE142" s="65">
        <f>VLOOKUP($E$1,[9]Resumen!$V$166:$AH$172,AE1,0)</f>
        <v>0</v>
      </c>
      <c r="AF142" s="65">
        <f>VLOOKUP($E$1,[9]Resumen!$V$166:$AH$172,AF1,0)</f>
        <v>0</v>
      </c>
      <c r="AG142" s="65">
        <f>VLOOKUP($E$1,[9]Resumen!$V$166:$AH$172,AG1,0)</f>
        <v>3105.2999999999997</v>
      </c>
      <c r="AH142" s="65">
        <f>VLOOKUP($E$1,[9]Resumen!$V$166:$AH$172,AH1,0)</f>
        <v>0</v>
      </c>
      <c r="AI142" s="65">
        <f>VLOOKUP($E$1,[9]Resumen!$V$166:$AH$172,AI1,0)</f>
        <v>0</v>
      </c>
      <c r="AJ142" s="65">
        <f>VLOOKUP($E$1,[9]Resumen!$V$166:$AH$172,AJ1,0)</f>
        <v>0</v>
      </c>
      <c r="AK142" s="65">
        <f t="shared" si="60"/>
        <v>9315.9</v>
      </c>
      <c r="AL142" s="73">
        <f t="shared" si="28"/>
        <v>8.7134008013164943E-5</v>
      </c>
      <c r="AM142" s="14">
        <f t="shared" si="29"/>
        <v>2.450333333333333</v>
      </c>
      <c r="AN142" s="9"/>
    </row>
    <row r="143" spans="1:40" ht="15" hidden="1" outlineLevel="1">
      <c r="I143" s="246" t="s">
        <v>256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/>
      <c r="U143" s="65"/>
      <c r="V143" s="65">
        <f t="shared" si="74"/>
        <v>0</v>
      </c>
      <c r="W143" s="73">
        <f t="shared" si="26"/>
        <v>0</v>
      </c>
      <c r="X143" s="89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>
        <f t="shared" si="60"/>
        <v>0</v>
      </c>
      <c r="AL143" s="73">
        <f t="shared" si="28"/>
        <v>0</v>
      </c>
      <c r="AM143" s="14">
        <f t="shared" si="29"/>
        <v>0</v>
      </c>
    </row>
    <row r="144" spans="1:40" ht="15" hidden="1" outlineLevel="1">
      <c r="I144" s="246" t="s">
        <v>257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9115</v>
      </c>
      <c r="R144" s="65">
        <v>0</v>
      </c>
      <c r="S144" s="65">
        <v>3980</v>
      </c>
      <c r="T144" s="65">
        <v>0</v>
      </c>
      <c r="U144" s="65">
        <v>3759.6</v>
      </c>
      <c r="V144" s="65">
        <f t="shared" si="74"/>
        <v>16854.599999999999</v>
      </c>
      <c r="W144" s="73">
        <f t="shared" si="26"/>
        <v>1.6036083168838121E-4</v>
      </c>
      <c r="X144" s="89"/>
      <c r="Y144" s="65">
        <f>VLOOKUP($E$1,[9]Resumen!$V$178:$AH$184,Y1,0)</f>
        <v>0</v>
      </c>
      <c r="Z144" s="65">
        <f>VLOOKUP($E$1,[9]Resumen!$V$178:$AH$184,Z1,0)</f>
        <v>8254.9224999999988</v>
      </c>
      <c r="AA144" s="65">
        <f>VLOOKUP($E$1,[9]Resumen!$V$178:$AH$184,AA1,0)</f>
        <v>0</v>
      </c>
      <c r="AB144" s="65">
        <f>VLOOKUP($E$1,[9]Resumen!$V$178:$AH$184,AB1,0)</f>
        <v>0</v>
      </c>
      <c r="AC144" s="65">
        <f>VLOOKUP($E$1,[9]Resumen!$V$178:$AH$184,AC1,0)</f>
        <v>8254.9224999999988</v>
      </c>
      <c r="AD144" s="65">
        <f>VLOOKUP($E$1,[9]Resumen!$V$178:$AH$184,AD1,0)</f>
        <v>0</v>
      </c>
      <c r="AE144" s="65">
        <f>VLOOKUP($E$1,[9]Resumen!$V$178:$AH$184,AE1,0)</f>
        <v>0</v>
      </c>
      <c r="AF144" s="65">
        <f>VLOOKUP($E$1,[9]Resumen!$V$178:$AH$184,AF1,0)</f>
        <v>8254.9224999999988</v>
      </c>
      <c r="AG144" s="65">
        <f>VLOOKUP($E$1,[9]Resumen!$V$178:$AH$184,AG1,0)</f>
        <v>0</v>
      </c>
      <c r="AH144" s="65">
        <f>VLOOKUP($E$1,[9]Resumen!$V$178:$AH$184,AH1,0)</f>
        <v>0</v>
      </c>
      <c r="AI144" s="65">
        <f>VLOOKUP($E$1,[9]Resumen!$V$178:$AH$184,AI1,0)</f>
        <v>8254.9224999999988</v>
      </c>
      <c r="AJ144" s="65">
        <f>VLOOKUP($E$1,[9]Resumen!$V$178:$AH$184,AJ1,0)</f>
        <v>0</v>
      </c>
      <c r="AK144" s="65">
        <f t="shared" si="60"/>
        <v>33019.689999999995</v>
      </c>
      <c r="AL144" s="73">
        <f t="shared" si="28"/>
        <v>3.0884165062444014E-4</v>
      </c>
      <c r="AM144" s="14">
        <f t="shared" si="29"/>
        <v>0.9590906933418768</v>
      </c>
    </row>
    <row r="145" spans="9:39" ht="15" hidden="1" outlineLevel="1">
      <c r="I145" s="246" t="s">
        <v>258</v>
      </c>
      <c r="J145" s="65">
        <v>0</v>
      </c>
      <c r="K145" s="65">
        <v>0</v>
      </c>
      <c r="L145" s="65">
        <v>0</v>
      </c>
      <c r="M145" s="65">
        <v>1800</v>
      </c>
      <c r="N145" s="65">
        <v>3615</v>
      </c>
      <c r="O145" s="65">
        <v>0</v>
      </c>
      <c r="P145" s="65">
        <v>0</v>
      </c>
      <c r="Q145" s="65">
        <v>1800</v>
      </c>
      <c r="R145" s="65">
        <v>0</v>
      </c>
      <c r="S145" s="65">
        <v>1800</v>
      </c>
      <c r="T145" s="65">
        <v>0</v>
      </c>
      <c r="U145" s="65">
        <v>2132</v>
      </c>
      <c r="V145" s="65">
        <f t="shared" si="74"/>
        <v>11147</v>
      </c>
      <c r="W145" s="73">
        <f t="shared" si="26"/>
        <v>1.0605663681311841E-4</v>
      </c>
      <c r="X145" s="89"/>
      <c r="Y145" s="65">
        <f>VLOOKUP($E$1,[9]Resumen!$V$190:$AH$196,Y1,0)</f>
        <v>0</v>
      </c>
      <c r="Z145" s="65">
        <f>VLOOKUP($E$1,[9]Resumen!$V$190:$AH$196,Z1,0)</f>
        <v>1469.8419999999999</v>
      </c>
      <c r="AA145" s="65">
        <f>VLOOKUP($E$1,[9]Resumen!$V$190:$AH$196,AA1,0)</f>
        <v>0</v>
      </c>
      <c r="AB145" s="65">
        <f>VLOOKUP($E$1,[9]Resumen!$V$190:$AH$196,AB1,0)</f>
        <v>0</v>
      </c>
      <c r="AC145" s="65">
        <f>VLOOKUP($E$1,[9]Resumen!$V$190:$AH$196,AC1,0)</f>
        <v>1469.8419999999999</v>
      </c>
      <c r="AD145" s="65">
        <f>VLOOKUP($E$1,[9]Resumen!$V$190:$AH$196,AD1,0)</f>
        <v>0</v>
      </c>
      <c r="AE145" s="65">
        <f>VLOOKUP($E$1,[9]Resumen!$V$190:$AH$196,AE1,0)</f>
        <v>0</v>
      </c>
      <c r="AF145" s="65">
        <f>VLOOKUP($E$1,[9]Resumen!$V$190:$AH$196,AF1,0)</f>
        <v>1469.8419999999999</v>
      </c>
      <c r="AG145" s="65">
        <f>VLOOKUP($E$1,[9]Resumen!$V$190:$AH$196,AG1,0)</f>
        <v>0</v>
      </c>
      <c r="AH145" s="65">
        <f>VLOOKUP($E$1,[9]Resumen!$V$190:$AH$196,AH1,0)</f>
        <v>0</v>
      </c>
      <c r="AI145" s="65">
        <f>VLOOKUP($E$1,[9]Resumen!$V$190:$AH$196,AI1,0)</f>
        <v>1469.8419999999999</v>
      </c>
      <c r="AJ145" s="65">
        <f>VLOOKUP($E$1,[9]Resumen!$V$190:$AH$196,AJ1,0)</f>
        <v>0</v>
      </c>
      <c r="AK145" s="65">
        <f t="shared" si="60"/>
        <v>5879.3679999999995</v>
      </c>
      <c r="AL145" s="73">
        <f t="shared" si="28"/>
        <v>5.4991240612752984E-5</v>
      </c>
      <c r="AM145" s="14">
        <f t="shared" ref="AM145:AM165" si="79">IFERROR(AK145/V145-1,0)</f>
        <v>-0.4725605095541402</v>
      </c>
    </row>
    <row r="146" spans="9:39" ht="15" hidden="1" outlineLevel="1">
      <c r="I146" s="246" t="s">
        <v>259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/>
      <c r="U146" s="65"/>
      <c r="V146" s="65">
        <f t="shared" si="74"/>
        <v>0</v>
      </c>
      <c r="W146" s="73">
        <f t="shared" si="26"/>
        <v>0</v>
      </c>
      <c r="X146" s="89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>
        <f t="shared" si="60"/>
        <v>0</v>
      </c>
      <c r="AL146" s="73">
        <f t="shared" si="28"/>
        <v>0</v>
      </c>
      <c r="AM146" s="14">
        <f t="shared" si="79"/>
        <v>0</v>
      </c>
    </row>
    <row r="147" spans="9:39" ht="15" hidden="1" outlineLevel="1">
      <c r="I147" s="251" t="s">
        <v>260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/>
      <c r="U147" s="65"/>
      <c r="V147" s="65">
        <f t="shared" si="74"/>
        <v>0</v>
      </c>
      <c r="W147" s="73">
        <f t="shared" si="26"/>
        <v>0</v>
      </c>
      <c r="X147" s="89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>
        <f t="shared" si="60"/>
        <v>0</v>
      </c>
      <c r="AL147" s="73">
        <f t="shared" si="28"/>
        <v>0</v>
      </c>
      <c r="AM147" s="14">
        <f t="shared" si="79"/>
        <v>0</v>
      </c>
    </row>
    <row r="148" spans="9:39" ht="15" hidden="1" outlineLevel="1">
      <c r="I148" s="251" t="s">
        <v>261</v>
      </c>
      <c r="J148" s="65"/>
      <c r="K148" s="65">
        <v>0</v>
      </c>
      <c r="L148" s="65"/>
      <c r="M148" s="65"/>
      <c r="N148" s="65"/>
      <c r="O148" s="65">
        <v>0</v>
      </c>
      <c r="P148" s="65"/>
      <c r="Q148" s="65"/>
      <c r="R148" s="65"/>
      <c r="S148" s="65"/>
      <c r="T148" s="65">
        <v>0</v>
      </c>
      <c r="U148" s="65">
        <v>3640</v>
      </c>
      <c r="V148" s="65">
        <f t="shared" si="74"/>
        <v>3640</v>
      </c>
      <c r="W148" s="73">
        <f t="shared" si="26"/>
        <v>3.4632291917085404E-5</v>
      </c>
      <c r="X148" s="89"/>
      <c r="Y148" s="65">
        <f>VLOOKUP($E$1,[9]Resumen!$V$214:$AH$220,Y1,0)</f>
        <v>0</v>
      </c>
      <c r="Z148" s="65">
        <f>VLOOKUP($E$1,[9]Resumen!$V$214:$AH$220,Z1,0)</f>
        <v>0</v>
      </c>
      <c r="AA148" s="65">
        <f>VLOOKUP($E$1,[9]Resumen!$V$214:$AH$220,AA1,0)</f>
        <v>0</v>
      </c>
      <c r="AB148" s="65">
        <f>VLOOKUP($E$1,[9]Resumen!$V$214:$AH$220,AB1,0)</f>
        <v>0</v>
      </c>
      <c r="AC148" s="65">
        <f>VLOOKUP($E$1,[9]Resumen!$V$214:$AH$220,AC1,0)</f>
        <v>0</v>
      </c>
      <c r="AD148" s="65">
        <f>VLOOKUP($E$1,[9]Resumen!$V$214:$AH$220,AD1,0)</f>
        <v>0</v>
      </c>
      <c r="AE148" s="65">
        <f>VLOOKUP($E$1,[9]Resumen!$V$214:$AH$220,AE1,0)</f>
        <v>0</v>
      </c>
      <c r="AF148" s="65">
        <f>VLOOKUP($E$1,[9]Resumen!$V$214:$AH$220,AF1,0)</f>
        <v>0</v>
      </c>
      <c r="AG148" s="65">
        <f>VLOOKUP($E$1,[9]Resumen!$V$214:$AH$220,AG1,0)</f>
        <v>0</v>
      </c>
      <c r="AH148" s="65">
        <f>VLOOKUP($E$1,[9]Resumen!$V$214:$AH$220,AH1,0)</f>
        <v>0</v>
      </c>
      <c r="AI148" s="65">
        <f>VLOOKUP($E$1,[9]Resumen!$V$214:$AH$220,AI1,0)</f>
        <v>0</v>
      </c>
      <c r="AJ148" s="65">
        <f>VLOOKUP($E$1,[9]Resumen!$V$214:$AH$220,AJ1,0)</f>
        <v>3208.8099999999995</v>
      </c>
      <c r="AK148" s="65">
        <f t="shared" si="60"/>
        <v>3208.8099999999995</v>
      </c>
      <c r="AL148" s="73">
        <f t="shared" si="28"/>
        <v>3.0012824982312366E-5</v>
      </c>
      <c r="AM148" s="14">
        <f t="shared" si="79"/>
        <v>-0.11845879120879133</v>
      </c>
    </row>
    <row r="149" spans="9:39" ht="15" hidden="1" outlineLevel="1">
      <c r="I149" s="290" t="s">
        <v>464</v>
      </c>
      <c r="J149" s="65"/>
      <c r="K149" s="65"/>
      <c r="L149" s="65"/>
      <c r="M149" s="65"/>
      <c r="N149" s="65"/>
      <c r="O149" s="65">
        <v>22500</v>
      </c>
      <c r="P149" s="65"/>
      <c r="Q149" s="65"/>
      <c r="R149" s="65"/>
      <c r="S149" s="65"/>
      <c r="T149" s="65"/>
      <c r="U149" s="65"/>
      <c r="V149" s="65">
        <f t="shared" ref="V149" si="80">SUM(J149:U149)</f>
        <v>22500</v>
      </c>
      <c r="W149" s="73"/>
      <c r="X149" s="89"/>
      <c r="Y149" s="65">
        <f>VLOOKUP($E$1,[9]Detalle!$C$150:$O$156,Y1,0)</f>
        <v>0</v>
      </c>
      <c r="Z149" s="65">
        <f>VLOOKUP($E$1,[9]Detalle!$C$150:$O$156,Z1,0)</f>
        <v>0</v>
      </c>
      <c r="AA149" s="65">
        <f>VLOOKUP($E$1,[9]Detalle!$C$150:$O$156,AA1,0)</f>
        <v>0</v>
      </c>
      <c r="AB149" s="65">
        <f>VLOOKUP($E$1,[9]Detalle!$C$150:$O$156,AB1,0)</f>
        <v>0</v>
      </c>
      <c r="AC149" s="65">
        <f>VLOOKUP($E$1,[9]Detalle!$C$150:$O$156,AC1,0)</f>
        <v>0</v>
      </c>
      <c r="AD149" s="65">
        <f>VLOOKUP($E$1,[9]Detalle!$C$150:$O$156,AD1,0)</f>
        <v>0</v>
      </c>
      <c r="AE149" s="65">
        <f>VLOOKUP($E$1,[9]Detalle!$C$150:$O$156,AE1,0)</f>
        <v>0</v>
      </c>
      <c r="AF149" s="65">
        <f>VLOOKUP($E$1,[9]Detalle!$C$150:$O$156,AF1,0)</f>
        <v>0</v>
      </c>
      <c r="AG149" s="65">
        <f>VLOOKUP($E$1,[9]Detalle!$C$150:$O$156,AG1,0)</f>
        <v>0</v>
      </c>
      <c r="AH149" s="65">
        <f>VLOOKUP($E$1,[9]Detalle!$C$150:$O$156,AH1,0)</f>
        <v>0</v>
      </c>
      <c r="AI149" s="65">
        <f>VLOOKUP($E$1,[9]Detalle!$C$150:$O$156,AI1,0)</f>
        <v>0</v>
      </c>
      <c r="AJ149" s="65">
        <f>VLOOKUP($E$1,[9]Detalle!$C$150:$O$156,AJ1,0)</f>
        <v>0</v>
      </c>
      <c r="AK149" s="65">
        <f t="shared" ref="AK149" si="81">SUM(Y149:AJ149)</f>
        <v>0</v>
      </c>
      <c r="AL149" s="73">
        <f t="shared" ref="AL149" si="82">AK149/AK$6</f>
        <v>0</v>
      </c>
      <c r="AM149" s="14">
        <f t="shared" ref="AM149" si="83">IFERROR(AK149/V149-1,0)</f>
        <v>-1</v>
      </c>
    </row>
    <row r="150" spans="9:39" ht="15" hidden="1" outlineLevel="1">
      <c r="I150" s="246" t="s">
        <v>262</v>
      </c>
      <c r="J150" s="65">
        <v>120883</v>
      </c>
      <c r="K150" s="65">
        <v>15927</v>
      </c>
      <c r="L150" s="65">
        <v>64941</v>
      </c>
      <c r="M150" s="65">
        <v>81720</v>
      </c>
      <c r="N150" s="65">
        <v>87808</v>
      </c>
      <c r="O150" s="65">
        <v>63949</v>
      </c>
      <c r="P150" s="65">
        <v>79720</v>
      </c>
      <c r="Q150" s="65">
        <v>104655</v>
      </c>
      <c r="R150" s="65">
        <v>36287</v>
      </c>
      <c r="S150" s="65">
        <v>22992</v>
      </c>
      <c r="T150" s="65">
        <v>83288.466554533399</v>
      </c>
      <c r="U150" s="65">
        <v>81858.054366046068</v>
      </c>
      <c r="V150" s="65">
        <f t="shared" si="74"/>
        <v>844028.52092057955</v>
      </c>
      <c r="W150" s="73"/>
      <c r="X150" s="89"/>
      <c r="Y150" s="65">
        <f>+Z150</f>
        <v>65500.1855030304</v>
      </c>
      <c r="Z150" s="65">
        <f>((Y40*3.41*4.5%)+(Y41*2.89*4.5%))+((Z7+Z8)*0.03*5.5%)</f>
        <v>65500.1855030304</v>
      </c>
      <c r="AA150" s="65">
        <f t="shared" ref="AA150:AJ150" si="84">((Z40*3.41*4.5%)+(Z41*2.89*4.5%))+((AA7+AA8)*0.03*5.5%)</f>
        <v>65044.305260976624</v>
      </c>
      <c r="AB150" s="65">
        <f t="shared" si="84"/>
        <v>68887.411762448784</v>
      </c>
      <c r="AC150" s="65">
        <f t="shared" si="84"/>
        <v>67574.403355693226</v>
      </c>
      <c r="AD150" s="65">
        <f t="shared" si="84"/>
        <v>76710.368086283226</v>
      </c>
      <c r="AE150" s="65">
        <f t="shared" si="84"/>
        <v>75820.833864357191</v>
      </c>
      <c r="AF150" s="65">
        <f t="shared" si="84"/>
        <v>77047.295102469681</v>
      </c>
      <c r="AG150" s="65">
        <f t="shared" si="84"/>
        <v>80346.63105052145</v>
      </c>
      <c r="AH150" s="65">
        <f t="shared" si="84"/>
        <v>78395.269799304573</v>
      </c>
      <c r="AI150" s="65">
        <f t="shared" si="84"/>
        <v>78249.262601095979</v>
      </c>
      <c r="AJ150" s="65">
        <f t="shared" si="84"/>
        <v>69871.403229595991</v>
      </c>
      <c r="AK150" s="65">
        <f t="shared" si="60"/>
        <v>868947.55511880759</v>
      </c>
      <c r="AL150" s="73">
        <f t="shared" si="28"/>
        <v>8.1274899076570449E-3</v>
      </c>
      <c r="AM150" s="14">
        <f t="shared" si="79"/>
        <v>2.9523924346832375E-2</v>
      </c>
    </row>
    <row r="151" spans="9:39" ht="15" collapsed="1">
      <c r="I151" s="121" t="s">
        <v>264</v>
      </c>
      <c r="J151" s="15">
        <v>15072</v>
      </c>
      <c r="K151" s="15">
        <v>14073</v>
      </c>
      <c r="L151" s="15">
        <v>14149</v>
      </c>
      <c r="M151" s="15">
        <v>12052</v>
      </c>
      <c r="N151" s="15">
        <v>12130</v>
      </c>
      <c r="O151" s="15">
        <v>12464</v>
      </c>
      <c r="P151" s="15">
        <v>13818</v>
      </c>
      <c r="Q151" s="15">
        <v>14052</v>
      </c>
      <c r="R151" s="15">
        <v>12660</v>
      </c>
      <c r="S151" s="15">
        <v>11653</v>
      </c>
      <c r="T151" s="15">
        <f t="shared" ref="R151:U151" si="85">SUM(T152:T158)</f>
        <v>12788.666666666666</v>
      </c>
      <c r="U151" s="15">
        <f t="shared" si="85"/>
        <v>12367.222222222221</v>
      </c>
      <c r="V151" s="15">
        <f t="shared" ref="V151" si="86">SUM(V152:V158)</f>
        <v>157278.88888888888</v>
      </c>
      <c r="W151" s="72">
        <f t="shared" si="26"/>
        <v>1.4964088990095713E-3</v>
      </c>
      <c r="X151" s="89"/>
      <c r="Y151" s="15">
        <f>SUM(Y152:Y158)</f>
        <v>15594.557699999998</v>
      </c>
      <c r="Z151" s="15">
        <f t="shared" ref="Z151:AJ151" si="87">SUM(Z152:Z158)</f>
        <v>14309.631399999998</v>
      </c>
      <c r="AA151" s="15">
        <f t="shared" si="87"/>
        <v>14300.149899999997</v>
      </c>
      <c r="AB151" s="15">
        <f t="shared" si="87"/>
        <v>14642.776899999997</v>
      </c>
      <c r="AC151" s="15">
        <f t="shared" si="87"/>
        <v>12548.991099999999</v>
      </c>
      <c r="AD151" s="15">
        <f t="shared" si="87"/>
        <v>12578.824199999999</v>
      </c>
      <c r="AE151" s="15">
        <f t="shared" si="87"/>
        <v>13958.636499999997</v>
      </c>
      <c r="AF151" s="15">
        <f t="shared" si="87"/>
        <v>14203.039399999998</v>
      </c>
      <c r="AG151" s="15">
        <f t="shared" si="87"/>
        <v>12759.9931</v>
      </c>
      <c r="AH151" s="15">
        <f t="shared" si="87"/>
        <v>13798.602166666664</v>
      </c>
      <c r="AI151" s="15">
        <f t="shared" si="87"/>
        <v>13587.211555555554</v>
      </c>
      <c r="AJ151" s="15">
        <f t="shared" si="87"/>
        <v>13381.935607407406</v>
      </c>
      <c r="AK151" s="15">
        <f t="shared" ref="AK151" si="88">SUM(AK152:AK158)</f>
        <v>165664.3495296296</v>
      </c>
      <c r="AL151" s="72">
        <f t="shared" si="28"/>
        <v>1.5495012569274578E-3</v>
      </c>
      <c r="AM151" s="10">
        <f t="shared" si="79"/>
        <v>5.3315869027182217E-2</v>
      </c>
    </row>
    <row r="152" spans="9:39" ht="15" hidden="1" outlineLevel="1">
      <c r="I152" s="213" t="s">
        <v>265</v>
      </c>
      <c r="J152" s="67">
        <v>0</v>
      </c>
      <c r="K152" s="67">
        <v>0</v>
      </c>
      <c r="L152" s="67">
        <v>0</v>
      </c>
      <c r="M152" s="67">
        <v>0</v>
      </c>
      <c r="N152" s="67">
        <v>0</v>
      </c>
      <c r="O152" s="67">
        <v>0</v>
      </c>
      <c r="P152" s="67">
        <v>0</v>
      </c>
      <c r="Q152" s="67">
        <v>0</v>
      </c>
      <c r="R152" s="67">
        <v>0</v>
      </c>
      <c r="S152" s="67">
        <v>0</v>
      </c>
      <c r="T152" s="67"/>
      <c r="U152" s="67"/>
      <c r="V152" s="65">
        <f t="shared" ref="V152:V158" si="89">SUM(J152:U152)</f>
        <v>0</v>
      </c>
      <c r="W152" s="73">
        <f t="shared" si="26"/>
        <v>0</v>
      </c>
      <c r="X152" s="89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5">
        <f t="shared" si="60"/>
        <v>0</v>
      </c>
      <c r="AL152" s="73">
        <f t="shared" si="28"/>
        <v>0</v>
      </c>
      <c r="AM152" s="14">
        <f t="shared" si="79"/>
        <v>0</v>
      </c>
    </row>
    <row r="153" spans="9:39" ht="15" hidden="1" outlineLevel="1">
      <c r="I153" s="137" t="s">
        <v>292</v>
      </c>
      <c r="J153" s="67">
        <v>0</v>
      </c>
      <c r="K153" s="67">
        <v>0</v>
      </c>
      <c r="L153" s="67">
        <v>0</v>
      </c>
      <c r="M153" s="67">
        <v>0</v>
      </c>
      <c r="N153" s="67">
        <v>0</v>
      </c>
      <c r="O153" s="67">
        <v>0</v>
      </c>
      <c r="P153" s="67">
        <v>0</v>
      </c>
      <c r="Q153" s="67">
        <v>0</v>
      </c>
      <c r="R153" s="67">
        <v>0</v>
      </c>
      <c r="S153" s="67">
        <v>0</v>
      </c>
      <c r="T153" s="67"/>
      <c r="U153" s="67"/>
      <c r="V153" s="65">
        <f t="shared" si="89"/>
        <v>0</v>
      </c>
      <c r="W153" s="73">
        <f t="shared" si="26"/>
        <v>0</v>
      </c>
      <c r="X153" s="89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5">
        <f t="shared" si="60"/>
        <v>0</v>
      </c>
      <c r="AL153" s="73">
        <f t="shared" si="28"/>
        <v>0</v>
      </c>
      <c r="AM153" s="14">
        <f t="shared" si="79"/>
        <v>0</v>
      </c>
    </row>
    <row r="154" spans="9:39" ht="15" hidden="1" outlineLevel="1">
      <c r="I154" s="213" t="s">
        <v>266</v>
      </c>
      <c r="J154" s="65">
        <v>11510</v>
      </c>
      <c r="K154" s="65">
        <v>10422</v>
      </c>
      <c r="L154" s="65">
        <v>10482</v>
      </c>
      <c r="M154" s="65">
        <v>10377</v>
      </c>
      <c r="N154" s="65">
        <v>8694</v>
      </c>
      <c r="O154" s="65">
        <v>8800</v>
      </c>
      <c r="P154" s="65">
        <v>10123</v>
      </c>
      <c r="Q154" s="65">
        <v>9877</v>
      </c>
      <c r="R154" s="225">
        <v>8964</v>
      </c>
      <c r="S154" s="225">
        <v>7645</v>
      </c>
      <c r="T154" s="225">
        <f t="shared" ref="T154" si="90">+AVERAGE(Q154:S154)</f>
        <v>8828.6666666666661</v>
      </c>
      <c r="U154" s="225">
        <f t="shared" ref="U154" si="91">+AVERAGE(R154:T154)</f>
        <v>8479.2222222222208</v>
      </c>
      <c r="V154" s="65">
        <f t="shared" si="89"/>
        <v>114201.88888888889</v>
      </c>
      <c r="W154" s="73">
        <f t="shared" si="26"/>
        <v>1.0865585586490529E-3</v>
      </c>
      <c r="X154" s="89"/>
      <c r="Y154" s="65">
        <f>VLOOKUP($E$1,[8]Resumen!$V$104:$AH$110,Y1,0)</f>
        <v>11914.000999999998</v>
      </c>
      <c r="Z154" s="65">
        <f>VLOOKUP($E$1,[8]Resumen!$V$104:$AH$110,Z1,0)</f>
        <v>10787.812199999998</v>
      </c>
      <c r="AA154" s="65">
        <f>VLOOKUP($E$1,[8]Resumen!$V$104:$AH$110,AA1,0)</f>
        <v>10849.918199999998</v>
      </c>
      <c r="AB154" s="65">
        <f>VLOOKUP($E$1,[8]Resumen!$V$104:$AH$110,AB1,0)</f>
        <v>10741.232699999999</v>
      </c>
      <c r="AC154" s="65">
        <f>VLOOKUP($E$1,[8]Resumen!$V$104:$AH$110,AC1,0)</f>
        <v>8999.1593999999986</v>
      </c>
      <c r="AD154" s="65">
        <f>VLOOKUP($E$1,[8]Resumen!$V$104:$AH$110,AD1,0)</f>
        <v>9108.8799999999992</v>
      </c>
      <c r="AE154" s="65">
        <f>VLOOKUP($E$1,[8]Resumen!$V$104:$AH$110,AE1,0)</f>
        <v>10478.317299999999</v>
      </c>
      <c r="AF154" s="65">
        <f>VLOOKUP($E$1,[8]Resumen!$V$104:$AH$110,AF1,0)</f>
        <v>10223.682699999999</v>
      </c>
      <c r="AG154" s="65">
        <f>VLOOKUP($E$1,[8]Resumen!$V$104:$AH$110,AG1,0)</f>
        <v>9278.6363999999994</v>
      </c>
      <c r="AH154" s="65">
        <f>VLOOKUP($E$1,[8]Resumen!$V$104:$AH$110,AH1,0)</f>
        <v>9993.5454666666647</v>
      </c>
      <c r="AI154" s="65">
        <f>VLOOKUP($E$1,[8]Resumen!$V$104:$AH$110,AI1,0)</f>
        <v>9831.9548555555539</v>
      </c>
      <c r="AJ154" s="65">
        <f>VLOOKUP($E$1,[8]Resumen!$V$104:$AH$110,AJ1,0)</f>
        <v>9701.3789074074066</v>
      </c>
      <c r="AK154" s="65">
        <f t="shared" si="60"/>
        <v>121908.51912962961</v>
      </c>
      <c r="AL154" s="73">
        <f t="shared" si="28"/>
        <v>1.1402417246550757E-3</v>
      </c>
      <c r="AM154" s="14">
        <f t="shared" si="79"/>
        <v>6.7482511153898583E-2</v>
      </c>
    </row>
    <row r="155" spans="9:39" ht="15" hidden="1" outlineLevel="1">
      <c r="I155" s="213" t="s">
        <v>267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f t="shared" si="89"/>
        <v>0</v>
      </c>
      <c r="W155" s="73">
        <f t="shared" si="26"/>
        <v>0</v>
      </c>
      <c r="X155" s="89"/>
      <c r="Y155" s="65">
        <f>VLOOKUP($E$1,[5]Resumen!$V$32:$AH$38,Y1,0)</f>
        <v>0</v>
      </c>
      <c r="Z155" s="65">
        <f>VLOOKUP($E$1,[5]Resumen!$V$32:$AH$38,Z1,0)</f>
        <v>0</v>
      </c>
      <c r="AA155" s="65">
        <f>VLOOKUP($E$1,[5]Resumen!$V$32:$AH$38,AA1,0)</f>
        <v>0</v>
      </c>
      <c r="AB155" s="65">
        <f>VLOOKUP($E$1,[5]Resumen!$V$32:$AH$38,AB1,0)</f>
        <v>0</v>
      </c>
      <c r="AC155" s="65">
        <f>VLOOKUP($E$1,[5]Resumen!$V$32:$AH$38,AC1,0)</f>
        <v>0</v>
      </c>
      <c r="AD155" s="65">
        <f>VLOOKUP($E$1,[5]Resumen!$V$32:$AH$38,AD1,0)</f>
        <v>0</v>
      </c>
      <c r="AE155" s="65">
        <f>VLOOKUP($E$1,[5]Resumen!$V$32:$AH$38,AE1,0)</f>
        <v>0</v>
      </c>
      <c r="AF155" s="65">
        <f>VLOOKUP($E$1,[5]Resumen!$V$32:$AH$38,AF1,0)</f>
        <v>0</v>
      </c>
      <c r="AG155" s="65">
        <f>VLOOKUP($E$1,[5]Resumen!$V$32:$AH$38,AG1,0)</f>
        <v>0</v>
      </c>
      <c r="AH155" s="65">
        <f>VLOOKUP($E$1,[5]Resumen!$V$32:$AH$38,AH1,0)</f>
        <v>0</v>
      </c>
      <c r="AI155" s="65">
        <f>VLOOKUP($E$1,[5]Resumen!$V$32:$AH$38,AI1,0)</f>
        <v>0</v>
      </c>
      <c r="AJ155" s="65">
        <f>VLOOKUP($E$1,[5]Resumen!$V$32:$AH$38,AJ1,0)</f>
        <v>0</v>
      </c>
      <c r="AK155" s="65">
        <f t="shared" si="60"/>
        <v>0</v>
      </c>
      <c r="AL155" s="73">
        <f t="shared" si="28"/>
        <v>0</v>
      </c>
      <c r="AM155" s="14">
        <f t="shared" si="79"/>
        <v>0</v>
      </c>
    </row>
    <row r="156" spans="9:39" ht="15" hidden="1" outlineLevel="1">
      <c r="I156" s="213" t="s">
        <v>269</v>
      </c>
      <c r="J156" s="65">
        <v>1186</v>
      </c>
      <c r="K156" s="65">
        <v>1033</v>
      </c>
      <c r="L156" s="65">
        <v>964</v>
      </c>
      <c r="M156" s="65">
        <v>1399</v>
      </c>
      <c r="N156" s="65">
        <v>1060</v>
      </c>
      <c r="O156" s="65">
        <v>983</v>
      </c>
      <c r="P156" s="65">
        <v>993</v>
      </c>
      <c r="Q156" s="65">
        <v>1474</v>
      </c>
      <c r="R156" s="225">
        <v>994</v>
      </c>
      <c r="S156" s="225">
        <v>1306</v>
      </c>
      <c r="T156" s="225">
        <f t="shared" ref="T156" si="92">+AVERAGE(Q156:S156)</f>
        <v>1258</v>
      </c>
      <c r="U156" s="225">
        <f t="shared" ref="U156" si="93">+AVERAGE(R156:T156)</f>
        <v>1186</v>
      </c>
      <c r="V156" s="65">
        <f t="shared" si="89"/>
        <v>13836</v>
      </c>
      <c r="W156" s="73">
        <f t="shared" si="26"/>
        <v>1.3164076674856967E-4</v>
      </c>
      <c r="X156" s="89"/>
      <c r="Y156" s="65">
        <f>J156*1.0375</f>
        <v>1230.4750000000001</v>
      </c>
      <c r="Z156" s="65">
        <f t="shared" ref="Z156:AJ156" si="94">K156*1.0375</f>
        <v>1071.7375000000002</v>
      </c>
      <c r="AA156" s="65">
        <f t="shared" si="94"/>
        <v>1000.1500000000001</v>
      </c>
      <c r="AB156" s="65">
        <f t="shared" si="94"/>
        <v>1451.4625000000001</v>
      </c>
      <c r="AC156" s="65">
        <f t="shared" si="94"/>
        <v>1099.75</v>
      </c>
      <c r="AD156" s="65">
        <f t="shared" si="94"/>
        <v>1019.8625000000001</v>
      </c>
      <c r="AE156" s="65">
        <f t="shared" si="94"/>
        <v>1030.2375000000002</v>
      </c>
      <c r="AF156" s="65">
        <f t="shared" si="94"/>
        <v>1529.2750000000001</v>
      </c>
      <c r="AG156" s="65">
        <f t="shared" si="94"/>
        <v>1031.2750000000001</v>
      </c>
      <c r="AH156" s="65">
        <f t="shared" si="94"/>
        <v>1354.9750000000001</v>
      </c>
      <c r="AI156" s="65">
        <f t="shared" si="94"/>
        <v>1305.1750000000002</v>
      </c>
      <c r="AJ156" s="65">
        <f t="shared" si="94"/>
        <v>1230.4750000000001</v>
      </c>
      <c r="AK156" s="65">
        <f t="shared" si="60"/>
        <v>14354.85</v>
      </c>
      <c r="AL156" s="73">
        <f t="shared" si="28"/>
        <v>1.3426460298283374E-4</v>
      </c>
      <c r="AM156" s="14">
        <f t="shared" si="79"/>
        <v>3.7500000000000089E-2</v>
      </c>
    </row>
    <row r="157" spans="9:39" ht="15" hidden="1" outlineLevel="1">
      <c r="I157" s="213"/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/>
      <c r="Q157" s="65">
        <v>0</v>
      </c>
      <c r="R157" s="65">
        <v>0</v>
      </c>
      <c r="S157" s="65">
        <v>0</v>
      </c>
      <c r="T157" s="65"/>
      <c r="U157" s="65"/>
      <c r="V157" s="65">
        <f t="shared" si="89"/>
        <v>0</v>
      </c>
      <c r="W157" s="73">
        <f t="shared" si="26"/>
        <v>0</v>
      </c>
      <c r="X157" s="89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>
        <f t="shared" si="60"/>
        <v>0</v>
      </c>
      <c r="AL157" s="73">
        <f t="shared" si="28"/>
        <v>0</v>
      </c>
      <c r="AM157" s="14">
        <f t="shared" si="79"/>
        <v>0</v>
      </c>
    </row>
    <row r="158" spans="9:39" ht="15" hidden="1" outlineLevel="1">
      <c r="I158" s="213" t="s">
        <v>270</v>
      </c>
      <c r="J158" s="67">
        <v>2376</v>
      </c>
      <c r="K158" s="67">
        <v>2618</v>
      </c>
      <c r="L158" s="67">
        <v>2702</v>
      </c>
      <c r="M158" s="67">
        <v>276</v>
      </c>
      <c r="N158" s="67">
        <v>2376</v>
      </c>
      <c r="O158" s="67">
        <v>2681</v>
      </c>
      <c r="P158" s="67">
        <v>2702</v>
      </c>
      <c r="Q158" s="67">
        <v>2702</v>
      </c>
      <c r="R158" s="225">
        <v>2702</v>
      </c>
      <c r="S158" s="225">
        <v>2702</v>
      </c>
      <c r="T158" s="225">
        <f t="shared" ref="T158" si="95">+AVERAGE(Q158:S158)</f>
        <v>2702</v>
      </c>
      <c r="U158" s="225">
        <f t="shared" ref="U158" si="96">+AVERAGE(R158:T158)</f>
        <v>2702</v>
      </c>
      <c r="V158" s="65">
        <f t="shared" si="89"/>
        <v>29241</v>
      </c>
      <c r="W158" s="73">
        <f>V158/V$6</f>
        <v>2.7820957361194897E-4</v>
      </c>
      <c r="X158" s="89"/>
      <c r="Y158" s="67">
        <f>VLOOKUP($E$1,[19]Resumen!$V$8:$AH$14,Y1,0)</f>
        <v>2450.0816999999997</v>
      </c>
      <c r="Z158" s="67">
        <f>VLOOKUP($E$1,[19]Resumen!$V$8:$AH$14,Z1,0)</f>
        <v>2450.0816999999997</v>
      </c>
      <c r="AA158" s="67">
        <f>VLOOKUP($E$1,[19]Resumen!$V$8:$AH$14,AA1,0)</f>
        <v>2450.0816999999997</v>
      </c>
      <c r="AB158" s="67">
        <f>VLOOKUP($E$1,[19]Resumen!$V$8:$AH$14,AB1,0)</f>
        <v>2450.0816999999997</v>
      </c>
      <c r="AC158" s="67">
        <f>VLOOKUP($E$1,[19]Resumen!$V$8:$AH$14,AC1,0)</f>
        <v>2450.0816999999997</v>
      </c>
      <c r="AD158" s="67">
        <f>VLOOKUP($E$1,[19]Resumen!$V$8:$AH$14,AD1,0)</f>
        <v>2450.0816999999997</v>
      </c>
      <c r="AE158" s="67">
        <f>VLOOKUP($E$1,[19]Resumen!$V$8:$AH$14,AE1,0)</f>
        <v>2450.0816999999997</v>
      </c>
      <c r="AF158" s="67">
        <f>VLOOKUP($E$1,[19]Resumen!$V$8:$AH$14,AF1,0)</f>
        <v>2450.0816999999997</v>
      </c>
      <c r="AG158" s="67">
        <f>VLOOKUP($E$1,[19]Resumen!$V$8:$AH$14,AG1,0)</f>
        <v>2450.0816999999997</v>
      </c>
      <c r="AH158" s="67">
        <f>VLOOKUP($E$1,[19]Resumen!$V$8:$AH$14,AH1,0)</f>
        <v>2450.0816999999997</v>
      </c>
      <c r="AI158" s="67">
        <f>VLOOKUP($E$1,[19]Resumen!$V$8:$AH$14,AI1,0)</f>
        <v>2450.0816999999997</v>
      </c>
      <c r="AJ158" s="67">
        <f>VLOOKUP($E$1,[19]Resumen!$V$8:$AH$14,AJ1,0)</f>
        <v>2450.0816999999997</v>
      </c>
      <c r="AK158" s="65">
        <f t="shared" si="60"/>
        <v>29400.980399999989</v>
      </c>
      <c r="AL158" s="73">
        <f>AK158/AK$6</f>
        <v>2.749949292895485E-4</v>
      </c>
      <c r="AM158" s="14">
        <f>IFERROR(AK158/V158-1,0)</f>
        <v>5.4710987996302585E-3</v>
      </c>
    </row>
    <row r="159" spans="9:39" ht="15">
      <c r="I159" s="121" t="s">
        <v>466</v>
      </c>
      <c r="J159" s="15">
        <f t="shared" ref="J159:V159" si="97">SUM(J160)</f>
        <v>39028.922274429569</v>
      </c>
      <c r="K159" s="15">
        <f t="shared" si="97"/>
        <v>41471.428882989218</v>
      </c>
      <c r="L159" s="15">
        <f t="shared" si="97"/>
        <v>47563.622789414774</v>
      </c>
      <c r="M159" s="15">
        <f t="shared" si="97"/>
        <v>43735.758027770476</v>
      </c>
      <c r="N159" s="15">
        <f t="shared" si="97"/>
        <v>49500.877124890714</v>
      </c>
      <c r="O159" s="15">
        <f t="shared" si="97"/>
        <v>48971.224753264105</v>
      </c>
      <c r="P159" s="15">
        <f t="shared" si="97"/>
        <v>53336.686104665256</v>
      </c>
      <c r="Q159" s="15">
        <f t="shared" si="97"/>
        <v>44406.477015624187</v>
      </c>
      <c r="R159" s="15">
        <f t="shared" si="97"/>
        <v>52838.47013906834</v>
      </c>
      <c r="S159" s="15">
        <f t="shared" si="97"/>
        <v>53606.789521093655</v>
      </c>
      <c r="T159" s="15">
        <f t="shared" si="97"/>
        <v>50283.912225262065</v>
      </c>
      <c r="U159" s="15">
        <f t="shared" si="97"/>
        <v>52243.057295141356</v>
      </c>
      <c r="V159" s="15">
        <f t="shared" si="97"/>
        <v>576987.22615361377</v>
      </c>
      <c r="W159" s="72">
        <f t="shared" si="26"/>
        <v>5.4896675957641005E-3</v>
      </c>
      <c r="X159" s="89"/>
      <c r="Y159" s="15">
        <f t="shared" ref="Y159" si="98">SUM(Y160)</f>
        <v>40492.506859720685</v>
      </c>
      <c r="Z159" s="15">
        <f t="shared" ref="Z159" si="99">SUM(Z160)</f>
        <v>43026.607466101319</v>
      </c>
      <c r="AA159" s="15">
        <f t="shared" ref="AA159" si="100">SUM(AA160)</f>
        <v>49347.258644017835</v>
      </c>
      <c r="AB159" s="15">
        <f t="shared" ref="AB159" si="101">SUM(AB160)</f>
        <v>45375.848953811874</v>
      </c>
      <c r="AC159" s="15">
        <f t="shared" ref="AC159" si="102">SUM(AC160)</f>
        <v>51357.160017074122</v>
      </c>
      <c r="AD159" s="15">
        <f t="shared" ref="AD159" si="103">SUM(AD160)</f>
        <v>50807.645681511516</v>
      </c>
      <c r="AE159" s="15">
        <f t="shared" ref="AE159" si="104">SUM(AE160)</f>
        <v>55336.811833590211</v>
      </c>
      <c r="AF159" s="15">
        <f t="shared" ref="AF159" si="105">SUM(AF160)</f>
        <v>46071.719903710095</v>
      </c>
      <c r="AG159" s="15">
        <f t="shared" ref="AG159" si="106">SUM(AG160)</f>
        <v>54819.912769283408</v>
      </c>
      <c r="AH159" s="15">
        <f t="shared" ref="AH159" si="107">SUM(AH160)</f>
        <v>55617.044128134672</v>
      </c>
      <c r="AI159" s="15">
        <f t="shared" ref="AI159" si="108">SUM(AI160)</f>
        <v>52169.558933709399</v>
      </c>
      <c r="AJ159" s="15">
        <f t="shared" ref="AJ159" si="109">SUM(AJ160)</f>
        <v>54202.17194370916</v>
      </c>
      <c r="AK159" s="15">
        <f t="shared" ref="AK159" si="110">SUM(AK160)</f>
        <v>598624.24713437434</v>
      </c>
      <c r="AL159" s="72">
        <f t="shared" ref="AL159:AL160" si="111">AK159/AK$6</f>
        <v>5.5990865022897849E-3</v>
      </c>
      <c r="AM159" s="10">
        <f t="shared" ref="AM159:AM160" si="112">IFERROR(AK159/V159-1,0)</f>
        <v>3.7500000000000089E-2</v>
      </c>
    </row>
    <row r="160" spans="9:39" ht="15" outlineLevel="1">
      <c r="I160" s="251" t="s">
        <v>328</v>
      </c>
      <c r="J160" s="65">
        <v>39028.922274429569</v>
      </c>
      <c r="K160" s="65">
        <v>41471.428882989218</v>
      </c>
      <c r="L160" s="65">
        <v>47563.622789414774</v>
      </c>
      <c r="M160" s="65">
        <v>43735.758027770476</v>
      </c>
      <c r="N160" s="65">
        <v>49500.877124890714</v>
      </c>
      <c r="O160" s="65">
        <v>48971.224753264105</v>
      </c>
      <c r="P160" s="65">
        <v>53336.686104665256</v>
      </c>
      <c r="Q160" s="65">
        <v>44406.477015624187</v>
      </c>
      <c r="R160" s="65">
        <v>52838.47013906834</v>
      </c>
      <c r="S160" s="65">
        <v>53606.789521093655</v>
      </c>
      <c r="T160" s="65">
        <v>50283.912225262065</v>
      </c>
      <c r="U160" s="65">
        <v>52243.057295141356</v>
      </c>
      <c r="V160" s="65">
        <f t="shared" ref="V160" si="113">SUM(J160:U160)</f>
        <v>576987.22615361377</v>
      </c>
      <c r="W160" s="73">
        <f t="shared" si="26"/>
        <v>5.4896675957641005E-3</v>
      </c>
      <c r="X160" s="89"/>
      <c r="Y160" s="65">
        <f>VLOOKUP($E$1,[8]Resumen!$V$8:$AH$14,Y1,0)</f>
        <v>40492.506859720685</v>
      </c>
      <c r="Z160" s="65">
        <f>VLOOKUP($E$1,[8]Resumen!$V$8:$AH$14,Z1,0)</f>
        <v>43026.607466101319</v>
      </c>
      <c r="AA160" s="65">
        <f>VLOOKUP($E$1,[8]Resumen!$V$8:$AH$14,AA1,0)</f>
        <v>49347.258644017835</v>
      </c>
      <c r="AB160" s="65">
        <f>VLOOKUP($E$1,[8]Resumen!$V$8:$AH$14,AB1,0)</f>
        <v>45375.848953811874</v>
      </c>
      <c r="AC160" s="65">
        <f>VLOOKUP($E$1,[8]Resumen!$V$8:$AH$14,AC1,0)</f>
        <v>51357.160017074122</v>
      </c>
      <c r="AD160" s="65">
        <f>VLOOKUP($E$1,[8]Resumen!$V$8:$AH$14,AD1,0)</f>
        <v>50807.645681511516</v>
      </c>
      <c r="AE160" s="65">
        <f>VLOOKUP($E$1,[8]Resumen!$V$8:$AH$14,AE1,0)</f>
        <v>55336.811833590211</v>
      </c>
      <c r="AF160" s="65">
        <f>VLOOKUP($E$1,[8]Resumen!$V$8:$AH$14,AF1,0)</f>
        <v>46071.719903710095</v>
      </c>
      <c r="AG160" s="65">
        <f>VLOOKUP($E$1,[8]Resumen!$V$8:$AH$14,AG1,0)</f>
        <v>54819.912769283408</v>
      </c>
      <c r="AH160" s="65">
        <f>VLOOKUP($E$1,[8]Resumen!$V$8:$AH$14,AH1,0)</f>
        <v>55617.044128134672</v>
      </c>
      <c r="AI160" s="65">
        <f>VLOOKUP($E$1,[8]Resumen!$V$8:$AH$14,AI1,0)</f>
        <v>52169.558933709399</v>
      </c>
      <c r="AJ160" s="65">
        <f>VLOOKUP($E$1,[8]Resumen!$V$8:$AH$14,AJ1,0)</f>
        <v>54202.17194370916</v>
      </c>
      <c r="AK160" s="65">
        <f t="shared" ref="AK159:AK160" si="114">SUM(Y160:AJ160)</f>
        <v>598624.24713437434</v>
      </c>
      <c r="AL160" s="73">
        <f t="shared" si="111"/>
        <v>5.5990865022897849E-3</v>
      </c>
      <c r="AM160" s="14">
        <f t="shared" si="112"/>
        <v>3.7500000000000089E-2</v>
      </c>
    </row>
    <row r="161" spans="9:39" ht="15">
      <c r="I161" s="28" t="s">
        <v>271</v>
      </c>
      <c r="J161" s="27">
        <v>991320</v>
      </c>
      <c r="K161" s="27">
        <v>628506</v>
      </c>
      <c r="L161" s="27">
        <v>673906</v>
      </c>
      <c r="M161" s="27">
        <v>701163</v>
      </c>
      <c r="N161" s="27">
        <v>745638</v>
      </c>
      <c r="O161" s="27">
        <v>714584</v>
      </c>
      <c r="P161" s="27">
        <v>746488</v>
      </c>
      <c r="Q161" s="27">
        <v>808361</v>
      </c>
      <c r="R161" s="27">
        <v>675384</v>
      </c>
      <c r="S161" s="27">
        <v>685485</v>
      </c>
      <c r="T161" s="27">
        <f t="shared" ref="R161:U161" si="115">T50+T92+T109+T114+T151</f>
        <v>740747.5398878667</v>
      </c>
      <c r="U161" s="27">
        <f t="shared" si="115"/>
        <v>702975.97454382386</v>
      </c>
      <c r="V161" s="27">
        <f>V50+V92+V109+V114+V151</f>
        <v>8813029.5144316908</v>
      </c>
      <c r="W161" s="76">
        <f t="shared" si="26"/>
        <v>8.3850387587276851E-2</v>
      </c>
      <c r="X161" s="89"/>
      <c r="Y161" s="27">
        <f t="shared" ref="Y161:AJ161" si="116">Y50+Y92+Y109+Y114+Y151+Y159</f>
        <v>828256.8183186145</v>
      </c>
      <c r="Z161" s="27">
        <f t="shared" si="116"/>
        <v>803013.15807785606</v>
      </c>
      <c r="AA161" s="27">
        <f t="shared" si="116"/>
        <v>816540.05553997471</v>
      </c>
      <c r="AB161" s="27">
        <f t="shared" si="116"/>
        <v>757874.25521404599</v>
      </c>
      <c r="AC161" s="27">
        <f t="shared" si="116"/>
        <v>781692.11924504011</v>
      </c>
      <c r="AD161" s="27">
        <f t="shared" si="116"/>
        <v>772866.07188658812</v>
      </c>
      <c r="AE161" s="27">
        <f t="shared" si="116"/>
        <v>821132.71453276696</v>
      </c>
      <c r="AF161" s="27">
        <f t="shared" si="116"/>
        <v>836426.0575102357</v>
      </c>
      <c r="AG161" s="27">
        <f t="shared" si="116"/>
        <v>817129.51178846671</v>
      </c>
      <c r="AH161" s="27">
        <f t="shared" si="116"/>
        <v>831661.0415258077</v>
      </c>
      <c r="AI161" s="27">
        <f t="shared" si="116"/>
        <v>802282.85170183401</v>
      </c>
      <c r="AJ161" s="27">
        <f t="shared" si="116"/>
        <v>783192.89376542997</v>
      </c>
      <c r="AK161" s="27">
        <f>AK50+AK92+AK109+AK114+AK151+AK159</f>
        <v>9652067.5491066594</v>
      </c>
      <c r="AL161" s="76">
        <f t="shared" si="28"/>
        <v>9.0278269535682978E-2</v>
      </c>
      <c r="AM161" s="10">
        <f t="shared" si="79"/>
        <v>9.5204269235795724E-2</v>
      </c>
    </row>
    <row r="162" spans="9:39" ht="15">
      <c r="I162" s="26" t="s">
        <v>272</v>
      </c>
      <c r="J162" s="17">
        <v>2.39</v>
      </c>
      <c r="K162" s="17">
        <v>1.55</v>
      </c>
      <c r="L162" s="17">
        <v>1.47</v>
      </c>
      <c r="M162" s="17">
        <v>1.69</v>
      </c>
      <c r="N162" s="17">
        <v>1.59</v>
      </c>
      <c r="O162" s="17">
        <v>1.52</v>
      </c>
      <c r="P162" s="17">
        <v>1.57</v>
      </c>
      <c r="Q162" s="17">
        <v>1.82</v>
      </c>
      <c r="R162" s="17">
        <v>1.52</v>
      </c>
      <c r="S162" s="17">
        <v>1.33</v>
      </c>
      <c r="T162" s="17">
        <v>1.0611280110639221</v>
      </c>
      <c r="U162" s="17">
        <v>1.043673295505261</v>
      </c>
      <c r="V162" s="17">
        <f>IFERROR(V161/V39,0)</f>
        <v>1.6453417390103733</v>
      </c>
      <c r="W162" s="73">
        <f t="shared" si="26"/>
        <v>1.5654383354058295E-8</v>
      </c>
      <c r="X162" s="89"/>
      <c r="Y162" s="17">
        <f t="shared" ref="Y162:AK162" si="117">IFERROR(Y161/Y39,0)</f>
        <v>1.9543116451207252</v>
      </c>
      <c r="Z162" s="17">
        <f t="shared" si="117"/>
        <v>1.9515099240499756</v>
      </c>
      <c r="AA162" s="17">
        <f t="shared" si="117"/>
        <v>1.8148117278871088</v>
      </c>
      <c r="AB162" s="17">
        <f t="shared" si="117"/>
        <v>1.7928559047831916</v>
      </c>
      <c r="AC162" s="17">
        <f t="shared" si="117"/>
        <v>1.616255177868515</v>
      </c>
      <c r="AD162" s="17">
        <f t="shared" si="117"/>
        <v>1.6083952216069843</v>
      </c>
      <c r="AE162" s="17">
        <f t="shared" si="117"/>
        <v>1.6893023640912919</v>
      </c>
      <c r="AF162" s="17">
        <f t="shared" si="117"/>
        <v>1.6843325255143773</v>
      </c>
      <c r="AG162" s="17">
        <f t="shared" si="117"/>
        <v>1.6941998129594384</v>
      </c>
      <c r="AH162" s="17">
        <f t="shared" si="117"/>
        <v>1.6688124760979777</v>
      </c>
      <c r="AI162" s="17">
        <f t="shared" si="117"/>
        <v>1.79995434776192</v>
      </c>
      <c r="AJ162" s="17">
        <f t="shared" si="117"/>
        <v>1.8823584823838055</v>
      </c>
      <c r="AK162" s="17">
        <f t="shared" si="117"/>
        <v>1.7558037437553453</v>
      </c>
      <c r="AL162" s="73">
        <f t="shared" si="28"/>
        <v>1.642248386929049E-8</v>
      </c>
      <c r="AM162" s="16">
        <f t="shared" si="79"/>
        <v>6.7136207710509987E-2</v>
      </c>
    </row>
    <row r="163" spans="9:39" ht="15">
      <c r="I163" s="26" t="s">
        <v>273</v>
      </c>
      <c r="J163" s="17">
        <v>2.39</v>
      </c>
      <c r="K163" s="17">
        <v>1.55</v>
      </c>
      <c r="L163" s="17">
        <v>1.47</v>
      </c>
      <c r="M163" s="17">
        <v>1.69</v>
      </c>
      <c r="N163" s="17">
        <v>1.59</v>
      </c>
      <c r="O163" s="17">
        <v>1.52</v>
      </c>
      <c r="P163" s="17">
        <v>1.57</v>
      </c>
      <c r="Q163" s="17">
        <v>1.82</v>
      </c>
      <c r="R163" s="17">
        <v>1.52</v>
      </c>
      <c r="S163" s="17">
        <v>1.33</v>
      </c>
      <c r="T163" s="17">
        <v>2.6379617083375939E-6</v>
      </c>
      <c r="U163" s="17">
        <v>2.6372701660313869E-6</v>
      </c>
      <c r="V163" s="17">
        <f>IFERROR((V161-V152)/V39,0)</f>
        <v>1.6453417390103733</v>
      </c>
      <c r="W163" s="73">
        <f t="shared" si="26"/>
        <v>1.5654383354058295E-8</v>
      </c>
      <c r="X163" s="89"/>
      <c r="Y163" s="17">
        <f t="shared" ref="Y163:AJ163" si="118">IFERROR(Y162/Y40,0)</f>
        <v>6.1713675423960448E-6</v>
      </c>
      <c r="Z163" s="17">
        <f t="shared" si="118"/>
        <v>6.3884439775758268E-6</v>
      </c>
      <c r="AA163" s="17">
        <f t="shared" si="118"/>
        <v>5.4558652212999493E-6</v>
      </c>
      <c r="AB163" s="17">
        <f t="shared" si="118"/>
        <v>5.7796027929465497E-6</v>
      </c>
      <c r="AC163" s="17">
        <f t="shared" si="118"/>
        <v>4.3955333036042986E-6</v>
      </c>
      <c r="AD163" s="17">
        <f t="shared" si="118"/>
        <v>4.4863955080319223E-6</v>
      </c>
      <c r="AE163" s="17">
        <f t="shared" si="118"/>
        <v>4.6319820020929081E-6</v>
      </c>
      <c r="AF163" s="17">
        <f t="shared" si="118"/>
        <v>4.3592304151952271E-6</v>
      </c>
      <c r="AG163" s="17">
        <f t="shared" si="118"/>
        <v>4.5197343247460646E-6</v>
      </c>
      <c r="AH163" s="17">
        <f t="shared" si="118"/>
        <v>4.4113234296883911E-6</v>
      </c>
      <c r="AI163" s="17">
        <f t="shared" si="118"/>
        <v>5.4520445617866198E-6</v>
      </c>
      <c r="AJ163" s="17">
        <f t="shared" si="118"/>
        <v>6.1079442744346057E-6</v>
      </c>
      <c r="AK163" s="17">
        <f>IFERROR((AK161-AK152)/AK39,0)</f>
        <v>1.7558037437553453</v>
      </c>
      <c r="AL163" s="73">
        <f t="shared" si="28"/>
        <v>1.642248386929049E-8</v>
      </c>
      <c r="AM163" s="16">
        <f t="shared" si="79"/>
        <v>6.7136207710509987E-2</v>
      </c>
    </row>
    <row r="164" spans="9:39" ht="15.75">
      <c r="I164" s="25" t="s">
        <v>274</v>
      </c>
      <c r="J164" s="24">
        <v>46077</v>
      </c>
      <c r="K164" s="24">
        <v>510710</v>
      </c>
      <c r="L164" s="24">
        <v>526671</v>
      </c>
      <c r="M164" s="24">
        <v>373063</v>
      </c>
      <c r="N164" s="24">
        <v>703446</v>
      </c>
      <c r="O164" s="24">
        <v>521561</v>
      </c>
      <c r="P164" s="24">
        <v>349043</v>
      </c>
      <c r="Q164" s="24">
        <v>163237</v>
      </c>
      <c r="R164" s="24">
        <v>322039</v>
      </c>
      <c r="S164" s="24">
        <v>730174</v>
      </c>
      <c r="T164" s="24">
        <f t="shared" ref="R164:U164" si="119">T34-T161</f>
        <v>416165.4601121333</v>
      </c>
      <c r="U164" s="24">
        <f t="shared" si="119"/>
        <v>487022.35878950963</v>
      </c>
      <c r="V164" s="24">
        <f>V34-V161</f>
        <v>5150733.8189016432</v>
      </c>
      <c r="W164" s="77">
        <f t="shared" si="26"/>
        <v>4.9005966264671928E-2</v>
      </c>
      <c r="X164" s="89"/>
      <c r="Y164" s="24">
        <f t="shared" ref="Y164:AK164" si="120">Y34-Y161</f>
        <v>233607.82168138516</v>
      </c>
      <c r="Z164" s="24">
        <f t="shared" si="120"/>
        <v>215420.93192214472</v>
      </c>
      <c r="AA164" s="24">
        <f t="shared" si="120"/>
        <v>339043.16446002503</v>
      </c>
      <c r="AB164" s="24">
        <f t="shared" si="120"/>
        <v>274720.83478595386</v>
      </c>
      <c r="AC164" s="24">
        <f t="shared" si="120"/>
        <v>492753.080754961</v>
      </c>
      <c r="AD164" s="24">
        <f t="shared" si="120"/>
        <v>426785.03811341128</v>
      </c>
      <c r="AE164" s="24">
        <f t="shared" si="120"/>
        <v>403122.7054672339</v>
      </c>
      <c r="AF164" s="24">
        <f t="shared" si="120"/>
        <v>434785.49248976319</v>
      </c>
      <c r="AG164" s="24">
        <f t="shared" si="120"/>
        <v>377737.73821153329</v>
      </c>
      <c r="AH164" s="24">
        <f t="shared" si="120"/>
        <v>426790.64847419364</v>
      </c>
      <c r="AI164" s="24">
        <f t="shared" si="120"/>
        <v>263093.46829816443</v>
      </c>
      <c r="AJ164" s="24">
        <f t="shared" si="120"/>
        <v>234023.37623457052</v>
      </c>
      <c r="AK164" s="24">
        <f t="shared" si="120"/>
        <v>4121884.3008933347</v>
      </c>
      <c r="AL164" s="77">
        <f t="shared" si="28"/>
        <v>3.8553043689109869E-2</v>
      </c>
      <c r="AM164" s="23">
        <f t="shared" si="79"/>
        <v>-0.1997481435038907</v>
      </c>
    </row>
    <row r="165" spans="9:39">
      <c r="I165" s="26" t="s">
        <v>309</v>
      </c>
      <c r="J165" s="17">
        <f t="shared" ref="J165:U165" si="121">+J164/J39</f>
        <v>0.11088356467666481</v>
      </c>
      <c r="K165" s="17">
        <f t="shared" si="121"/>
        <v>1.2611337881919493</v>
      </c>
      <c r="L165" s="17">
        <f t="shared" si="121"/>
        <v>1.149512516123963</v>
      </c>
      <c r="M165" s="17">
        <f t="shared" si="121"/>
        <v>0.89892316107283898</v>
      </c>
      <c r="N165" s="17">
        <f t="shared" si="121"/>
        <v>1.4999648168878938</v>
      </c>
      <c r="O165" s="17">
        <f t="shared" si="121"/>
        <v>1.112967380959494</v>
      </c>
      <c r="P165" s="17">
        <f t="shared" si="121"/>
        <v>0.7321699767580403</v>
      </c>
      <c r="Q165" s="17">
        <f t="shared" si="121"/>
        <v>0.36666239889307428</v>
      </c>
      <c r="R165" s="17">
        <f t="shared" si="121"/>
        <v>0.72547645866186083</v>
      </c>
      <c r="S165" s="17">
        <f t="shared" si="121"/>
        <v>1.4173099655850445</v>
      </c>
      <c r="T165" s="17">
        <f t="shared" si="121"/>
        <v>0.95565867182302844</v>
      </c>
      <c r="U165" s="17">
        <f t="shared" si="121"/>
        <v>1.1919556690908748</v>
      </c>
      <c r="V165" s="17">
        <f>+V164/V39</f>
        <v>0.96161227247605141</v>
      </c>
      <c r="W165" s="73">
        <f t="shared" ref="W165" si="122">V165/V$6</f>
        <v>9.1491310251215614E-9</v>
      </c>
      <c r="X165" s="89"/>
      <c r="Y165" s="17">
        <f t="shared" ref="Y165:AK165" si="123">+Y164/Y39</f>
        <v>0.5512088475528778</v>
      </c>
      <c r="Z165" s="17">
        <f t="shared" si="123"/>
        <v>0.52352328509839952</v>
      </c>
      <c r="AA165" s="17">
        <f t="shared" si="123"/>
        <v>0.75354479789128781</v>
      </c>
      <c r="AB165" s="17">
        <f t="shared" si="123"/>
        <v>0.64988996185634873</v>
      </c>
      <c r="AC165" s="17">
        <f t="shared" si="123"/>
        <v>1.0188342680876037</v>
      </c>
      <c r="AD165" s="17">
        <f t="shared" si="123"/>
        <v>0.88817330831892805</v>
      </c>
      <c r="AE165" s="17">
        <f t="shared" si="123"/>
        <v>0.82933748383435146</v>
      </c>
      <c r="AF165" s="17">
        <f t="shared" si="123"/>
        <v>0.87553865646197115</v>
      </c>
      <c r="AG165" s="17">
        <f t="shared" si="123"/>
        <v>0.78318454564809625</v>
      </c>
      <c r="AH165" s="17">
        <f t="shared" si="123"/>
        <v>0.85639884916213072</v>
      </c>
      <c r="AI165" s="17">
        <f t="shared" si="123"/>
        <v>0.59026094241764959</v>
      </c>
      <c r="AJ165" s="17">
        <f t="shared" si="123"/>
        <v>0.56246154789956138</v>
      </c>
      <c r="AK165" s="17">
        <f t="shared" si="123"/>
        <v>0.74981032302294004</v>
      </c>
      <c r="AL165" s="73">
        <f t="shared" ref="AL165" si="124">AK165/AK$6</f>
        <v>7.0131687431847329E-9</v>
      </c>
      <c r="AM165" s="16">
        <f t="shared" si="79"/>
        <v>-0.22025711975133533</v>
      </c>
    </row>
  </sheetData>
  <mergeCells count="4">
    <mergeCell ref="J2:U2"/>
    <mergeCell ref="V2:W2"/>
    <mergeCell ref="Y2:AJ2"/>
    <mergeCell ref="AK2:AL2"/>
  </mergeCells>
  <conditionalFormatting sqref="AM1:AM159 AM161:AM165">
    <cfRule type="cellIs" dxfId="26" priority="3" operator="lessThan">
      <formula>0</formula>
    </cfRule>
  </conditionalFormatting>
  <conditionalFormatting sqref="AO43:AO46">
    <cfRule type="cellIs" dxfId="25" priority="2" operator="lessThan">
      <formula>0</formula>
    </cfRule>
  </conditionalFormatting>
  <conditionalFormatting sqref="AM160">
    <cfRule type="cellIs" dxfId="24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41">
    <outlinePr summaryBelow="0" summaryRight="0"/>
  </sheetPr>
  <dimension ref="A1:AO168"/>
  <sheetViews>
    <sheetView showGridLines="0" zoomScale="70" zoomScaleNormal="70" workbookViewId="0">
      <pane xSplit="9" ySplit="3" topLeftCell="V43" activePane="bottomRight" state="frozen"/>
      <selection pane="bottomRight" activeCell="AE63" sqref="AE63"/>
      <selection pane="bottomLeft" activeCell="AB112" sqref="AB112"/>
      <selection pane="topRight" activeCell="AB112" sqref="AB112"/>
    </sheetView>
  </sheetViews>
  <sheetFormatPr defaultColWidth="11.42578125" defaultRowHeight="14.45" outlineLevelRow="1" outlineLevelCol="1"/>
  <cols>
    <col min="1" max="1" width="2.5703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0.28515625" style="7" customWidth="1"/>
    <col min="6" max="8" width="10.28515625" style="6" hidden="1" customWidth="1"/>
    <col min="9" max="9" width="29.7109375" style="5" customWidth="1" collapsed="1"/>
    <col min="10" max="10" width="16" style="4" hidden="1" customWidth="1" outlineLevel="1"/>
    <col min="11" max="12" width="16.42578125" style="4" hidden="1" customWidth="1" outlineLevel="1"/>
    <col min="13" max="14" width="16.42578125" style="3" hidden="1" customWidth="1" outlineLevel="1"/>
    <col min="15" max="15" width="17.42578125" style="3" hidden="1" customWidth="1" outlineLevel="1"/>
    <col min="16" max="16" width="16.42578125" style="3" hidden="1" customWidth="1" outlineLevel="1"/>
    <col min="17" max="17" width="17.42578125" style="4" hidden="1" customWidth="1" outlineLevel="1"/>
    <col min="18" max="19" width="17.42578125" style="3" hidden="1" customWidth="1" outlineLevel="1"/>
    <col min="20" max="20" width="18.28515625" style="3" hidden="1" customWidth="1" outlineLevel="1"/>
    <col min="21" max="21" width="17.42578125" style="4" hidden="1" customWidth="1" outlineLevel="1"/>
    <col min="22" max="22" width="18" style="4" bestFit="1" customWidth="1"/>
    <col min="23" max="23" width="6.7109375" style="83" bestFit="1" customWidth="1"/>
    <col min="24" max="24" width="1.140625" style="93" customWidth="1"/>
    <col min="25" max="25" width="18.28515625" style="4" customWidth="1" outlineLevel="1"/>
    <col min="26" max="27" width="16.42578125" style="4" customWidth="1" outlineLevel="1"/>
    <col min="28" max="28" width="16.42578125" style="3" customWidth="1" outlineLevel="1"/>
    <col min="29" max="29" width="17.85546875" style="3" customWidth="1" outlineLevel="1"/>
    <col min="30" max="31" width="18.28515625" style="3" customWidth="1" outlineLevel="1"/>
    <col min="32" max="32" width="16.42578125" style="4" customWidth="1" outlineLevel="1"/>
    <col min="33" max="33" width="16.42578125" style="3" customWidth="1" outlineLevel="1"/>
    <col min="34" max="34" width="18.28515625" style="3" customWidth="1" outlineLevel="1"/>
    <col min="35" max="35" width="16.42578125" style="3" customWidth="1" outlineLevel="1"/>
    <col min="36" max="36" width="18.28515625" style="4" customWidth="1" outlineLevel="1"/>
    <col min="37" max="37" width="19.5703125" style="4" bestFit="1" customWidth="1"/>
    <col min="38" max="38" width="6.7109375" style="83" bestFit="1" customWidth="1"/>
    <col min="39" max="39" width="9.140625" style="2" bestFit="1" customWidth="1"/>
    <col min="40" max="40" width="12.5703125" style="1" bestFit="1" customWidth="1"/>
    <col min="41" max="16384" width="11.42578125" style="1"/>
  </cols>
  <sheetData>
    <row r="1" spans="1:40" s="57" customFormat="1" ht="6.75" customHeight="1">
      <c r="A1" s="6"/>
      <c r="B1" s="8"/>
      <c r="C1" s="8"/>
      <c r="D1" s="6"/>
      <c r="E1" s="7" t="s">
        <v>475</v>
      </c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0" s="52" customFormat="1" ht="18" customHeight="1">
      <c r="A2" s="55"/>
      <c r="B2" s="55"/>
      <c r="C2" s="55"/>
      <c r="D2" s="55"/>
      <c r="E2" s="56"/>
      <c r="F2" s="55"/>
      <c r="G2" s="55"/>
      <c r="H2" s="55"/>
      <c r="I2" s="54"/>
      <c r="J2" s="309">
        <v>2025</v>
      </c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1"/>
      <c r="V2" s="312" t="s">
        <v>81</v>
      </c>
      <c r="W2" s="313"/>
      <c r="X2" s="85"/>
      <c r="Y2" s="309">
        <v>2026</v>
      </c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1"/>
      <c r="AK2" s="312" t="s">
        <v>81</v>
      </c>
      <c r="AL2" s="314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2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82</v>
      </c>
      <c r="X3" s="86"/>
      <c r="Y3" s="132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82</v>
      </c>
      <c r="AM3" s="45" t="s">
        <v>83</v>
      </c>
    </row>
    <row r="4" spans="1:40" ht="14.45" customHeight="1">
      <c r="I4" s="43" t="s">
        <v>84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 ht="14.45" customHeight="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0" ht="14.45" customHeight="1" collapsed="1">
      <c r="A6" s="12" t="s">
        <v>85</v>
      </c>
      <c r="B6" s="19"/>
      <c r="C6" s="19"/>
      <c r="D6" s="12"/>
      <c r="E6" s="7" t="s">
        <v>86</v>
      </c>
      <c r="I6" s="167" t="s">
        <v>87</v>
      </c>
      <c r="J6" s="15">
        <v>16804538</v>
      </c>
      <c r="K6" s="15">
        <v>16823178</v>
      </c>
      <c r="L6" s="15">
        <v>18413738</v>
      </c>
      <c r="M6" s="15">
        <v>17031426</v>
      </c>
      <c r="N6" s="15">
        <v>18946042</v>
      </c>
      <c r="O6" s="15">
        <v>18688505</v>
      </c>
      <c r="P6" s="15">
        <v>18531127</v>
      </c>
      <c r="Q6" s="15">
        <v>16382884</v>
      </c>
      <c r="R6" s="15">
        <v>16871991</v>
      </c>
      <c r="S6" s="15">
        <v>19010743</v>
      </c>
      <c r="T6" s="15">
        <v>18677171.516107105</v>
      </c>
      <c r="U6" s="15">
        <v>18485828.319921356</v>
      </c>
      <c r="V6" s="15">
        <f t="shared" ref="V6" si="1">SUM(V7:V12)</f>
        <v>214667171.83602846</v>
      </c>
      <c r="W6" s="72">
        <f t="shared" ref="W6:W34" si="2">V6/V$6</f>
        <v>1</v>
      </c>
      <c r="X6" s="89"/>
      <c r="Y6" s="15">
        <f t="shared" ref="Y6:AJ6" si="3">SUM(Y7:Y12)</f>
        <v>16546785.839999998</v>
      </c>
      <c r="Z6" s="15">
        <f t="shared" si="3"/>
        <v>16605570.320232</v>
      </c>
      <c r="AA6" s="15">
        <f t="shared" si="3"/>
        <v>18707741.442064628</v>
      </c>
      <c r="AB6" s="15">
        <f t="shared" si="3"/>
        <v>17526637.444066174</v>
      </c>
      <c r="AC6" s="15">
        <f t="shared" si="3"/>
        <v>20068255.719628312</v>
      </c>
      <c r="AD6" s="15">
        <f t="shared" si="3"/>
        <v>20026205.003087267</v>
      </c>
      <c r="AE6" s="15">
        <f t="shared" si="3"/>
        <v>19936601.651955787</v>
      </c>
      <c r="AF6" s="15">
        <f t="shared" si="3"/>
        <v>20006295.592613406</v>
      </c>
      <c r="AG6" s="15">
        <f t="shared" si="3"/>
        <v>20141806.248859949</v>
      </c>
      <c r="AH6" s="15">
        <f t="shared" si="3"/>
        <v>20769002.527227543</v>
      </c>
      <c r="AI6" s="15">
        <f t="shared" si="3"/>
        <v>20335321.470504895</v>
      </c>
      <c r="AJ6" s="15">
        <f t="shared" si="3"/>
        <v>19246657.17385729</v>
      </c>
      <c r="AK6" s="15">
        <f>SUM(AK7:AK12)</f>
        <v>229916880.43409729</v>
      </c>
      <c r="AL6" s="72">
        <f t="shared" ref="AL6:AL34" si="4">AK6/AK$6</f>
        <v>1</v>
      </c>
      <c r="AM6" s="10">
        <f>IFERROR(AK6/V6-1,0)</f>
        <v>7.1038848034562063E-2</v>
      </c>
      <c r="AN6" s="9"/>
    </row>
    <row r="7" spans="1:40" ht="15" hidden="1" customHeight="1" outlineLevel="1">
      <c r="A7" s="12" t="s">
        <v>85</v>
      </c>
      <c r="B7" s="19" t="s">
        <v>88</v>
      </c>
      <c r="C7" s="19" t="s">
        <v>89</v>
      </c>
      <c r="D7" s="12" t="s">
        <v>90</v>
      </c>
      <c r="E7" s="20"/>
      <c r="F7" s="12"/>
      <c r="G7" s="12"/>
      <c r="H7" s="12"/>
      <c r="I7" s="117" t="s">
        <v>22</v>
      </c>
      <c r="J7" s="65">
        <v>11147220</v>
      </c>
      <c r="K7" s="65">
        <v>11202823</v>
      </c>
      <c r="L7" s="65">
        <v>12003091</v>
      </c>
      <c r="M7" s="65">
        <v>11221100</v>
      </c>
      <c r="N7" s="65">
        <v>12548207</v>
      </c>
      <c r="O7" s="65">
        <v>12359458</v>
      </c>
      <c r="P7" s="65">
        <v>11903494</v>
      </c>
      <c r="Q7" s="65">
        <v>11597547</v>
      </c>
      <c r="R7" s="65">
        <v>11880769</v>
      </c>
      <c r="S7" s="65">
        <v>12758155</v>
      </c>
      <c r="T7" s="65">
        <v>13287179.852624992</v>
      </c>
      <c r="U7" s="65">
        <v>13273528.117761061</v>
      </c>
      <c r="V7" s="11">
        <f t="shared" ref="V7:V33" si="5">SUM(J7:U7)</f>
        <v>145182571.97038606</v>
      </c>
      <c r="W7" s="73">
        <f t="shared" si="2"/>
        <v>0.67631473750109505</v>
      </c>
      <c r="X7" s="89"/>
      <c r="Y7" s="65">
        <f>IFERROR(Y40*'[3]Margen ctvs-lit'!W$13,0)</f>
        <v>11050844.399999999</v>
      </c>
      <c r="Z7" s="65">
        <f>IFERROR(Z40*'[3]Margen ctvs-lit'!X$13,0)</f>
        <v>11126193.47136</v>
      </c>
      <c r="AA7" s="65">
        <f>IFERROR(AA40*'[3]Margen ctvs-lit'!Y$13,0)</f>
        <v>12333055.787580097</v>
      </c>
      <c r="AB7" s="65">
        <f>IFERROR(AB40*'[3]Margen ctvs-lit'!Z$13,0)</f>
        <v>11710638.99678701</v>
      </c>
      <c r="AC7" s="65">
        <f>IFERROR(AC40*'[3]Margen ctvs-lit'!AA$13,0)</f>
        <v>13389498.691701278</v>
      </c>
      <c r="AD7" s="65">
        <f>IFERROR(AD40*'[3]Margen ctvs-lit'!AB$13,0)</f>
        <v>13277595.319270043</v>
      </c>
      <c r="AE7" s="65">
        <f>IFERROR(AE40*'[3]Margen ctvs-lit'!AC$13,0)</f>
        <v>12927874.605664322</v>
      </c>
      <c r="AF7" s="65">
        <f>IFERROR(AF40*'[3]Margen ctvs-lit'!AD$13,0)</f>
        <v>13763640.402515201</v>
      </c>
      <c r="AG7" s="65">
        <f>IFERROR(AG40*'[3]Margen ctvs-lit'!AE$13,0)</f>
        <v>13634189.963811804</v>
      </c>
      <c r="AH7" s="65">
        <f>IFERROR(AH40*'[3]Margen ctvs-lit'!AF$13,0)</f>
        <v>14051414.41129243</v>
      </c>
      <c r="AI7" s="65">
        <f>IFERROR(AI40*'[3]Margen ctvs-lit'!AG$13,0)</f>
        <v>13751833.661117101</v>
      </c>
      <c r="AJ7" s="65">
        <f>IFERROR(AJ40*'[3]Margen ctvs-lit'!AH$13,0)</f>
        <v>12999370.683965258</v>
      </c>
      <c r="AK7" s="65">
        <f t="shared" ref="AK7:AK33" si="6">SUM(Y7:AJ7)</f>
        <v>154016150.39506456</v>
      </c>
      <c r="AL7" s="73">
        <f t="shared" si="4"/>
        <v>0.66987752314781124</v>
      </c>
      <c r="AM7" s="14">
        <f t="shared" ref="AM7:AM46" si="7">IFERROR(AK7/V7-1,0)</f>
        <v>6.0844620017341811E-2</v>
      </c>
      <c r="AN7" s="9"/>
    </row>
    <row r="8" spans="1:40" ht="15" hidden="1" customHeight="1" outlineLevel="1">
      <c r="A8" s="12" t="s">
        <v>85</v>
      </c>
      <c r="B8" s="19" t="s">
        <v>88</v>
      </c>
      <c r="C8" s="19" t="s">
        <v>91</v>
      </c>
      <c r="D8" s="12" t="s">
        <v>92</v>
      </c>
      <c r="E8" s="20"/>
      <c r="F8" s="12"/>
      <c r="G8" s="12"/>
      <c r="H8" s="12"/>
      <c r="I8" s="117" t="s">
        <v>23</v>
      </c>
      <c r="J8" s="65">
        <v>1589479</v>
      </c>
      <c r="K8" s="65">
        <v>1615219</v>
      </c>
      <c r="L8" s="65">
        <v>1839874</v>
      </c>
      <c r="M8" s="65">
        <v>1777460</v>
      </c>
      <c r="N8" s="65">
        <v>2082113</v>
      </c>
      <c r="O8" s="65">
        <v>2003883</v>
      </c>
      <c r="P8" s="65">
        <v>1984197</v>
      </c>
      <c r="Q8" s="65">
        <v>1027806</v>
      </c>
      <c r="R8" s="65">
        <v>1507531</v>
      </c>
      <c r="S8" s="65">
        <v>1838679</v>
      </c>
      <c r="T8" s="65">
        <v>1762476.5545347047</v>
      </c>
      <c r="U8" s="65">
        <v>1714804.5543386037</v>
      </c>
      <c r="V8" s="11">
        <f t="shared" si="5"/>
        <v>20743522.108873308</v>
      </c>
      <c r="W8" s="73">
        <f t="shared" si="2"/>
        <v>9.6631086772401592E-2</v>
      </c>
      <c r="X8" s="89"/>
      <c r="Y8" s="65">
        <f>IFERROR(Y41*'[3]Margen ctvs-lit'!W$14,0)</f>
        <v>1563290.88</v>
      </c>
      <c r="Z8" s="65">
        <f>IFERROR(Z41*'[3]Margen ctvs-lit'!X$14,0)</f>
        <v>1596587.4208080003</v>
      </c>
      <c r="AA8" s="65">
        <f>IFERROR(AA41*'[3]Margen ctvs-lit'!Y$14,0)</f>
        <v>1859668.810243546</v>
      </c>
      <c r="AB8" s="65">
        <f>IFERROR(AB41*'[3]Margen ctvs-lit'!Z$14,0)</f>
        <v>1782718.2703270835</v>
      </c>
      <c r="AC8" s="65">
        <f>IFERROR(AC41*'[3]Margen ctvs-lit'!AA$14,0)</f>
        <v>2215953.682366814</v>
      </c>
      <c r="AD8" s="65">
        <f>IFERROR(AD41*'[3]Margen ctvs-lit'!AB$14,0)</f>
        <v>2184128.3076005168</v>
      </c>
      <c r="AE8" s="65">
        <f>IFERROR(AE41*'[3]Margen ctvs-lit'!AC$14,0)</f>
        <v>2174230.4908596659</v>
      </c>
      <c r="AF8" s="65">
        <f>IFERROR(AF41*'[3]Margen ctvs-lit'!AD$14,0)</f>
        <v>2182133.5435601552</v>
      </c>
      <c r="AG8" s="65">
        <f>IFERROR(AG41*'[3]Margen ctvs-lit'!AE$14,0)</f>
        <v>2177286.6194540439</v>
      </c>
      <c r="AH8" s="65">
        <f>IFERROR(AH41*'[3]Margen ctvs-lit'!AF$14,0)</f>
        <v>1998438.2811407275</v>
      </c>
      <c r="AI8" s="65">
        <f>IFERROR(AI41*'[3]Margen ctvs-lit'!AG$14,0)</f>
        <v>1947955.9588043881</v>
      </c>
      <c r="AJ8" s="65">
        <f>IFERROR(AJ41*'[3]Margen ctvs-lit'!AH$14,0)</f>
        <v>1897416.765610717</v>
      </c>
      <c r="AK8" s="65">
        <f t="shared" si="6"/>
        <v>23579809.030775659</v>
      </c>
      <c r="AL8" s="73">
        <f t="shared" si="4"/>
        <v>0.10255797219523648</v>
      </c>
      <c r="AM8" s="14">
        <f t="shared" si="7"/>
        <v>0.13673121213533412</v>
      </c>
      <c r="AN8" s="9"/>
    </row>
    <row r="9" spans="1:40" ht="15" hidden="1" customHeight="1" outlineLevel="1">
      <c r="A9" s="12" t="s">
        <v>85</v>
      </c>
      <c r="B9" s="19" t="s">
        <v>88</v>
      </c>
      <c r="C9" s="19" t="s">
        <v>93</v>
      </c>
      <c r="D9" s="12" t="s">
        <v>94</v>
      </c>
      <c r="E9" s="20"/>
      <c r="F9" s="12"/>
      <c r="G9" s="12"/>
      <c r="H9" s="12"/>
      <c r="I9" s="117" t="s">
        <v>5</v>
      </c>
      <c r="J9" s="65">
        <v>4056444</v>
      </c>
      <c r="K9" s="65">
        <v>3993464</v>
      </c>
      <c r="L9" s="65">
        <v>4555367</v>
      </c>
      <c r="M9" s="65">
        <v>4018471</v>
      </c>
      <c r="N9" s="65">
        <v>4299815</v>
      </c>
      <c r="O9" s="65">
        <v>4309293</v>
      </c>
      <c r="P9" s="65">
        <v>4628709</v>
      </c>
      <c r="Q9" s="65">
        <v>3747338</v>
      </c>
      <c r="R9" s="65">
        <v>3471173</v>
      </c>
      <c r="S9" s="65">
        <v>4400719</v>
      </c>
      <c r="T9" s="65">
        <v>3614295.9089474087</v>
      </c>
      <c r="U9" s="65">
        <v>3485195.6478216909</v>
      </c>
      <c r="V9" s="11">
        <f t="shared" si="5"/>
        <v>48580284.556769103</v>
      </c>
      <c r="W9" s="73">
        <f t="shared" si="2"/>
        <v>0.22630514084322453</v>
      </c>
      <c r="X9" s="89"/>
      <c r="Y9" s="65">
        <f>IFERROR(Y42*'[3]Margen ctvs-lit'!W$15,0)</f>
        <v>3919930.56</v>
      </c>
      <c r="Z9" s="65">
        <f>IFERROR(Z42*'[3]Margen ctvs-lit'!X$15,0)</f>
        <v>3869229.4280640003</v>
      </c>
      <c r="AA9" s="65">
        <f>IFERROR(AA42*'[3]Margen ctvs-lit'!Y$15,0)</f>
        <v>4479736.8442409858</v>
      </c>
      <c r="AB9" s="65">
        <f>IFERROR(AB42*'[3]Margen ctvs-lit'!Z$15,0)</f>
        <v>4020560.1769520813</v>
      </c>
      <c r="AC9" s="65">
        <f>IFERROR(AC42*'[3]Margen ctvs-lit'!AA$15,0)</f>
        <v>4448163.3455602182</v>
      </c>
      <c r="AD9" s="65">
        <f>IFERROR(AD42*'[3]Margen ctvs-lit'!AB$15,0)</f>
        <v>4552721.3762167068</v>
      </c>
      <c r="AE9" s="65">
        <f>IFERROR(AE42*'[3]Margen ctvs-lit'!AC$15,0)</f>
        <v>4820576.5554317972</v>
      </c>
      <c r="AF9" s="65">
        <f>IFERROR(AF42*'[3]Margen ctvs-lit'!AD$15,0)</f>
        <v>4047681.6465380499</v>
      </c>
      <c r="AG9" s="65">
        <f>IFERROR(AG42*'[3]Margen ctvs-lit'!AE$15,0)</f>
        <v>4315989.6655941</v>
      </c>
      <c r="AH9" s="65">
        <f>IFERROR(AH42*'[3]Margen ctvs-lit'!AF$15,0)</f>
        <v>4702229.8347943835</v>
      </c>
      <c r="AI9" s="65">
        <f>IFERROR(AI42*'[3]Margen ctvs-lit'!AG$15,0)</f>
        <v>4617951.850583408</v>
      </c>
      <c r="AJ9" s="65">
        <f>IFERROR(AJ42*'[3]Margen ctvs-lit'!AH$15,0)</f>
        <v>4334269.7242813157</v>
      </c>
      <c r="AK9" s="65">
        <f t="shared" si="6"/>
        <v>52129041.008257054</v>
      </c>
      <c r="AL9" s="73">
        <f t="shared" si="4"/>
        <v>0.22672994218534193</v>
      </c>
      <c r="AM9" s="14">
        <f t="shared" si="7"/>
        <v>7.3049313808382532E-2</v>
      </c>
      <c r="AN9" s="9"/>
    </row>
    <row r="10" spans="1:40" ht="15" hidden="1" customHeight="1" outlineLevel="1">
      <c r="A10" s="12"/>
      <c r="B10" s="19"/>
      <c r="C10" s="19"/>
      <c r="D10" s="12"/>
      <c r="E10" s="20"/>
      <c r="F10" s="12"/>
      <c r="G10" s="12"/>
      <c r="H10" s="12"/>
      <c r="I10" s="117" t="s">
        <v>95</v>
      </c>
      <c r="J10" s="65">
        <v>11395</v>
      </c>
      <c r="K10" s="65">
        <v>11672</v>
      </c>
      <c r="L10" s="65">
        <v>15407</v>
      </c>
      <c r="M10" s="65">
        <v>14395</v>
      </c>
      <c r="N10" s="65">
        <v>15906</v>
      </c>
      <c r="O10" s="65">
        <v>15870</v>
      </c>
      <c r="P10" s="65">
        <v>14728</v>
      </c>
      <c r="Q10" s="65">
        <v>10193</v>
      </c>
      <c r="R10" s="65">
        <v>12518</v>
      </c>
      <c r="S10" s="65">
        <v>13190</v>
      </c>
      <c r="T10" s="65">
        <v>13219.199999999999</v>
      </c>
      <c r="U10" s="65">
        <v>12300</v>
      </c>
      <c r="V10" s="11">
        <f t="shared" si="5"/>
        <v>160793.20000000001</v>
      </c>
      <c r="W10" s="73">
        <f t="shared" si="2"/>
        <v>7.4903488327884816E-4</v>
      </c>
      <c r="X10" s="89"/>
      <c r="Y10" s="65">
        <f>VLOOKUP($E$1,'[3]Resumen x Tipo Combustible'!$C$60:$O$66,Y1,0)</f>
        <v>12720</v>
      </c>
      <c r="Z10" s="65">
        <f>VLOOKUP($E$1,'[3]Resumen x Tipo Combustible'!$C$60:$O$66,Z1,0)</f>
        <v>13560</v>
      </c>
      <c r="AA10" s="65">
        <f>VLOOKUP($E$1,'[3]Resumen x Tipo Combustible'!$C$60:$O$66,AA1,0)</f>
        <v>35280</v>
      </c>
      <c r="AB10" s="65">
        <f>VLOOKUP($E$1,'[3]Resumen x Tipo Combustible'!$C$60:$O$66,AB1,0)</f>
        <v>12720</v>
      </c>
      <c r="AC10" s="65">
        <f>VLOOKUP($E$1,'[3]Resumen x Tipo Combustible'!$C$60:$O$66,AC1,0)</f>
        <v>14640</v>
      </c>
      <c r="AD10" s="65">
        <f>VLOOKUP($E$1,'[3]Resumen x Tipo Combustible'!$C$60:$O$66,AD1,0)</f>
        <v>11760</v>
      </c>
      <c r="AE10" s="65">
        <f>VLOOKUP($E$1,'[3]Resumen x Tipo Combustible'!$C$60:$O$66,AE1,0)</f>
        <v>13920</v>
      </c>
      <c r="AF10" s="65">
        <f>VLOOKUP($E$1,'[3]Resumen x Tipo Combustible'!$C$60:$O$66,AF1,0)</f>
        <v>12840</v>
      </c>
      <c r="AG10" s="65">
        <f>VLOOKUP($E$1,'[3]Resumen x Tipo Combustible'!$C$60:$O$66,AG1,0)</f>
        <v>14340</v>
      </c>
      <c r="AH10" s="65">
        <f>VLOOKUP($E$1,'[3]Resumen x Tipo Combustible'!$C$60:$O$66,AH1,0)</f>
        <v>16920</v>
      </c>
      <c r="AI10" s="65">
        <f>VLOOKUP($E$1,'[3]Resumen x Tipo Combustible'!$C$60:$O$66,AI1,0)</f>
        <v>17580</v>
      </c>
      <c r="AJ10" s="65">
        <f>VLOOKUP($E$1,'[3]Resumen x Tipo Combustible'!$C$60:$O$66,AJ1,0)</f>
        <v>15600</v>
      </c>
      <c r="AK10" s="65">
        <f t="shared" si="6"/>
        <v>191880</v>
      </c>
      <c r="AL10" s="73">
        <f t="shared" si="4"/>
        <v>8.3456247161025623E-4</v>
      </c>
      <c r="AM10" s="14">
        <f t="shared" si="7"/>
        <v>0.19333404646465135</v>
      </c>
      <c r="AN10" s="9"/>
    </row>
    <row r="11" spans="1:40" ht="15" hidden="1" customHeight="1" outlineLevel="1">
      <c r="A11" s="12"/>
      <c r="B11" s="19"/>
      <c r="C11" s="19"/>
      <c r="D11" s="12"/>
      <c r="E11" s="20"/>
      <c r="F11" s="12"/>
      <c r="G11" s="12"/>
      <c r="H11" s="12"/>
      <c r="I11" s="117" t="s">
        <v>473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11">
        <f t="shared" si="5"/>
        <v>0</v>
      </c>
      <c r="W11" s="73">
        <f t="shared" si="2"/>
        <v>0</v>
      </c>
      <c r="X11" s="89"/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f t="shared" si="6"/>
        <v>0</v>
      </c>
      <c r="AL11" s="73">
        <f t="shared" si="4"/>
        <v>0</v>
      </c>
      <c r="AM11" s="14">
        <f t="shared" si="7"/>
        <v>0</v>
      </c>
      <c r="AN11" s="9"/>
    </row>
    <row r="12" spans="1:40" ht="15" hidden="1" customHeight="1" outlineLevel="1">
      <c r="A12" s="12"/>
      <c r="B12" s="19"/>
      <c r="C12" s="19"/>
      <c r="D12" s="12"/>
      <c r="E12" s="20"/>
      <c r="F12" s="12"/>
      <c r="G12" s="12"/>
      <c r="H12" s="12"/>
      <c r="I12" s="117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11">
        <f t="shared" si="5"/>
        <v>0</v>
      </c>
      <c r="W12" s="73">
        <f t="shared" si="2"/>
        <v>0</v>
      </c>
      <c r="X12" s="89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>
        <f t="shared" si="6"/>
        <v>0</v>
      </c>
      <c r="AL12" s="73">
        <f t="shared" si="4"/>
        <v>0</v>
      </c>
      <c r="AM12" s="14">
        <f t="shared" si="7"/>
        <v>0</v>
      </c>
      <c r="AN12" s="9"/>
    </row>
    <row r="13" spans="1:40" ht="14.45" customHeight="1" collapsed="1">
      <c r="A13" s="12" t="s">
        <v>97</v>
      </c>
      <c r="B13" s="19"/>
      <c r="E13" s="7" t="s">
        <v>98</v>
      </c>
      <c r="I13" s="167" t="s">
        <v>99</v>
      </c>
      <c r="J13" s="15">
        <v>14239382</v>
      </c>
      <c r="K13" s="15">
        <v>14348187</v>
      </c>
      <c r="L13" s="15">
        <v>15749754</v>
      </c>
      <c r="M13" s="15">
        <v>14547542</v>
      </c>
      <c r="N13" s="15">
        <v>15793274</v>
      </c>
      <c r="O13" s="15">
        <v>15988288</v>
      </c>
      <c r="P13" s="15">
        <v>15836357</v>
      </c>
      <c r="Q13" s="15">
        <v>14023568</v>
      </c>
      <c r="R13" s="15">
        <v>14945324</v>
      </c>
      <c r="S13" s="15">
        <v>15945134</v>
      </c>
      <c r="T13" s="15">
        <v>16056389.946107104</v>
      </c>
      <c r="U13" s="15">
        <v>15911767.079921354</v>
      </c>
      <c r="V13" s="15">
        <f t="shared" ref="V13" si="8">SUM(V14:V33)</f>
        <v>183384959.02602845</v>
      </c>
      <c r="W13" s="72">
        <f t="shared" si="2"/>
        <v>0.85427574909360326</v>
      </c>
      <c r="X13" s="89"/>
      <c r="Y13" s="15">
        <f>SUM(Y14:Y33)</f>
        <v>14308315.859999998</v>
      </c>
      <c r="Z13" s="15">
        <f t="shared" ref="Z13:AK13" si="9">SUM(Z14:Z33)</f>
        <v>14385856.480232</v>
      </c>
      <c r="AA13" s="15">
        <f t="shared" si="9"/>
        <v>16148743.892064627</v>
      </c>
      <c r="AB13" s="15">
        <f t="shared" si="9"/>
        <v>15302326.764066175</v>
      </c>
      <c r="AC13" s="15">
        <f t="shared" si="9"/>
        <v>17364618.849628311</v>
      </c>
      <c r="AD13" s="15">
        <f t="shared" si="9"/>
        <v>17482225.563087266</v>
      </c>
      <c r="AE13" s="15">
        <f t="shared" si="9"/>
        <v>17447943.081955783</v>
      </c>
      <c r="AF13" s="15">
        <f t="shared" si="9"/>
        <v>17457013.272613406</v>
      </c>
      <c r="AG13" s="15">
        <f t="shared" si="9"/>
        <v>17662134.288859949</v>
      </c>
      <c r="AH13" s="15">
        <f t="shared" si="9"/>
        <v>18215594.27722754</v>
      </c>
      <c r="AI13" s="15">
        <f t="shared" si="9"/>
        <v>17899366.570504896</v>
      </c>
      <c r="AJ13" s="15">
        <f t="shared" si="9"/>
        <v>17007420.063857291</v>
      </c>
      <c r="AK13" s="15">
        <f t="shared" si="9"/>
        <v>200681558.96409723</v>
      </c>
      <c r="AL13" s="72">
        <f t="shared" si="4"/>
        <v>0.87284395380277446</v>
      </c>
      <c r="AM13" s="10">
        <f t="shared" si="7"/>
        <v>9.4318530974035975E-2</v>
      </c>
      <c r="AN13" s="9"/>
    </row>
    <row r="14" spans="1:40" ht="14.45" hidden="1" customHeight="1" outlineLevel="1">
      <c r="A14" s="37" t="s">
        <v>97</v>
      </c>
      <c r="B14" s="39"/>
      <c r="C14" s="39" t="s">
        <v>100</v>
      </c>
      <c r="D14" s="37" t="s">
        <v>101</v>
      </c>
      <c r="E14" s="38"/>
      <c r="F14" s="37"/>
      <c r="G14" s="37"/>
      <c r="H14" s="37"/>
      <c r="I14" s="171" t="s">
        <v>102</v>
      </c>
      <c r="J14" s="65">
        <v>11605620</v>
      </c>
      <c r="K14" s="65">
        <v>11561224</v>
      </c>
      <c r="L14" s="65">
        <v>12656103</v>
      </c>
      <c r="M14" s="65">
        <v>11712222</v>
      </c>
      <c r="N14" s="65">
        <v>13032601</v>
      </c>
      <c r="O14" s="65">
        <v>13062999</v>
      </c>
      <c r="P14" s="65">
        <v>12478234</v>
      </c>
      <c r="Q14" s="65">
        <v>12137293</v>
      </c>
      <c r="R14" s="65">
        <v>12612514</v>
      </c>
      <c r="S14" s="65">
        <v>13227411</v>
      </c>
      <c r="T14" s="65">
        <v>11324213.812624991</v>
      </c>
      <c r="U14" s="65">
        <v>11334203.07776106</v>
      </c>
      <c r="V14" s="11">
        <f t="shared" si="5"/>
        <v>146744637.89038604</v>
      </c>
      <c r="W14" s="73">
        <f t="shared" si="2"/>
        <v>0.68359142497333303</v>
      </c>
      <c r="X14" s="89"/>
      <c r="Y14" s="65">
        <f>Y7-Y28-Y35</f>
        <v>9456728.339999998</v>
      </c>
      <c r="Z14" s="65">
        <f>Z7-Z28-Z35</f>
        <v>9539612.4313600007</v>
      </c>
      <c r="AA14" s="65">
        <f>AA7-AA28-AA35</f>
        <v>10532207.387580097</v>
      </c>
      <c r="AB14" s="65">
        <f>AB7-AB28-AB35</f>
        <v>10124304.71678701</v>
      </c>
      <c r="AC14" s="65">
        <f>AC7-AC28-AC35</f>
        <v>11456927.351701278</v>
      </c>
      <c r="AD14" s="65">
        <f>AD7-AD28-AD35</f>
        <v>11483996.029270042</v>
      </c>
      <c r="AE14" s="65">
        <f>AE7-AE28-AE35</f>
        <v>11215408.785664322</v>
      </c>
      <c r="AF14" s="65">
        <f>AF7-AF28-AF35</f>
        <v>11895703.122515202</v>
      </c>
      <c r="AG14" s="65">
        <f>AG7-AG28-AG35</f>
        <v>11855055.083811803</v>
      </c>
      <c r="AH14" s="65">
        <f>AH7-AH28-AH35</f>
        <v>12209743.92129243</v>
      </c>
      <c r="AI14" s="65">
        <f>AI7-AI28-AI35</f>
        <v>12005308.541117102</v>
      </c>
      <c r="AJ14" s="65">
        <f>AJ7-AJ28-AJ35</f>
        <v>11393665.243965259</v>
      </c>
      <c r="AK14" s="65">
        <f t="shared" si="6"/>
        <v>133168660.95506452</v>
      </c>
      <c r="AL14" s="73">
        <f t="shared" si="4"/>
        <v>0.57920349607925203</v>
      </c>
      <c r="AM14" s="14">
        <f t="shared" si="7"/>
        <v>-9.2514296471005508E-2</v>
      </c>
      <c r="AN14" s="9"/>
    </row>
    <row r="15" spans="1:40" ht="14.45" hidden="1" customHeight="1" outlineLevel="1">
      <c r="A15" s="37" t="s">
        <v>97</v>
      </c>
      <c r="B15" s="39"/>
      <c r="C15" s="39" t="s">
        <v>103</v>
      </c>
      <c r="D15" s="37" t="s">
        <v>104</v>
      </c>
      <c r="E15" s="38"/>
      <c r="F15" s="37"/>
      <c r="G15" s="37"/>
      <c r="H15" s="37"/>
      <c r="I15" s="172" t="s">
        <v>105</v>
      </c>
      <c r="J15" s="65">
        <v>1552952</v>
      </c>
      <c r="K15" s="65">
        <v>1570143</v>
      </c>
      <c r="L15" s="65">
        <v>1774888</v>
      </c>
      <c r="M15" s="65">
        <v>1717656</v>
      </c>
      <c r="N15" s="65">
        <v>2030655</v>
      </c>
      <c r="O15" s="65">
        <v>1978708</v>
      </c>
      <c r="P15" s="65">
        <v>2000056</v>
      </c>
      <c r="Q15" s="65">
        <v>1061393</v>
      </c>
      <c r="R15" s="65">
        <v>1550294</v>
      </c>
      <c r="S15" s="65">
        <v>1857944</v>
      </c>
      <c r="T15" s="65">
        <v>1519760.6545347045</v>
      </c>
      <c r="U15" s="65">
        <v>1478778.2543386037</v>
      </c>
      <c r="V15" s="11">
        <f t="shared" si="5"/>
        <v>20093227.908873308</v>
      </c>
      <c r="W15" s="73">
        <f t="shared" si="2"/>
        <v>9.3601773093751547E-2</v>
      </c>
      <c r="X15" s="89"/>
      <c r="Y15" s="65">
        <f>Y8-Y29-Y36</f>
        <v>1358785.92</v>
      </c>
      <c r="Z15" s="65">
        <f>Z8-Z29-Z36</f>
        <v>1389305.6408080002</v>
      </c>
      <c r="AA15" s="65">
        <f>AA8-AA29-AA36</f>
        <v>1621939.8902435461</v>
      </c>
      <c r="AB15" s="65">
        <f>AB8-AB29-AB36</f>
        <v>1557439.4803270835</v>
      </c>
      <c r="AC15" s="65">
        <f>AC8-AC29-AC36</f>
        <v>1939138.7923668141</v>
      </c>
      <c r="AD15" s="65">
        <f>AD8-AD29-AD36</f>
        <v>1917615.8076005168</v>
      </c>
      <c r="AE15" s="65">
        <f>AE8-AE29-AE36</f>
        <v>1910918.9408596659</v>
      </c>
      <c r="AF15" s="65">
        <f>AF8-AF29-AF36</f>
        <v>1919854.4635601551</v>
      </c>
      <c r="AG15" s="65">
        <f>AG8-AG29-AG36</f>
        <v>1918590.9794540438</v>
      </c>
      <c r="AH15" s="65">
        <f>AH8-AH29-AH36</f>
        <v>1762783.9611407274</v>
      </c>
      <c r="AI15" s="65">
        <f>AI8-AI29-AI36</f>
        <v>1720888.4588043881</v>
      </c>
      <c r="AJ15" s="65">
        <f>AJ8-AJ29-AJ36</f>
        <v>1678776.6956107169</v>
      </c>
      <c r="AK15" s="65">
        <f t="shared" si="6"/>
        <v>20696039.030775655</v>
      </c>
      <c r="AL15" s="73">
        <f t="shared" si="4"/>
        <v>9.0015308974705346E-2</v>
      </c>
      <c r="AM15" s="14">
        <f t="shared" si="7"/>
        <v>3.0000710917937656E-2</v>
      </c>
      <c r="AN15" s="9"/>
    </row>
    <row r="16" spans="1:40" ht="14.45" hidden="1" customHeight="1" outlineLevel="1">
      <c r="A16" s="37" t="s">
        <v>97</v>
      </c>
      <c r="B16" s="39"/>
      <c r="C16" s="39" t="s">
        <v>106</v>
      </c>
      <c r="D16" s="37" t="s">
        <v>107</v>
      </c>
      <c r="E16" s="38"/>
      <c r="F16" s="37"/>
      <c r="G16" s="37"/>
      <c r="H16" s="37"/>
      <c r="I16" s="167" t="s">
        <v>5</v>
      </c>
      <c r="J16" s="65">
        <v>3319340</v>
      </c>
      <c r="K16" s="65">
        <v>3532487</v>
      </c>
      <c r="L16" s="65">
        <v>4011717</v>
      </c>
      <c r="M16" s="65">
        <v>3582842</v>
      </c>
      <c r="N16" s="65">
        <v>3788469</v>
      </c>
      <c r="O16" s="65">
        <v>3922157</v>
      </c>
      <c r="P16" s="65">
        <v>4201106</v>
      </c>
      <c r="Q16" s="65">
        <v>3302329</v>
      </c>
      <c r="R16" s="65">
        <v>3510653</v>
      </c>
      <c r="S16" s="65">
        <v>3848563</v>
      </c>
      <c r="T16" s="65">
        <v>3201179.1589474087</v>
      </c>
      <c r="U16" s="65">
        <v>3088330.747821691</v>
      </c>
      <c r="V16" s="11">
        <f t="shared" si="5"/>
        <v>43309172.906769097</v>
      </c>
      <c r="W16" s="73">
        <f t="shared" si="2"/>
        <v>0.20175033069262407</v>
      </c>
      <c r="X16" s="89"/>
      <c r="Y16" s="65">
        <f>Y9-Y37</f>
        <v>3481989.6</v>
      </c>
      <c r="Z16" s="65">
        <f>Z9-Z37</f>
        <v>3445412.4080640003</v>
      </c>
      <c r="AA16" s="65">
        <f>AA9-AA37</f>
        <v>3964608.6142409858</v>
      </c>
      <c r="AB16" s="65">
        <f>AB9-AB37</f>
        <v>3609770.5669520814</v>
      </c>
      <c r="AC16" s="65">
        <f>AC9-AC37</f>
        <v>3956108.7055602181</v>
      </c>
      <c r="AD16" s="65">
        <f>AD9-AD37</f>
        <v>4070617.7262167069</v>
      </c>
      <c r="AE16" s="65">
        <f>AE9-AE37</f>
        <v>4309783.355431797</v>
      </c>
      <c r="AF16" s="65">
        <f>AF9-AF37</f>
        <v>3630541.68653805</v>
      </c>
      <c r="AG16" s="65">
        <f>AG9-AG37</f>
        <v>3876299.2255941001</v>
      </c>
      <c r="AH16" s="65">
        <f>AH9-AH37</f>
        <v>4228684.3947943831</v>
      </c>
      <c r="AI16" s="65">
        <f>AI9-AI37</f>
        <v>4158226.5705834082</v>
      </c>
      <c r="AJ16" s="65">
        <f>AJ9-AJ37</f>
        <v>3921718.1242813156</v>
      </c>
      <c r="AK16" s="65">
        <f t="shared" si="6"/>
        <v>46653760.978257053</v>
      </c>
      <c r="AL16" s="73">
        <f t="shared" si="4"/>
        <v>0.20291577064794836</v>
      </c>
      <c r="AM16" s="14">
        <f t="shared" si="7"/>
        <v>7.7225858796421631E-2</v>
      </c>
      <c r="AN16" s="9"/>
    </row>
    <row r="17" spans="1:40" ht="14.45" hidden="1" customHeight="1" outlineLevel="1">
      <c r="A17" s="37" t="s">
        <v>97</v>
      </c>
      <c r="B17" s="39"/>
      <c r="C17" s="39" t="s">
        <v>108</v>
      </c>
      <c r="D17" s="37"/>
      <c r="E17" s="38"/>
      <c r="F17" s="37"/>
      <c r="G17" s="37"/>
      <c r="H17" s="37"/>
      <c r="I17" s="171" t="s">
        <v>109</v>
      </c>
      <c r="J17" s="65">
        <v>117202</v>
      </c>
      <c r="K17" s="65">
        <v>455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11">
        <f t="shared" si="5"/>
        <v>117657</v>
      </c>
      <c r="W17" s="73">
        <f t="shared" si="2"/>
        <v>5.4809032510043604E-4</v>
      </c>
      <c r="X17" s="89"/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5">
        <f t="shared" si="6"/>
        <v>0</v>
      </c>
      <c r="AL17" s="73">
        <f t="shared" si="4"/>
        <v>0</v>
      </c>
      <c r="AM17" s="14">
        <f t="shared" si="7"/>
        <v>-1</v>
      </c>
      <c r="AN17" s="9"/>
    </row>
    <row r="18" spans="1:40" ht="14.45" hidden="1" customHeight="1" outlineLevel="1">
      <c r="A18" s="37" t="s">
        <v>97</v>
      </c>
      <c r="B18" s="39"/>
      <c r="C18" s="39" t="s">
        <v>110</v>
      </c>
      <c r="D18" s="37"/>
      <c r="E18" s="38"/>
      <c r="F18" s="37"/>
      <c r="G18" s="37"/>
      <c r="H18" s="37"/>
      <c r="I18" s="172" t="s">
        <v>111</v>
      </c>
      <c r="J18" s="65">
        <v>0</v>
      </c>
      <c r="K18" s="65">
        <v>11270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11">
        <f t="shared" si="5"/>
        <v>11270</v>
      </c>
      <c r="W18" s="73">
        <f t="shared" si="2"/>
        <v>5.249987645343595E-5</v>
      </c>
      <c r="X18" s="89"/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5">
        <f t="shared" si="6"/>
        <v>0</v>
      </c>
      <c r="AL18" s="73">
        <f t="shared" si="4"/>
        <v>0</v>
      </c>
      <c r="AM18" s="14">
        <f t="shared" si="7"/>
        <v>-1</v>
      </c>
      <c r="AN18" s="9"/>
    </row>
    <row r="19" spans="1:40" ht="14.45" hidden="1" customHeight="1" outlineLevel="1">
      <c r="A19" s="37" t="s">
        <v>97</v>
      </c>
      <c r="B19" s="39"/>
      <c r="C19" s="39" t="s">
        <v>112</v>
      </c>
      <c r="D19" s="37"/>
      <c r="E19" s="38"/>
      <c r="F19" s="37"/>
      <c r="G19" s="37"/>
      <c r="H19" s="37"/>
      <c r="I19" s="167" t="s">
        <v>113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9335</v>
      </c>
      <c r="R19" s="65">
        <v>0</v>
      </c>
      <c r="S19" s="65">
        <v>0</v>
      </c>
      <c r="T19" s="65">
        <v>0</v>
      </c>
      <c r="U19" s="65">
        <v>0</v>
      </c>
      <c r="V19" s="11">
        <f t="shared" si="5"/>
        <v>9335</v>
      </c>
      <c r="W19" s="73">
        <f t="shared" si="2"/>
        <v>4.3485922510454712E-5</v>
      </c>
      <c r="X19" s="89"/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5">
        <f t="shared" si="6"/>
        <v>0</v>
      </c>
      <c r="AL19" s="73">
        <f t="shared" si="4"/>
        <v>0</v>
      </c>
      <c r="AM19" s="14">
        <f t="shared" si="7"/>
        <v>-1</v>
      </c>
      <c r="AN19" s="9"/>
    </row>
    <row r="20" spans="1:40" ht="14.45" hidden="1" customHeight="1" outlineLevel="1">
      <c r="A20" s="37" t="s">
        <v>97</v>
      </c>
      <c r="B20" s="39"/>
      <c r="C20" s="39" t="s">
        <v>117</v>
      </c>
      <c r="D20" s="37" t="s">
        <v>118</v>
      </c>
      <c r="E20" s="38"/>
      <c r="F20" s="37"/>
      <c r="G20" s="37"/>
      <c r="H20" s="37"/>
      <c r="I20" s="167" t="s">
        <v>114</v>
      </c>
      <c r="J20" s="65">
        <v>0</v>
      </c>
      <c r="K20" s="65">
        <v>0</v>
      </c>
      <c r="L20" s="65">
        <v>-85500</v>
      </c>
      <c r="M20" s="65">
        <v>-86715</v>
      </c>
      <c r="N20" s="65">
        <v>-187319</v>
      </c>
      <c r="O20" s="65">
        <v>-232514</v>
      </c>
      <c r="P20" s="65">
        <v>-187924</v>
      </c>
      <c r="Q20" s="65">
        <v>-114550</v>
      </c>
      <c r="R20" s="65">
        <v>-178189</v>
      </c>
      <c r="S20" s="65">
        <v>-200794</v>
      </c>
      <c r="T20" s="65"/>
      <c r="U20" s="65"/>
      <c r="V20" s="11">
        <f t="shared" si="5"/>
        <v>-1273505</v>
      </c>
      <c r="W20" s="73">
        <f t="shared" si="2"/>
        <v>-5.9324627473676091E-3</v>
      </c>
      <c r="X20" s="89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5">
        <f t="shared" si="6"/>
        <v>0</v>
      </c>
      <c r="AL20" s="73">
        <f t="shared" si="4"/>
        <v>0</v>
      </c>
      <c r="AM20" s="14">
        <f t="shared" si="7"/>
        <v>-1</v>
      </c>
      <c r="AN20" s="9"/>
    </row>
    <row r="21" spans="1:40" ht="14.45" hidden="1" customHeight="1" outlineLevel="1">
      <c r="A21" s="37" t="s">
        <v>97</v>
      </c>
      <c r="B21" s="39"/>
      <c r="C21" s="39" t="s">
        <v>120</v>
      </c>
      <c r="D21" s="37"/>
      <c r="E21" s="38"/>
      <c r="F21" s="37"/>
      <c r="G21" s="37"/>
      <c r="H21" s="37"/>
      <c r="I21" s="167" t="s">
        <v>115</v>
      </c>
      <c r="J21" s="65">
        <v>-9322</v>
      </c>
      <c r="K21" s="65">
        <v>0</v>
      </c>
      <c r="L21" s="65">
        <v>-13112</v>
      </c>
      <c r="M21" s="65">
        <v>-995</v>
      </c>
      <c r="N21" s="65">
        <v>-23533</v>
      </c>
      <c r="O21" s="65">
        <v>-24933</v>
      </c>
      <c r="P21" s="65">
        <v>-15661</v>
      </c>
      <c r="Q21" s="65">
        <v>-7925</v>
      </c>
      <c r="R21" s="65">
        <v>-5591</v>
      </c>
      <c r="S21" s="65">
        <v>-23405</v>
      </c>
      <c r="T21" s="65"/>
      <c r="U21" s="65"/>
      <c r="V21" s="11">
        <f t="shared" si="5"/>
        <v>-124477</v>
      </c>
      <c r="W21" s="73">
        <f t="shared" si="2"/>
        <v>-5.7986043667208052E-4</v>
      </c>
      <c r="X21" s="89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5">
        <f t="shared" si="6"/>
        <v>0</v>
      </c>
      <c r="AL21" s="73">
        <f t="shared" si="4"/>
        <v>0</v>
      </c>
      <c r="AM21" s="14">
        <f t="shared" si="7"/>
        <v>-1</v>
      </c>
      <c r="AN21" s="9"/>
    </row>
    <row r="22" spans="1:40" ht="14.45" hidden="1" customHeight="1" outlineLevel="1">
      <c r="A22" s="37" t="s">
        <v>97</v>
      </c>
      <c r="B22" s="39"/>
      <c r="C22" s="39" t="s">
        <v>122</v>
      </c>
      <c r="D22" s="37"/>
      <c r="E22" s="38"/>
      <c r="F22" s="37"/>
      <c r="G22" s="37"/>
      <c r="H22" s="37"/>
      <c r="I22" s="167" t="s">
        <v>116</v>
      </c>
      <c r="J22" s="65">
        <v>-36495</v>
      </c>
      <c r="K22" s="65">
        <v>-51113</v>
      </c>
      <c r="L22" s="65">
        <v>-56380</v>
      </c>
      <c r="M22" s="65">
        <v>-72247</v>
      </c>
      <c r="N22" s="65">
        <v>-81473</v>
      </c>
      <c r="O22" s="65">
        <v>-76604</v>
      </c>
      <c r="P22" s="65">
        <v>-90727</v>
      </c>
      <c r="Q22" s="65">
        <v>0</v>
      </c>
      <c r="R22" s="65">
        <v>-73276</v>
      </c>
      <c r="S22" s="65">
        <v>-62364</v>
      </c>
      <c r="T22" s="65"/>
      <c r="U22" s="65"/>
      <c r="V22" s="11">
        <f t="shared" si="5"/>
        <v>-600679</v>
      </c>
      <c r="W22" s="73">
        <f t="shared" si="2"/>
        <v>-2.7981875144785675E-3</v>
      </c>
      <c r="X22" s="89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5">
        <f t="shared" si="6"/>
        <v>0</v>
      </c>
      <c r="AL22" s="73">
        <f t="shared" si="4"/>
        <v>0</v>
      </c>
      <c r="AM22" s="14">
        <f t="shared" si="7"/>
        <v>-1</v>
      </c>
      <c r="AN22" s="9"/>
    </row>
    <row r="23" spans="1:40" ht="14.45" hidden="1" customHeight="1" outlineLevel="1">
      <c r="A23" s="37" t="s">
        <v>97</v>
      </c>
      <c r="B23" s="39"/>
      <c r="C23" s="39" t="s">
        <v>124</v>
      </c>
      <c r="D23" s="37"/>
      <c r="E23" s="38"/>
      <c r="F23" s="37"/>
      <c r="G23" s="37"/>
      <c r="H23" s="37"/>
      <c r="I23" s="171" t="s">
        <v>119</v>
      </c>
      <c r="J23" s="65">
        <v>23016</v>
      </c>
      <c r="K23" s="65">
        <v>48475</v>
      </c>
      <c r="L23" s="65">
        <v>24309</v>
      </c>
      <c r="M23" s="65">
        <v>101430</v>
      </c>
      <c r="N23" s="65">
        <v>-47077</v>
      </c>
      <c r="O23" s="65">
        <v>27491</v>
      </c>
      <c r="P23" s="65">
        <v>28324</v>
      </c>
      <c r="Q23" s="65">
        <v>21378</v>
      </c>
      <c r="R23" s="65">
        <v>31319</v>
      </c>
      <c r="S23" s="65">
        <v>25405</v>
      </c>
      <c r="T23" s="65">
        <v>0</v>
      </c>
      <c r="U23" s="65">
        <v>0</v>
      </c>
      <c r="V23" s="11">
        <f t="shared" si="5"/>
        <v>284070</v>
      </c>
      <c r="W23" s="73">
        <f t="shared" si="2"/>
        <v>1.3233043393192148E-3</v>
      </c>
      <c r="X23" s="89"/>
      <c r="Y23" s="65">
        <f>0*Y40</f>
        <v>0</v>
      </c>
      <c r="Z23" s="65">
        <f t="shared" ref="Z23:AJ24" si="10">0*Z40</f>
        <v>0</v>
      </c>
      <c r="AA23" s="65">
        <f t="shared" si="10"/>
        <v>0</v>
      </c>
      <c r="AB23" s="65">
        <f t="shared" si="10"/>
        <v>0</v>
      </c>
      <c r="AC23" s="65">
        <f t="shared" si="10"/>
        <v>0</v>
      </c>
      <c r="AD23" s="65">
        <f t="shared" si="10"/>
        <v>0</v>
      </c>
      <c r="AE23" s="65">
        <f t="shared" si="10"/>
        <v>0</v>
      </c>
      <c r="AF23" s="65">
        <f t="shared" si="10"/>
        <v>0</v>
      </c>
      <c r="AG23" s="65">
        <f t="shared" si="10"/>
        <v>0</v>
      </c>
      <c r="AH23" s="65">
        <f t="shared" si="10"/>
        <v>0</v>
      </c>
      <c r="AI23" s="65">
        <f t="shared" si="10"/>
        <v>0</v>
      </c>
      <c r="AJ23" s="65">
        <f t="shared" si="10"/>
        <v>0</v>
      </c>
      <c r="AK23" s="65">
        <f t="shared" si="6"/>
        <v>0</v>
      </c>
      <c r="AL23" s="73">
        <f t="shared" si="4"/>
        <v>0</v>
      </c>
      <c r="AM23" s="14">
        <f t="shared" si="7"/>
        <v>-1</v>
      </c>
      <c r="AN23" s="9"/>
    </row>
    <row r="24" spans="1:40" ht="14.45" hidden="1" customHeight="1" outlineLevel="1">
      <c r="A24" s="37" t="s">
        <v>97</v>
      </c>
      <c r="B24" s="39"/>
      <c r="C24" s="39" t="s">
        <v>126</v>
      </c>
      <c r="D24" s="37"/>
      <c r="E24" s="38"/>
      <c r="F24" s="37"/>
      <c r="G24" s="37"/>
      <c r="H24" s="37"/>
      <c r="I24" s="172" t="s">
        <v>121</v>
      </c>
      <c r="J24" s="65">
        <v>2878</v>
      </c>
      <c r="K24" s="65">
        <v>7749</v>
      </c>
      <c r="L24" s="65">
        <v>3210</v>
      </c>
      <c r="M24" s="65">
        <v>2982</v>
      </c>
      <c r="N24" s="65">
        <v>4286</v>
      </c>
      <c r="O24" s="65">
        <v>4581</v>
      </c>
      <c r="P24" s="65">
        <v>3956</v>
      </c>
      <c r="Q24" s="65">
        <v>1173</v>
      </c>
      <c r="R24" s="65">
        <v>3772</v>
      </c>
      <c r="S24" s="65">
        <v>3052</v>
      </c>
      <c r="T24" s="65">
        <v>0</v>
      </c>
      <c r="U24" s="65">
        <v>0</v>
      </c>
      <c r="V24" s="11">
        <f t="shared" si="5"/>
        <v>37639</v>
      </c>
      <c r="W24" s="73">
        <f t="shared" si="2"/>
        <v>1.7533654390691002E-4</v>
      </c>
      <c r="X24" s="89"/>
      <c r="Y24" s="65">
        <f>0*Y41</f>
        <v>0</v>
      </c>
      <c r="Z24" s="65">
        <f t="shared" si="10"/>
        <v>0</v>
      </c>
      <c r="AA24" s="65">
        <f t="shared" si="10"/>
        <v>0</v>
      </c>
      <c r="AB24" s="65">
        <f t="shared" si="10"/>
        <v>0</v>
      </c>
      <c r="AC24" s="65">
        <f t="shared" si="10"/>
        <v>0</v>
      </c>
      <c r="AD24" s="65">
        <f t="shared" si="10"/>
        <v>0</v>
      </c>
      <c r="AE24" s="65">
        <f t="shared" si="10"/>
        <v>0</v>
      </c>
      <c r="AF24" s="65">
        <f t="shared" si="10"/>
        <v>0</v>
      </c>
      <c r="AG24" s="65">
        <f t="shared" si="10"/>
        <v>0</v>
      </c>
      <c r="AH24" s="65">
        <f t="shared" si="10"/>
        <v>0</v>
      </c>
      <c r="AI24" s="65">
        <f t="shared" si="10"/>
        <v>0</v>
      </c>
      <c r="AJ24" s="65">
        <f t="shared" si="10"/>
        <v>0</v>
      </c>
      <c r="AK24" s="65">
        <f t="shared" si="6"/>
        <v>0</v>
      </c>
      <c r="AL24" s="73">
        <f t="shared" si="4"/>
        <v>0</v>
      </c>
      <c r="AM24" s="14">
        <f t="shared" si="7"/>
        <v>-1</v>
      </c>
      <c r="AN24" s="9"/>
    </row>
    <row r="25" spans="1:40" ht="14.45" hidden="1" customHeight="1" outlineLevel="1">
      <c r="A25" s="37" t="s">
        <v>97</v>
      </c>
      <c r="B25" s="39"/>
      <c r="C25" s="39" t="s">
        <v>127</v>
      </c>
      <c r="D25" s="37" t="s">
        <v>90</v>
      </c>
      <c r="E25" s="38"/>
      <c r="F25" s="37"/>
      <c r="G25" s="37"/>
      <c r="H25" s="37"/>
      <c r="I25" s="171" t="s">
        <v>123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11">
        <f t="shared" si="5"/>
        <v>0</v>
      </c>
      <c r="W25" s="73">
        <f t="shared" si="2"/>
        <v>0</v>
      </c>
      <c r="X25" s="89"/>
      <c r="Y25" s="65">
        <f>(Y40*'Parametros JRZ'!$N$48)*'Parametros JRZ'!$B$59</f>
        <v>0</v>
      </c>
      <c r="Z25" s="65">
        <f>(Z40*'Parametros JRZ'!$N$48)*'Parametros JRZ'!$B$59</f>
        <v>0</v>
      </c>
      <c r="AA25" s="65">
        <f>(AA40*'Parametros JRZ'!$N$48)*'Parametros JRZ'!$B$59</f>
        <v>0</v>
      </c>
      <c r="AB25" s="65">
        <f>(AB40*'Parametros JRZ'!$N$48)*'Parametros JRZ'!$B$59</f>
        <v>0</v>
      </c>
      <c r="AC25" s="65">
        <f>(AC40*'Parametros JRZ'!$N$48)*'Parametros JRZ'!$B$59</f>
        <v>0</v>
      </c>
      <c r="AD25" s="65">
        <f>(AD40*'Parametros JRZ'!$N$48)*'Parametros JRZ'!$B$59</f>
        <v>0</v>
      </c>
      <c r="AE25" s="65">
        <f>(AE40*'Parametros JRZ'!$N$48)*'Parametros JRZ'!$B$59</f>
        <v>0</v>
      </c>
      <c r="AF25" s="65">
        <f>(AF40*'Parametros JRZ'!$N$48)*'Parametros JRZ'!$B$59</f>
        <v>0</v>
      </c>
      <c r="AG25" s="65">
        <f>(AG40*'Parametros JRZ'!$N$48)*'Parametros JRZ'!$B$59</f>
        <v>0</v>
      </c>
      <c r="AH25" s="65">
        <f>(AH40*'Parametros JRZ'!$N$48)*'Parametros JRZ'!$B$59</f>
        <v>0</v>
      </c>
      <c r="AI25" s="65">
        <f>(AI40*'Parametros JRZ'!$N$48)*'Parametros JRZ'!$B$59</f>
        <v>0</v>
      </c>
      <c r="AJ25" s="65">
        <f>(AJ40*'Parametros JRZ'!$N$48)*'Parametros JRZ'!$B$59</f>
        <v>0</v>
      </c>
      <c r="AK25" s="65">
        <f t="shared" si="6"/>
        <v>0</v>
      </c>
      <c r="AL25" s="73">
        <f t="shared" si="4"/>
        <v>0</v>
      </c>
      <c r="AM25" s="14">
        <f t="shared" si="7"/>
        <v>0</v>
      </c>
      <c r="AN25" s="9"/>
    </row>
    <row r="26" spans="1:40" ht="14.45" hidden="1" customHeight="1" outlineLevel="1">
      <c r="A26" s="37" t="s">
        <v>97</v>
      </c>
      <c r="B26" s="39"/>
      <c r="C26" s="39" t="s">
        <v>129</v>
      </c>
      <c r="D26" s="37" t="s">
        <v>90</v>
      </c>
      <c r="E26" s="38"/>
      <c r="F26" s="37"/>
      <c r="G26" s="37"/>
      <c r="H26" s="37"/>
      <c r="I26" s="172" t="s">
        <v>125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11">
        <f t="shared" si="5"/>
        <v>0</v>
      </c>
      <c r="W26" s="73">
        <f t="shared" si="2"/>
        <v>0</v>
      </c>
      <c r="X26" s="89"/>
      <c r="Y26" s="65">
        <f>(Y41*'Parametros JRZ'!$N$49)*'Parametros JRZ'!$B$60</f>
        <v>0</v>
      </c>
      <c r="Z26" s="65">
        <f>(Z41*'Parametros JRZ'!$N$49)*'Parametros JRZ'!$B$60</f>
        <v>0</v>
      </c>
      <c r="AA26" s="65">
        <f>(AA41*'Parametros JRZ'!$N$49)*'Parametros JRZ'!$B$60</f>
        <v>0</v>
      </c>
      <c r="AB26" s="65">
        <f>(AB41*'Parametros JRZ'!$N$49)*'Parametros JRZ'!$B$60</f>
        <v>0</v>
      </c>
      <c r="AC26" s="65">
        <f>(AC41*'Parametros JRZ'!$N$49)*'Parametros JRZ'!$B$60</f>
        <v>0</v>
      </c>
      <c r="AD26" s="65">
        <f>(AD41*'Parametros JRZ'!$N$49)*'Parametros JRZ'!$B$60</f>
        <v>0</v>
      </c>
      <c r="AE26" s="65">
        <f>(AE41*'Parametros JRZ'!$N$49)*'Parametros JRZ'!$B$60</f>
        <v>0</v>
      </c>
      <c r="AF26" s="65">
        <f>(AF41*'Parametros JRZ'!$N$49)*'Parametros JRZ'!$B$60</f>
        <v>0</v>
      </c>
      <c r="AG26" s="65">
        <f>(AG41*'Parametros JRZ'!$N$49)*'Parametros JRZ'!$B$60</f>
        <v>0</v>
      </c>
      <c r="AH26" s="65">
        <f>(AH41*'Parametros JRZ'!$N$49)*'Parametros JRZ'!$B$60</f>
        <v>0</v>
      </c>
      <c r="AI26" s="65">
        <f>(AI41*'Parametros JRZ'!$N$49)*'Parametros JRZ'!$B$60</f>
        <v>0</v>
      </c>
      <c r="AJ26" s="65">
        <f>(AJ41*'Parametros JRZ'!$N$49)*'Parametros JRZ'!$B$60</f>
        <v>0</v>
      </c>
      <c r="AK26" s="65">
        <f t="shared" si="6"/>
        <v>0</v>
      </c>
      <c r="AL26" s="73">
        <f t="shared" si="4"/>
        <v>0</v>
      </c>
      <c r="AM26" s="14">
        <f t="shared" si="7"/>
        <v>0</v>
      </c>
      <c r="AN26" s="9"/>
    </row>
    <row r="27" spans="1:40" ht="14.45" hidden="1" customHeight="1" outlineLevel="1">
      <c r="A27" s="37"/>
      <c r="B27" s="39"/>
      <c r="C27" s="39"/>
      <c r="D27" s="37"/>
      <c r="E27" s="38"/>
      <c r="F27" s="37"/>
      <c r="G27" s="37"/>
      <c r="H27" s="37"/>
      <c r="I27" s="167" t="s">
        <v>126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11">
        <f t="shared" si="5"/>
        <v>0</v>
      </c>
      <c r="W27" s="73">
        <f t="shared" si="2"/>
        <v>0</v>
      </c>
      <c r="X27" s="89"/>
      <c r="Y27" s="65">
        <f>(Y42*'Parametros JRZ'!$N$50)*'Parametros JRZ'!$B$61</f>
        <v>0</v>
      </c>
      <c r="Z27" s="65">
        <f>(Z42*'Parametros JRZ'!$N$50)*'Parametros JRZ'!$B$61</f>
        <v>0</v>
      </c>
      <c r="AA27" s="65">
        <f>(AA42*'Parametros JRZ'!$N$50)*'Parametros JRZ'!$B$61</f>
        <v>0</v>
      </c>
      <c r="AB27" s="65">
        <f>(AB42*'Parametros JRZ'!$N$50)*'Parametros JRZ'!$B$61</f>
        <v>0</v>
      </c>
      <c r="AC27" s="65">
        <f>(AC42*'Parametros JRZ'!$N$50)*'Parametros JRZ'!$B$61</f>
        <v>0</v>
      </c>
      <c r="AD27" s="65">
        <f>(AD42*'Parametros JRZ'!$N$50)*'Parametros JRZ'!$B$61</f>
        <v>0</v>
      </c>
      <c r="AE27" s="65">
        <f>(AE42*'Parametros JRZ'!$N$50)*'Parametros JRZ'!$B$61</f>
        <v>0</v>
      </c>
      <c r="AF27" s="65">
        <f>(AF42*'Parametros JRZ'!$N$50)*'Parametros JRZ'!$B$61</f>
        <v>0</v>
      </c>
      <c r="AG27" s="65">
        <f>(AG42*'Parametros JRZ'!$N$50)*'Parametros JRZ'!$B$61</f>
        <v>0</v>
      </c>
      <c r="AH27" s="65">
        <f>(AH42*'Parametros JRZ'!$N$50)*'Parametros JRZ'!$B$61</f>
        <v>0</v>
      </c>
      <c r="AI27" s="65">
        <f>(AI42*'Parametros JRZ'!$N$50)*'Parametros JRZ'!$B$61</f>
        <v>0</v>
      </c>
      <c r="AJ27" s="65">
        <f>(AJ42*'Parametros JRZ'!$N$50)*'Parametros JRZ'!$B$61</f>
        <v>0</v>
      </c>
      <c r="AK27" s="65">
        <f t="shared" si="6"/>
        <v>0</v>
      </c>
      <c r="AL27" s="73">
        <f t="shared" si="4"/>
        <v>0</v>
      </c>
      <c r="AM27" s="14">
        <f t="shared" si="7"/>
        <v>0</v>
      </c>
      <c r="AN27" s="9"/>
    </row>
    <row r="28" spans="1:40" ht="15.6" hidden="1" customHeight="1" outlineLevel="1">
      <c r="I28" s="171" t="s">
        <v>128</v>
      </c>
      <c r="J28" s="65">
        <v>-2120388</v>
      </c>
      <c r="K28" s="65">
        <v>-2112997</v>
      </c>
      <c r="L28" s="65">
        <v>-2315023</v>
      </c>
      <c r="M28" s="65">
        <v>-2171070</v>
      </c>
      <c r="N28" s="65">
        <v>-2433427</v>
      </c>
      <c r="O28" s="65">
        <v>-2391192</v>
      </c>
      <c r="P28" s="65">
        <v>-2302976</v>
      </c>
      <c r="Q28" s="65">
        <v>-2243785</v>
      </c>
      <c r="R28" s="65">
        <v>-2298580</v>
      </c>
      <c r="S28" s="65">
        <v>-2470644</v>
      </c>
      <c r="T28" s="65">
        <v>0</v>
      </c>
      <c r="U28" s="65">
        <v>0</v>
      </c>
      <c r="V28" s="11">
        <f t="shared" si="5"/>
        <v>-22860082</v>
      </c>
      <c r="W28" s="73">
        <f t="shared" si="2"/>
        <v>-0.10649081461538731</v>
      </c>
      <c r="X28" s="89"/>
      <c r="Y28" s="66">
        <f>+-Y40*'[3]Margen ctvs-lit'!$T$2</f>
        <v>0</v>
      </c>
      <c r="Z28" s="66">
        <f>+-Z40*'[3]Margen ctvs-lit'!$T$2</f>
        <v>0</v>
      </c>
      <c r="AA28" s="66">
        <f>+-AA40*'[3]Margen ctvs-lit'!$T$2</f>
        <v>0</v>
      </c>
      <c r="AB28" s="66">
        <f>+-AB40*'[3]Margen ctvs-lit'!$T$2</f>
        <v>0</v>
      </c>
      <c r="AC28" s="66">
        <f>+-AC40*'[3]Margen ctvs-lit'!$T$2</f>
        <v>0</v>
      </c>
      <c r="AD28" s="66">
        <f>+-AD40*'[3]Margen ctvs-lit'!$T$2</f>
        <v>0</v>
      </c>
      <c r="AE28" s="66">
        <f>+-AE40*'[3]Margen ctvs-lit'!$T$2</f>
        <v>0</v>
      </c>
      <c r="AF28" s="66">
        <f>+-AF40*'[3]Margen ctvs-lit'!$T$2</f>
        <v>0</v>
      </c>
      <c r="AG28" s="66">
        <f>+-AG40*'[3]Margen ctvs-lit'!$T$2</f>
        <v>0</v>
      </c>
      <c r="AH28" s="66">
        <f>+-AH40*'[3]Margen ctvs-lit'!$T$2</f>
        <v>0</v>
      </c>
      <c r="AI28" s="66">
        <f>+-AI40*'[3]Margen ctvs-lit'!$T$2</f>
        <v>0</v>
      </c>
      <c r="AJ28" s="66">
        <f>+-AJ40*'[3]Margen ctvs-lit'!$T$2</f>
        <v>0</v>
      </c>
      <c r="AK28" s="65">
        <f t="shared" si="6"/>
        <v>0</v>
      </c>
      <c r="AL28" s="73">
        <f t="shared" si="4"/>
        <v>0</v>
      </c>
      <c r="AM28" s="14">
        <f t="shared" si="7"/>
        <v>-1</v>
      </c>
      <c r="AN28" s="9"/>
    </row>
    <row r="29" spans="1:40" ht="14.45" hidden="1" customHeight="1" outlineLevel="1">
      <c r="I29" s="172" t="s">
        <v>130</v>
      </c>
      <c r="J29" s="65">
        <v>-225302</v>
      </c>
      <c r="K29" s="65">
        <v>-228475</v>
      </c>
      <c r="L29" s="65">
        <v>-262063</v>
      </c>
      <c r="M29" s="65">
        <v>-249662</v>
      </c>
      <c r="N29" s="65">
        <v>-302145</v>
      </c>
      <c r="O29" s="65">
        <v>-294608</v>
      </c>
      <c r="P29" s="65">
        <v>-291215</v>
      </c>
      <c r="Q29" s="65">
        <v>-150848</v>
      </c>
      <c r="R29" s="65">
        <v>-221256</v>
      </c>
      <c r="S29" s="65">
        <v>-269857</v>
      </c>
      <c r="T29" s="65">
        <v>0</v>
      </c>
      <c r="U29" s="65">
        <v>0</v>
      </c>
      <c r="V29" s="11">
        <f t="shared" si="5"/>
        <v>-2495431</v>
      </c>
      <c r="W29" s="73">
        <f t="shared" si="2"/>
        <v>-1.1624651215445796E-2</v>
      </c>
      <c r="X29" s="89"/>
      <c r="Y29" s="66">
        <f>+-Y41*'[3]Margen ctvs-lit'!$T$3</f>
        <v>0</v>
      </c>
      <c r="Z29" s="66">
        <f>+-Z41*'[3]Margen ctvs-lit'!$T$3</f>
        <v>0</v>
      </c>
      <c r="AA29" s="66">
        <f>+-AA41*'[3]Margen ctvs-lit'!$T$3</f>
        <v>0</v>
      </c>
      <c r="AB29" s="66">
        <f>+-AB41*'[3]Margen ctvs-lit'!$T$3</f>
        <v>0</v>
      </c>
      <c r="AC29" s="66">
        <f>+-AC41*'[3]Margen ctvs-lit'!$T$3</f>
        <v>0</v>
      </c>
      <c r="AD29" s="66">
        <f>+-AD41*'[3]Margen ctvs-lit'!$T$3</f>
        <v>0</v>
      </c>
      <c r="AE29" s="66">
        <f>+-AE41*'[3]Margen ctvs-lit'!$T$3</f>
        <v>0</v>
      </c>
      <c r="AF29" s="66">
        <f>+-AF41*'[3]Margen ctvs-lit'!$T$3</f>
        <v>0</v>
      </c>
      <c r="AG29" s="66">
        <f>+-AG41*'[3]Margen ctvs-lit'!$T$3</f>
        <v>0</v>
      </c>
      <c r="AH29" s="66">
        <f>+-AH41*'[3]Margen ctvs-lit'!$T$3</f>
        <v>0</v>
      </c>
      <c r="AI29" s="66">
        <f>+-AI41*'[3]Margen ctvs-lit'!$T$3</f>
        <v>0</v>
      </c>
      <c r="AJ29" s="66">
        <f>+-AJ41*'[3]Margen ctvs-lit'!$T$3</f>
        <v>0</v>
      </c>
      <c r="AK29" s="65">
        <f t="shared" si="6"/>
        <v>0</v>
      </c>
      <c r="AL29" s="73">
        <f t="shared" si="4"/>
        <v>0</v>
      </c>
      <c r="AM29" s="14">
        <f t="shared" si="7"/>
        <v>-1</v>
      </c>
      <c r="AN29" s="9"/>
    </row>
    <row r="30" spans="1:40" ht="14.45" hidden="1" customHeight="1" outlineLevel="1">
      <c r="I30" s="172" t="s">
        <v>131</v>
      </c>
      <c r="J30" s="65">
        <v>9880</v>
      </c>
      <c r="K30" s="65">
        <v>8970</v>
      </c>
      <c r="L30" s="65">
        <v>11605</v>
      </c>
      <c r="M30" s="65">
        <v>11097</v>
      </c>
      <c r="N30" s="65">
        <v>12236</v>
      </c>
      <c r="O30" s="65">
        <v>12202</v>
      </c>
      <c r="P30" s="65">
        <v>13182</v>
      </c>
      <c r="Q30" s="65">
        <v>7774</v>
      </c>
      <c r="R30" s="65">
        <v>13663</v>
      </c>
      <c r="S30" s="65">
        <v>9823</v>
      </c>
      <c r="T30" s="65">
        <v>11236.319999999998</v>
      </c>
      <c r="U30" s="65">
        <v>10455</v>
      </c>
      <c r="V30" s="11">
        <f t="shared" si="5"/>
        <v>132123.32</v>
      </c>
      <c r="W30" s="73">
        <f t="shared" si="2"/>
        <v>6.1547985595543776E-4</v>
      </c>
      <c r="X30" s="89"/>
      <c r="Y30" s="65">
        <f t="shared" ref="Y30:AJ30" si="11">+Y10*0.85</f>
        <v>10812</v>
      </c>
      <c r="Z30" s="65">
        <f t="shared" si="11"/>
        <v>11526</v>
      </c>
      <c r="AA30" s="65">
        <f t="shared" si="11"/>
        <v>29988</v>
      </c>
      <c r="AB30" s="65">
        <f t="shared" si="11"/>
        <v>10812</v>
      </c>
      <c r="AC30" s="65">
        <f t="shared" si="11"/>
        <v>12444</v>
      </c>
      <c r="AD30" s="65">
        <f t="shared" si="11"/>
        <v>9996</v>
      </c>
      <c r="AE30" s="65">
        <f t="shared" si="11"/>
        <v>11832</v>
      </c>
      <c r="AF30" s="65">
        <f t="shared" si="11"/>
        <v>10914</v>
      </c>
      <c r="AG30" s="65">
        <f t="shared" si="11"/>
        <v>12189</v>
      </c>
      <c r="AH30" s="65">
        <f t="shared" si="11"/>
        <v>14382</v>
      </c>
      <c r="AI30" s="65">
        <f t="shared" si="11"/>
        <v>14943</v>
      </c>
      <c r="AJ30" s="65">
        <f t="shared" si="11"/>
        <v>13260</v>
      </c>
      <c r="AK30" s="65">
        <f t="shared" si="6"/>
        <v>163098</v>
      </c>
      <c r="AL30" s="73">
        <f t="shared" si="4"/>
        <v>7.0937810086871777E-4</v>
      </c>
      <c r="AM30" s="14">
        <f t="shared" si="7"/>
        <v>0.23443764507280007</v>
      </c>
      <c r="AN30" s="9"/>
    </row>
    <row r="31" spans="1:40" ht="14.45" hidden="1" customHeight="1" outlineLevel="1">
      <c r="I31" s="172" t="s">
        <v>132</v>
      </c>
      <c r="J31" s="65">
        <v>0</v>
      </c>
      <c r="K31" s="65">
        <v>0</v>
      </c>
      <c r="L31" s="65"/>
      <c r="M31" s="65"/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/>
      <c r="U31" s="65"/>
      <c r="V31" s="11">
        <f t="shared" si="5"/>
        <v>0</v>
      </c>
      <c r="W31" s="73">
        <f t="shared" si="2"/>
        <v>0</v>
      </c>
      <c r="X31" s="89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>
        <f t="shared" si="6"/>
        <v>0</v>
      </c>
      <c r="AL31" s="73">
        <f t="shared" si="4"/>
        <v>0</v>
      </c>
      <c r="AM31" s="14">
        <f t="shared" si="7"/>
        <v>0</v>
      </c>
      <c r="AN31" s="9"/>
    </row>
    <row r="32" spans="1:40" ht="14.25" hidden="1" customHeight="1" outlineLevel="1">
      <c r="I32" s="172" t="s">
        <v>133</v>
      </c>
      <c r="J32" s="65">
        <v>0</v>
      </c>
      <c r="K32" s="65">
        <v>0</v>
      </c>
      <c r="L32" s="65"/>
      <c r="M32" s="65"/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/>
      <c r="U32" s="65"/>
      <c r="V32" s="11">
        <f t="shared" si="5"/>
        <v>0</v>
      </c>
      <c r="W32" s="73">
        <f t="shared" si="2"/>
        <v>0</v>
      </c>
      <c r="X32" s="89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f t="shared" si="6"/>
        <v>0</v>
      </c>
      <c r="AL32" s="73">
        <f t="shared" si="4"/>
        <v>0</v>
      </c>
      <c r="AM32" s="14">
        <f t="shared" si="7"/>
        <v>0</v>
      </c>
      <c r="AN32" s="9"/>
    </row>
    <row r="33" spans="1:41" ht="14.45" hidden="1" customHeight="1" outlineLevel="1">
      <c r="I33" s="172" t="s">
        <v>134</v>
      </c>
      <c r="J33" s="65">
        <v>0</v>
      </c>
      <c r="K33" s="65">
        <v>0</v>
      </c>
      <c r="L33" s="65"/>
      <c r="M33" s="65"/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/>
      <c r="U33" s="65"/>
      <c r="V33" s="11">
        <f t="shared" si="5"/>
        <v>0</v>
      </c>
      <c r="W33" s="73">
        <f t="shared" si="2"/>
        <v>0</v>
      </c>
      <c r="X33" s="89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>
        <f t="shared" si="6"/>
        <v>0</v>
      </c>
      <c r="AL33" s="73">
        <f t="shared" si="4"/>
        <v>0</v>
      </c>
      <c r="AM33" s="14">
        <f t="shared" si="7"/>
        <v>0</v>
      </c>
      <c r="AN33" s="9"/>
    </row>
    <row r="34" spans="1:41" ht="14.45" customHeight="1" collapsed="1">
      <c r="E34" s="127"/>
      <c r="I34" s="36" t="s">
        <v>135</v>
      </c>
      <c r="J34" s="35">
        <v>2565157</v>
      </c>
      <c r="K34" s="35">
        <v>2474991</v>
      </c>
      <c r="L34" s="35">
        <v>2663984</v>
      </c>
      <c r="M34" s="35">
        <v>2483884</v>
      </c>
      <c r="N34" s="35">
        <v>3152768</v>
      </c>
      <c r="O34" s="35">
        <v>2700217</v>
      </c>
      <c r="P34" s="35">
        <v>2694771</v>
      </c>
      <c r="Q34" s="35">
        <v>2359317</v>
      </c>
      <c r="R34" s="228">
        <v>1926667</v>
      </c>
      <c r="S34" s="228">
        <v>3065609</v>
      </c>
      <c r="T34" s="228">
        <f t="shared" ref="T34:V34" si="12">SUM(T35:T38)</f>
        <v>2504879.6666666665</v>
      </c>
      <c r="U34" s="228">
        <f t="shared" si="12"/>
        <v>2499052.2222222225</v>
      </c>
      <c r="V34" s="228">
        <f t="shared" si="12"/>
        <v>31091294.888888888</v>
      </c>
      <c r="W34" s="73">
        <f t="shared" si="2"/>
        <v>0.14483488380159817</v>
      </c>
      <c r="X34" s="89"/>
      <c r="Y34" s="35">
        <f t="shared" ref="Y34:AJ34" si="13">Y6-Y13</f>
        <v>2238469.9800000004</v>
      </c>
      <c r="Z34" s="35">
        <f t="shared" si="13"/>
        <v>2219713.84</v>
      </c>
      <c r="AA34" s="35">
        <f t="shared" si="13"/>
        <v>2558997.5500000007</v>
      </c>
      <c r="AB34" s="35">
        <f t="shared" si="13"/>
        <v>2224310.6799999997</v>
      </c>
      <c r="AC34" s="35">
        <f t="shared" si="13"/>
        <v>2703636.870000001</v>
      </c>
      <c r="AD34" s="35">
        <f t="shared" si="13"/>
        <v>2543979.4400000013</v>
      </c>
      <c r="AE34" s="35">
        <f t="shared" si="13"/>
        <v>2488658.570000004</v>
      </c>
      <c r="AF34" s="35">
        <f t="shared" si="13"/>
        <v>2549282.3200000003</v>
      </c>
      <c r="AG34" s="35">
        <f t="shared" si="13"/>
        <v>2479671.9600000009</v>
      </c>
      <c r="AH34" s="35">
        <f t="shared" si="13"/>
        <v>2553408.2500000037</v>
      </c>
      <c r="AI34" s="35">
        <f t="shared" si="13"/>
        <v>2435954.8999999985</v>
      </c>
      <c r="AJ34" s="35">
        <f t="shared" si="13"/>
        <v>2239237.1099999994</v>
      </c>
      <c r="AK34" s="35">
        <f>AK6-AK13</f>
        <v>29235321.470000058</v>
      </c>
      <c r="AL34" s="73">
        <f t="shared" si="4"/>
        <v>0.12715604619722556</v>
      </c>
      <c r="AM34" s="34">
        <f t="shared" si="7"/>
        <v>-5.9694310755519564E-2</v>
      </c>
      <c r="AN34" s="9"/>
    </row>
    <row r="35" spans="1:41" ht="14.45" hidden="1" customHeight="1" outlineLevel="1">
      <c r="E35" s="127"/>
      <c r="I35" s="212" t="s">
        <v>136</v>
      </c>
      <c r="J35" s="30">
        <v>1521770</v>
      </c>
      <c r="K35" s="30">
        <v>1705666</v>
      </c>
      <c r="L35" s="30">
        <v>1723202</v>
      </c>
      <c r="M35" s="30">
        <v>1665233</v>
      </c>
      <c r="N35" s="30">
        <v>2183429</v>
      </c>
      <c r="O35" s="30">
        <v>1892675</v>
      </c>
      <c r="P35" s="30">
        <v>1887836</v>
      </c>
      <c r="Q35" s="30">
        <v>1797210</v>
      </c>
      <c r="R35" s="229">
        <v>1713706</v>
      </c>
      <c r="S35" s="229">
        <v>2176777</v>
      </c>
      <c r="T35" s="229">
        <f>IFERROR(AVERAGE(Q35:S35),0)</f>
        <v>1895897.6666666667</v>
      </c>
      <c r="U35" s="229">
        <f>IFERROR(AVERAGE(R35:T35),0)</f>
        <v>1928793.5555555557</v>
      </c>
      <c r="V35" s="229">
        <f t="shared" ref="V35:V38" si="14">SUM(J35:U35)</f>
        <v>22092195.222222224</v>
      </c>
      <c r="W35" s="74">
        <f t="shared" ref="W35:W46" si="15">V35/V$39</f>
        <v>1.9539403427468895</v>
      </c>
      <c r="X35" s="90"/>
      <c r="Y35" s="30">
        <f>+Y40*Y44</f>
        <v>1594116.0599999998</v>
      </c>
      <c r="Z35" s="30">
        <f t="shared" ref="Z35:AJ35" si="16">+Z40*Z44</f>
        <v>1586581.0399999998</v>
      </c>
      <c r="AA35" s="30">
        <f t="shared" si="16"/>
        <v>1800848.4000000001</v>
      </c>
      <c r="AB35" s="30">
        <f t="shared" si="16"/>
        <v>1586334.28</v>
      </c>
      <c r="AC35" s="30">
        <f t="shared" si="16"/>
        <v>1932571.3399999999</v>
      </c>
      <c r="AD35" s="30">
        <f t="shared" si="16"/>
        <v>1793599.29</v>
      </c>
      <c r="AE35" s="30">
        <f t="shared" si="16"/>
        <v>1712465.82</v>
      </c>
      <c r="AF35" s="30">
        <f t="shared" si="16"/>
        <v>1867937.28</v>
      </c>
      <c r="AG35" s="30">
        <f t="shared" si="16"/>
        <v>1779134.8800000001</v>
      </c>
      <c r="AH35" s="30">
        <f t="shared" si="16"/>
        <v>1841670.4899999998</v>
      </c>
      <c r="AI35" s="30">
        <f t="shared" si="16"/>
        <v>1746525.1199999999</v>
      </c>
      <c r="AJ35" s="30">
        <f t="shared" si="16"/>
        <v>1605705.44</v>
      </c>
      <c r="AK35" s="30">
        <f t="shared" ref="AK35:AK42" si="17">SUM(Y35:AJ35)</f>
        <v>20847489.440000001</v>
      </c>
      <c r="AL35" s="74">
        <f t="shared" ref="AL35:AL46" si="18">AK35/AK$39</f>
        <v>1.7858288712930488</v>
      </c>
      <c r="AM35" s="29">
        <f>IFERROR(AK35/V35-1,0)</f>
        <v>-5.6341425996914496E-2</v>
      </c>
      <c r="AN35" s="9"/>
    </row>
    <row r="36" spans="1:41" ht="14.45" hidden="1" customHeight="1" outlineLevel="1">
      <c r="E36" s="127"/>
      <c r="I36" s="212" t="s">
        <v>137</v>
      </c>
      <c r="J36" s="30">
        <v>268273</v>
      </c>
      <c r="K36" s="30">
        <v>254532</v>
      </c>
      <c r="L36" s="30">
        <v>336951</v>
      </c>
      <c r="M36" s="30">
        <v>307478</v>
      </c>
      <c r="N36" s="30">
        <v>372850</v>
      </c>
      <c r="O36" s="30">
        <v>340135</v>
      </c>
      <c r="P36" s="30">
        <v>287059</v>
      </c>
      <c r="Q36" s="30">
        <v>124013</v>
      </c>
      <c r="R36" s="229">
        <v>180311</v>
      </c>
      <c r="S36" s="229">
        <v>270946</v>
      </c>
      <c r="T36" s="229">
        <f>IFERROR(AVERAGE(R36:S36,P36),0)</f>
        <v>246105.33333333334</v>
      </c>
      <c r="U36" s="229">
        <f>IFERROR(AVERAGE(R36:T36),0)</f>
        <v>232454.11111111112</v>
      </c>
      <c r="V36" s="229">
        <f t="shared" si="14"/>
        <v>3221107.4444444445</v>
      </c>
      <c r="W36" s="74">
        <f t="shared" si="15"/>
        <v>0.28489028458753796</v>
      </c>
      <c r="X36" s="90"/>
      <c r="Y36" s="30">
        <f t="shared" ref="Y36:AJ37" si="19">+Y41*Y45</f>
        <v>204504.95999999999</v>
      </c>
      <c r="Z36" s="30">
        <f t="shared" si="19"/>
        <v>207281.78</v>
      </c>
      <c r="AA36" s="30">
        <f t="shared" si="19"/>
        <v>237728.91999999998</v>
      </c>
      <c r="AB36" s="30">
        <f t="shared" si="19"/>
        <v>225278.78999999998</v>
      </c>
      <c r="AC36" s="30">
        <f t="shared" si="19"/>
        <v>276814.88999999996</v>
      </c>
      <c r="AD36" s="30">
        <f t="shared" si="19"/>
        <v>266512.5</v>
      </c>
      <c r="AE36" s="30">
        <f t="shared" si="19"/>
        <v>263311.55</v>
      </c>
      <c r="AF36" s="30">
        <f t="shared" si="19"/>
        <v>262279.08</v>
      </c>
      <c r="AG36" s="30">
        <f t="shared" si="19"/>
        <v>258695.64</v>
      </c>
      <c r="AH36" s="30">
        <f t="shared" si="19"/>
        <v>235654.31999999998</v>
      </c>
      <c r="AI36" s="30">
        <f t="shared" si="19"/>
        <v>227067.49999999997</v>
      </c>
      <c r="AJ36" s="30">
        <f t="shared" si="19"/>
        <v>218640.06999999998</v>
      </c>
      <c r="AK36" s="30">
        <f t="shared" si="17"/>
        <v>2883769.9999999995</v>
      </c>
      <c r="AL36" s="74">
        <f t="shared" si="18"/>
        <v>0.24702829273474161</v>
      </c>
      <c r="AM36" s="29">
        <f>IFERROR(AK36/V36-1,0)</f>
        <v>-0.10472716302160689</v>
      </c>
      <c r="AN36" s="9"/>
    </row>
    <row r="37" spans="1:41" ht="14.45" hidden="1" customHeight="1" outlineLevel="1">
      <c r="I37" s="212" t="s">
        <v>138</v>
      </c>
      <c r="J37" s="30">
        <v>773599</v>
      </c>
      <c r="K37" s="30">
        <v>512090</v>
      </c>
      <c r="L37" s="30">
        <v>600030</v>
      </c>
      <c r="M37" s="30">
        <v>507875</v>
      </c>
      <c r="N37" s="30">
        <v>592818</v>
      </c>
      <c r="O37" s="30">
        <v>463739</v>
      </c>
      <c r="P37" s="30">
        <v>518330</v>
      </c>
      <c r="Q37" s="30">
        <v>435675</v>
      </c>
      <c r="R37" s="229">
        <v>33796</v>
      </c>
      <c r="S37" s="229">
        <v>614519</v>
      </c>
      <c r="T37" s="229">
        <f>IFERROR(AVERAGE(Q37:S37),0)</f>
        <v>361330</v>
      </c>
      <c r="U37" s="229">
        <f>IFERROR(AVERAGE(R37:T37),0)</f>
        <v>336548.33333333331</v>
      </c>
      <c r="V37" s="229">
        <f t="shared" si="14"/>
        <v>5750349.333333333</v>
      </c>
      <c r="W37" s="74">
        <f t="shared" si="15"/>
        <v>0.50858864111365942</v>
      </c>
      <c r="X37" s="90"/>
      <c r="Y37" s="30">
        <f t="shared" si="19"/>
        <v>437940.95999999996</v>
      </c>
      <c r="Z37" s="30">
        <f t="shared" si="19"/>
        <v>423817.01999999996</v>
      </c>
      <c r="AA37" s="30">
        <f t="shared" si="19"/>
        <v>515128.23</v>
      </c>
      <c r="AB37" s="30">
        <f t="shared" si="19"/>
        <v>410789.61</v>
      </c>
      <c r="AC37" s="30">
        <f t="shared" si="19"/>
        <v>492054.63999999996</v>
      </c>
      <c r="AD37" s="30">
        <f t="shared" si="19"/>
        <v>482103.65</v>
      </c>
      <c r="AE37" s="30">
        <f t="shared" si="19"/>
        <v>510793.2</v>
      </c>
      <c r="AF37" s="30">
        <f t="shared" si="19"/>
        <v>417139.95999999996</v>
      </c>
      <c r="AG37" s="30">
        <f t="shared" si="19"/>
        <v>439690.44</v>
      </c>
      <c r="AH37" s="30">
        <f t="shared" si="19"/>
        <v>473545.44</v>
      </c>
      <c r="AI37" s="30">
        <f t="shared" si="19"/>
        <v>459725.27999999997</v>
      </c>
      <c r="AJ37" s="30">
        <f t="shared" si="19"/>
        <v>412551.6</v>
      </c>
      <c r="AK37" s="30">
        <f t="shared" si="17"/>
        <v>5475280.0300000003</v>
      </c>
      <c r="AL37" s="74">
        <f t="shared" si="18"/>
        <v>0.46902113485316965</v>
      </c>
      <c r="AM37" s="29">
        <f>IFERROR(AK37/V37-1,0)</f>
        <v>-4.7835233546390854E-2</v>
      </c>
      <c r="AN37" s="9"/>
    </row>
    <row r="38" spans="1:41" ht="14.45" hidden="1" customHeight="1" outlineLevel="1">
      <c r="I38" s="212" t="s">
        <v>139</v>
      </c>
      <c r="J38" s="32">
        <v>1515</v>
      </c>
      <c r="K38" s="32">
        <v>2702</v>
      </c>
      <c r="L38" s="32">
        <v>3802</v>
      </c>
      <c r="M38" s="32">
        <v>3297</v>
      </c>
      <c r="N38" s="32">
        <v>3670</v>
      </c>
      <c r="O38" s="32">
        <v>3668</v>
      </c>
      <c r="P38" s="32">
        <v>1546</v>
      </c>
      <c r="Q38" s="32">
        <v>2418</v>
      </c>
      <c r="R38" s="229">
        <v>-1145</v>
      </c>
      <c r="S38" s="229">
        <v>3367</v>
      </c>
      <c r="T38" s="229">
        <f>IFERROR(AVERAGE(Q38:S38),0)</f>
        <v>1546.6666666666667</v>
      </c>
      <c r="U38" s="229">
        <f>IFERROR(AVERAGE(R38:T38),0)</f>
        <v>1256.2222222222224</v>
      </c>
      <c r="V38" s="229">
        <f t="shared" si="14"/>
        <v>27642.888888888891</v>
      </c>
      <c r="W38" s="74">
        <f t="shared" si="15"/>
        <v>2.4448704733398014E-3</v>
      </c>
      <c r="X38" s="90"/>
      <c r="Y38" s="32">
        <f>Y10-Y30</f>
        <v>1908</v>
      </c>
      <c r="Z38" s="32">
        <f t="shared" ref="Z38:AJ38" si="20">Z10-Z30</f>
        <v>2034</v>
      </c>
      <c r="AA38" s="32">
        <f t="shared" si="20"/>
        <v>5292</v>
      </c>
      <c r="AB38" s="32">
        <f t="shared" si="20"/>
        <v>1908</v>
      </c>
      <c r="AC38" s="32">
        <f t="shared" si="20"/>
        <v>2196</v>
      </c>
      <c r="AD38" s="32">
        <f t="shared" si="20"/>
        <v>1764</v>
      </c>
      <c r="AE38" s="32">
        <f t="shared" si="20"/>
        <v>2088</v>
      </c>
      <c r="AF38" s="32">
        <f t="shared" si="20"/>
        <v>1926</v>
      </c>
      <c r="AG38" s="32">
        <f t="shared" si="20"/>
        <v>2151</v>
      </c>
      <c r="AH38" s="32">
        <f t="shared" si="20"/>
        <v>2538</v>
      </c>
      <c r="AI38" s="32">
        <f t="shared" si="20"/>
        <v>2637</v>
      </c>
      <c r="AJ38" s="32">
        <f t="shared" si="20"/>
        <v>2340</v>
      </c>
      <c r="AK38" s="30">
        <f t="shared" si="17"/>
        <v>28782</v>
      </c>
      <c r="AL38" s="74">
        <f t="shared" si="18"/>
        <v>2.4655115773766054E-3</v>
      </c>
      <c r="AM38" s="29">
        <f>IFERROR(AK38/V38-1,0)</f>
        <v>4.1208106565481906E-2</v>
      </c>
      <c r="AN38" s="9"/>
    </row>
    <row r="39" spans="1:41" ht="14.45" customHeight="1" collapsed="1">
      <c r="I39" s="18" t="s">
        <v>140</v>
      </c>
      <c r="J39" s="33">
        <v>880076</v>
      </c>
      <c r="K39" s="33">
        <v>874665</v>
      </c>
      <c r="L39" s="33">
        <v>970962</v>
      </c>
      <c r="M39" s="33">
        <v>901802</v>
      </c>
      <c r="N39" s="33">
        <v>1013827</v>
      </c>
      <c r="O39" s="33">
        <v>1001016</v>
      </c>
      <c r="P39" s="33">
        <v>983148</v>
      </c>
      <c r="Q39" s="33">
        <f t="shared" ref="Q39:T39" si="21">SUM(Q40:Q42)</f>
        <v>877210</v>
      </c>
      <c r="R39" s="33">
        <v>926897</v>
      </c>
      <c r="S39" s="33">
        <v>1014902</v>
      </c>
      <c r="T39" s="33">
        <f t="shared" si="21"/>
        <v>961755</v>
      </c>
      <c r="U39" s="33">
        <f>SUM(U40:U42)</f>
        <v>900224</v>
      </c>
      <c r="V39" s="33">
        <f>SUM(J39:U39)</f>
        <v>11306484</v>
      </c>
      <c r="W39" s="74">
        <f t="shared" si="15"/>
        <v>1</v>
      </c>
      <c r="X39" s="90"/>
      <c r="Y39" s="33">
        <f t="shared" ref="Y39:AJ39" si="22">SUM(Y40:Y42)</f>
        <v>895422</v>
      </c>
      <c r="Z39" s="33">
        <f t="shared" si="22"/>
        <v>888842</v>
      </c>
      <c r="AA39" s="33">
        <f t="shared" si="22"/>
        <v>987037</v>
      </c>
      <c r="AB39" s="33">
        <f t="shared" si="22"/>
        <v>917011</v>
      </c>
      <c r="AC39" s="33">
        <f t="shared" si="22"/>
        <v>1038719</v>
      </c>
      <c r="AD39" s="33">
        <f t="shared" si="22"/>
        <v>1023703</v>
      </c>
      <c r="AE39" s="33">
        <f t="shared" si="22"/>
        <v>1004176</v>
      </c>
      <c r="AF39" s="33">
        <f t="shared" si="22"/>
        <v>1004701</v>
      </c>
      <c r="AG39" s="33">
        <f t="shared" si="22"/>
        <v>997370</v>
      </c>
      <c r="AH39" s="33">
        <f t="shared" si="22"/>
        <v>1015153</v>
      </c>
      <c r="AI39" s="33">
        <f>SUM(AI40:AI42)</f>
        <v>982406</v>
      </c>
      <c r="AJ39" s="33">
        <f t="shared" si="22"/>
        <v>919305</v>
      </c>
      <c r="AK39" s="33">
        <f t="shared" si="17"/>
        <v>11673845</v>
      </c>
      <c r="AL39" s="74">
        <f t="shared" si="18"/>
        <v>1</v>
      </c>
      <c r="AM39" s="16">
        <f>IFERROR(AK39/V39-1,0)</f>
        <v>3.2491179397591718E-2</v>
      </c>
      <c r="AN39" s="9" t="s">
        <v>447</v>
      </c>
    </row>
    <row r="40" spans="1:41" ht="14.45" hidden="1" customHeight="1" outlineLevel="1">
      <c r="I40" s="31" t="s">
        <v>141</v>
      </c>
      <c r="J40" s="32">
        <v>621815</v>
      </c>
      <c r="K40" s="32">
        <v>619647</v>
      </c>
      <c r="L40" s="32">
        <v>678892</v>
      </c>
      <c r="M40" s="32">
        <v>636677</v>
      </c>
      <c r="N40" s="32">
        <v>713694</v>
      </c>
      <c r="O40" s="32">
        <v>701229</v>
      </c>
      <c r="P40" s="32">
        <v>675359</v>
      </c>
      <c r="Q40" s="32">
        <v>658001</v>
      </c>
      <c r="R40" s="32">
        <v>674070</v>
      </c>
      <c r="S40" s="32">
        <v>724529</v>
      </c>
      <c r="T40" s="32">
        <v>689760</v>
      </c>
      <c r="U40" s="32">
        <v>643776</v>
      </c>
      <c r="V40" s="32">
        <f>SUM(J40:U40)</f>
        <v>8037449</v>
      </c>
      <c r="W40" s="74">
        <f t="shared" si="15"/>
        <v>0.71087077114335451</v>
      </c>
      <c r="X40" s="90"/>
      <c r="Y40" s="32">
        <f>VLOOKUP($E$1,'[3]Resumen x Tipo Combustible'!$C$4:$O$10,Y$1,0)</f>
        <v>635106</v>
      </c>
      <c r="Z40" s="32">
        <f>VLOOKUP($E$1,'[3]Resumen x Tipo Combustible'!$C$4:$O$10,Z$1,0)</f>
        <v>632104</v>
      </c>
      <c r="AA40" s="32">
        <f>VLOOKUP($E$1,'[3]Resumen x Tipo Combustible'!$C$4:$O$10,AA$1,0)</f>
        <v>692634</v>
      </c>
      <c r="AB40" s="32">
        <f>VLOOKUP($E$1,'[3]Resumen x Tipo Combustible'!$C$4:$O$10,AB$1,0)</f>
        <v>650137</v>
      </c>
      <c r="AC40" s="32">
        <f>VLOOKUP($E$1,'[3]Resumen x Tipo Combustible'!$C$4:$O$10,AC$1,0)</f>
        <v>734818</v>
      </c>
      <c r="AD40" s="32">
        <f>VLOOKUP($E$1,'[3]Resumen x Tipo Combustible'!$C$4:$O$10,AD$1,0)</f>
        <v>720321</v>
      </c>
      <c r="AE40" s="32">
        <f>VLOOKUP($E$1,'[3]Resumen x Tipo Combustible'!$C$4:$O$10,AE$1,0)</f>
        <v>693306</v>
      </c>
      <c r="AF40" s="32">
        <f>VLOOKUP($E$1,'[3]Resumen x Tipo Combustible'!$C$4:$O$10,AF$1,0)</f>
        <v>729663</v>
      </c>
      <c r="AG40" s="32">
        <f>VLOOKUP($E$1,'[3]Resumen x Tipo Combustible'!$C$4:$O$10,AG$1,0)</f>
        <v>714512</v>
      </c>
      <c r="AH40" s="32">
        <f>VLOOKUP($E$1,'[3]Resumen x Tipo Combustible'!$C$4:$O$10,AH$1,0)</f>
        <v>727933</v>
      </c>
      <c r="AI40" s="32">
        <f>VLOOKUP($E$1,'[3]Resumen x Tipo Combustible'!$C$4:$O$10,AI$1,0)</f>
        <v>704244</v>
      </c>
      <c r="AJ40" s="32">
        <f>VLOOKUP($E$1,'[3]Resumen x Tipo Combustible'!$C$4:$O$10,AJ$1,0)</f>
        <v>658076</v>
      </c>
      <c r="AK40" s="32">
        <f t="shared" si="17"/>
        <v>8292854</v>
      </c>
      <c r="AL40" s="74">
        <f t="shared" si="18"/>
        <v>0.71037897111020409</v>
      </c>
      <c r="AM40" s="29">
        <f t="shared" si="7"/>
        <v>3.1776873483116308E-2</v>
      </c>
      <c r="AN40" s="9"/>
    </row>
    <row r="41" spans="1:41" ht="14.45" hidden="1" customHeight="1" outlineLevel="1">
      <c r="I41" s="31" t="s">
        <v>142</v>
      </c>
      <c r="J41" s="32">
        <v>78777</v>
      </c>
      <c r="K41" s="32">
        <v>79886</v>
      </c>
      <c r="L41" s="32">
        <v>91630</v>
      </c>
      <c r="M41" s="32">
        <v>87294</v>
      </c>
      <c r="N41" s="32">
        <v>105645</v>
      </c>
      <c r="O41" s="32">
        <v>103010</v>
      </c>
      <c r="P41" s="32">
        <v>101823</v>
      </c>
      <c r="Q41" s="32">
        <v>52744</v>
      </c>
      <c r="R41" s="32">
        <v>77362</v>
      </c>
      <c r="S41" s="32">
        <v>94356</v>
      </c>
      <c r="T41" s="32">
        <v>87561</v>
      </c>
      <c r="U41" s="32">
        <v>84642</v>
      </c>
      <c r="V41" s="32">
        <f>SUM(J41:U41)</f>
        <v>1044730</v>
      </c>
      <c r="W41" s="74">
        <f t="shared" si="15"/>
        <v>9.2400962138185494E-2</v>
      </c>
      <c r="X41" s="90"/>
      <c r="Y41" s="32">
        <f>VLOOKUP($E$1,'[3]Resumen x Tipo Combustible'!$C$15:$O$21,Y$1,0)</f>
        <v>80832</v>
      </c>
      <c r="Z41" s="32">
        <f>VLOOKUP($E$1,'[3]Resumen x Tipo Combustible'!$C$15:$O$21,Z$1,0)</f>
        <v>81607</v>
      </c>
      <c r="AA41" s="32">
        <f>VLOOKUP($E$1,'[3]Resumen x Tipo Combustible'!$C$15:$O$21,AA$1,0)</f>
        <v>93964</v>
      </c>
      <c r="AB41" s="32">
        <f>VLOOKUP($E$1,'[3]Resumen x Tipo Combustible'!$C$15:$O$21,AB$1,0)</f>
        <v>89043</v>
      </c>
      <c r="AC41" s="32">
        <f>VLOOKUP($E$1,'[3]Resumen x Tipo Combustible'!$C$15:$O$21,AC$1,0)</f>
        <v>109413</v>
      </c>
      <c r="AD41" s="32">
        <f>VLOOKUP($E$1,'[3]Resumen x Tipo Combustible'!$C$15:$O$21,AD$1,0)</f>
        <v>106605</v>
      </c>
      <c r="AE41" s="32">
        <f>VLOOKUP($E$1,'[3]Resumen x Tipo Combustible'!$C$15:$O$21,AE$1,0)</f>
        <v>104905</v>
      </c>
      <c r="AF41" s="32">
        <f>VLOOKUP($E$1,'[3]Resumen x Tipo Combustible'!$C$15:$O$21,AF$1,0)</f>
        <v>104079</v>
      </c>
      <c r="AG41" s="32">
        <f>VLOOKUP($E$1,'[3]Resumen x Tipo Combustible'!$C$15:$O$21,AG$1,0)</f>
        <v>102657</v>
      </c>
      <c r="AH41" s="32">
        <f>VLOOKUP($E$1,'[3]Resumen x Tipo Combustible'!$C$15:$O$21,AH$1,0)</f>
        <v>93144</v>
      </c>
      <c r="AI41" s="32">
        <f>VLOOKUP($E$1,'[3]Resumen x Tipo Combustible'!$C$15:$O$21,AI$1,0)</f>
        <v>89750</v>
      </c>
      <c r="AJ41" s="32">
        <f>VLOOKUP($E$1,'[3]Resumen x Tipo Combustible'!$C$15:$O$21,AJ$1,0)</f>
        <v>86419</v>
      </c>
      <c r="AK41" s="32">
        <f t="shared" si="17"/>
        <v>1142418</v>
      </c>
      <c r="AL41" s="74">
        <f t="shared" si="18"/>
        <v>9.786133017870291E-2</v>
      </c>
      <c r="AM41" s="29">
        <f t="shared" si="7"/>
        <v>9.3505499028457173E-2</v>
      </c>
      <c r="AN41" s="9"/>
    </row>
    <row r="42" spans="1:41" ht="14.45" hidden="1" customHeight="1" outlineLevel="1">
      <c r="A42" s="21"/>
      <c r="B42" s="21"/>
      <c r="C42" s="21"/>
      <c r="D42" s="21"/>
      <c r="E42" s="7" t="s">
        <v>98</v>
      </c>
      <c r="I42" s="31" t="s">
        <v>143</v>
      </c>
      <c r="J42" s="32">
        <v>179484</v>
      </c>
      <c r="K42" s="32">
        <v>175131</v>
      </c>
      <c r="L42" s="32">
        <v>200439</v>
      </c>
      <c r="M42" s="32">
        <v>177831</v>
      </c>
      <c r="N42" s="32">
        <v>194488</v>
      </c>
      <c r="O42" s="32">
        <v>196777</v>
      </c>
      <c r="P42" s="32">
        <v>205965</v>
      </c>
      <c r="Q42" s="32">
        <v>166465</v>
      </c>
      <c r="R42" s="32">
        <v>175464</v>
      </c>
      <c r="S42" s="32">
        <v>196017</v>
      </c>
      <c r="T42" s="32">
        <v>184434</v>
      </c>
      <c r="U42" s="32">
        <v>171806</v>
      </c>
      <c r="V42" s="32">
        <f>SUM(J42:U42)</f>
        <v>2224301</v>
      </c>
      <c r="W42" s="74">
        <f t="shared" si="15"/>
        <v>0.1967279129391595</v>
      </c>
      <c r="X42" s="90"/>
      <c r="Y42" s="32">
        <f>VLOOKUP($E$1,'[3]Resumen x Tipo Combustible'!$C$26:$O$32,Y$1,0)</f>
        <v>179484</v>
      </c>
      <c r="Z42" s="32">
        <f>VLOOKUP($E$1,'[3]Resumen x Tipo Combustible'!$C$26:$O$32,Z$1,0)</f>
        <v>175131</v>
      </c>
      <c r="AA42" s="32">
        <f>VLOOKUP($E$1,'[3]Resumen x Tipo Combustible'!$C$26:$O$32,AA$1,0)</f>
        <v>200439</v>
      </c>
      <c r="AB42" s="32">
        <f>VLOOKUP($E$1,'[3]Resumen x Tipo Combustible'!$C$26:$O$32,AB$1,0)</f>
        <v>177831</v>
      </c>
      <c r="AC42" s="32">
        <f>VLOOKUP($E$1,'[3]Resumen x Tipo Combustible'!$C$26:$O$32,AC$1,0)</f>
        <v>194488</v>
      </c>
      <c r="AD42" s="32">
        <f>VLOOKUP($E$1,'[3]Resumen x Tipo Combustible'!$C$26:$O$32,AD$1,0)</f>
        <v>196777</v>
      </c>
      <c r="AE42" s="32">
        <f>VLOOKUP($E$1,'[3]Resumen x Tipo Combustible'!$C$26:$O$32,AE$1,0)</f>
        <v>205965</v>
      </c>
      <c r="AF42" s="32">
        <f>VLOOKUP($E$1,'[3]Resumen x Tipo Combustible'!$C$26:$O$32,AF$1,0)</f>
        <v>170959</v>
      </c>
      <c r="AG42" s="32">
        <f>VLOOKUP($E$1,'[3]Resumen x Tipo Combustible'!$C$26:$O$32,AG$1,0)</f>
        <v>180201</v>
      </c>
      <c r="AH42" s="32">
        <f>VLOOKUP($E$1,'[3]Resumen x Tipo Combustible'!$C$26:$O$32,AH$1,0)</f>
        <v>194076</v>
      </c>
      <c r="AI42" s="32">
        <f>VLOOKUP($E$1,'[3]Resumen x Tipo Combustible'!$C$26:$O$32,AI$1,0)</f>
        <v>188412</v>
      </c>
      <c r="AJ42" s="32">
        <f>VLOOKUP($E$1,'[3]Resumen x Tipo Combustible'!$C$26:$O$32,AJ$1,0)</f>
        <v>174810</v>
      </c>
      <c r="AK42" s="32">
        <f t="shared" si="17"/>
        <v>2238573</v>
      </c>
      <c r="AL42" s="74">
        <f t="shared" si="18"/>
        <v>0.19175969871109305</v>
      </c>
      <c r="AM42" s="29">
        <f t="shared" si="7"/>
        <v>6.416397780696137E-3</v>
      </c>
      <c r="AN42" s="9"/>
    </row>
    <row r="43" spans="1:41" ht="14.25" customHeight="1" collapsed="1">
      <c r="A43" s="21"/>
      <c r="B43" s="21"/>
      <c r="C43" s="21"/>
      <c r="D43" s="21"/>
      <c r="E43" s="22"/>
      <c r="F43" s="21"/>
      <c r="G43" s="21"/>
      <c r="H43" s="21"/>
      <c r="I43" s="18" t="s">
        <v>359</v>
      </c>
      <c r="J43" s="17">
        <v>2.91</v>
      </c>
      <c r="K43" s="17">
        <v>2.83</v>
      </c>
      <c r="L43" s="17">
        <v>2.74</v>
      </c>
      <c r="M43" s="17">
        <v>2.75</v>
      </c>
      <c r="N43" s="17">
        <v>3.11</v>
      </c>
      <c r="O43" s="17">
        <v>2.7</v>
      </c>
      <c r="P43" s="17">
        <v>2.74</v>
      </c>
      <c r="Q43" s="17">
        <v>2.69</v>
      </c>
      <c r="R43" s="17">
        <v>2.08</v>
      </c>
      <c r="S43" s="17">
        <v>3.02</v>
      </c>
      <c r="T43" s="17">
        <f t="shared" ref="R43:U46" si="23">+T34/T39</f>
        <v>2.6044883225630922</v>
      </c>
      <c r="U43" s="17">
        <f t="shared" si="23"/>
        <v>2.7760337673981392</v>
      </c>
      <c r="V43" s="17">
        <f>+V34/V39</f>
        <v>2.7498641389214269</v>
      </c>
      <c r="W43" s="74">
        <f t="shared" si="15"/>
        <v>2.4321125284583843E-7</v>
      </c>
      <c r="X43" s="90"/>
      <c r="Y43" s="17">
        <f>+Y34/Y39</f>
        <v>2.4999050503561455</v>
      </c>
      <c r="Z43" s="17">
        <f t="shared" ref="Z43:AK43" si="24">+Z34/Z39</f>
        <v>2.4973098030921128</v>
      </c>
      <c r="AA43" s="17">
        <f t="shared" si="24"/>
        <v>2.5926054950321018</v>
      </c>
      <c r="AB43" s="17">
        <f t="shared" si="24"/>
        <v>2.4256095946504455</v>
      </c>
      <c r="AC43" s="17">
        <f t="shared" si="24"/>
        <v>2.6028568554151805</v>
      </c>
      <c r="AD43" s="17">
        <f t="shared" si="24"/>
        <v>2.4850756908986309</v>
      </c>
      <c r="AE43" s="17">
        <f t="shared" si="24"/>
        <v>2.4783091509854884</v>
      </c>
      <c r="AF43" s="17">
        <f t="shared" si="24"/>
        <v>2.5373542178220192</v>
      </c>
      <c r="AG43" s="17">
        <f t="shared" si="24"/>
        <v>2.4862106941255511</v>
      </c>
      <c r="AH43" s="17">
        <f t="shared" si="24"/>
        <v>2.5152940000177351</v>
      </c>
      <c r="AI43" s="17">
        <f t="shared" si="24"/>
        <v>2.4795806418120394</v>
      </c>
      <c r="AJ43" s="17">
        <f t="shared" si="24"/>
        <v>2.4357934635403913</v>
      </c>
      <c r="AK43" s="17">
        <f>+AK34/AK39</f>
        <v>2.5043438104583418</v>
      </c>
      <c r="AL43" s="74">
        <f t="shared" si="18"/>
        <v>2.1452604608493105E-7</v>
      </c>
      <c r="AM43" s="16">
        <f t="shared" si="7"/>
        <v>-8.9284530456615552E-2</v>
      </c>
      <c r="AN43" s="173" t="s">
        <v>447</v>
      </c>
      <c r="AO43" s="291">
        <f>+AK43-V43</f>
        <v>-0.24552032846308514</v>
      </c>
    </row>
    <row r="44" spans="1:41" ht="14.45" hidden="1" customHeight="1" outlineLevel="1">
      <c r="A44" s="12" t="s">
        <v>146</v>
      </c>
      <c r="B44" s="19" t="s">
        <v>88</v>
      </c>
      <c r="I44" s="31" t="s">
        <v>141</v>
      </c>
      <c r="J44" s="30">
        <v>2.4500000000000002</v>
      </c>
      <c r="K44" s="30">
        <v>2.75</v>
      </c>
      <c r="L44" s="30">
        <v>2.54</v>
      </c>
      <c r="M44" s="30">
        <v>2.62</v>
      </c>
      <c r="N44" s="30">
        <v>3.06</v>
      </c>
      <c r="O44" s="30">
        <v>2.7</v>
      </c>
      <c r="P44" s="30">
        <v>2.8</v>
      </c>
      <c r="Q44" s="30">
        <v>2.73</v>
      </c>
      <c r="R44" s="30">
        <v>2.54</v>
      </c>
      <c r="S44" s="30">
        <v>3</v>
      </c>
      <c r="T44" s="30">
        <f t="shared" si="23"/>
        <v>2.7486338243253692</v>
      </c>
      <c r="U44" s="30">
        <f t="shared" si="23"/>
        <v>2.9960631579238055</v>
      </c>
      <c r="V44" s="30">
        <f t="shared" ref="V44:V46" si="25">+V35/V40</f>
        <v>2.7486575930027333</v>
      </c>
      <c r="W44" s="74">
        <f t="shared" si="15"/>
        <v>2.4310454010307121E-7</v>
      </c>
      <c r="X44" s="90"/>
      <c r="Y44" s="30">
        <f>VLOOKUP(Y3,'[3]Margen ctvs-lit'!$J$64:$O$75,$Y$1,0)</f>
        <v>2.5099999999999998</v>
      </c>
      <c r="Z44" s="30">
        <f>VLOOKUP(Z3,'[3]Margen ctvs-lit'!$J$64:$O$75,$Y$1,0)</f>
        <v>2.5099999999999998</v>
      </c>
      <c r="AA44" s="30">
        <f>VLOOKUP(AA3,'[3]Margen ctvs-lit'!$J$64:$O$75,$Y$1,0)</f>
        <v>2.6</v>
      </c>
      <c r="AB44" s="30">
        <f>VLOOKUP(AB3,'[3]Margen ctvs-lit'!$J$64:$O$75,$Y$1,0)</f>
        <v>2.44</v>
      </c>
      <c r="AC44" s="30">
        <f>VLOOKUP(AC3,'[3]Margen ctvs-lit'!$J$64:$O$75,$Y$1,0)</f>
        <v>2.63</v>
      </c>
      <c r="AD44" s="30">
        <f>VLOOKUP(AD3,'[3]Margen ctvs-lit'!$J$64:$O$75,$Y$1,0)</f>
        <v>2.4900000000000002</v>
      </c>
      <c r="AE44" s="30">
        <f>VLOOKUP(AE3,'[3]Margen ctvs-lit'!$J$64:$O$75,$Y$1,0)</f>
        <v>2.4700000000000002</v>
      </c>
      <c r="AF44" s="30">
        <f>VLOOKUP(AF3,'[3]Margen ctvs-lit'!$J$64:$O$75,$Y$1,0)</f>
        <v>2.56</v>
      </c>
      <c r="AG44" s="30">
        <f>VLOOKUP(AG3,'[3]Margen ctvs-lit'!$J$64:$O$75,$Y$1,0)</f>
        <v>2.4900000000000002</v>
      </c>
      <c r="AH44" s="30">
        <f>VLOOKUP(AH3,'[3]Margen ctvs-lit'!$J$64:$O$75,$Y$1,0)</f>
        <v>2.5299999999999998</v>
      </c>
      <c r="AI44" s="30">
        <f>VLOOKUP(AI3,'[3]Margen ctvs-lit'!$J$64:$O$75,$Y$1,0)</f>
        <v>2.48</v>
      </c>
      <c r="AJ44" s="30">
        <f>VLOOKUP(AJ3,'[3]Margen ctvs-lit'!$J$64:$O$75,$Y$1,0)</f>
        <v>2.44</v>
      </c>
      <c r="AK44" s="30">
        <f>+AK35/AK40</f>
        <v>2.5139101013957319</v>
      </c>
      <c r="AL44" s="74">
        <f t="shared" si="18"/>
        <v>2.1534550967532393E-7</v>
      </c>
      <c r="AM44" s="29">
        <f t="shared" si="7"/>
        <v>-8.5404414214632962E-2</v>
      </c>
      <c r="AN44" s="9"/>
      <c r="AO44" s="291">
        <f>+AK44-V44</f>
        <v>-0.23474749160700137</v>
      </c>
    </row>
    <row r="45" spans="1:41" ht="14.45" hidden="1" customHeight="1" outlineLevel="1">
      <c r="A45" s="12" t="s">
        <v>146</v>
      </c>
      <c r="B45" s="8" t="s">
        <v>88</v>
      </c>
      <c r="C45" s="19" t="s">
        <v>148</v>
      </c>
      <c r="D45" s="12"/>
      <c r="E45" s="20"/>
      <c r="F45" s="12"/>
      <c r="G45" s="12"/>
      <c r="H45" s="12"/>
      <c r="I45" s="31" t="s">
        <v>142</v>
      </c>
      <c r="J45" s="30">
        <v>3.41</v>
      </c>
      <c r="K45" s="30">
        <v>3.19</v>
      </c>
      <c r="L45" s="30">
        <v>3.68</v>
      </c>
      <c r="M45" s="30">
        <v>3.52</v>
      </c>
      <c r="N45" s="30">
        <v>3.53</v>
      </c>
      <c r="O45" s="30">
        <v>3.3</v>
      </c>
      <c r="P45" s="30">
        <v>2.82</v>
      </c>
      <c r="Q45" s="30">
        <v>2.35</v>
      </c>
      <c r="R45" s="30">
        <v>2.33</v>
      </c>
      <c r="S45" s="30">
        <v>2.87</v>
      </c>
      <c r="T45" s="30">
        <f t="shared" si="23"/>
        <v>2.8106729403882249</v>
      </c>
      <c r="U45" s="30">
        <f t="shared" si="23"/>
        <v>2.7463211066741229</v>
      </c>
      <c r="V45" s="30">
        <f t="shared" si="25"/>
        <v>3.0831960836239456</v>
      </c>
      <c r="W45" s="74">
        <f t="shared" si="15"/>
        <v>2.726927383989528E-7</v>
      </c>
      <c r="X45" s="90"/>
      <c r="Y45" s="30">
        <f>VLOOKUP(Y3,'[3]Margen ctvs-lit'!$J$64:$O$75,$AA$1,0)</f>
        <v>2.5299999999999998</v>
      </c>
      <c r="Z45" s="30">
        <f>VLOOKUP(Z3,'[3]Margen ctvs-lit'!$J$64:$O$75,$AA$1,0)</f>
        <v>2.54</v>
      </c>
      <c r="AA45" s="30">
        <f>VLOOKUP(AA3,'[3]Margen ctvs-lit'!$J$64:$O$75,$AA$1,0)</f>
        <v>2.5299999999999998</v>
      </c>
      <c r="AB45" s="30">
        <f>VLOOKUP(AB3,'[3]Margen ctvs-lit'!$J$64:$O$75,$AA$1,0)</f>
        <v>2.5299999999999998</v>
      </c>
      <c r="AC45" s="30">
        <f>VLOOKUP(AC3,'[3]Margen ctvs-lit'!$J$64:$O$75,$AA$1,0)</f>
        <v>2.5299999999999998</v>
      </c>
      <c r="AD45" s="30">
        <f>VLOOKUP(AD3,'[3]Margen ctvs-lit'!$J$64:$O$75,$AA$1,0)</f>
        <v>2.5</v>
      </c>
      <c r="AE45" s="30">
        <f>VLOOKUP(AE3,'[3]Margen ctvs-lit'!$J$64:$O$75,$AA$1,0)</f>
        <v>2.5099999999999998</v>
      </c>
      <c r="AF45" s="30">
        <f>VLOOKUP(AF3,'[3]Margen ctvs-lit'!$J$64:$O$75,$AA$1,0)</f>
        <v>2.52</v>
      </c>
      <c r="AG45" s="30">
        <f>VLOOKUP(AG3,'[3]Margen ctvs-lit'!$J$64:$O$75,$AA$1,0)</f>
        <v>2.52</v>
      </c>
      <c r="AH45" s="30">
        <f>VLOOKUP(AH3,'[3]Margen ctvs-lit'!$J$64:$O$75,$AA$1,0)</f>
        <v>2.5299999999999998</v>
      </c>
      <c r="AI45" s="30">
        <f>VLOOKUP(AI3,'[3]Margen ctvs-lit'!$J$64:$O$75,$AA$1,0)</f>
        <v>2.5299999999999998</v>
      </c>
      <c r="AJ45" s="30">
        <f>VLOOKUP(AJ3,'[3]Margen ctvs-lit'!$J$64:$O$75,$AA$1,0)</f>
        <v>2.5299999999999998</v>
      </c>
      <c r="AK45" s="30">
        <f>+AK36/AK41</f>
        <v>2.5242687002480699</v>
      </c>
      <c r="AL45" s="74">
        <f t="shared" si="18"/>
        <v>2.1623284361305721E-7</v>
      </c>
      <c r="AM45" s="29">
        <f t="shared" si="7"/>
        <v>-0.18128181543319821</v>
      </c>
      <c r="AN45" s="9"/>
      <c r="AO45" s="291">
        <f>+AK45-V45</f>
        <v>-0.55892738337587566</v>
      </c>
    </row>
    <row r="46" spans="1:41" ht="14.45" hidden="1" customHeight="1" outlineLevel="1">
      <c r="A46" s="12" t="s">
        <v>146</v>
      </c>
      <c r="B46" s="8" t="s">
        <v>88</v>
      </c>
      <c r="I46" s="31" t="s">
        <v>143</v>
      </c>
      <c r="J46" s="30">
        <v>4.3099999999999996</v>
      </c>
      <c r="K46" s="30">
        <v>2.92</v>
      </c>
      <c r="L46" s="30">
        <v>2.99</v>
      </c>
      <c r="M46" s="30">
        <v>2.86</v>
      </c>
      <c r="N46" s="30">
        <v>3.05</v>
      </c>
      <c r="O46" s="30">
        <v>2.36</v>
      </c>
      <c r="P46" s="30">
        <v>2.52</v>
      </c>
      <c r="Q46" s="30">
        <v>2.62</v>
      </c>
      <c r="R46" s="30">
        <v>0.19</v>
      </c>
      <c r="S46" s="30">
        <v>3.14</v>
      </c>
      <c r="T46" s="30">
        <f t="shared" si="23"/>
        <v>1.9591290109198956</v>
      </c>
      <c r="U46" s="30">
        <f t="shared" si="23"/>
        <v>1.9588857975468454</v>
      </c>
      <c r="V46" s="30">
        <f t="shared" si="25"/>
        <v>2.5852388383286855</v>
      </c>
      <c r="W46" s="74">
        <f t="shared" si="15"/>
        <v>2.2865099692607228E-7</v>
      </c>
      <c r="X46" s="90"/>
      <c r="Y46" s="30">
        <f>VLOOKUP(Y3,'[3]Margen ctvs-lit'!$J$64:$O$75,$AC$1,0)</f>
        <v>2.44</v>
      </c>
      <c r="Z46" s="30">
        <f>VLOOKUP(Z3,'[3]Margen ctvs-lit'!$J$64:$O$75,$AC$1,0)</f>
        <v>2.42</v>
      </c>
      <c r="AA46" s="30">
        <f>VLOOKUP(AA3,'[3]Margen ctvs-lit'!$J$64:$O$75,$AC$1,0)</f>
        <v>2.57</v>
      </c>
      <c r="AB46" s="30">
        <f>VLOOKUP(AB3,'[3]Margen ctvs-lit'!$J$64:$O$75,$AC$1,0)</f>
        <v>2.31</v>
      </c>
      <c r="AC46" s="30">
        <f>VLOOKUP(AC3,'[3]Margen ctvs-lit'!$J$64:$O$75,$AC$1,0)</f>
        <v>2.5299999999999998</v>
      </c>
      <c r="AD46" s="30">
        <f>VLOOKUP(AD3,'[3]Margen ctvs-lit'!$J$64:$O$75,$AC$1,0)</f>
        <v>2.4500000000000002</v>
      </c>
      <c r="AE46" s="30">
        <f>VLOOKUP(AE3,'[3]Margen ctvs-lit'!$J$64:$O$75,$AC$1,0)</f>
        <v>2.48</v>
      </c>
      <c r="AF46" s="30">
        <f>VLOOKUP(AF3,'[3]Margen ctvs-lit'!$J$64:$O$75,$AC$1,0)</f>
        <v>2.44</v>
      </c>
      <c r="AG46" s="30">
        <f>VLOOKUP(AG3,'[3]Margen ctvs-lit'!$J$64:$O$75,$AC$1,0)</f>
        <v>2.44</v>
      </c>
      <c r="AH46" s="30">
        <f>VLOOKUP(AH3,'[3]Margen ctvs-lit'!$J$64:$O$75,$AC$1,0)</f>
        <v>2.44</v>
      </c>
      <c r="AI46" s="30">
        <f>VLOOKUP(AI3,'[3]Margen ctvs-lit'!$J$64:$O$75,$AC$1,0)</f>
        <v>2.44</v>
      </c>
      <c r="AJ46" s="30">
        <f>VLOOKUP(AJ3,'[3]Margen ctvs-lit'!$J$64:$O$75,$AC$1,0)</f>
        <v>2.36</v>
      </c>
      <c r="AK46" s="30">
        <f>IFERROR(+AK37/AK42,0)</f>
        <v>2.4458795982976658</v>
      </c>
      <c r="AL46" s="74">
        <f t="shared" si="18"/>
        <v>2.0951790933472783E-7</v>
      </c>
      <c r="AM46" s="29">
        <f t="shared" si="7"/>
        <v>-5.390575058864322E-2</v>
      </c>
      <c r="AN46" s="9"/>
      <c r="AO46" s="291">
        <f>+AK46-V46</f>
        <v>-0.13935924003101974</v>
      </c>
    </row>
    <row r="47" spans="1:41" ht="14.45" customHeight="1">
      <c r="A47" s="12" t="s">
        <v>146</v>
      </c>
      <c r="B47" s="8" t="s">
        <v>88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1" ht="14.45" customHeight="1">
      <c r="A48" s="12" t="s">
        <v>146</v>
      </c>
      <c r="B48" s="8" t="s">
        <v>88</v>
      </c>
      <c r="I48" s="139" t="s">
        <v>145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14.45" customHeight="1">
      <c r="A49" s="12" t="s">
        <v>146</v>
      </c>
      <c r="B49" s="8" t="s">
        <v>88</v>
      </c>
      <c r="C49" s="8" t="s">
        <v>155</v>
      </c>
      <c r="I49" s="139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ht="14.45" customHeight="1">
      <c r="A50" s="12" t="s">
        <v>146</v>
      </c>
      <c r="B50" s="8" t="s">
        <v>88</v>
      </c>
      <c r="I50" s="166" t="s">
        <v>147</v>
      </c>
      <c r="J50" s="15">
        <v>229162</v>
      </c>
      <c r="K50" s="15">
        <v>254720</v>
      </c>
      <c r="L50" s="15">
        <v>248628</v>
      </c>
      <c r="M50" s="15">
        <v>252421</v>
      </c>
      <c r="N50" s="15">
        <v>244665</v>
      </c>
      <c r="O50" s="15">
        <v>255912</v>
      </c>
      <c r="P50" s="15">
        <v>242917</v>
      </c>
      <c r="Q50" s="15">
        <v>288904</v>
      </c>
      <c r="R50" s="15">
        <v>264407</v>
      </c>
      <c r="S50" s="15">
        <v>274338</v>
      </c>
      <c r="T50" s="15">
        <f t="shared" ref="R50:U50" si="26">SUM(T51:T91)</f>
        <v>313915.97733333334</v>
      </c>
      <c r="U50" s="15">
        <f t="shared" si="26"/>
        <v>252995.11733333333</v>
      </c>
      <c r="V50" s="15">
        <f>SUM(V51:V91)</f>
        <v>3121459.0946666668</v>
      </c>
      <c r="W50" s="72">
        <f t="shared" ref="W50:W164" si="27">V50/V$6</f>
        <v>1.4540924296757235E-2</v>
      </c>
      <c r="X50" s="89"/>
      <c r="Y50" s="15">
        <f t="shared" ref="Y50:AK50" si="28">SUM(Y51:Y91)</f>
        <v>379472.55947140488</v>
      </c>
      <c r="Z50" s="15">
        <f t="shared" si="28"/>
        <v>260215.87450235843</v>
      </c>
      <c r="AA50" s="15">
        <f t="shared" si="28"/>
        <v>622942.32558664936</v>
      </c>
      <c r="AB50" s="15">
        <f t="shared" si="28"/>
        <v>263969.1248841093</v>
      </c>
      <c r="AC50" s="15">
        <f t="shared" si="28"/>
        <v>272591.01411665691</v>
      </c>
      <c r="AD50" s="15">
        <f t="shared" si="28"/>
        <v>265090.04635464592</v>
      </c>
      <c r="AE50" s="15">
        <f t="shared" si="28"/>
        <v>273440.06253850576</v>
      </c>
      <c r="AF50" s="15">
        <f t="shared" si="28"/>
        <v>283630.6389162041</v>
      </c>
      <c r="AG50" s="15">
        <f t="shared" si="28"/>
        <v>280969.79314998334</v>
      </c>
      <c r="AH50" s="15">
        <f t="shared" si="28"/>
        <v>320266.97907203477</v>
      </c>
      <c r="AI50" s="15">
        <f t="shared" si="28"/>
        <v>287520.13663300761</v>
      </c>
      <c r="AJ50" s="15">
        <f t="shared" si="28"/>
        <v>280365.6279345738</v>
      </c>
      <c r="AK50" s="15">
        <f t="shared" si="28"/>
        <v>3790474.1831601341</v>
      </c>
      <c r="AL50" s="72">
        <f t="shared" ref="AL50:AL164" si="29">AK50/AK$6</f>
        <v>1.6486280502777718E-2</v>
      </c>
      <c r="AM50" s="10">
        <f t="shared" ref="AM50:AM144" si="30">IFERROR(AK50/V50-1,0)</f>
        <v>0.21432768080688547</v>
      </c>
      <c r="AN50" s="9"/>
    </row>
    <row r="51" spans="1:40" ht="14.45" customHeight="1" outlineLevel="1">
      <c r="A51" s="12" t="s">
        <v>146</v>
      </c>
      <c r="B51" s="8" t="s">
        <v>88</v>
      </c>
      <c r="I51" s="246" t="s">
        <v>149</v>
      </c>
      <c r="J51" s="65">
        <v>46250</v>
      </c>
      <c r="K51" s="65">
        <v>43566</v>
      </c>
      <c r="L51" s="65">
        <v>66860</v>
      </c>
      <c r="M51" s="65">
        <v>46381</v>
      </c>
      <c r="N51" s="65">
        <v>51207</v>
      </c>
      <c r="O51" s="65">
        <v>32030</v>
      </c>
      <c r="P51" s="65">
        <v>37621</v>
      </c>
      <c r="Q51" s="65">
        <v>67358</v>
      </c>
      <c r="R51" s="225">
        <v>59438</v>
      </c>
      <c r="S51" s="225">
        <v>66999</v>
      </c>
      <c r="T51" s="225">
        <f t="shared" ref="S51:U52" si="31">+AVERAGE(Q51:S51)</f>
        <v>64598.333333333336</v>
      </c>
      <c r="U51" s="225">
        <f t="shared" si="31"/>
        <v>63678.444444444445</v>
      </c>
      <c r="V51" s="65">
        <f>SUM(J51:U51)</f>
        <v>645986.77777777787</v>
      </c>
      <c r="W51" s="73">
        <f t="shared" si="27"/>
        <v>3.009248094399869E-3</v>
      </c>
      <c r="X51" s="89"/>
      <c r="Y51" s="65">
        <f>VLOOKUP($E$1,'[4]PPTO 2025'!$C$1:$P$9,Y1,0)</f>
        <v>51700.585719615679</v>
      </c>
      <c r="Z51" s="65">
        <f>VLOOKUP($E$1,'[4]PPTO 2025'!$C$1:$P$9,Z1,0)</f>
        <v>50374.513717876966</v>
      </c>
      <c r="AA51" s="65">
        <f>VLOOKUP($E$1,'[4]PPTO 2025'!$C$1:$P$9,AA1,0)</f>
        <v>56344.988177167834</v>
      </c>
      <c r="AB51" s="65">
        <f>VLOOKUP($E$1,'[4]PPTO 2025'!$C$1:$P$9,AB1,0)</f>
        <v>53548.609773839293</v>
      </c>
      <c r="AC51" s="65">
        <f>VLOOKUP($E$1,'[4]PPTO 2025'!$C$1:$P$9,AC1,0)</f>
        <v>58682.85910438688</v>
      </c>
      <c r="AD51" s="65">
        <f>VLOOKUP($E$1,'[4]PPTO 2025'!$C$1:$P$9,AD1,0)</f>
        <v>57990.135038375935</v>
      </c>
      <c r="AE51" s="65">
        <f>VLOOKUP($E$1,'[4]PPTO 2025'!$C$1:$P$9,AE1,0)</f>
        <v>57753.389626235723</v>
      </c>
      <c r="AF51" s="65">
        <f>VLOOKUP($E$1,'[4]PPTO 2025'!$C$1:$P$9,AF1,0)</f>
        <v>58025.416903934107</v>
      </c>
      <c r="AG51" s="65">
        <f>VLOOKUP($E$1,'[4]PPTO 2025'!$C$1:$P$9,AG1,0)</f>
        <v>57704.902637713305</v>
      </c>
      <c r="AH51" s="65">
        <f>VLOOKUP($E$1,'[4]PPTO 2025'!$C$1:$P$9,AH1,0)</f>
        <v>58977.712076014766</v>
      </c>
      <c r="AI51" s="65">
        <f>VLOOKUP($E$1,'[4]PPTO 2025'!$C$1:$P$9,AI1,0)</f>
        <v>57752.884053654314</v>
      </c>
      <c r="AJ51" s="65">
        <f>VLOOKUP($E$1,'[4]PPTO 2025'!$C$1:$P$9,AJ1,0)</f>
        <v>55749.735352109361</v>
      </c>
      <c r="AK51" s="65">
        <f>SUM(Y51:AJ51)</f>
        <v>674605.73218092392</v>
      </c>
      <c r="AL51" s="73">
        <f t="shared" si="29"/>
        <v>2.9341287638699107E-3</v>
      </c>
      <c r="AM51" s="14">
        <f t="shared" si="30"/>
        <v>4.4302693782056091E-2</v>
      </c>
      <c r="AN51" s="9"/>
    </row>
    <row r="52" spans="1:40" ht="14.45" customHeight="1" outlineLevel="1">
      <c r="A52" s="12" t="s">
        <v>146</v>
      </c>
      <c r="B52" s="8" t="s">
        <v>88</v>
      </c>
      <c r="I52" s="288" t="s">
        <v>148</v>
      </c>
      <c r="J52" s="65">
        <v>60887</v>
      </c>
      <c r="K52" s="65">
        <v>60887</v>
      </c>
      <c r="L52" s="65">
        <v>60887</v>
      </c>
      <c r="M52" s="65">
        <v>60887</v>
      </c>
      <c r="N52" s="65">
        <v>60887</v>
      </c>
      <c r="O52" s="65">
        <v>60887</v>
      </c>
      <c r="P52" s="65">
        <v>60887</v>
      </c>
      <c r="Q52" s="65">
        <v>60887</v>
      </c>
      <c r="R52" s="225">
        <v>63054</v>
      </c>
      <c r="S52" s="225">
        <v>63054</v>
      </c>
      <c r="T52" s="225">
        <v>63054</v>
      </c>
      <c r="U52" s="225">
        <v>63054</v>
      </c>
      <c r="V52" s="65">
        <f t="shared" ref="V52:V87" si="32">SUM(J52:U52)</f>
        <v>739312</v>
      </c>
      <c r="W52" s="73">
        <f t="shared" si="27"/>
        <v>3.4439918953453985E-3</v>
      </c>
      <c r="X52" s="89"/>
      <c r="Y52" s="65">
        <f>VLOOKUP($E$1,[5]Resumen!$V$8:$AI$14,Y1,0)+VLOOKUP($E$1,[6]Resumen!$C$9:$O$15,Y1,0)</f>
        <v>64434</v>
      </c>
      <c r="Z52" s="65">
        <f>VLOOKUP($E$1,[5]Resumen!$V$8:$AI$14,Z1,0)+VLOOKUP($E$1,[6]Resumen!$C$9:$O$15,AA1,0)</f>
        <v>64434</v>
      </c>
      <c r="AA52" s="65">
        <f>VLOOKUP($E$1,[5]Resumen!$V$8:$AI$14,AA1,0)+VLOOKUP($E$1,[6]Resumen!$C$9:$O$15,AA1,0)</f>
        <v>64434</v>
      </c>
      <c r="AB52" s="65">
        <f>VLOOKUP($E$1,[5]Resumen!$V$8:$AI$14,AB1,0)+VLOOKUP($E$1,[6]Resumen!$C$9:$O$15,AB1,0)</f>
        <v>64434</v>
      </c>
      <c r="AC52" s="65">
        <f>VLOOKUP($E$1,[5]Resumen!$V$8:$AI$14,AC1,0)+VLOOKUP($E$1,[6]Resumen!$C$9:$O$15,AC1,0)</f>
        <v>64434</v>
      </c>
      <c r="AD52" s="65">
        <f>VLOOKUP($E$1,[5]Resumen!$V$8:$AI$14,AD1,0)+VLOOKUP($E$1,[6]Resumen!$C$9:$O$15,AD1,0)</f>
        <v>64434</v>
      </c>
      <c r="AE52" s="65">
        <f>VLOOKUP($E$1,[5]Resumen!$V$8:$AI$14,AE1,0)+VLOOKUP($E$1,[6]Resumen!$C$9:$O$15,AE1,0)</f>
        <v>64434</v>
      </c>
      <c r="AF52" s="65">
        <f>VLOOKUP($E$1,[5]Resumen!$V$8:$AI$14,AF1,0)+VLOOKUP($E$1,[6]Resumen!$C$9:$O$15,AF1,0)</f>
        <v>64434</v>
      </c>
      <c r="AG52" s="65">
        <f>VLOOKUP($E$1,[5]Resumen!$V$8:$AI$14,AG1,0)+VLOOKUP($E$1,[6]Resumen!$C$9:$O$15,AG1,0)</f>
        <v>66956.160000000003</v>
      </c>
      <c r="AH52" s="65">
        <f>VLOOKUP($E$1,[5]Resumen!$V$8:$AI$14,AH1,0)+VLOOKUP($E$1,[6]Resumen!$C$9:$O$15,AH1,0)</f>
        <v>66956.160000000003</v>
      </c>
      <c r="AI52" s="65">
        <f>VLOOKUP($E$1,[5]Resumen!$V$8:$AI$14,AI1,0)+VLOOKUP($E$1,[6]Resumen!$C$9:$O$15,AI1,0)</f>
        <v>66956.160000000003</v>
      </c>
      <c r="AJ52" s="65">
        <f>VLOOKUP($E$1,[5]Resumen!$V$8:$AI$14,AJ1,0)+VLOOKUP($E$1,[6]Resumen!$C$9:$O$15,AJ1,0)</f>
        <v>66956.160000000003</v>
      </c>
      <c r="AK52" s="65">
        <f t="shared" ref="AK52:AK91" si="33">SUM(Y52:AJ52)</f>
        <v>783296.64000000013</v>
      </c>
      <c r="AL52" s="73">
        <f t="shared" si="29"/>
        <v>3.406868771536425E-3</v>
      </c>
      <c r="AM52" s="14">
        <f t="shared" si="30"/>
        <v>5.9494016058173171E-2</v>
      </c>
      <c r="AN52" s="9"/>
    </row>
    <row r="53" spans="1:40" ht="14.45" customHeight="1" outlineLevel="1">
      <c r="A53" s="12" t="s">
        <v>146</v>
      </c>
      <c r="B53" s="8" t="s">
        <v>88</v>
      </c>
      <c r="I53" s="246" t="s">
        <v>152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/>
      <c r="U53" s="65"/>
      <c r="V53" s="65">
        <f t="shared" si="32"/>
        <v>0</v>
      </c>
      <c r="W53" s="73">
        <f t="shared" si="27"/>
        <v>0</v>
      </c>
      <c r="X53" s="89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>
        <f t="shared" si="33"/>
        <v>0</v>
      </c>
      <c r="AL53" s="73">
        <f t="shared" si="29"/>
        <v>0</v>
      </c>
      <c r="AM53" s="14">
        <f t="shared" si="30"/>
        <v>0</v>
      </c>
      <c r="AN53" s="9"/>
    </row>
    <row r="54" spans="1:40" ht="14.45" customHeight="1" outlineLevel="1">
      <c r="A54" s="12" t="s">
        <v>146</v>
      </c>
      <c r="B54" s="8" t="s">
        <v>88</v>
      </c>
      <c r="I54" s="246" t="s">
        <v>153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225">
        <v>0</v>
      </c>
      <c r="S54" s="225">
        <v>0</v>
      </c>
      <c r="T54" s="225">
        <f t="shared" ref="T54" si="34">+AVERAGE(Q54:S54)</f>
        <v>0</v>
      </c>
      <c r="U54" s="225">
        <f t="shared" ref="U54" si="35">+AVERAGE(R54:T54)</f>
        <v>0</v>
      </c>
      <c r="V54" s="65">
        <f t="shared" si="32"/>
        <v>0</v>
      </c>
      <c r="W54" s="73">
        <f t="shared" si="27"/>
        <v>0</v>
      </c>
      <c r="X54" s="89"/>
      <c r="Y54" s="65">
        <f>VLOOKUP($E$1,[7]Resumen!$C$9:$O$15,Y1,0)</f>
        <v>0</v>
      </c>
      <c r="Z54" s="65">
        <f>VLOOKUP($E$1,[7]Resumen!$C$9:$O$15,Z1,0)</f>
        <v>0</v>
      </c>
      <c r="AA54" s="65">
        <f>VLOOKUP($E$1,[7]Resumen!$C$9:$O$15,AA1,0)</f>
        <v>0</v>
      </c>
      <c r="AB54" s="65">
        <f>VLOOKUP($E$1,[7]Resumen!$C$9:$O$15,AB1,0)</f>
        <v>0</v>
      </c>
      <c r="AC54" s="65">
        <f>VLOOKUP($E$1,[7]Resumen!$C$9:$O$15,AC1,0)</f>
        <v>0</v>
      </c>
      <c r="AD54" s="65">
        <f>VLOOKUP($E$1,[7]Resumen!$C$9:$O$15,AD1,0)</f>
        <v>0</v>
      </c>
      <c r="AE54" s="65">
        <f>VLOOKUP($E$1,[7]Resumen!$C$9:$O$15,AE1,0)</f>
        <v>0</v>
      </c>
      <c r="AF54" s="65">
        <f>VLOOKUP($E$1,[7]Resumen!$C$9:$O$15,AF1,0)</f>
        <v>0</v>
      </c>
      <c r="AG54" s="65">
        <f>VLOOKUP($E$1,[7]Resumen!$C$9:$O$15,AG1,0)</f>
        <v>0</v>
      </c>
      <c r="AH54" s="65">
        <f>VLOOKUP($E$1,[7]Resumen!$C$9:$O$15,AH1,0)</f>
        <v>0</v>
      </c>
      <c r="AI54" s="65">
        <f>VLOOKUP($E$1,[7]Resumen!$C$9:$O$15,AI1,0)</f>
        <v>0</v>
      </c>
      <c r="AJ54" s="65">
        <f>VLOOKUP($E$1,[7]Resumen!$C$9:$O$15,AJ1,0)</f>
        <v>1242.1199999999999</v>
      </c>
      <c r="AK54" s="65">
        <f t="shared" si="33"/>
        <v>1242.1199999999999</v>
      </c>
      <c r="AL54" s="73">
        <f t="shared" si="29"/>
        <v>5.402474136108669E-6</v>
      </c>
      <c r="AM54" s="14">
        <f t="shared" si="30"/>
        <v>0</v>
      </c>
      <c r="AN54" s="9"/>
    </row>
    <row r="55" spans="1:40" ht="14.45" customHeight="1" outlineLevel="1">
      <c r="A55" s="12" t="s">
        <v>146</v>
      </c>
      <c r="B55" s="8" t="s">
        <v>88</v>
      </c>
      <c r="I55" s="246" t="s">
        <v>156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f t="shared" si="32"/>
        <v>0</v>
      </c>
      <c r="W55" s="73">
        <f t="shared" si="27"/>
        <v>0</v>
      </c>
      <c r="X55" s="89"/>
      <c r="Y55" s="65">
        <f>VLOOKUP($E$1,[8]Resumen!$V$140:$AH$146,Y1,0)</f>
        <v>0</v>
      </c>
      <c r="Z55" s="65">
        <f>VLOOKUP($E$1,[8]Resumen!$V$140:$AH$146,Z1,0)</f>
        <v>0</v>
      </c>
      <c r="AA55" s="65">
        <f>VLOOKUP($E$1,[8]Resumen!$V$140:$AH$146,AA1,0)</f>
        <v>349346.24999999994</v>
      </c>
      <c r="AB55" s="65">
        <f>VLOOKUP($E$1,[8]Resumen!$V$140:$AH$146,AB1,0)</f>
        <v>0</v>
      </c>
      <c r="AC55" s="65">
        <f>VLOOKUP($E$1,[8]Resumen!$V$140:$AH$146,AC1,0)</f>
        <v>15505.797999999999</v>
      </c>
      <c r="AD55" s="65">
        <f>VLOOKUP($E$1,[8]Resumen!$V$140:$AH$146,AD1,0)</f>
        <v>0</v>
      </c>
      <c r="AE55" s="65">
        <f>VLOOKUP($E$1,[8]Resumen!$V$140:$AH$146,AE1,0)</f>
        <v>0</v>
      </c>
      <c r="AF55" s="65">
        <f>VLOOKUP($E$1,[8]Resumen!$V$140:$AH$146,AF1,0)</f>
        <v>0</v>
      </c>
      <c r="AG55" s="65">
        <f>VLOOKUP($E$1,[8]Resumen!$V$140:$AH$146,AG1,0)</f>
        <v>0</v>
      </c>
      <c r="AH55" s="65">
        <f>VLOOKUP($E$1,[8]Resumen!$V$140:$AH$146,AH1,0)</f>
        <v>0</v>
      </c>
      <c r="AI55" s="65">
        <f>VLOOKUP($E$1,[8]Resumen!$V$140:$AH$146,AI1,0)</f>
        <v>0</v>
      </c>
      <c r="AJ55" s="65">
        <f>VLOOKUP($E$1,[8]Resumen!$V$140:$AH$146,AJ1,0)</f>
        <v>0</v>
      </c>
      <c r="AK55" s="65">
        <f t="shared" si="33"/>
        <v>364852.04799999995</v>
      </c>
      <c r="AL55" s="73">
        <f t="shared" si="29"/>
        <v>1.5868867362463196E-3</v>
      </c>
      <c r="AM55" s="14">
        <f t="shared" si="30"/>
        <v>0</v>
      </c>
      <c r="AN55" s="9"/>
    </row>
    <row r="56" spans="1:40" ht="14.45" customHeight="1" outlineLevel="1">
      <c r="A56" s="12" t="s">
        <v>146</v>
      </c>
      <c r="B56" s="8" t="s">
        <v>88</v>
      </c>
      <c r="I56" s="246" t="s">
        <v>158</v>
      </c>
      <c r="J56" s="65">
        <v>3605</v>
      </c>
      <c r="K56" s="65">
        <v>3066</v>
      </c>
      <c r="L56" s="65">
        <v>2953</v>
      </c>
      <c r="M56" s="65">
        <v>3672</v>
      </c>
      <c r="N56" s="65">
        <v>3578</v>
      </c>
      <c r="O56" s="65">
        <v>5055</v>
      </c>
      <c r="P56" s="65">
        <v>5031</v>
      </c>
      <c r="Q56" s="65">
        <v>4429</v>
      </c>
      <c r="R56" s="225">
        <v>3853</v>
      </c>
      <c r="S56" s="225">
        <v>5461</v>
      </c>
      <c r="T56" s="225">
        <f t="shared" ref="T56" si="36">+AVERAGE(Q56:S56)</f>
        <v>4581</v>
      </c>
      <c r="U56" s="225">
        <f t="shared" ref="U56" si="37">+AVERAGE(R56:T56)</f>
        <v>4631.666666666667</v>
      </c>
      <c r="V56" s="65">
        <f t="shared" si="32"/>
        <v>49915.666666666664</v>
      </c>
      <c r="W56" s="73">
        <f t="shared" si="27"/>
        <v>2.3252585031862389E-4</v>
      </c>
      <c r="X56" s="89"/>
      <c r="Y56" s="65">
        <f>VLOOKUP($E$1,[9]Resumen!$V$238:$AH$244,Y1,0)</f>
        <v>3743.9566999999997</v>
      </c>
      <c r="Z56" s="65">
        <f>VLOOKUP($E$1,[9]Resumen!$V$238:$AH$244,Z1,0)</f>
        <v>3743.9566999999997</v>
      </c>
      <c r="AA56" s="65">
        <f>VLOOKUP($E$1,[9]Resumen!$V$238:$AH$244,AA1,0)</f>
        <v>3743.9566999999997</v>
      </c>
      <c r="AB56" s="65">
        <f>VLOOKUP($E$1,[9]Resumen!$V$238:$AH$244,AB1,0)</f>
        <v>3743.9566999999997</v>
      </c>
      <c r="AC56" s="65">
        <f>VLOOKUP($E$1,[9]Resumen!$V$238:$AH$244,AC1,0)</f>
        <v>3743.9566999999997</v>
      </c>
      <c r="AD56" s="65">
        <f>VLOOKUP($E$1,[9]Resumen!$V$238:$AH$244,AD1,0)</f>
        <v>3743.9566999999997</v>
      </c>
      <c r="AE56" s="65">
        <f>VLOOKUP($E$1,[9]Resumen!$V$238:$AH$244,AE1,0)</f>
        <v>3743.9566999999997</v>
      </c>
      <c r="AF56" s="65">
        <f>VLOOKUP($E$1,[9]Resumen!$V$238:$AH$244,AF1,0)</f>
        <v>3743.9566999999997</v>
      </c>
      <c r="AG56" s="65">
        <f>VLOOKUP($E$1,[9]Resumen!$V$238:$AH$244,AG1,0)</f>
        <v>3743.9566999999997</v>
      </c>
      <c r="AH56" s="65">
        <f>VLOOKUP($E$1,[9]Resumen!$V$238:$AH$244,AH1,0)</f>
        <v>3743.9566999999997</v>
      </c>
      <c r="AI56" s="65">
        <f>VLOOKUP($E$1,[9]Resumen!$V$238:$AH$244,AI1,0)</f>
        <v>3743.9566999999997</v>
      </c>
      <c r="AJ56" s="65">
        <f>VLOOKUP($E$1,[9]Resumen!$V$238:$AH$244,AJ1,0)</f>
        <v>3743.9566999999997</v>
      </c>
      <c r="AK56" s="65">
        <f t="shared" si="33"/>
        <v>44927.4804</v>
      </c>
      <c r="AL56" s="73">
        <f t="shared" si="29"/>
        <v>1.9540748950305057E-4</v>
      </c>
      <c r="AM56" s="14">
        <f t="shared" si="30"/>
        <v>-9.9932277775180767E-2</v>
      </c>
      <c r="AN56" s="9"/>
    </row>
    <row r="57" spans="1:40" ht="14.45" customHeight="1" outlineLevel="1">
      <c r="A57" s="12" t="s">
        <v>146</v>
      </c>
      <c r="B57" s="8" t="s">
        <v>88</v>
      </c>
      <c r="I57" s="246" t="s">
        <v>159</v>
      </c>
      <c r="J57" s="65">
        <v>1000</v>
      </c>
      <c r="K57" s="65">
        <v>25869</v>
      </c>
      <c r="L57" s="65">
        <v>749</v>
      </c>
      <c r="M57" s="65">
        <v>20003</v>
      </c>
      <c r="N57" s="65">
        <v>14377</v>
      </c>
      <c r="O57" s="65">
        <v>10873</v>
      </c>
      <c r="P57" s="65">
        <v>20015</v>
      </c>
      <c r="Q57" s="65">
        <v>15907</v>
      </c>
      <c r="R57" s="65">
        <v>14640</v>
      </c>
      <c r="S57" s="65">
        <v>861</v>
      </c>
      <c r="T57" s="65">
        <v>0</v>
      </c>
      <c r="U57" s="65">
        <v>0</v>
      </c>
      <c r="V57" s="65">
        <f t="shared" si="32"/>
        <v>124294</v>
      </c>
      <c r="W57" s="73">
        <f t="shared" si="27"/>
        <v>5.7900795420615515E-4</v>
      </c>
      <c r="X57" s="89"/>
      <c r="Y57" s="65">
        <f>VLOOKUP($E$1,[10]Resumen!$V$8:$AH$14,Y1,0)</f>
        <v>207.01999999999998</v>
      </c>
      <c r="Z57" s="65">
        <f>VLOOKUP($E$1,[10]Resumen!$V$8:$AH$14,Z1,0)</f>
        <v>1552.6499999999999</v>
      </c>
      <c r="AA57" s="65">
        <f>VLOOKUP($E$1,[10]Resumen!$V$8:$AH$14,AA1,0)</f>
        <v>21902.715999999997</v>
      </c>
      <c r="AB57" s="65">
        <f>VLOOKUP($E$1,[10]Resumen!$V$8:$AH$14,AB1,0)</f>
        <v>8073.7799999999988</v>
      </c>
      <c r="AC57" s="65">
        <f>VLOOKUP($E$1,[10]Resumen!$V$8:$AH$14,AC1,0)</f>
        <v>1863.1799999999998</v>
      </c>
      <c r="AD57" s="65">
        <f>VLOOKUP($E$1,[10]Resumen!$V$8:$AH$14,AD1,0)</f>
        <v>3312.3199999999997</v>
      </c>
      <c r="AE57" s="65">
        <f>VLOOKUP($E$1,[10]Resumen!$V$8:$AH$14,AE1,0)</f>
        <v>6997.2759999999998</v>
      </c>
      <c r="AF57" s="65">
        <f>VLOOKUP($E$1,[10]Resumen!$V$8:$AH$14,AF1,0)</f>
        <v>11179.079999999998</v>
      </c>
      <c r="AG57" s="65">
        <f>VLOOKUP($E$1,[10]Resumen!$V$8:$AH$14,AG1,0)</f>
        <v>2484.2399999999998</v>
      </c>
      <c r="AH57" s="65">
        <f>VLOOKUP($E$1,[10]Resumen!$V$8:$AH$14,AH1,0)</f>
        <v>30742.469999999998</v>
      </c>
      <c r="AI57" s="65">
        <f>VLOOKUP($E$1,[10]Resumen!$V$8:$AH$14,AI1,0)</f>
        <v>1614.7559999999999</v>
      </c>
      <c r="AJ57" s="65">
        <f>VLOOKUP($E$1,[10]Resumen!$V$8:$AH$14,AJ1,0)</f>
        <v>8798.3499999999985</v>
      </c>
      <c r="AK57" s="65">
        <f t="shared" si="33"/>
        <v>98727.83799999996</v>
      </c>
      <c r="AL57" s="73">
        <f t="shared" si="29"/>
        <v>4.2940665258503724E-4</v>
      </c>
      <c r="AM57" s="14">
        <f t="shared" si="30"/>
        <v>-0.20569103898820573</v>
      </c>
      <c r="AN57" s="9"/>
    </row>
    <row r="58" spans="1:40" ht="14.45" customHeight="1" outlineLevel="1">
      <c r="A58" s="12" t="s">
        <v>146</v>
      </c>
      <c r="B58" s="8" t="s">
        <v>88</v>
      </c>
      <c r="I58" s="246" t="s">
        <v>160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1895.8333333333333</v>
      </c>
      <c r="U58" s="65">
        <v>0</v>
      </c>
      <c r="V58" s="65">
        <f t="shared" si="32"/>
        <v>1895.8333333333333</v>
      </c>
      <c r="W58" s="73">
        <f t="shared" si="27"/>
        <v>8.8315009561939355E-6</v>
      </c>
      <c r="X58" s="89"/>
      <c r="Y58" s="65">
        <f>VLOOKUP($E$1,[11]Resumen!$V$8:$AH$14,Y1,0)</f>
        <v>1306.3161057692305</v>
      </c>
      <c r="Z58" s="65">
        <f>VLOOKUP($E$1,[11]Resumen!$V$8:$AH$14,Z1,0)</f>
        <v>4180.2115384615381</v>
      </c>
      <c r="AA58" s="65">
        <f>VLOOKUP($E$1,[11]Resumen!$V$8:$AH$14,AA1,0)</f>
        <v>783.78966346153834</v>
      </c>
      <c r="AB58" s="65">
        <f>VLOOKUP($E$1,[11]Resumen!$V$8:$AH$14,AB1,0)</f>
        <v>0</v>
      </c>
      <c r="AC58" s="65">
        <f>VLOOKUP($E$1,[11]Resumen!$V$8:$AH$14,AC1,0)</f>
        <v>0</v>
      </c>
      <c r="AD58" s="65">
        <f>VLOOKUP($E$1,[11]Resumen!$V$8:$AH$14,AD1,0)</f>
        <v>0</v>
      </c>
      <c r="AE58" s="65">
        <f>VLOOKUP($E$1,[11]Resumen!$V$8:$AH$14,AE1,0)</f>
        <v>0</v>
      </c>
      <c r="AF58" s="65">
        <f>VLOOKUP($E$1,[11]Resumen!$V$8:$AH$14,AF1,0)</f>
        <v>0</v>
      </c>
      <c r="AG58" s="65">
        <f>VLOOKUP($E$1,[11]Resumen!$V$8:$AH$14,AG1,0)</f>
        <v>0</v>
      </c>
      <c r="AH58" s="65">
        <f>VLOOKUP($E$1,[11]Resumen!$V$8:$AH$14,AH1,0)</f>
        <v>0</v>
      </c>
      <c r="AI58" s="65">
        <f>VLOOKUP($E$1,[11]Resumen!$V$8:$AH$14,AI1,0)</f>
        <v>0</v>
      </c>
      <c r="AJ58" s="65">
        <f>VLOOKUP($E$1,[11]Resumen!$V$8:$AH$14,AJ1,0)</f>
        <v>0</v>
      </c>
      <c r="AK58" s="65">
        <f t="shared" si="33"/>
        <v>6270.3173076923067</v>
      </c>
      <c r="AL58" s="73">
        <f t="shared" si="29"/>
        <v>2.7272105014010108E-5</v>
      </c>
      <c r="AM58" s="14">
        <f t="shared" si="30"/>
        <v>2.3074201183431948</v>
      </c>
      <c r="AN58" s="9"/>
    </row>
    <row r="59" spans="1:40" ht="14.45" customHeight="1" outlineLevel="1">
      <c r="A59" s="12" t="s">
        <v>146</v>
      </c>
      <c r="B59" s="8" t="s">
        <v>88</v>
      </c>
      <c r="I59" s="246" t="s">
        <v>161</v>
      </c>
      <c r="J59" s="65"/>
      <c r="K59" s="65">
        <v>0</v>
      </c>
      <c r="L59" s="65"/>
      <c r="M59" s="65">
        <v>0</v>
      </c>
      <c r="N59" s="65"/>
      <c r="O59" s="65"/>
      <c r="P59" s="65">
        <v>0</v>
      </c>
      <c r="Q59" s="65">
        <v>0</v>
      </c>
      <c r="R59" s="65">
        <v>0</v>
      </c>
      <c r="S59" s="65">
        <v>0</v>
      </c>
      <c r="T59" s="65"/>
      <c r="U59" s="65"/>
      <c r="V59" s="65">
        <f t="shared" si="32"/>
        <v>0</v>
      </c>
      <c r="W59" s="73">
        <f t="shared" si="27"/>
        <v>0</v>
      </c>
      <c r="X59" s="89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>
        <f t="shared" si="33"/>
        <v>0</v>
      </c>
      <c r="AL59" s="73">
        <f t="shared" si="29"/>
        <v>0</v>
      </c>
      <c r="AM59" s="14">
        <f t="shared" si="30"/>
        <v>0</v>
      </c>
      <c r="AN59" s="9"/>
    </row>
    <row r="60" spans="1:40" ht="14.45" customHeight="1" outlineLevel="1">
      <c r="A60" s="12" t="s">
        <v>146</v>
      </c>
      <c r="B60" s="8" t="s">
        <v>88</v>
      </c>
      <c r="I60" s="246" t="s">
        <v>162</v>
      </c>
      <c r="J60" s="65">
        <v>0</v>
      </c>
      <c r="K60" s="65">
        <v>0</v>
      </c>
      <c r="L60" s="65">
        <v>0</v>
      </c>
      <c r="M60" s="65">
        <v>2850</v>
      </c>
      <c r="N60" s="65">
        <v>0</v>
      </c>
      <c r="O60" s="65">
        <v>11859</v>
      </c>
      <c r="P60" s="65">
        <v>6000</v>
      </c>
      <c r="Q60" s="65">
        <v>14800</v>
      </c>
      <c r="R60" s="65">
        <v>6000</v>
      </c>
      <c r="S60" s="65">
        <v>6000</v>
      </c>
      <c r="T60" s="65">
        <v>6000</v>
      </c>
      <c r="U60" s="65">
        <v>6000</v>
      </c>
      <c r="V60" s="65">
        <f t="shared" si="32"/>
        <v>59509</v>
      </c>
      <c r="W60" s="73">
        <f t="shared" si="27"/>
        <v>2.7721518614618634E-4</v>
      </c>
      <c r="X60" s="89"/>
      <c r="Y60" s="65">
        <f>+J60*1.0375</f>
        <v>0</v>
      </c>
      <c r="Z60" s="65">
        <f>+K60*1.0375</f>
        <v>0</v>
      </c>
      <c r="AA60" s="65">
        <f>+L60*1.0375</f>
        <v>0</v>
      </c>
      <c r="AB60" s="65">
        <f>+M60*1.0375</f>
        <v>2956.8750000000005</v>
      </c>
      <c r="AC60" s="65">
        <f>+N60*1.0375</f>
        <v>0</v>
      </c>
      <c r="AD60" s="65">
        <f>+O60*1.0375</f>
        <v>12303.712500000001</v>
      </c>
      <c r="AE60" s="65">
        <f>+P60*1.0375</f>
        <v>6225.0000000000009</v>
      </c>
      <c r="AF60" s="65">
        <f>+Q60*1.0375</f>
        <v>15355.000000000002</v>
      </c>
      <c r="AG60" s="65">
        <f>+R60*1.0375</f>
        <v>6225.0000000000009</v>
      </c>
      <c r="AH60" s="65">
        <f>+S60*1.0375</f>
        <v>6225.0000000000009</v>
      </c>
      <c r="AI60" s="65">
        <f>+T60*1.0375</f>
        <v>6225.0000000000009</v>
      </c>
      <c r="AJ60" s="65">
        <f>+U60*1.0375</f>
        <v>6225.0000000000009</v>
      </c>
      <c r="AK60" s="65">
        <f t="shared" si="33"/>
        <v>61740.587500000001</v>
      </c>
      <c r="AL60" s="73">
        <f t="shared" si="29"/>
        <v>2.6853438244042781E-4</v>
      </c>
      <c r="AM60" s="14">
        <f t="shared" si="30"/>
        <v>3.7500000000000089E-2</v>
      </c>
      <c r="AN60" s="9"/>
    </row>
    <row r="61" spans="1:40" ht="14.45" customHeight="1" outlineLevel="1">
      <c r="A61" s="12" t="s">
        <v>146</v>
      </c>
      <c r="B61" s="8" t="s">
        <v>88</v>
      </c>
      <c r="I61" s="289" t="s">
        <v>278</v>
      </c>
      <c r="J61" s="65">
        <v>1425</v>
      </c>
      <c r="K61" s="65">
        <v>1425</v>
      </c>
      <c r="L61" s="65"/>
      <c r="M61" s="65"/>
      <c r="N61" s="65"/>
      <c r="O61" s="65"/>
      <c r="P61" s="65">
        <v>1425</v>
      </c>
      <c r="Q61" s="65"/>
      <c r="R61" s="65"/>
      <c r="S61" s="65"/>
      <c r="T61" s="65"/>
      <c r="U61" s="65"/>
      <c r="V61" s="65">
        <f t="shared" ref="V61" si="38">SUM(J61:U61)</f>
        <v>4275</v>
      </c>
      <c r="W61" s="73">
        <f t="shared" ref="W61" si="39">V61/V$6</f>
        <v>1.9914549408912041E-5</v>
      </c>
      <c r="X61" s="89"/>
      <c r="Y61" s="65">
        <f>+J61*1.0375</f>
        <v>1478.4375000000002</v>
      </c>
      <c r="Z61" s="65">
        <f>+K61*1.0375</f>
        <v>1478.4375000000002</v>
      </c>
      <c r="AA61" s="65">
        <f>+L61*1.0375</f>
        <v>0</v>
      </c>
      <c r="AB61" s="65">
        <f>+M61*1.0375</f>
        <v>0</v>
      </c>
      <c r="AC61" s="65">
        <f>+N61*1.0375</f>
        <v>0</v>
      </c>
      <c r="AD61" s="65">
        <f>+O61*1.0375</f>
        <v>0</v>
      </c>
      <c r="AE61" s="65">
        <f>+P61*1.0375</f>
        <v>1478.4375000000002</v>
      </c>
      <c r="AF61" s="65">
        <f>+Q61*1.0375</f>
        <v>0</v>
      </c>
      <c r="AG61" s="65">
        <f>+R61*1.0375</f>
        <v>0</v>
      </c>
      <c r="AH61" s="65">
        <f>+S61*1.0375</f>
        <v>0</v>
      </c>
      <c r="AI61" s="65">
        <f>+T61*1.0375</f>
        <v>0</v>
      </c>
      <c r="AJ61" s="65">
        <f>+U61*1.0375</f>
        <v>0</v>
      </c>
      <c r="AK61" s="65">
        <f t="shared" ref="AK61" si="40">SUM(Y61:AJ61)</f>
        <v>4435.3125000000009</v>
      </c>
      <c r="AL61" s="73">
        <f t="shared" ref="AL61" si="41">AK61/AK$6</f>
        <v>1.929093893247793E-5</v>
      </c>
      <c r="AM61" s="14">
        <f t="shared" ref="AM61" si="42">IFERROR(AK61/V61-1,0)</f>
        <v>3.7500000000000311E-2</v>
      </c>
      <c r="AN61" s="9"/>
    </row>
    <row r="62" spans="1:40" ht="14.45" customHeight="1" outlineLevel="1">
      <c r="A62" s="12" t="s">
        <v>146</v>
      </c>
      <c r="B62" s="8" t="s">
        <v>88</v>
      </c>
      <c r="I62" s="246" t="s">
        <v>163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/>
      <c r="U62" s="65"/>
      <c r="V62" s="65">
        <f t="shared" si="32"/>
        <v>0</v>
      </c>
      <c r="W62" s="73">
        <f t="shared" si="27"/>
        <v>0</v>
      </c>
      <c r="X62" s="89"/>
      <c r="Y62" s="65">
        <f>+J62*1.0375</f>
        <v>0</v>
      </c>
      <c r="Z62" s="65">
        <f>+K62*1.0375</f>
        <v>0</v>
      </c>
      <c r="AA62" s="65">
        <f>+L62*1.0375</f>
        <v>0</v>
      </c>
      <c r="AB62" s="65">
        <f>+M62*1.0375</f>
        <v>0</v>
      </c>
      <c r="AC62" s="65">
        <f>+N62*1.0375</f>
        <v>0</v>
      </c>
      <c r="AD62" s="65">
        <f>+O62*1.0375</f>
        <v>0</v>
      </c>
      <c r="AE62" s="65">
        <f>+P62*1.0375</f>
        <v>0</v>
      </c>
      <c r="AF62" s="65">
        <f>+Q62*1.0375</f>
        <v>0</v>
      </c>
      <c r="AG62" s="65">
        <f>+R62*1.0375</f>
        <v>0</v>
      </c>
      <c r="AH62" s="65">
        <f>+S62*1.0375</f>
        <v>0</v>
      </c>
      <c r="AI62" s="65">
        <f>+T62*1.0375</f>
        <v>0</v>
      </c>
      <c r="AJ62" s="65">
        <f>+U62*1.0375</f>
        <v>0</v>
      </c>
      <c r="AK62" s="65">
        <f t="shared" si="33"/>
        <v>0</v>
      </c>
      <c r="AL62" s="73">
        <f t="shared" si="29"/>
        <v>0</v>
      </c>
      <c r="AM62" s="14">
        <f t="shared" si="30"/>
        <v>0</v>
      </c>
      <c r="AN62" s="9"/>
    </row>
    <row r="63" spans="1:40" ht="14.45" customHeight="1" outlineLevel="1">
      <c r="A63" s="12" t="s">
        <v>146</v>
      </c>
      <c r="B63" s="8" t="s">
        <v>88</v>
      </c>
      <c r="I63" s="246" t="s">
        <v>164</v>
      </c>
      <c r="J63" s="65">
        <v>874</v>
      </c>
      <c r="K63" s="65">
        <v>0</v>
      </c>
      <c r="L63" s="65">
        <v>1337</v>
      </c>
      <c r="M63" s="65">
        <v>0</v>
      </c>
      <c r="N63" s="65">
        <v>40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/>
      <c r="U63" s="65"/>
      <c r="V63" s="65">
        <f t="shared" si="32"/>
        <v>2251</v>
      </c>
      <c r="W63" s="73">
        <f t="shared" si="27"/>
        <v>1.0486000168294971E-5</v>
      </c>
      <c r="X63" s="89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>
        <f t="shared" si="33"/>
        <v>0</v>
      </c>
      <c r="AL63" s="73">
        <f t="shared" si="29"/>
        <v>0</v>
      </c>
      <c r="AM63" s="14">
        <f t="shared" si="30"/>
        <v>-1</v>
      </c>
      <c r="AN63" s="9"/>
    </row>
    <row r="64" spans="1:40" ht="14.45" customHeight="1" outlineLevel="1">
      <c r="A64" s="12" t="s">
        <v>146</v>
      </c>
      <c r="B64" s="8" t="s">
        <v>88</v>
      </c>
      <c r="I64" s="246" t="s">
        <v>165</v>
      </c>
      <c r="J64" s="65">
        <v>1181</v>
      </c>
      <c r="K64" s="65">
        <v>1131</v>
      </c>
      <c r="L64" s="65">
        <v>1832</v>
      </c>
      <c r="M64" s="65">
        <v>2167</v>
      </c>
      <c r="N64" s="65">
        <v>1252</v>
      </c>
      <c r="O64" s="65">
        <v>1576</v>
      </c>
      <c r="P64" s="65">
        <v>0</v>
      </c>
      <c r="Q64" s="65">
        <v>3756</v>
      </c>
      <c r="R64" s="225">
        <v>1825</v>
      </c>
      <c r="S64" s="225">
        <v>1981</v>
      </c>
      <c r="T64" s="225">
        <f t="shared" ref="T64" si="43">+AVERAGE(Q64:S64)</f>
        <v>2520.6666666666665</v>
      </c>
      <c r="U64" s="225">
        <f t="shared" ref="U64" si="44">+AVERAGE(R64:T64)</f>
        <v>2108.8888888888887</v>
      </c>
      <c r="V64" s="65">
        <f t="shared" si="32"/>
        <v>21330.555555555555</v>
      </c>
      <c r="W64" s="73">
        <f t="shared" si="27"/>
        <v>9.9365708194305101E-5</v>
      </c>
      <c r="X64" s="89"/>
      <c r="Y64" s="65">
        <f>VLOOKUP($E$1,[9]Resumen!$V$226:$AH$232,Y1,0)</f>
        <v>1530.9128999999998</v>
      </c>
      <c r="Z64" s="65">
        <f>VLOOKUP($E$1,[9]Resumen!$V$226:$AH$232,Z1,0)</f>
        <v>1530.9128999999998</v>
      </c>
      <c r="AA64" s="65">
        <f>VLOOKUP($E$1,[9]Resumen!$V$226:$AH$232,AA1,0)</f>
        <v>1530.9128999999998</v>
      </c>
      <c r="AB64" s="65">
        <f>VLOOKUP($E$1,[9]Resumen!$V$226:$AH$232,AB1,0)</f>
        <v>1530.9128999999998</v>
      </c>
      <c r="AC64" s="65">
        <f>VLOOKUP($E$1,[9]Resumen!$V$226:$AH$232,AC1,0)</f>
        <v>1530.9128999999998</v>
      </c>
      <c r="AD64" s="65">
        <f>VLOOKUP($E$1,[9]Resumen!$V$226:$AH$232,AD1,0)</f>
        <v>1530.9128999999998</v>
      </c>
      <c r="AE64" s="65">
        <f>VLOOKUP($E$1,[9]Resumen!$V$226:$AH$232,AE1,0)</f>
        <v>1530.9128999999998</v>
      </c>
      <c r="AF64" s="65">
        <f>VLOOKUP($E$1,[9]Resumen!$V$226:$AH$232,AF1,0)</f>
        <v>1530.9128999999998</v>
      </c>
      <c r="AG64" s="65">
        <f>VLOOKUP($E$1,[9]Resumen!$V$226:$AH$232,AG1,0)</f>
        <v>1530.9128999999998</v>
      </c>
      <c r="AH64" s="65">
        <f>VLOOKUP($E$1,[9]Resumen!$V$226:$AH$232,AH1,0)</f>
        <v>1530.9128999999998</v>
      </c>
      <c r="AI64" s="65">
        <f>VLOOKUP($E$1,[9]Resumen!$V$226:$AH$232,AI1,0)</f>
        <v>1530.9128999999998</v>
      </c>
      <c r="AJ64" s="65">
        <f>VLOOKUP($E$1,[9]Resumen!$V$226:$AH$232,AJ1,0)</f>
        <v>1530.9128999999998</v>
      </c>
      <c r="AK64" s="65">
        <f t="shared" si="33"/>
        <v>18370.954799999996</v>
      </c>
      <c r="AL64" s="73">
        <f t="shared" si="29"/>
        <v>7.9902592473047207E-5</v>
      </c>
      <c r="AM64" s="14">
        <f t="shared" si="30"/>
        <v>-0.13874935173850778</v>
      </c>
      <c r="AN64" s="9"/>
    </row>
    <row r="65" spans="1:40" ht="14.45" customHeight="1" outlineLevel="1">
      <c r="A65" s="12" t="s">
        <v>146</v>
      </c>
      <c r="B65" s="8" t="s">
        <v>88</v>
      </c>
      <c r="I65" s="252" t="s">
        <v>167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/>
      <c r="U65" s="65"/>
      <c r="V65" s="65">
        <f t="shared" si="32"/>
        <v>0</v>
      </c>
      <c r="W65" s="73">
        <f t="shared" si="27"/>
        <v>0</v>
      </c>
      <c r="X65" s="89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>
        <f t="shared" si="33"/>
        <v>0</v>
      </c>
      <c r="AL65" s="73">
        <f t="shared" si="29"/>
        <v>0</v>
      </c>
      <c r="AM65" s="14">
        <f t="shared" si="30"/>
        <v>0</v>
      </c>
      <c r="AN65" s="9"/>
    </row>
    <row r="66" spans="1:40" ht="14.45" customHeight="1" outlineLevel="1">
      <c r="A66" s="12" t="s">
        <v>146</v>
      </c>
      <c r="B66" s="8" t="s">
        <v>88</v>
      </c>
      <c r="I66" s="246" t="s">
        <v>168</v>
      </c>
      <c r="J66" s="65">
        <v>0</v>
      </c>
      <c r="K66" s="65">
        <v>0</v>
      </c>
      <c r="L66" s="65">
        <v>0</v>
      </c>
      <c r="M66" s="65">
        <v>8589</v>
      </c>
      <c r="N66" s="65">
        <v>0</v>
      </c>
      <c r="O66" s="65">
        <v>0</v>
      </c>
      <c r="P66" s="65">
        <v>0</v>
      </c>
      <c r="Q66" s="65">
        <v>0</v>
      </c>
      <c r="R66" s="65">
        <v>1510</v>
      </c>
      <c r="S66" s="65">
        <v>0</v>
      </c>
      <c r="T66" s="65">
        <v>0</v>
      </c>
      <c r="U66" s="65">
        <v>0</v>
      </c>
      <c r="V66" s="65">
        <f t="shared" si="32"/>
        <v>10099</v>
      </c>
      <c r="W66" s="73">
        <f t="shared" si="27"/>
        <v>4.7044920346339814E-5</v>
      </c>
      <c r="X66" s="89"/>
      <c r="Y66" s="65">
        <f>VLOOKUP($E$1,[8]Resumen!$V$32:$AH$38,Y1,0)</f>
        <v>0</v>
      </c>
      <c r="Z66" s="65">
        <f>VLOOKUP($E$1,[8]Resumen!$V$32:$AH$38,Z1,0)</f>
        <v>0</v>
      </c>
      <c r="AA66" s="65">
        <f>VLOOKUP($E$1,[8]Resumen!$V$32:$AH$38,AA1,0)</f>
        <v>0</v>
      </c>
      <c r="AB66" s="65">
        <f>VLOOKUP($E$1,[8]Resumen!$V$32:$AH$38,AB1,0)</f>
        <v>3560.7439999999997</v>
      </c>
      <c r="AC66" s="65">
        <f>VLOOKUP($E$1,[8]Resumen!$V$32:$AH$38,AC1,0)</f>
        <v>0</v>
      </c>
      <c r="AD66" s="65">
        <f>VLOOKUP($E$1,[8]Resumen!$V$32:$AH$38,AD1,0)</f>
        <v>0</v>
      </c>
      <c r="AE66" s="65">
        <f>VLOOKUP($E$1,[8]Resumen!$V$32:$AH$38,AE1,0)</f>
        <v>8228.0098999999991</v>
      </c>
      <c r="AF66" s="65">
        <f>VLOOKUP($E$1,[8]Resumen!$V$32:$AH$38,AF1,0)</f>
        <v>2184.0609999999997</v>
      </c>
      <c r="AG66" s="65">
        <f>VLOOKUP($E$1,[8]Resumen!$V$32:$AH$38,AG1,0)</f>
        <v>0</v>
      </c>
      <c r="AH66" s="65">
        <f>VLOOKUP($E$1,[8]Resumen!$V$32:$AH$38,AH1,0)</f>
        <v>0</v>
      </c>
      <c r="AI66" s="65">
        <f>VLOOKUP($E$1,[8]Resumen!$V$32:$AH$38,AI1,0)</f>
        <v>0</v>
      </c>
      <c r="AJ66" s="65">
        <f>VLOOKUP($E$1,[8]Resumen!$V$32:$AH$38,AJ1,0)</f>
        <v>0</v>
      </c>
      <c r="AK66" s="65">
        <f t="shared" si="33"/>
        <v>13972.814899999999</v>
      </c>
      <c r="AL66" s="73">
        <f t="shared" si="29"/>
        <v>6.0773331969442437E-5</v>
      </c>
      <c r="AM66" s="14">
        <f t="shared" si="30"/>
        <v>0.38358400831765516</v>
      </c>
      <c r="AN66" s="9"/>
    </row>
    <row r="67" spans="1:40" ht="14.45" customHeight="1" outlineLevel="1">
      <c r="A67" s="12"/>
      <c r="I67" s="246" t="s">
        <v>170</v>
      </c>
      <c r="J67" s="65">
        <v>3298</v>
      </c>
      <c r="K67" s="65">
        <v>3298</v>
      </c>
      <c r="L67" s="65">
        <v>3298</v>
      </c>
      <c r="M67" s="65">
        <v>3298</v>
      </c>
      <c r="N67" s="65">
        <v>3298</v>
      </c>
      <c r="O67" s="65">
        <v>3298</v>
      </c>
      <c r="P67" s="65">
        <v>3298</v>
      </c>
      <c r="Q67" s="65">
        <v>3298</v>
      </c>
      <c r="R67" s="225">
        <v>3298</v>
      </c>
      <c r="S67" s="225">
        <v>3298</v>
      </c>
      <c r="T67" s="225">
        <f t="shared" ref="T67" si="45">+AVERAGE(Q67:S67)</f>
        <v>3298</v>
      </c>
      <c r="U67" s="225">
        <f t="shared" ref="U67" si="46">+AVERAGE(R67:T67)</f>
        <v>3298</v>
      </c>
      <c r="V67" s="65">
        <f t="shared" si="32"/>
        <v>39576</v>
      </c>
      <c r="W67" s="73">
        <f t="shared" si="27"/>
        <v>1.8435981459815273E-4</v>
      </c>
      <c r="X67" s="89"/>
      <c r="Y67" s="65">
        <f>VLOOKUP($E$1,[12]Resumen!$V$8:$AH$14,Y1,0)</f>
        <v>4942.6025</v>
      </c>
      <c r="Z67" s="65">
        <f>VLOOKUP($E$1,[12]Resumen!$V$8:$AH$14,Z1,0)</f>
        <v>4942.6025</v>
      </c>
      <c r="AA67" s="65">
        <f>VLOOKUP($E$1,[12]Resumen!$V$8:$AH$14,AA1,0)</f>
        <v>4942.6025</v>
      </c>
      <c r="AB67" s="65">
        <f>VLOOKUP($E$1,[12]Resumen!$V$8:$AH$14,AB1,0)</f>
        <v>4942.6025</v>
      </c>
      <c r="AC67" s="65">
        <f>VLOOKUP($E$1,[12]Resumen!$V$8:$AH$14,AC1,0)</f>
        <v>4942.6025</v>
      </c>
      <c r="AD67" s="65">
        <f>VLOOKUP($E$1,[12]Resumen!$V$8:$AH$14,AD1,0)</f>
        <v>4942.6025</v>
      </c>
      <c r="AE67" s="65">
        <f>VLOOKUP($E$1,[12]Resumen!$V$8:$AH$14,AE1,0)</f>
        <v>4942.6025</v>
      </c>
      <c r="AF67" s="65">
        <f>VLOOKUP($E$1,[12]Resumen!$V$8:$AH$14,AF1,0)</f>
        <v>4942.6025</v>
      </c>
      <c r="AG67" s="65">
        <f>VLOOKUP($E$1,[12]Resumen!$V$8:$AH$14,AG1,0)</f>
        <v>4942.6025</v>
      </c>
      <c r="AH67" s="65">
        <f>VLOOKUP($E$1,[12]Resumen!$V$8:$AH$14,AH1,0)</f>
        <v>4942.6025</v>
      </c>
      <c r="AI67" s="65">
        <f>VLOOKUP($E$1,[12]Resumen!$V$8:$AH$14,AI1,0)</f>
        <v>4942.6025</v>
      </c>
      <c r="AJ67" s="65">
        <f>VLOOKUP($E$1,[12]Resumen!$V$8:$AH$14,AJ1,0)</f>
        <v>4942.6025</v>
      </c>
      <c r="AK67" s="65">
        <f t="shared" si="33"/>
        <v>59311.23</v>
      </c>
      <c r="AL67" s="73">
        <f t="shared" si="29"/>
        <v>2.5796813999918897E-4</v>
      </c>
      <c r="AM67" s="14">
        <f t="shared" si="30"/>
        <v>0.4986666161309885</v>
      </c>
      <c r="AN67" s="9"/>
    </row>
    <row r="68" spans="1:40" ht="14.45" customHeight="1" outlineLevel="1">
      <c r="A68" s="12"/>
      <c r="I68" s="246" t="s">
        <v>171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/>
      <c r="U68" s="65"/>
      <c r="V68" s="65">
        <f t="shared" si="32"/>
        <v>0</v>
      </c>
      <c r="W68" s="73">
        <f t="shared" si="27"/>
        <v>0</v>
      </c>
      <c r="X68" s="89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>
        <f t="shared" si="33"/>
        <v>0</v>
      </c>
      <c r="AL68" s="73">
        <f t="shared" si="29"/>
        <v>0</v>
      </c>
      <c r="AM68" s="14">
        <f t="shared" si="30"/>
        <v>0</v>
      </c>
      <c r="AN68" s="9"/>
    </row>
    <row r="69" spans="1:40" ht="14.45" customHeight="1" outlineLevel="1">
      <c r="A69" s="12"/>
      <c r="I69" s="246" t="s">
        <v>172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/>
      <c r="U69" s="65"/>
      <c r="V69" s="65">
        <f t="shared" si="32"/>
        <v>0</v>
      </c>
      <c r="W69" s="73">
        <f t="shared" si="27"/>
        <v>0</v>
      </c>
      <c r="X69" s="89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>
        <f t="shared" si="33"/>
        <v>0</v>
      </c>
      <c r="AL69" s="73">
        <f t="shared" si="29"/>
        <v>0</v>
      </c>
      <c r="AM69" s="14">
        <f t="shared" si="30"/>
        <v>0</v>
      </c>
      <c r="AN69" s="9"/>
    </row>
    <row r="70" spans="1:40" ht="14.45" customHeight="1" outlineLevel="1">
      <c r="A70" s="12"/>
      <c r="I70" s="246" t="s">
        <v>173</v>
      </c>
      <c r="J70" s="65">
        <v>2566</v>
      </c>
      <c r="K70" s="65">
        <v>3600</v>
      </c>
      <c r="L70" s="65">
        <v>1800</v>
      </c>
      <c r="M70" s="65">
        <v>0</v>
      </c>
      <c r="N70" s="65">
        <v>1400</v>
      </c>
      <c r="O70" s="65">
        <v>2570</v>
      </c>
      <c r="P70" s="65">
        <v>1400</v>
      </c>
      <c r="Q70" s="65">
        <v>1400</v>
      </c>
      <c r="R70" s="225">
        <v>1400</v>
      </c>
      <c r="S70" s="225">
        <v>1400</v>
      </c>
      <c r="T70" s="225">
        <f t="shared" ref="T70" si="47">+AVERAGE(Q70:S70)</f>
        <v>1400</v>
      </c>
      <c r="U70" s="225">
        <f t="shared" ref="U70" si="48">+AVERAGE(R70:T70)</f>
        <v>1400</v>
      </c>
      <c r="V70" s="65">
        <f t="shared" si="32"/>
        <v>20336</v>
      </c>
      <c r="W70" s="73">
        <f t="shared" si="27"/>
        <v>9.4732696322721705E-5</v>
      </c>
      <c r="X70" s="89"/>
      <c r="Y70" s="65">
        <f>VLOOKUP($E$1,[8]Resumen!$V$44:$AH$50,Y1,0)</f>
        <v>1500</v>
      </c>
      <c r="Z70" s="65">
        <f>VLOOKUP($E$1,[8]Resumen!$V$44:$AH$50,Z1,0)</f>
        <v>1500</v>
      </c>
      <c r="AA70" s="65">
        <f>VLOOKUP($E$1,[8]Resumen!$V$44:$AH$50,AA1,0)</f>
        <v>1500</v>
      </c>
      <c r="AB70" s="65">
        <f>VLOOKUP($E$1,[8]Resumen!$V$44:$AH$50,AB1,0)</f>
        <v>1500</v>
      </c>
      <c r="AC70" s="65">
        <f>VLOOKUP($E$1,[8]Resumen!$V$44:$AH$50,AC1,0)</f>
        <v>1500</v>
      </c>
      <c r="AD70" s="65">
        <f>VLOOKUP($E$1,[8]Resumen!$V$44:$AH$50,AD1,0)</f>
        <v>1500</v>
      </c>
      <c r="AE70" s="65">
        <f>VLOOKUP($E$1,[8]Resumen!$V$44:$AH$50,AE1,0)</f>
        <v>1500</v>
      </c>
      <c r="AF70" s="65">
        <f>VLOOKUP($E$1,[8]Resumen!$V$44:$AH$50,AF1,0)</f>
        <v>1500</v>
      </c>
      <c r="AG70" s="65">
        <f>VLOOKUP($E$1,[8]Resumen!$V$44:$AH$50,AG1,0)</f>
        <v>1500</v>
      </c>
      <c r="AH70" s="65">
        <f>VLOOKUP($E$1,[8]Resumen!$V$44:$AH$50,AH1,0)</f>
        <v>1500</v>
      </c>
      <c r="AI70" s="65">
        <f>VLOOKUP($E$1,[8]Resumen!$V$44:$AH$50,AI1,0)</f>
        <v>1500</v>
      </c>
      <c r="AJ70" s="65">
        <f>VLOOKUP($E$1,[8]Resumen!$V$44:$AH$50,AJ1,0)</f>
        <v>1500</v>
      </c>
      <c r="AK70" s="65">
        <f t="shared" si="33"/>
        <v>18000</v>
      </c>
      <c r="AL70" s="73">
        <f t="shared" si="29"/>
        <v>7.828916243998652E-5</v>
      </c>
      <c r="AM70" s="14">
        <f t="shared" si="30"/>
        <v>-0.11487018095987411</v>
      </c>
      <c r="AN70" s="9"/>
    </row>
    <row r="71" spans="1:40" ht="14.45" customHeight="1" outlineLevel="1">
      <c r="A71" s="12"/>
      <c r="I71" s="246" t="s">
        <v>174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/>
      <c r="U71" s="65"/>
      <c r="V71" s="65">
        <f t="shared" si="32"/>
        <v>0</v>
      </c>
      <c r="W71" s="73">
        <f t="shared" si="27"/>
        <v>0</v>
      </c>
      <c r="X71" s="89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>
        <f t="shared" si="33"/>
        <v>0</v>
      </c>
      <c r="AL71" s="73">
        <f t="shared" si="29"/>
        <v>0</v>
      </c>
      <c r="AM71" s="14">
        <f t="shared" si="30"/>
        <v>0</v>
      </c>
      <c r="AN71" s="9"/>
    </row>
    <row r="72" spans="1:40" ht="14.45" customHeight="1" outlineLevel="1">
      <c r="A72" s="12"/>
      <c r="I72" s="246" t="s">
        <v>175</v>
      </c>
      <c r="J72" s="65">
        <v>902</v>
      </c>
      <c r="K72" s="65">
        <v>902</v>
      </c>
      <c r="L72" s="65">
        <v>902</v>
      </c>
      <c r="M72" s="65">
        <v>902</v>
      </c>
      <c r="N72" s="65">
        <v>902</v>
      </c>
      <c r="O72" s="65">
        <v>902</v>
      </c>
      <c r="P72" s="65">
        <v>902</v>
      </c>
      <c r="Q72" s="65">
        <v>902</v>
      </c>
      <c r="R72" s="225">
        <v>902</v>
      </c>
      <c r="S72" s="225">
        <v>902</v>
      </c>
      <c r="T72" s="225">
        <f t="shared" ref="T72" si="49">+AVERAGE(Q72:S72)</f>
        <v>902</v>
      </c>
      <c r="U72" s="225">
        <f t="shared" ref="U72" si="50">+AVERAGE(R72:T72)</f>
        <v>902</v>
      </c>
      <c r="V72" s="65">
        <f t="shared" si="32"/>
        <v>10824</v>
      </c>
      <c r="W72" s="73">
        <f t="shared" si="27"/>
        <v>5.0422241591126064E-5</v>
      </c>
      <c r="X72" s="89"/>
      <c r="Y72" s="65">
        <f>U72*1.0375</f>
        <v>935.82500000000005</v>
      </c>
      <c r="Z72" s="65">
        <f>+Y72</f>
        <v>935.82500000000005</v>
      </c>
      <c r="AA72" s="65">
        <f>+Z72</f>
        <v>935.82500000000005</v>
      </c>
      <c r="AB72" s="65">
        <f>+AA72</f>
        <v>935.82500000000005</v>
      </c>
      <c r="AC72" s="65">
        <f>+AB72</f>
        <v>935.82500000000005</v>
      </c>
      <c r="AD72" s="65">
        <f>+AC72</f>
        <v>935.82500000000005</v>
      </c>
      <c r="AE72" s="65">
        <f>+AD72</f>
        <v>935.82500000000005</v>
      </c>
      <c r="AF72" s="65">
        <f>+AE72</f>
        <v>935.82500000000005</v>
      </c>
      <c r="AG72" s="65">
        <f>+AF72</f>
        <v>935.82500000000005</v>
      </c>
      <c r="AH72" s="65">
        <f>+AG72</f>
        <v>935.82500000000005</v>
      </c>
      <c r="AI72" s="65">
        <f>+AH72</f>
        <v>935.82500000000005</v>
      </c>
      <c r="AJ72" s="65">
        <f>+AI72</f>
        <v>935.82500000000005</v>
      </c>
      <c r="AK72" s="65">
        <f t="shared" si="33"/>
        <v>11229.900000000001</v>
      </c>
      <c r="AL72" s="73">
        <f t="shared" si="29"/>
        <v>4.8843303626933593E-5</v>
      </c>
      <c r="AM72" s="14">
        <f t="shared" si="30"/>
        <v>3.7500000000000089E-2</v>
      </c>
      <c r="AN72" s="9"/>
    </row>
    <row r="73" spans="1:40" ht="14.45" customHeight="1" outlineLevel="1">
      <c r="A73" s="12" t="s">
        <v>146</v>
      </c>
      <c r="B73" s="8" t="s">
        <v>88</v>
      </c>
      <c r="I73" s="246" t="s">
        <v>176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/>
      <c r="U73" s="65"/>
      <c r="V73" s="65">
        <f t="shared" si="32"/>
        <v>0</v>
      </c>
      <c r="W73" s="73">
        <f t="shared" si="27"/>
        <v>0</v>
      </c>
      <c r="X73" s="89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>
        <f t="shared" si="33"/>
        <v>0</v>
      </c>
      <c r="AL73" s="73">
        <f t="shared" si="29"/>
        <v>0</v>
      </c>
      <c r="AM73" s="14">
        <f t="shared" si="30"/>
        <v>0</v>
      </c>
      <c r="AN73" s="9"/>
    </row>
    <row r="74" spans="1:40" ht="14.45" customHeight="1" outlineLevel="1">
      <c r="A74" s="12" t="s">
        <v>146</v>
      </c>
      <c r="B74" s="8" t="s">
        <v>88</v>
      </c>
      <c r="I74" s="251" t="s">
        <v>177</v>
      </c>
      <c r="J74" s="65">
        <v>1300</v>
      </c>
      <c r="K74" s="65">
        <v>1300</v>
      </c>
      <c r="L74" s="65">
        <v>1300</v>
      </c>
      <c r="M74" s="65">
        <v>1300</v>
      </c>
      <c r="N74" s="65">
        <v>1300</v>
      </c>
      <c r="O74" s="65">
        <v>1300</v>
      </c>
      <c r="P74" s="65">
        <v>1300</v>
      </c>
      <c r="Q74" s="65">
        <v>1300</v>
      </c>
      <c r="R74" s="65">
        <v>1300</v>
      </c>
      <c r="S74" s="65">
        <v>1300</v>
      </c>
      <c r="T74" s="65">
        <v>1300</v>
      </c>
      <c r="U74" s="65">
        <v>1300</v>
      </c>
      <c r="V74" s="65">
        <f t="shared" si="32"/>
        <v>15600</v>
      </c>
      <c r="W74" s="73">
        <f t="shared" si="27"/>
        <v>7.2670636439538678E-5</v>
      </c>
      <c r="X74" s="89"/>
      <c r="Y74" s="65">
        <f>+J74*1.0375</f>
        <v>1348.7500000000002</v>
      </c>
      <c r="Z74" s="65">
        <f>+K74*1.0375</f>
        <v>1348.7500000000002</v>
      </c>
      <c r="AA74" s="65">
        <f>+L74*1.0375</f>
        <v>1348.7500000000002</v>
      </c>
      <c r="AB74" s="65">
        <f>+M74*1.0375</f>
        <v>1348.7500000000002</v>
      </c>
      <c r="AC74" s="65">
        <f>+N74*1.0375</f>
        <v>1348.7500000000002</v>
      </c>
      <c r="AD74" s="65">
        <f>+O74*1.0375</f>
        <v>1348.7500000000002</v>
      </c>
      <c r="AE74" s="65">
        <f>+P74*1.0375</f>
        <v>1348.7500000000002</v>
      </c>
      <c r="AF74" s="65">
        <f>+Q74*1.0375</f>
        <v>1348.7500000000002</v>
      </c>
      <c r="AG74" s="65">
        <f>+R74*1.0375</f>
        <v>1348.7500000000002</v>
      </c>
      <c r="AH74" s="65">
        <f>+S74*1.0375</f>
        <v>1348.7500000000002</v>
      </c>
      <c r="AI74" s="65">
        <f>+T74*1.0375</f>
        <v>1348.7500000000002</v>
      </c>
      <c r="AJ74" s="65">
        <f>+U74*1.0375</f>
        <v>1348.7500000000002</v>
      </c>
      <c r="AK74" s="65">
        <f t="shared" si="33"/>
        <v>16185.000000000002</v>
      </c>
      <c r="AL74" s="73">
        <f t="shared" si="29"/>
        <v>7.0395005227287888E-5</v>
      </c>
      <c r="AM74" s="14">
        <f t="shared" si="30"/>
        <v>3.7500000000000089E-2</v>
      </c>
      <c r="AN74" s="9"/>
    </row>
    <row r="75" spans="1:40" ht="14.45" customHeight="1" outlineLevel="1">
      <c r="A75" s="12"/>
      <c r="I75" s="246" t="s">
        <v>178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/>
      <c r="U75" s="65"/>
      <c r="V75" s="65">
        <f t="shared" si="32"/>
        <v>0</v>
      </c>
      <c r="W75" s="73">
        <f t="shared" si="27"/>
        <v>0</v>
      </c>
      <c r="X75" s="89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>
        <f t="shared" si="33"/>
        <v>0</v>
      </c>
      <c r="AL75" s="73">
        <f t="shared" si="29"/>
        <v>0</v>
      </c>
      <c r="AM75" s="14">
        <f t="shared" si="30"/>
        <v>0</v>
      </c>
      <c r="AN75" s="9"/>
    </row>
    <row r="76" spans="1:40" ht="14.45" customHeight="1" outlineLevel="1">
      <c r="A76" s="12" t="s">
        <v>146</v>
      </c>
      <c r="B76" s="8" t="s">
        <v>88</v>
      </c>
      <c r="I76" s="246" t="s">
        <v>179</v>
      </c>
      <c r="J76" s="65">
        <v>1581</v>
      </c>
      <c r="K76" s="65">
        <v>902</v>
      </c>
      <c r="L76" s="65">
        <v>890</v>
      </c>
      <c r="M76" s="65">
        <v>884</v>
      </c>
      <c r="N76" s="65">
        <v>827</v>
      </c>
      <c r="O76" s="65">
        <v>953</v>
      </c>
      <c r="P76" s="65">
        <v>956</v>
      </c>
      <c r="Q76" s="65">
        <v>914</v>
      </c>
      <c r="R76" s="225">
        <v>855</v>
      </c>
      <c r="S76" s="225">
        <v>1008</v>
      </c>
      <c r="T76" s="225">
        <f t="shared" ref="T76:T77" si="51">+AVERAGE(Q76:S76)</f>
        <v>925.66666666666663</v>
      </c>
      <c r="U76" s="225">
        <f t="shared" ref="U76:U77" si="52">+AVERAGE(R76:T76)</f>
        <v>929.55555555555554</v>
      </c>
      <c r="V76" s="65">
        <f t="shared" si="32"/>
        <v>11625.222222222221</v>
      </c>
      <c r="W76" s="73">
        <f t="shared" si="27"/>
        <v>5.4154634464099799E-5</v>
      </c>
      <c r="X76" s="89"/>
      <c r="Y76" s="65">
        <f>VLOOKUP($E$1,[13]Resumen!$V$10:$AH$16,Y1,0)</f>
        <v>1138.6099999999999</v>
      </c>
      <c r="Z76" s="65">
        <f>VLOOKUP($E$1,[13]Resumen!$V$10:$AH$16,Z1,0)</f>
        <v>1138.6099999999999</v>
      </c>
      <c r="AA76" s="65">
        <f>VLOOKUP($E$1,[13]Resumen!$V$10:$AH$16,AA1,0)</f>
        <v>1138.6099999999999</v>
      </c>
      <c r="AB76" s="65">
        <f>VLOOKUP($E$1,[13]Resumen!$V$10:$AH$16,AB1,0)</f>
        <v>1138.6099999999999</v>
      </c>
      <c r="AC76" s="65">
        <f>VLOOKUP($E$1,[13]Resumen!$V$10:$AH$16,AC1,0)</f>
        <v>1138.6099999999999</v>
      </c>
      <c r="AD76" s="65">
        <f>VLOOKUP($E$1,[13]Resumen!$V$10:$AH$16,AD1,0)</f>
        <v>1138.6099999999999</v>
      </c>
      <c r="AE76" s="65">
        <f>VLOOKUP($E$1,[13]Resumen!$V$10:$AH$16,AE1,0)</f>
        <v>1138.6099999999999</v>
      </c>
      <c r="AF76" s="65">
        <f>VLOOKUP($E$1,[13]Resumen!$V$10:$AH$16,AF1,0)</f>
        <v>1138.6099999999999</v>
      </c>
      <c r="AG76" s="65">
        <f>VLOOKUP($E$1,[13]Resumen!$V$10:$AH$16,AG1,0)</f>
        <v>1138.6099999999999</v>
      </c>
      <c r="AH76" s="65">
        <f>VLOOKUP($E$1,[13]Resumen!$V$10:$AH$16,AH1,0)</f>
        <v>1138.6099999999999</v>
      </c>
      <c r="AI76" s="65">
        <f>VLOOKUP($E$1,[13]Resumen!$V$10:$AH$16,AI1,0)</f>
        <v>1138.6099999999999</v>
      </c>
      <c r="AJ76" s="65">
        <f>VLOOKUP($E$1,[13]Resumen!$V$10:$AH$16,AJ1,0)</f>
        <v>1138.6099999999999</v>
      </c>
      <c r="AK76" s="65">
        <f t="shared" si="33"/>
        <v>13663.320000000002</v>
      </c>
      <c r="AL76" s="73">
        <f t="shared" si="29"/>
        <v>5.942721549719537E-5</v>
      </c>
      <c r="AM76" s="14">
        <f t="shared" si="30"/>
        <v>0.17531688761027286</v>
      </c>
      <c r="AN76" s="9"/>
    </row>
    <row r="77" spans="1:40" ht="14.45" customHeight="1" outlineLevel="1">
      <c r="A77" s="12"/>
      <c r="I77" s="246" t="s">
        <v>180</v>
      </c>
      <c r="J77" s="65">
        <v>593</v>
      </c>
      <c r="K77" s="65">
        <v>569</v>
      </c>
      <c r="L77" s="65">
        <v>577</v>
      </c>
      <c r="M77" s="65">
        <v>636</v>
      </c>
      <c r="N77" s="65">
        <v>620</v>
      </c>
      <c r="O77" s="65">
        <v>657</v>
      </c>
      <c r="P77" s="65">
        <v>617</v>
      </c>
      <c r="Q77" s="65">
        <v>666</v>
      </c>
      <c r="R77" s="225">
        <v>579</v>
      </c>
      <c r="S77" s="225">
        <v>586</v>
      </c>
      <c r="T77" s="225">
        <f t="shared" si="51"/>
        <v>610.33333333333337</v>
      </c>
      <c r="U77" s="225">
        <f t="shared" si="52"/>
        <v>591.77777777777783</v>
      </c>
      <c r="V77" s="65">
        <f t="shared" si="32"/>
        <v>7302.1111111111113</v>
      </c>
      <c r="W77" s="73">
        <f t="shared" si="27"/>
        <v>3.4015965499786626E-5</v>
      </c>
      <c r="X77" s="89"/>
      <c r="Y77" s="65">
        <f>J77*1.0375</f>
        <v>615.23750000000007</v>
      </c>
      <c r="Z77" s="65">
        <f t="shared" ref="Z77:AJ77" si="53">K77*1.0375</f>
        <v>590.33750000000009</v>
      </c>
      <c r="AA77" s="65">
        <f t="shared" si="53"/>
        <v>598.63750000000005</v>
      </c>
      <c r="AB77" s="65">
        <f t="shared" si="53"/>
        <v>659.85</v>
      </c>
      <c r="AC77" s="65">
        <f t="shared" si="53"/>
        <v>643.25</v>
      </c>
      <c r="AD77" s="65">
        <f t="shared" si="53"/>
        <v>681.63750000000005</v>
      </c>
      <c r="AE77" s="65">
        <f t="shared" si="53"/>
        <v>640.13750000000005</v>
      </c>
      <c r="AF77" s="65">
        <f t="shared" si="53"/>
        <v>690.97500000000002</v>
      </c>
      <c r="AG77" s="65">
        <f t="shared" si="53"/>
        <v>600.71250000000009</v>
      </c>
      <c r="AH77" s="65">
        <f t="shared" si="53"/>
        <v>607.97500000000002</v>
      </c>
      <c r="AI77" s="65">
        <f t="shared" si="53"/>
        <v>633.22083333333342</v>
      </c>
      <c r="AJ77" s="65">
        <f t="shared" si="53"/>
        <v>613.96944444444455</v>
      </c>
      <c r="AK77" s="65">
        <f t="shared" si="33"/>
        <v>7575.9402777777805</v>
      </c>
      <c r="AL77" s="73">
        <f t="shared" si="29"/>
        <v>3.2950778835698958E-5</v>
      </c>
      <c r="AM77" s="14">
        <f t="shared" si="30"/>
        <v>3.7500000000000311E-2</v>
      </c>
      <c r="AN77" s="9"/>
    </row>
    <row r="78" spans="1:40" ht="14.45" customHeight="1" outlineLevel="1">
      <c r="A78" s="12"/>
      <c r="I78" s="246" t="s">
        <v>181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/>
      <c r="U78" s="65"/>
      <c r="V78" s="65">
        <f t="shared" si="32"/>
        <v>0</v>
      </c>
      <c r="W78" s="73">
        <f t="shared" si="27"/>
        <v>0</v>
      </c>
      <c r="X78" s="89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>
        <f t="shared" si="33"/>
        <v>0</v>
      </c>
      <c r="AL78" s="73">
        <f t="shared" si="29"/>
        <v>0</v>
      </c>
      <c r="AM78" s="14">
        <f t="shared" si="30"/>
        <v>0</v>
      </c>
      <c r="AN78" s="9"/>
    </row>
    <row r="79" spans="1:40" ht="14.45" customHeight="1" outlineLevel="1">
      <c r="A79" s="12"/>
      <c r="I79" s="246" t="s">
        <v>182</v>
      </c>
      <c r="J79" s="65">
        <v>7903</v>
      </c>
      <c r="K79" s="65">
        <v>7277</v>
      </c>
      <c r="L79" s="65">
        <v>6340</v>
      </c>
      <c r="M79" s="65">
        <v>3629</v>
      </c>
      <c r="N79" s="65">
        <v>5903</v>
      </c>
      <c r="O79" s="65">
        <v>23831</v>
      </c>
      <c r="P79" s="65">
        <v>3715</v>
      </c>
      <c r="Q79" s="65">
        <v>10383</v>
      </c>
      <c r="R79" s="65">
        <v>5029</v>
      </c>
      <c r="S79" s="65">
        <v>0</v>
      </c>
      <c r="T79" s="65">
        <v>34743.904000000002</v>
      </c>
      <c r="U79" s="65">
        <v>5802.7840000000006</v>
      </c>
      <c r="V79" s="65">
        <f t="shared" si="32"/>
        <v>114556.68800000001</v>
      </c>
      <c r="W79" s="73">
        <f t="shared" si="27"/>
        <v>5.3364791188241435E-4</v>
      </c>
      <c r="X79" s="89"/>
      <c r="Y79" s="65">
        <f>VLOOKUP($E$1,[14]Resumen!$V$8:$AH$14,Y1,0)</f>
        <v>11280.406146020001</v>
      </c>
      <c r="Z79" s="65">
        <f>VLOOKUP($E$1,[14]Resumen!$V$8:$AH$14,Z1,0)</f>
        <v>11280.406146020001</v>
      </c>
      <c r="AA79" s="65">
        <f>VLOOKUP($E$1,[14]Resumen!$V$8:$AH$14,AA1,0)</f>
        <v>11280.406146020001</v>
      </c>
      <c r="AB79" s="65">
        <f>VLOOKUP($E$1,[14]Resumen!$V$8:$AH$14,AB1,0)</f>
        <v>12483.728010269999</v>
      </c>
      <c r="AC79" s="65">
        <f>VLOOKUP($E$1,[14]Resumen!$V$8:$AH$14,AC1,0)</f>
        <v>9623.7674122699991</v>
      </c>
      <c r="AD79" s="65">
        <f>VLOOKUP($E$1,[14]Resumen!$V$8:$AH$14,AD1,0)</f>
        <v>3903.8462162699998</v>
      </c>
      <c r="AE79" s="65">
        <f>VLOOKUP($E$1,[14]Resumen!$V$8:$AH$14,AE1,0)</f>
        <v>9623.7674122699991</v>
      </c>
      <c r="AF79" s="65">
        <f>VLOOKUP($E$1,[14]Resumen!$V$8:$AH$14,AF1,0)</f>
        <v>9623.7674122699991</v>
      </c>
      <c r="AG79" s="65">
        <f>VLOOKUP($E$1,[14]Resumen!$V$8:$AH$14,AG1,0)</f>
        <v>9623.7674122699991</v>
      </c>
      <c r="AH79" s="65">
        <f>VLOOKUP($E$1,[14]Resumen!$V$8:$AH$14,AH1,0)</f>
        <v>36767.155896019998</v>
      </c>
      <c r="AI79" s="65">
        <f>VLOOKUP($E$1,[14]Resumen!$V$8:$AH$14,AI1,0)</f>
        <v>11280.406146020001</v>
      </c>
      <c r="AJ79" s="65">
        <f>VLOOKUP($E$1,[14]Resumen!$V$8:$AH$14,AJ1,0)</f>
        <v>22720.248538019998</v>
      </c>
      <c r="AK79" s="65">
        <f t="shared" si="33"/>
        <v>159491.67289373997</v>
      </c>
      <c r="AL79" s="73">
        <f t="shared" si="29"/>
        <v>6.9369274927795575E-4</v>
      </c>
      <c r="AM79" s="14">
        <f t="shared" si="30"/>
        <v>0.3922510826582204</v>
      </c>
      <c r="AN79" s="9"/>
    </row>
    <row r="80" spans="1:40" ht="14.45" customHeight="1" outlineLevel="1">
      <c r="A80" s="12"/>
      <c r="I80" s="246" t="s">
        <v>183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292</v>
      </c>
      <c r="P80" s="65">
        <v>0</v>
      </c>
      <c r="Q80" s="65">
        <v>146</v>
      </c>
      <c r="R80" s="65">
        <v>0</v>
      </c>
      <c r="S80" s="65">
        <v>0</v>
      </c>
      <c r="T80" s="65">
        <v>500.24</v>
      </c>
      <c r="U80" s="65">
        <v>0</v>
      </c>
      <c r="V80" s="65">
        <f t="shared" si="32"/>
        <v>938.24</v>
      </c>
      <c r="W80" s="73">
        <f t="shared" si="27"/>
        <v>4.3706729444251771E-6</v>
      </c>
      <c r="X80" s="89"/>
      <c r="Y80" s="65">
        <f>VLOOKUP($E$1,[15]Resumen!$V$8:$AH$14,Y1,0)</f>
        <v>0</v>
      </c>
      <c r="Z80" s="65">
        <f>VLOOKUP($E$1,[15]Resumen!$V$8:$AH$14,Z1,0)</f>
        <v>765.97399999999993</v>
      </c>
      <c r="AA80" s="65">
        <f>VLOOKUP($E$1,[15]Resumen!$V$8:$AH$14,AA1,0)</f>
        <v>191.49349999999998</v>
      </c>
      <c r="AB80" s="65">
        <f>VLOOKUP($E$1,[15]Resumen!$V$8:$AH$14,AB1,0)</f>
        <v>191.49349999999998</v>
      </c>
      <c r="AC80" s="65">
        <f>VLOOKUP($E$1,[15]Resumen!$V$8:$AH$14,AC1,0)</f>
        <v>191.49349999999998</v>
      </c>
      <c r="AD80" s="65">
        <f>VLOOKUP($E$1,[15]Resumen!$V$8:$AH$14,AD1,0)</f>
        <v>382.98699999999997</v>
      </c>
      <c r="AE80" s="65">
        <f>VLOOKUP($E$1,[15]Resumen!$V$8:$AH$14,AE1,0)</f>
        <v>0</v>
      </c>
      <c r="AF80" s="65">
        <f>VLOOKUP($E$1,[15]Resumen!$V$8:$AH$14,AF1,0)</f>
        <v>382.98699999999997</v>
      </c>
      <c r="AG80" s="65">
        <f>VLOOKUP($E$1,[15]Resumen!$V$8:$AH$14,AG1,0)</f>
        <v>786.67599999999993</v>
      </c>
      <c r="AH80" s="65">
        <f>VLOOKUP($E$1,[15]Resumen!$V$8:$AH$14,AH1,0)</f>
        <v>191.49349999999998</v>
      </c>
      <c r="AI80" s="65">
        <f>VLOOKUP($E$1,[15]Resumen!$V$8:$AH$14,AI1,0)</f>
        <v>0</v>
      </c>
      <c r="AJ80" s="65">
        <f>VLOOKUP($E$1,[15]Resumen!$V$8:$AH$14,AJ1,0)</f>
        <v>0</v>
      </c>
      <c r="AK80" s="65">
        <f t="shared" si="33"/>
        <v>3084.598</v>
      </c>
      <c r="AL80" s="73">
        <f t="shared" si="29"/>
        <v>1.3416144104669863E-5</v>
      </c>
      <c r="AM80" s="14">
        <f t="shared" si="30"/>
        <v>2.2876428206002726</v>
      </c>
      <c r="AN80" s="9"/>
    </row>
    <row r="81" spans="1:40" ht="14.45" customHeight="1" outlineLevel="1">
      <c r="A81" s="12"/>
      <c r="I81" s="246" t="s">
        <v>184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2312</v>
      </c>
      <c r="Q81" s="65">
        <v>0</v>
      </c>
      <c r="R81" s="65">
        <v>0</v>
      </c>
      <c r="S81" s="65">
        <v>0</v>
      </c>
      <c r="T81" s="65"/>
      <c r="U81" s="65"/>
      <c r="V81" s="65">
        <f t="shared" si="32"/>
        <v>2312</v>
      </c>
      <c r="W81" s="73">
        <f t="shared" si="27"/>
        <v>1.0770160990270091E-5</v>
      </c>
      <c r="X81" s="89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>
        <f t="shared" si="33"/>
        <v>0</v>
      </c>
      <c r="AL81" s="73">
        <f t="shared" si="29"/>
        <v>0</v>
      </c>
      <c r="AM81" s="14">
        <f t="shared" si="30"/>
        <v>-1</v>
      </c>
      <c r="AN81" s="9"/>
    </row>
    <row r="82" spans="1:40" ht="14.45" customHeight="1" outlineLevel="1">
      <c r="A82" s="12"/>
      <c r="I82" s="246" t="s">
        <v>185</v>
      </c>
      <c r="J82" s="65">
        <v>2345</v>
      </c>
      <c r="K82" s="65">
        <v>2345</v>
      </c>
      <c r="L82" s="65">
        <v>2345</v>
      </c>
      <c r="M82" s="65">
        <v>2345</v>
      </c>
      <c r="N82" s="65">
        <v>2345</v>
      </c>
      <c r="O82" s="65">
        <v>2345</v>
      </c>
      <c r="P82" s="65">
        <v>2345</v>
      </c>
      <c r="Q82" s="65">
        <v>5845</v>
      </c>
      <c r="R82" s="65">
        <v>5845</v>
      </c>
      <c r="S82" s="65">
        <f>+R82</f>
        <v>5845</v>
      </c>
      <c r="T82" s="65">
        <f>+S82</f>
        <v>5845</v>
      </c>
      <c r="U82" s="65">
        <f>+T82</f>
        <v>5845</v>
      </c>
      <c r="V82" s="65">
        <f t="shared" si="32"/>
        <v>45640</v>
      </c>
      <c r="W82" s="73">
        <f t="shared" si="27"/>
        <v>2.1260819532695801E-4</v>
      </c>
      <c r="X82" s="89"/>
      <c r="Y82" s="65">
        <f>+U82*1.02</f>
        <v>5961.9000000000005</v>
      </c>
      <c r="Z82" s="65">
        <f>+Y82</f>
        <v>5961.9000000000005</v>
      </c>
      <c r="AA82" s="65">
        <f t="shared" ref="AA82:AJ82" si="54">+Z82</f>
        <v>5961.9000000000005</v>
      </c>
      <c r="AB82" s="65">
        <f t="shared" si="54"/>
        <v>5961.9000000000005</v>
      </c>
      <c r="AC82" s="65">
        <f t="shared" si="54"/>
        <v>5961.9000000000005</v>
      </c>
      <c r="AD82" s="65">
        <f t="shared" si="54"/>
        <v>5961.9000000000005</v>
      </c>
      <c r="AE82" s="65">
        <f t="shared" si="54"/>
        <v>5961.9000000000005</v>
      </c>
      <c r="AF82" s="65">
        <f t="shared" si="54"/>
        <v>5961.9000000000005</v>
      </c>
      <c r="AG82" s="65">
        <f t="shared" si="54"/>
        <v>5961.9000000000005</v>
      </c>
      <c r="AH82" s="65">
        <f t="shared" si="54"/>
        <v>5961.9000000000005</v>
      </c>
      <c r="AI82" s="65">
        <f t="shared" si="54"/>
        <v>5961.9000000000005</v>
      </c>
      <c r="AJ82" s="65">
        <f t="shared" si="54"/>
        <v>5961.9000000000005</v>
      </c>
      <c r="AK82" s="65">
        <f t="shared" si="33"/>
        <v>71542.8</v>
      </c>
      <c r="AL82" s="73">
        <f t="shared" si="29"/>
        <v>3.1116810503397041E-4</v>
      </c>
      <c r="AM82" s="14">
        <f t="shared" si="30"/>
        <v>0.56754601226993873</v>
      </c>
      <c r="AN82" s="9"/>
    </row>
    <row r="83" spans="1:40" ht="14.45" customHeight="1" outlineLevel="1">
      <c r="A83" s="12" t="s">
        <v>195</v>
      </c>
      <c r="B83" s="8" t="s">
        <v>88</v>
      </c>
      <c r="I83" s="246" t="s">
        <v>186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/>
      <c r="U83" s="65"/>
      <c r="V83" s="65">
        <f t="shared" si="32"/>
        <v>0</v>
      </c>
      <c r="W83" s="73">
        <f t="shared" si="27"/>
        <v>0</v>
      </c>
      <c r="X83" s="89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>
        <f t="shared" si="33"/>
        <v>0</v>
      </c>
      <c r="AL83" s="73">
        <f t="shared" si="29"/>
        <v>0</v>
      </c>
      <c r="AM83" s="14">
        <f t="shared" si="30"/>
        <v>0</v>
      </c>
      <c r="AN83" s="9"/>
    </row>
    <row r="84" spans="1:40" ht="14.45" customHeight="1" outlineLevel="1">
      <c r="A84" s="12" t="s">
        <v>195</v>
      </c>
      <c r="B84" s="8" t="s">
        <v>88</v>
      </c>
      <c r="I84" s="246" t="s">
        <v>187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/>
      <c r="U84" s="65"/>
      <c r="V84" s="65">
        <f t="shared" si="32"/>
        <v>0</v>
      </c>
      <c r="W84" s="73">
        <f t="shared" si="27"/>
        <v>0</v>
      </c>
      <c r="X84" s="89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>
        <f t="shared" si="33"/>
        <v>0</v>
      </c>
      <c r="AL84" s="73">
        <f t="shared" si="29"/>
        <v>0</v>
      </c>
      <c r="AM84" s="14">
        <f t="shared" si="30"/>
        <v>0</v>
      </c>
      <c r="AN84" s="9"/>
    </row>
    <row r="85" spans="1:40" ht="14.45" customHeight="1" outlineLevel="1">
      <c r="A85" s="12" t="s">
        <v>195</v>
      </c>
      <c r="B85" s="8" t="s">
        <v>88</v>
      </c>
      <c r="I85" s="246" t="s">
        <v>188</v>
      </c>
      <c r="J85" s="65">
        <v>0</v>
      </c>
      <c r="K85" s="65">
        <v>0</v>
      </c>
      <c r="L85" s="65">
        <v>1425</v>
      </c>
      <c r="M85" s="65">
        <v>1425</v>
      </c>
      <c r="N85" s="65">
        <v>1425</v>
      </c>
      <c r="O85" s="65">
        <v>1425</v>
      </c>
      <c r="P85" s="65">
        <v>0</v>
      </c>
      <c r="Q85" s="65">
        <v>1425</v>
      </c>
      <c r="R85" s="65">
        <v>1425</v>
      </c>
      <c r="S85" s="65">
        <v>1425</v>
      </c>
      <c r="T85" s="65"/>
      <c r="U85" s="65"/>
      <c r="V85" s="65">
        <f t="shared" si="32"/>
        <v>9975</v>
      </c>
      <c r="W85" s="73">
        <f t="shared" si="27"/>
        <v>4.6467281954128096E-5</v>
      </c>
      <c r="X85" s="89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>
        <f t="shared" si="33"/>
        <v>0</v>
      </c>
      <c r="AL85" s="73">
        <f t="shared" si="29"/>
        <v>0</v>
      </c>
      <c r="AM85" s="14">
        <f t="shared" si="30"/>
        <v>-1</v>
      </c>
      <c r="AN85" s="9"/>
    </row>
    <row r="86" spans="1:40" ht="14.45" customHeight="1" outlineLevel="1">
      <c r="A86" s="12" t="s">
        <v>195</v>
      </c>
      <c r="B86" s="8" t="s">
        <v>88</v>
      </c>
      <c r="I86" s="253" t="s">
        <v>189</v>
      </c>
      <c r="J86" s="65">
        <v>0</v>
      </c>
      <c r="K86" s="65">
        <v>0</v>
      </c>
      <c r="L86" s="65">
        <v>1680</v>
      </c>
      <c r="M86" s="65">
        <v>0</v>
      </c>
      <c r="N86" s="65">
        <v>0</v>
      </c>
      <c r="O86" s="65">
        <v>0</v>
      </c>
      <c r="P86" s="65">
        <v>1640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f t="shared" si="32"/>
        <v>3320</v>
      </c>
      <c r="W86" s="73">
        <f t="shared" si="27"/>
        <v>1.5465802114055665E-5</v>
      </c>
      <c r="X86" s="89"/>
      <c r="Y86" s="65">
        <f>VLOOKUP($E$1,[9]Resumen!$V$202:$AH$208,Y1,0)</f>
        <v>0</v>
      </c>
      <c r="Z86" s="65">
        <f>VLOOKUP($E$1,[9]Resumen!$V$202:$AH$208,Z1,0)</f>
        <v>0</v>
      </c>
      <c r="AA86" s="65">
        <f>VLOOKUP($E$1,[9]Resumen!$V$202:$AH$208,AA1,0)</f>
        <v>0</v>
      </c>
      <c r="AB86" s="65">
        <f>VLOOKUP($E$1,[9]Resumen!$V$202:$AH$208,AB1,0)</f>
        <v>0</v>
      </c>
      <c r="AC86" s="65">
        <f>VLOOKUP($E$1,[9]Resumen!$V$202:$AH$208,AC1,0)</f>
        <v>0</v>
      </c>
      <c r="AD86" s="65">
        <f>VLOOKUP($E$1,[9]Resumen!$V$202:$AH$208,AD1,0)</f>
        <v>0</v>
      </c>
      <c r="AE86" s="65">
        <f>VLOOKUP($E$1,[9]Resumen!$V$202:$AH$208,AE1,0)</f>
        <v>0</v>
      </c>
      <c r="AF86" s="65">
        <f>VLOOKUP($E$1,[9]Resumen!$V$202:$AH$208,AF1,0)</f>
        <v>0</v>
      </c>
      <c r="AG86" s="65">
        <f>VLOOKUP($E$1,[9]Resumen!$V$202:$AH$208,AG1,0)</f>
        <v>0</v>
      </c>
      <c r="AH86" s="65">
        <f>VLOOKUP($E$1,[9]Resumen!$V$202:$AH$208,AH1,0)</f>
        <v>0</v>
      </c>
      <c r="AI86" s="65">
        <f>VLOOKUP($E$1,[9]Resumen!$V$202:$AH$208,AI1,0)</f>
        <v>0</v>
      </c>
      <c r="AJ86" s="65">
        <f>VLOOKUP($E$1,[9]Resumen!$V$202:$AH$208,AJ1,0)</f>
        <v>0</v>
      </c>
      <c r="AK86" s="65">
        <f t="shared" si="33"/>
        <v>0</v>
      </c>
      <c r="AL86" s="73">
        <f t="shared" si="29"/>
        <v>0</v>
      </c>
      <c r="AM86" s="14">
        <f t="shared" si="30"/>
        <v>-1</v>
      </c>
      <c r="AN86" s="9"/>
    </row>
    <row r="87" spans="1:40" ht="14.45" customHeight="1" outlineLevel="1">
      <c r="A87" s="12" t="s">
        <v>195</v>
      </c>
      <c r="B87" s="8" t="s">
        <v>88</v>
      </c>
      <c r="I87" s="246" t="s">
        <v>190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/>
      <c r="U87" s="65"/>
      <c r="V87" s="65">
        <f t="shared" si="32"/>
        <v>0</v>
      </c>
      <c r="W87" s="73">
        <f t="shared" si="27"/>
        <v>0</v>
      </c>
      <c r="X87" s="89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>
        <f t="shared" si="33"/>
        <v>0</v>
      </c>
      <c r="AL87" s="73">
        <f t="shared" si="29"/>
        <v>0</v>
      </c>
      <c r="AM87" s="14">
        <f t="shared" si="30"/>
        <v>0</v>
      </c>
      <c r="AN87" s="9"/>
    </row>
    <row r="88" spans="1:40" ht="14.45" customHeight="1" outlineLevel="1">
      <c r="A88" s="12" t="s">
        <v>195</v>
      </c>
      <c r="B88" s="8" t="s">
        <v>88</v>
      </c>
      <c r="I88" s="251" t="s">
        <v>191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19240</v>
      </c>
      <c r="T88" s="65">
        <v>0</v>
      </c>
      <c r="U88" s="65">
        <v>0</v>
      </c>
      <c r="V88" s="65">
        <f t="shared" ref="V88:V91" si="55">SUM(J88:U88)</f>
        <v>19240</v>
      </c>
      <c r="W88" s="73">
        <f t="shared" ref="W88:W91" si="56">V88/V$6</f>
        <v>8.9627118275431035E-5</v>
      </c>
      <c r="X88" s="89"/>
      <c r="Y88" s="65">
        <f>VLOOKUP($E$1,[9]Resumen!$V$10:$AH$16,Y1,0)</f>
        <v>0</v>
      </c>
      <c r="Z88" s="65">
        <f>VLOOKUP($E$1,[9]Resumen!$V$10:$AH$16,Z1,0)</f>
        <v>0</v>
      </c>
      <c r="AA88" s="65">
        <f>VLOOKUP($E$1,[9]Resumen!$V$10:$AH$16,AA1,0)</f>
        <v>0</v>
      </c>
      <c r="AB88" s="65">
        <f>VLOOKUP($E$1,[9]Resumen!$V$10:$AH$16,AB1,0)</f>
        <v>0</v>
      </c>
      <c r="AC88" s="65">
        <f>VLOOKUP($E$1,[9]Resumen!$V$10:$AH$16,AC1,0)</f>
        <v>0</v>
      </c>
      <c r="AD88" s="65">
        <f>VLOOKUP($E$1,[9]Resumen!$V$10:$AH$16,AD1,0)</f>
        <v>0</v>
      </c>
      <c r="AE88" s="65">
        <f>VLOOKUP($E$1,[9]Resumen!$V$10:$AH$16,AE1,0)</f>
        <v>0</v>
      </c>
      <c r="AF88" s="65">
        <f>VLOOKUP($E$1,[9]Resumen!$V$10:$AH$16,AF1,0)</f>
        <v>0</v>
      </c>
      <c r="AG88" s="65">
        <f>VLOOKUP($E$1,[9]Resumen!$V$10:$AH$16,AG1,0)</f>
        <v>18528.289999999997</v>
      </c>
      <c r="AH88" s="65">
        <f>VLOOKUP($E$1,[9]Resumen!$V$10:$AH$16,AH1,0)</f>
        <v>0</v>
      </c>
      <c r="AI88" s="65">
        <f>VLOOKUP($E$1,[9]Resumen!$V$10:$AH$16,AI1,0)</f>
        <v>0</v>
      </c>
      <c r="AJ88" s="65">
        <f>VLOOKUP($E$1,[9]Resumen!$V$10:$AH$16,AJ1,0)</f>
        <v>0</v>
      </c>
      <c r="AK88" s="65">
        <f t="shared" si="33"/>
        <v>18528.289999999997</v>
      </c>
      <c r="AL88" s="73">
        <f t="shared" si="29"/>
        <v>8.0586905863620976E-5</v>
      </c>
      <c r="AM88" s="14">
        <f t="shared" si="30"/>
        <v>-3.6991164241164332E-2</v>
      </c>
      <c r="AN88" s="9"/>
    </row>
    <row r="89" spans="1:40" ht="14.45" customHeight="1" outlineLevel="1">
      <c r="A89" s="12" t="s">
        <v>195</v>
      </c>
      <c r="B89" s="8" t="s">
        <v>88</v>
      </c>
      <c r="I89" s="246" t="s">
        <v>192</v>
      </c>
      <c r="J89" s="65">
        <v>0</v>
      </c>
      <c r="K89" s="65">
        <v>5129</v>
      </c>
      <c r="L89" s="65">
        <v>0</v>
      </c>
      <c r="M89" s="65">
        <v>0</v>
      </c>
      <c r="N89" s="65">
        <v>1852</v>
      </c>
      <c r="O89" s="65">
        <v>2606</v>
      </c>
      <c r="P89" s="65">
        <v>0</v>
      </c>
      <c r="Q89" s="65">
        <v>2034</v>
      </c>
      <c r="R89" s="65">
        <v>0</v>
      </c>
      <c r="S89" s="65">
        <v>0</v>
      </c>
      <c r="T89" s="65">
        <v>28288</v>
      </c>
      <c r="U89" s="65">
        <v>0</v>
      </c>
      <c r="V89" s="65">
        <f t="shared" si="55"/>
        <v>39909</v>
      </c>
      <c r="W89" s="73">
        <f t="shared" si="56"/>
        <v>1.8591105318368904E-4</v>
      </c>
      <c r="X89" s="89"/>
      <c r="Y89" s="65">
        <f>VLOOKUP($E$1,[16]Resumen!$V$8:$AH$14,Y1,0)</f>
        <v>0</v>
      </c>
      <c r="Z89" s="65">
        <f>VLOOKUP($E$1,[16]Resumen!$V$8:$AH$14,Z1,0)</f>
        <v>7499.2994999999992</v>
      </c>
      <c r="AA89" s="65">
        <f>VLOOKUP($E$1,[16]Resumen!$V$8:$AH$14,AA1,0)</f>
        <v>0</v>
      </c>
      <c r="AB89" s="65">
        <f>VLOOKUP($E$1,[16]Resumen!$V$8:$AH$14,AB1,0)</f>
        <v>0</v>
      </c>
      <c r="AC89" s="65">
        <f>VLOOKUP($E$1,[16]Resumen!$V$8:$AH$14,AC1,0)</f>
        <v>3586.6214999999997</v>
      </c>
      <c r="AD89" s="65">
        <f>VLOOKUP($E$1,[16]Resumen!$V$8:$AH$14,AD1,0)</f>
        <v>4021.3634999999995</v>
      </c>
      <c r="AE89" s="65">
        <f>VLOOKUP($E$1,[16]Resumen!$V$8:$AH$14,AE1,0)</f>
        <v>0</v>
      </c>
      <c r="AF89" s="65">
        <f>VLOOKUP($E$1,[16]Resumen!$V$8:$AH$14,AF1,0)</f>
        <v>3695.3069999999998</v>
      </c>
      <c r="AG89" s="65">
        <f>VLOOKUP($E$1,[16]Resumen!$V$8:$AH$14,AG1,0)</f>
        <v>0</v>
      </c>
      <c r="AH89" s="65">
        <f>VLOOKUP($E$1,[16]Resumen!$V$8:$AH$14,AH1,0)</f>
        <v>1738.9679999999998</v>
      </c>
      <c r="AI89" s="65">
        <f>VLOOKUP($E$1,[16]Resumen!$V$8:$AH$14,AI1,0)</f>
        <v>24997.664999999997</v>
      </c>
      <c r="AJ89" s="65">
        <f>VLOOKUP($E$1,[16]Resumen!$V$8:$AH$14,AJ1,0)</f>
        <v>0</v>
      </c>
      <c r="AK89" s="65">
        <f t="shared" si="33"/>
        <v>45539.224499999997</v>
      </c>
      <c r="AL89" s="73">
        <f t="shared" si="29"/>
        <v>1.9806820801508408E-4</v>
      </c>
      <c r="AM89" s="14">
        <f t="shared" si="30"/>
        <v>0.1410765616778169</v>
      </c>
      <c r="AN89" s="9"/>
    </row>
    <row r="90" spans="1:40" ht="14.45" customHeight="1" outlineLevel="1">
      <c r="A90" s="12" t="s">
        <v>195</v>
      </c>
      <c r="B90" s="8" t="s">
        <v>88</v>
      </c>
      <c r="I90" s="288" t="s">
        <v>193</v>
      </c>
      <c r="J90" s="65">
        <v>93453</v>
      </c>
      <c r="K90" s="65">
        <v>93453</v>
      </c>
      <c r="L90" s="65">
        <v>93453</v>
      </c>
      <c r="M90" s="65">
        <v>93453</v>
      </c>
      <c r="N90" s="65">
        <v>93453</v>
      </c>
      <c r="O90" s="65">
        <v>93453</v>
      </c>
      <c r="P90" s="65">
        <v>93453</v>
      </c>
      <c r="Q90" s="65">
        <v>93453</v>
      </c>
      <c r="R90" s="65">
        <v>93453</v>
      </c>
      <c r="S90" s="65">
        <v>93453</v>
      </c>
      <c r="T90" s="65">
        <f>+S90</f>
        <v>93453</v>
      </c>
      <c r="U90" s="65">
        <f>+T90</f>
        <v>93453</v>
      </c>
      <c r="V90" s="65">
        <f t="shared" si="55"/>
        <v>1121436</v>
      </c>
      <c r="W90" s="73">
        <f t="shared" si="56"/>
        <v>5.2240684516801595E-3</v>
      </c>
      <c r="X90" s="89"/>
      <c r="Y90" s="65">
        <f>+U90*1.0375</f>
        <v>96957.487500000003</v>
      </c>
      <c r="Z90" s="65">
        <f>+Y90</f>
        <v>96957.487500000003</v>
      </c>
      <c r="AA90" s="65">
        <f t="shared" ref="AA90:AJ90" si="57">+Z90</f>
        <v>96957.487500000003</v>
      </c>
      <c r="AB90" s="65">
        <f t="shared" si="57"/>
        <v>96957.487500000003</v>
      </c>
      <c r="AC90" s="65">
        <f t="shared" si="57"/>
        <v>96957.487500000003</v>
      </c>
      <c r="AD90" s="65">
        <f t="shared" si="57"/>
        <v>96957.487500000003</v>
      </c>
      <c r="AE90" s="65">
        <f t="shared" si="57"/>
        <v>96957.487500000003</v>
      </c>
      <c r="AF90" s="65">
        <f t="shared" si="57"/>
        <v>96957.487500000003</v>
      </c>
      <c r="AG90" s="65">
        <f t="shared" si="57"/>
        <v>96957.487500000003</v>
      </c>
      <c r="AH90" s="65">
        <f t="shared" si="57"/>
        <v>96957.487500000003</v>
      </c>
      <c r="AI90" s="65">
        <f t="shared" si="57"/>
        <v>96957.487500000003</v>
      </c>
      <c r="AJ90" s="65">
        <f t="shared" si="57"/>
        <v>96957.487500000003</v>
      </c>
      <c r="AK90" s="65">
        <f t="shared" si="33"/>
        <v>1163489.8500000003</v>
      </c>
      <c r="AL90" s="73">
        <f t="shared" si="29"/>
        <v>5.0604803257736425E-3</v>
      </c>
      <c r="AM90" s="14">
        <f t="shared" si="30"/>
        <v>3.7500000000000311E-2</v>
      </c>
      <c r="AN90" s="9"/>
    </row>
    <row r="91" spans="1:40" ht="14.45" customHeight="1" outlineLevel="1">
      <c r="A91" s="12" t="s">
        <v>195</v>
      </c>
      <c r="B91" s="8" t="s">
        <v>88</v>
      </c>
      <c r="I91" s="251" t="s">
        <v>194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f t="shared" si="55"/>
        <v>0</v>
      </c>
      <c r="W91" s="73">
        <f t="shared" si="56"/>
        <v>0</v>
      </c>
      <c r="X91" s="89"/>
      <c r="Y91" s="65">
        <f>VLOOKUP($E$1,[8]Resumen!$V$56:$AH$62,Y1,0)</f>
        <v>130390.51189999998</v>
      </c>
      <c r="Z91" s="65">
        <f>VLOOKUP($E$1,[8]Resumen!$V$56:$AH$62,Z1,0)</f>
        <v>0</v>
      </c>
      <c r="AA91" s="65">
        <f>VLOOKUP($E$1,[8]Resumen!$V$56:$AH$62,AA1,0)</f>
        <v>0</v>
      </c>
      <c r="AB91" s="65">
        <f>VLOOKUP($E$1,[8]Resumen!$V$56:$AH$62,AB1,0)</f>
        <v>0</v>
      </c>
      <c r="AC91" s="65">
        <f>VLOOKUP($E$1,[8]Resumen!$V$56:$AH$62,AC1,0)</f>
        <v>0</v>
      </c>
      <c r="AD91" s="65">
        <f>VLOOKUP($E$1,[8]Resumen!$V$56:$AH$62,AD1,0)</f>
        <v>0</v>
      </c>
      <c r="AE91" s="65">
        <f>VLOOKUP($E$1,[8]Resumen!$V$56:$AH$62,AE1,0)</f>
        <v>0</v>
      </c>
      <c r="AF91" s="65">
        <f>VLOOKUP($E$1,[8]Resumen!$V$56:$AH$62,AF1,0)</f>
        <v>0</v>
      </c>
      <c r="AG91" s="65">
        <f>VLOOKUP($E$1,[8]Resumen!$V$56:$AH$62,AG1,0)</f>
        <v>0</v>
      </c>
      <c r="AH91" s="65">
        <f>VLOOKUP($E$1,[8]Resumen!$V$56:$AH$62,AH1,0)</f>
        <v>0</v>
      </c>
      <c r="AI91" s="65">
        <f>VLOOKUP($E$1,[8]Resumen!$V$56:$AH$62,AI1,0)</f>
        <v>0</v>
      </c>
      <c r="AJ91" s="65">
        <f>VLOOKUP($E$1,[8]Resumen!$V$56:$AH$62,AJ1,0)</f>
        <v>0</v>
      </c>
      <c r="AK91" s="65">
        <f t="shared" si="33"/>
        <v>130390.51189999998</v>
      </c>
      <c r="AL91" s="73">
        <f t="shared" si="29"/>
        <v>5.6712022037622742E-4</v>
      </c>
      <c r="AM91" s="14">
        <f t="shared" si="30"/>
        <v>0</v>
      </c>
      <c r="AN91" s="9"/>
    </row>
    <row r="92" spans="1:40" ht="14.45" customHeight="1" collapsed="1">
      <c r="A92" s="12" t="s">
        <v>195</v>
      </c>
      <c r="B92" s="8" t="s">
        <v>88</v>
      </c>
      <c r="I92" s="167" t="s">
        <v>196</v>
      </c>
      <c r="J92" s="15">
        <v>326020</v>
      </c>
      <c r="K92" s="15">
        <v>331994</v>
      </c>
      <c r="L92" s="15">
        <v>368581</v>
      </c>
      <c r="M92" s="15">
        <v>345611</v>
      </c>
      <c r="N92" s="15">
        <v>361397</v>
      </c>
      <c r="O92" s="15">
        <v>346850</v>
      </c>
      <c r="P92" s="15">
        <v>333201</v>
      </c>
      <c r="Q92" s="15">
        <v>345524</v>
      </c>
      <c r="R92" s="15">
        <v>345178</v>
      </c>
      <c r="S92" s="15">
        <v>337143</v>
      </c>
      <c r="T92" s="15">
        <f t="shared" ref="R92:U92" si="58">SUM(T93:T108)</f>
        <v>342614.99999999994</v>
      </c>
      <c r="U92" s="15">
        <f t="shared" si="58"/>
        <v>341645.66666666669</v>
      </c>
      <c r="V92" s="15">
        <f t="shared" ref="V92" si="59">SUM(V93:V108)</f>
        <v>4125763.6666666665</v>
      </c>
      <c r="W92" s="72">
        <f t="shared" si="27"/>
        <v>1.9219350734345598E-2</v>
      </c>
      <c r="X92" s="89"/>
      <c r="Y92" s="15">
        <f t="shared" ref="Y92:AK92" si="60">SUM(Y93:Y108)</f>
        <v>394873.35589100997</v>
      </c>
      <c r="Z92" s="15">
        <f t="shared" si="60"/>
        <v>360655.15721087996</v>
      </c>
      <c r="AA92" s="15">
        <f t="shared" si="60"/>
        <v>394873.35589100997</v>
      </c>
      <c r="AB92" s="15">
        <f t="shared" si="60"/>
        <v>372414.78680130001</v>
      </c>
      <c r="AC92" s="15">
        <f t="shared" si="60"/>
        <v>394873.35589100997</v>
      </c>
      <c r="AD92" s="15">
        <f t="shared" si="60"/>
        <v>372414.78680130001</v>
      </c>
      <c r="AE92" s="15">
        <f t="shared" si="60"/>
        <v>383820.85302800999</v>
      </c>
      <c r="AF92" s="15">
        <f t="shared" si="60"/>
        <v>383820.85302800999</v>
      </c>
      <c r="AG92" s="15">
        <f t="shared" si="60"/>
        <v>383467.28966429998</v>
      </c>
      <c r="AH92" s="15">
        <f t="shared" si="60"/>
        <v>383820.85302800999</v>
      </c>
      <c r="AI92" s="15">
        <f t="shared" si="60"/>
        <v>383467.28966429998</v>
      </c>
      <c r="AJ92" s="15">
        <f t="shared" si="60"/>
        <v>394873.35589100997</v>
      </c>
      <c r="AK92" s="15">
        <f t="shared" si="60"/>
        <v>4603375.2927901493</v>
      </c>
      <c r="AL92" s="72">
        <f t="shared" si="29"/>
        <v>2.0021910892748251E-2</v>
      </c>
      <c r="AM92" s="10">
        <f t="shared" si="30"/>
        <v>0.11576320524179717</v>
      </c>
      <c r="AN92" s="9"/>
    </row>
    <row r="93" spans="1:40" ht="14.45" hidden="1" customHeight="1" outlineLevel="1">
      <c r="A93" s="12" t="s">
        <v>195</v>
      </c>
      <c r="B93" s="8" t="s">
        <v>88</v>
      </c>
      <c r="I93" s="246" t="s">
        <v>197</v>
      </c>
      <c r="J93" s="65">
        <v>10124</v>
      </c>
      <c r="K93" s="65">
        <v>9671</v>
      </c>
      <c r="L93" s="65">
        <v>10970</v>
      </c>
      <c r="M93" s="65">
        <v>10254</v>
      </c>
      <c r="N93" s="65">
        <v>10487</v>
      </c>
      <c r="O93" s="65">
        <v>10151</v>
      </c>
      <c r="P93" s="65">
        <v>10759</v>
      </c>
      <c r="Q93" s="65">
        <v>10089</v>
      </c>
      <c r="R93" s="225">
        <v>9962</v>
      </c>
      <c r="S93" s="225">
        <v>10035</v>
      </c>
      <c r="T93" s="225">
        <f t="shared" ref="T93:T108" si="61">+AVERAGE(Q93:S93)</f>
        <v>10028.666666666666</v>
      </c>
      <c r="U93" s="225">
        <f t="shared" ref="U93:U108" si="62">+AVERAGE(R93:T93)</f>
        <v>10008.555555555555</v>
      </c>
      <c r="V93" s="65">
        <f t="shared" ref="V93:V108" si="63">SUM(J93:U93)</f>
        <v>122539.22222222222</v>
      </c>
      <c r="W93" s="73">
        <f t="shared" si="27"/>
        <v>5.7083354280095834E-4</v>
      </c>
      <c r="X93" s="89"/>
      <c r="Y93" s="65">
        <f>VLOOKUP($I93,'[17]Resumen OPE'!$A$57:$M$78,Y$1,0)</f>
        <v>11733.821532636986</v>
      </c>
      <c r="Z93" s="65">
        <f>VLOOKUP($I93,'[17]Resumen OPE'!$A$57:$M$78,Z$1,0)</f>
        <v>10598.290416575341</v>
      </c>
      <c r="AA93" s="65">
        <f>VLOOKUP($I93,'[17]Resumen OPE'!$A$57:$M$78,AA$1,0)</f>
        <v>11733.821532636986</v>
      </c>
      <c r="AB93" s="65">
        <f>VLOOKUP($I93,'[17]Resumen OPE'!$A$57:$M$78,AB$1,0)</f>
        <v>11355.311160616437</v>
      </c>
      <c r="AC93" s="65">
        <f>VLOOKUP($I93,'[17]Resumen OPE'!$A$57:$M$78,AC$1,0)</f>
        <v>11733.821532636986</v>
      </c>
      <c r="AD93" s="65">
        <f>VLOOKUP($I93,'[17]Resumen OPE'!$A$57:$M$78,AD$1,0)</f>
        <v>11355.311160616437</v>
      </c>
      <c r="AE93" s="65">
        <f>VLOOKUP($I93,'[17]Resumen OPE'!$A$57:$M$78,AE$1,0)</f>
        <v>11733.821532636986</v>
      </c>
      <c r="AF93" s="65">
        <f>VLOOKUP($I93,'[17]Resumen OPE'!$A$57:$M$78,AF$1,0)</f>
        <v>11733.821532636986</v>
      </c>
      <c r="AG93" s="65">
        <f>VLOOKUP($I93,'[17]Resumen OPE'!$A$57:$M$78,AG$1,0)</f>
        <v>11355.311160616437</v>
      </c>
      <c r="AH93" s="65">
        <f>VLOOKUP($I93,'[17]Resumen OPE'!$A$57:$M$78,AH$1,0)</f>
        <v>11733.821532636986</v>
      </c>
      <c r="AI93" s="65">
        <f>VLOOKUP($I93,'[17]Resumen OPE'!$A$57:$M$78,AI$1,0)</f>
        <v>11355.311160616437</v>
      </c>
      <c r="AJ93" s="65">
        <f>VLOOKUP($I93,'[17]Resumen OPE'!$A$57:$M$78,AJ$1,0)</f>
        <v>11733.821532636986</v>
      </c>
      <c r="AK93" s="65">
        <f t="shared" ref="AK93:AK158" si="64">SUM(Y93:AJ93)</f>
        <v>138156.28578749998</v>
      </c>
      <c r="AL93" s="73">
        <f t="shared" si="29"/>
        <v>6.0089666111793249E-4</v>
      </c>
      <c r="AM93" s="14">
        <f t="shared" si="30"/>
        <v>0.12744542752977939</v>
      </c>
      <c r="AN93" s="9"/>
    </row>
    <row r="94" spans="1:40" ht="14.45" hidden="1" customHeight="1" outlineLevel="1">
      <c r="A94" s="12" t="s">
        <v>195</v>
      </c>
      <c r="B94" s="8" t="s">
        <v>88</v>
      </c>
      <c r="I94" s="246" t="s">
        <v>198</v>
      </c>
      <c r="J94" s="65">
        <v>39413</v>
      </c>
      <c r="K94" s="65">
        <v>34476</v>
      </c>
      <c r="L94" s="65">
        <v>32817</v>
      </c>
      <c r="M94" s="65">
        <v>47072</v>
      </c>
      <c r="N94" s="65">
        <v>43831</v>
      </c>
      <c r="O94" s="65">
        <v>45596</v>
      </c>
      <c r="P94" s="65">
        <v>36971</v>
      </c>
      <c r="Q94" s="65">
        <v>42856</v>
      </c>
      <c r="R94" s="225">
        <v>41717</v>
      </c>
      <c r="S94" s="225">
        <v>39348</v>
      </c>
      <c r="T94" s="225">
        <f t="shared" si="61"/>
        <v>41307</v>
      </c>
      <c r="U94" s="225">
        <f t="shared" si="62"/>
        <v>40790.666666666664</v>
      </c>
      <c r="V94" s="65">
        <f t="shared" si="63"/>
        <v>486194.66666666669</v>
      </c>
      <c r="W94" s="73">
        <f t="shared" si="27"/>
        <v>2.2648766577035915E-3</v>
      </c>
      <c r="X94" s="89"/>
      <c r="Y94" s="65">
        <f>VLOOKUP($I94,'[17]Resumen OPE'!$A$57:$M$78,Y$1,0)</f>
        <v>30232.799999999996</v>
      </c>
      <c r="Z94" s="65">
        <f>VLOOKUP($I94,'[17]Resumen OPE'!$A$57:$M$78,Z$1,0)</f>
        <v>30232.799999999996</v>
      </c>
      <c r="AA94" s="65">
        <f>VLOOKUP($I94,'[17]Resumen OPE'!$A$57:$M$78,AA$1,0)</f>
        <v>30232.799999999996</v>
      </c>
      <c r="AB94" s="65">
        <f>VLOOKUP($I94,'[17]Resumen OPE'!$A$57:$M$78,AB$1,0)</f>
        <v>30232.799999999996</v>
      </c>
      <c r="AC94" s="65">
        <f>VLOOKUP($I94,'[17]Resumen OPE'!$A$57:$M$78,AC$1,0)</f>
        <v>30232.799999999996</v>
      </c>
      <c r="AD94" s="65">
        <f>VLOOKUP($I94,'[17]Resumen OPE'!$A$57:$M$78,AD$1,0)</f>
        <v>30232.799999999996</v>
      </c>
      <c r="AE94" s="65">
        <f>VLOOKUP($I94,'[17]Resumen OPE'!$A$57:$M$78,AE$1,0)</f>
        <v>30232.799999999996</v>
      </c>
      <c r="AF94" s="65">
        <f>VLOOKUP($I94,'[17]Resumen OPE'!$A$57:$M$78,AF$1,0)</f>
        <v>30232.799999999996</v>
      </c>
      <c r="AG94" s="65">
        <f>VLOOKUP($I94,'[17]Resumen OPE'!$A$57:$M$78,AG$1,0)</f>
        <v>30232.799999999996</v>
      </c>
      <c r="AH94" s="65">
        <f>VLOOKUP($I94,'[17]Resumen OPE'!$A$57:$M$78,AH$1,0)</f>
        <v>30232.799999999996</v>
      </c>
      <c r="AI94" s="65">
        <f>VLOOKUP($I94,'[17]Resumen OPE'!$A$57:$M$78,AI$1,0)</f>
        <v>30232.799999999996</v>
      </c>
      <c r="AJ94" s="65">
        <f>VLOOKUP($I94,'[17]Resumen OPE'!$A$57:$M$78,AJ$1,0)</f>
        <v>30232.799999999996</v>
      </c>
      <c r="AK94" s="65">
        <f t="shared" si="64"/>
        <v>362793.59999999992</v>
      </c>
      <c r="AL94" s="73">
        <f t="shared" si="29"/>
        <v>1.5779337268104158E-3</v>
      </c>
      <c r="AM94" s="14">
        <f t="shared" si="30"/>
        <v>-0.25380999654459413</v>
      </c>
      <c r="AN94" s="9"/>
    </row>
    <row r="95" spans="1:40" ht="14.45" hidden="1" customHeight="1" outlineLevel="1">
      <c r="A95" s="12" t="s">
        <v>195</v>
      </c>
      <c r="B95" s="8" t="s">
        <v>88</v>
      </c>
      <c r="I95" s="246" t="s">
        <v>199</v>
      </c>
      <c r="J95" s="65">
        <v>8737</v>
      </c>
      <c r="K95" s="65">
        <v>9683</v>
      </c>
      <c r="L95" s="65">
        <v>13243</v>
      </c>
      <c r="M95" s="65">
        <v>0</v>
      </c>
      <c r="N95" s="65">
        <v>14083</v>
      </c>
      <c r="O95" s="65">
        <v>0</v>
      </c>
      <c r="P95" s="65">
        <v>0</v>
      </c>
      <c r="Q95" s="65">
        <v>0</v>
      </c>
      <c r="R95" s="225">
        <v>11960</v>
      </c>
      <c r="S95" s="225">
        <v>0</v>
      </c>
      <c r="T95" s="225">
        <f t="shared" si="61"/>
        <v>3986.6666666666665</v>
      </c>
      <c r="U95" s="225">
        <f t="shared" si="62"/>
        <v>5315.5555555555557</v>
      </c>
      <c r="V95" s="65">
        <f t="shared" si="63"/>
        <v>67008.222222222219</v>
      </c>
      <c r="W95" s="73">
        <f t="shared" si="27"/>
        <v>3.1214936894685431E-4</v>
      </c>
      <c r="X95" s="89"/>
      <c r="Y95" s="65">
        <f>VLOOKUP($I95,'[17]Resumen OPE'!$A$57:$M$78,Y$1,0)</f>
        <v>11052.502862999998</v>
      </c>
      <c r="Z95" s="65">
        <f>VLOOKUP($I95,'[17]Resumen OPE'!$A$57:$M$78,Z$1,0)</f>
        <v>11052.502862999998</v>
      </c>
      <c r="AA95" s="65">
        <f>VLOOKUP($I95,'[17]Resumen OPE'!$A$57:$M$78,AA$1,0)</f>
        <v>11052.502862999998</v>
      </c>
      <c r="AB95" s="65">
        <f>VLOOKUP($I95,'[17]Resumen OPE'!$A$57:$M$78,AB$1,0)</f>
        <v>0</v>
      </c>
      <c r="AC95" s="65">
        <f>VLOOKUP($I95,'[17]Resumen OPE'!$A$57:$M$78,AC$1,0)</f>
        <v>11052.502862999998</v>
      </c>
      <c r="AD95" s="65">
        <f>VLOOKUP($I95,'[17]Resumen OPE'!$A$57:$M$78,AD$1,0)</f>
        <v>0</v>
      </c>
      <c r="AE95" s="65">
        <f>VLOOKUP($I95,'[17]Resumen OPE'!$A$57:$M$78,AE$1,0)</f>
        <v>0</v>
      </c>
      <c r="AF95" s="65">
        <f>VLOOKUP($I95,'[17]Resumen OPE'!$A$57:$M$78,AF$1,0)</f>
        <v>0</v>
      </c>
      <c r="AG95" s="65">
        <f>VLOOKUP($I95,'[17]Resumen OPE'!$A$57:$M$78,AG$1,0)</f>
        <v>11052.502862999998</v>
      </c>
      <c r="AH95" s="65">
        <f>VLOOKUP($I95,'[17]Resumen OPE'!$A$57:$M$78,AH$1,0)</f>
        <v>0</v>
      </c>
      <c r="AI95" s="65">
        <f>VLOOKUP($I95,'[17]Resumen OPE'!$A$57:$M$78,AI$1,0)</f>
        <v>11052.502862999998</v>
      </c>
      <c r="AJ95" s="65">
        <f>VLOOKUP($I95,'[17]Resumen OPE'!$A$57:$M$78,AJ$1,0)</f>
        <v>11052.502862999998</v>
      </c>
      <c r="AK95" s="65">
        <f t="shared" si="64"/>
        <v>77367.520040999996</v>
      </c>
      <c r="AL95" s="73">
        <f t="shared" si="29"/>
        <v>3.3650213022604227E-4</v>
      </c>
      <c r="AM95" s="14">
        <f t="shared" si="30"/>
        <v>0.154597413201365</v>
      </c>
      <c r="AN95" s="9"/>
    </row>
    <row r="96" spans="1:40" ht="14.45" hidden="1" customHeight="1" outlineLevel="1">
      <c r="A96" s="12" t="s">
        <v>195</v>
      </c>
      <c r="B96" s="8" t="s">
        <v>88</v>
      </c>
      <c r="I96" s="246" t="s">
        <v>200</v>
      </c>
      <c r="J96" s="65">
        <v>12833</v>
      </c>
      <c r="K96" s="65">
        <v>13291</v>
      </c>
      <c r="L96" s="65">
        <v>14901</v>
      </c>
      <c r="M96" s="65">
        <v>13463</v>
      </c>
      <c r="N96" s="65">
        <v>13681</v>
      </c>
      <c r="O96" s="65">
        <v>13416</v>
      </c>
      <c r="P96" s="65">
        <v>13590</v>
      </c>
      <c r="Q96" s="65">
        <v>13965</v>
      </c>
      <c r="R96" s="225">
        <v>13129</v>
      </c>
      <c r="S96" s="225">
        <v>13415</v>
      </c>
      <c r="T96" s="225">
        <f t="shared" si="61"/>
        <v>13503</v>
      </c>
      <c r="U96" s="225">
        <f t="shared" si="62"/>
        <v>13349</v>
      </c>
      <c r="V96" s="65">
        <f t="shared" si="63"/>
        <v>162536</v>
      </c>
      <c r="W96" s="73">
        <f t="shared" si="27"/>
        <v>7.5715349771390112E-4</v>
      </c>
      <c r="X96" s="89"/>
      <c r="Y96" s="65">
        <f>VLOOKUP($I96,'[17]Resumen OPE'!$A$57:$M$78,Y$1,0)</f>
        <v>15418.241493885</v>
      </c>
      <c r="Z96" s="65">
        <f>VLOOKUP($I96,'[17]Resumen OPE'!$A$57:$M$78,Z$1,0)</f>
        <v>13926.153607379998</v>
      </c>
      <c r="AA96" s="65">
        <f>VLOOKUP($I96,'[17]Resumen OPE'!$A$57:$M$78,AA$1,0)</f>
        <v>15418.241493885</v>
      </c>
      <c r="AB96" s="65">
        <f>VLOOKUP($I96,'[17]Resumen OPE'!$A$57:$M$78,AB$1,0)</f>
        <v>14920.878865049997</v>
      </c>
      <c r="AC96" s="65">
        <f>VLOOKUP($I96,'[17]Resumen OPE'!$A$57:$M$78,AC$1,0)</f>
        <v>15418.241493885</v>
      </c>
      <c r="AD96" s="65">
        <f>VLOOKUP($I96,'[17]Resumen OPE'!$A$57:$M$78,AD$1,0)</f>
        <v>14920.878865049997</v>
      </c>
      <c r="AE96" s="65">
        <f>VLOOKUP($I96,'[17]Resumen OPE'!$A$57:$M$78,AE$1,0)</f>
        <v>15418.241493885</v>
      </c>
      <c r="AF96" s="65">
        <f>VLOOKUP($I96,'[17]Resumen OPE'!$A$57:$M$78,AF$1,0)</f>
        <v>15418.241493885</v>
      </c>
      <c r="AG96" s="65">
        <f>VLOOKUP($I96,'[17]Resumen OPE'!$A$57:$M$78,AG$1,0)</f>
        <v>14920.878865049997</v>
      </c>
      <c r="AH96" s="65">
        <f>VLOOKUP($I96,'[17]Resumen OPE'!$A$57:$M$78,AH$1,0)</f>
        <v>15418.241493885</v>
      </c>
      <c r="AI96" s="65">
        <f>VLOOKUP($I96,'[17]Resumen OPE'!$A$57:$M$78,AI$1,0)</f>
        <v>14920.878865049997</v>
      </c>
      <c r="AJ96" s="65">
        <f>VLOOKUP($I96,'[17]Resumen OPE'!$A$57:$M$78,AJ$1,0)</f>
        <v>15418.241493885</v>
      </c>
      <c r="AK96" s="65">
        <f t="shared" si="64"/>
        <v>181537.35952477498</v>
      </c>
      <c r="AL96" s="73">
        <f t="shared" si="29"/>
        <v>7.8957821270896338E-4</v>
      </c>
      <c r="AM96" s="14">
        <f t="shared" si="30"/>
        <v>0.11690554415498711</v>
      </c>
      <c r="AN96" s="9"/>
    </row>
    <row r="97" spans="1:40" ht="14.45" hidden="1" customHeight="1" outlineLevel="1">
      <c r="A97" s="12" t="s">
        <v>195</v>
      </c>
      <c r="B97" s="8" t="s">
        <v>88</v>
      </c>
      <c r="I97" s="246" t="s">
        <v>201</v>
      </c>
      <c r="J97" s="65"/>
      <c r="K97" s="65"/>
      <c r="L97" s="65">
        <v>0</v>
      </c>
      <c r="M97" s="65"/>
      <c r="N97" s="65">
        <v>0</v>
      </c>
      <c r="O97" s="65"/>
      <c r="P97" s="65">
        <v>0</v>
      </c>
      <c r="Q97" s="65">
        <v>0</v>
      </c>
      <c r="R97" s="225"/>
      <c r="S97" s="225"/>
      <c r="T97" s="225">
        <f t="shared" si="61"/>
        <v>0</v>
      </c>
      <c r="U97" s="225">
        <f t="shared" si="62"/>
        <v>0</v>
      </c>
      <c r="V97" s="65">
        <f t="shared" si="63"/>
        <v>0</v>
      </c>
      <c r="W97" s="73">
        <f t="shared" si="27"/>
        <v>0</v>
      </c>
      <c r="X97" s="89"/>
      <c r="Y97" s="65">
        <f>VLOOKUP($I97,'[17]Resumen OPE'!$A$57:$M$78,Y$1,0)</f>
        <v>0</v>
      </c>
      <c r="Z97" s="65">
        <f>VLOOKUP($I97,'[17]Resumen OPE'!$A$57:$M$78,Z$1,0)</f>
        <v>0</v>
      </c>
      <c r="AA97" s="65">
        <f>VLOOKUP($I97,'[17]Resumen OPE'!$A$57:$M$78,AA$1,0)</f>
        <v>0</v>
      </c>
      <c r="AB97" s="65">
        <f>VLOOKUP($I97,'[17]Resumen OPE'!$A$57:$M$78,AB$1,0)</f>
        <v>0</v>
      </c>
      <c r="AC97" s="65">
        <f>VLOOKUP($I97,'[17]Resumen OPE'!$A$57:$M$78,AC$1,0)</f>
        <v>0</v>
      </c>
      <c r="AD97" s="65">
        <f>VLOOKUP($I97,'[17]Resumen OPE'!$A$57:$M$78,AD$1,0)</f>
        <v>0</v>
      </c>
      <c r="AE97" s="65">
        <f>VLOOKUP($I97,'[17]Resumen OPE'!$A$57:$M$78,AE$1,0)</f>
        <v>0</v>
      </c>
      <c r="AF97" s="65">
        <f>VLOOKUP($I97,'[17]Resumen OPE'!$A$57:$M$78,AF$1,0)</f>
        <v>0</v>
      </c>
      <c r="AG97" s="65">
        <f>VLOOKUP($I97,'[17]Resumen OPE'!$A$57:$M$78,AG$1,0)</f>
        <v>0</v>
      </c>
      <c r="AH97" s="65">
        <f>VLOOKUP($I97,'[17]Resumen OPE'!$A$57:$M$78,AH$1,0)</f>
        <v>0</v>
      </c>
      <c r="AI97" s="65">
        <f>VLOOKUP($I97,'[17]Resumen OPE'!$A$57:$M$78,AI$1,0)</f>
        <v>0</v>
      </c>
      <c r="AJ97" s="65">
        <f>VLOOKUP($I97,'[17]Resumen OPE'!$A$57:$M$78,AJ$1,0)</f>
        <v>0</v>
      </c>
      <c r="AK97" s="65">
        <f t="shared" si="64"/>
        <v>0</v>
      </c>
      <c r="AL97" s="73">
        <f t="shared" si="29"/>
        <v>0</v>
      </c>
      <c r="AM97" s="14">
        <f t="shared" si="30"/>
        <v>0</v>
      </c>
      <c r="AN97" s="9"/>
    </row>
    <row r="98" spans="1:40" ht="14.45" hidden="1" customHeight="1" outlineLevel="1">
      <c r="A98" s="12" t="s">
        <v>195</v>
      </c>
      <c r="B98" s="8" t="s">
        <v>88</v>
      </c>
      <c r="I98" s="246" t="s">
        <v>202</v>
      </c>
      <c r="J98" s="65">
        <v>16161</v>
      </c>
      <c r="K98" s="65">
        <v>20348</v>
      </c>
      <c r="L98" s="65">
        <v>19975</v>
      </c>
      <c r="M98" s="65">
        <v>17457</v>
      </c>
      <c r="N98" s="65">
        <v>21239</v>
      </c>
      <c r="O98" s="65">
        <v>19614</v>
      </c>
      <c r="P98" s="65">
        <v>16666</v>
      </c>
      <c r="Q98" s="65">
        <v>19125</v>
      </c>
      <c r="R98" s="225">
        <v>19076</v>
      </c>
      <c r="S98" s="225">
        <v>18366</v>
      </c>
      <c r="T98" s="225">
        <f t="shared" si="61"/>
        <v>18855.666666666668</v>
      </c>
      <c r="U98" s="225">
        <f t="shared" si="62"/>
        <v>18765.888888888891</v>
      </c>
      <c r="V98" s="65">
        <f t="shared" si="63"/>
        <v>225648.55555555556</v>
      </c>
      <c r="W98" s="73">
        <f t="shared" si="27"/>
        <v>1.0511553938387706E-3</v>
      </c>
      <c r="X98" s="89"/>
      <c r="Y98" s="65">
        <f>VLOOKUP($I98,'[17]Resumen OPE'!$A$57:$M$78,Y$1,0)</f>
        <v>20886.116699999999</v>
      </c>
      <c r="Z98" s="65">
        <f>VLOOKUP($I98,'[17]Resumen OPE'!$A$57:$M$78,Z$1,0)</f>
        <v>18864.8796</v>
      </c>
      <c r="AA98" s="65">
        <f>VLOOKUP($I98,'[17]Resumen OPE'!$A$57:$M$78,AA$1,0)</f>
        <v>20886.116699999999</v>
      </c>
      <c r="AB98" s="65">
        <f>VLOOKUP($I98,'[17]Resumen OPE'!$A$57:$M$78,AB$1,0)</f>
        <v>20212.370999999996</v>
      </c>
      <c r="AC98" s="65">
        <f>VLOOKUP($I98,'[17]Resumen OPE'!$A$57:$M$78,AC$1,0)</f>
        <v>20886.116699999999</v>
      </c>
      <c r="AD98" s="65">
        <f>VLOOKUP($I98,'[17]Resumen OPE'!$A$57:$M$78,AD$1,0)</f>
        <v>20212.370999999996</v>
      </c>
      <c r="AE98" s="65">
        <f>VLOOKUP($I98,'[17]Resumen OPE'!$A$57:$M$78,AE$1,0)</f>
        <v>20886.116699999999</v>
      </c>
      <c r="AF98" s="65">
        <f>VLOOKUP($I98,'[17]Resumen OPE'!$A$57:$M$78,AF$1,0)</f>
        <v>20886.116699999999</v>
      </c>
      <c r="AG98" s="65">
        <f>VLOOKUP($I98,'[17]Resumen OPE'!$A$57:$M$78,AG$1,0)</f>
        <v>20212.370999999996</v>
      </c>
      <c r="AH98" s="65">
        <f>VLOOKUP($I98,'[17]Resumen OPE'!$A$57:$M$78,AH$1,0)</f>
        <v>20886.116699999999</v>
      </c>
      <c r="AI98" s="65">
        <f>VLOOKUP($I98,'[17]Resumen OPE'!$A$57:$M$78,AI$1,0)</f>
        <v>20212.370999999996</v>
      </c>
      <c r="AJ98" s="65">
        <f>VLOOKUP($I98,'[17]Resumen OPE'!$A$57:$M$78,AJ$1,0)</f>
        <v>20886.116699999999</v>
      </c>
      <c r="AK98" s="65">
        <f t="shared" si="64"/>
        <v>245917.18050000002</v>
      </c>
      <c r="AL98" s="73">
        <f t="shared" si="29"/>
        <v>1.0695916717193324E-3</v>
      </c>
      <c r="AM98" s="14">
        <f t="shared" si="30"/>
        <v>8.9823863018056116E-2</v>
      </c>
      <c r="AN98" s="9"/>
    </row>
    <row r="99" spans="1:40" ht="14.45" hidden="1" customHeight="1" outlineLevel="1">
      <c r="A99" s="12" t="s">
        <v>215</v>
      </c>
      <c r="B99" s="8" t="s">
        <v>88</v>
      </c>
      <c r="I99" s="246" t="s">
        <v>203</v>
      </c>
      <c r="J99" s="65">
        <v>5149</v>
      </c>
      <c r="K99" s="65">
        <v>7532</v>
      </c>
      <c r="L99" s="65">
        <v>9030</v>
      </c>
      <c r="M99" s="65">
        <v>5710</v>
      </c>
      <c r="N99" s="65">
        <v>7151</v>
      </c>
      <c r="O99" s="65">
        <v>7237</v>
      </c>
      <c r="P99" s="65">
        <v>4051</v>
      </c>
      <c r="Q99" s="65">
        <v>6604</v>
      </c>
      <c r="R99" s="225">
        <v>7212</v>
      </c>
      <c r="S99" s="225">
        <v>7035</v>
      </c>
      <c r="T99" s="225">
        <f t="shared" si="61"/>
        <v>6950.333333333333</v>
      </c>
      <c r="U99" s="225">
        <f t="shared" si="62"/>
        <v>7065.7777777777774</v>
      </c>
      <c r="V99" s="65">
        <f t="shared" si="63"/>
        <v>80727.111111111109</v>
      </c>
      <c r="W99" s="73">
        <f t="shared" si="27"/>
        <v>3.7605708604934604E-4</v>
      </c>
      <c r="X99" s="89"/>
      <c r="Y99" s="65">
        <f>VLOOKUP($I99,'[17]Resumen OPE'!$A$57:$M$78,Y$1,0)</f>
        <v>10840.014899999998</v>
      </c>
      <c r="Z99" s="65">
        <f>VLOOKUP($I99,'[17]Resumen OPE'!$A$57:$M$78,Z$1,0)</f>
        <v>9790.9812000000002</v>
      </c>
      <c r="AA99" s="65">
        <f>VLOOKUP($I99,'[17]Resumen OPE'!$A$57:$M$78,AA$1,0)</f>
        <v>10840.014899999998</v>
      </c>
      <c r="AB99" s="65">
        <f>VLOOKUP($I99,'[17]Resumen OPE'!$A$57:$M$78,AB$1,0)</f>
        <v>10490.337</v>
      </c>
      <c r="AC99" s="65">
        <f>VLOOKUP($I99,'[17]Resumen OPE'!$A$57:$M$78,AC$1,0)</f>
        <v>10840.014899999998</v>
      </c>
      <c r="AD99" s="65">
        <f>VLOOKUP($I99,'[17]Resumen OPE'!$A$57:$M$78,AD$1,0)</f>
        <v>10490.337</v>
      </c>
      <c r="AE99" s="65">
        <f>VLOOKUP($I99,'[17]Resumen OPE'!$A$57:$M$78,AE$1,0)</f>
        <v>10840.014899999998</v>
      </c>
      <c r="AF99" s="65">
        <f>VLOOKUP($I99,'[17]Resumen OPE'!$A$57:$M$78,AF$1,0)</f>
        <v>10840.014899999998</v>
      </c>
      <c r="AG99" s="65">
        <f>VLOOKUP($I99,'[17]Resumen OPE'!$A$57:$M$78,AG$1,0)</f>
        <v>10490.337</v>
      </c>
      <c r="AH99" s="65">
        <f>VLOOKUP($I99,'[17]Resumen OPE'!$A$57:$M$78,AH$1,0)</f>
        <v>10840.014899999998</v>
      </c>
      <c r="AI99" s="65">
        <f>VLOOKUP($I99,'[17]Resumen OPE'!$A$57:$M$78,AI$1,0)</f>
        <v>10490.337</v>
      </c>
      <c r="AJ99" s="65">
        <f>VLOOKUP($I99,'[17]Resumen OPE'!$A$57:$M$78,AJ$1,0)</f>
        <v>10840.014899999998</v>
      </c>
      <c r="AK99" s="65">
        <f t="shared" si="64"/>
        <v>127632.43349999997</v>
      </c>
      <c r="AL99" s="73">
        <f t="shared" si="29"/>
        <v>5.5512423993845966E-4</v>
      </c>
      <c r="AM99" s="14">
        <f t="shared" si="30"/>
        <v>0.58103556219581987</v>
      </c>
      <c r="AN99" s="221"/>
    </row>
    <row r="100" spans="1:40" ht="15" hidden="1" customHeight="1" outlineLevel="1">
      <c r="A100" s="12" t="s">
        <v>215</v>
      </c>
      <c r="B100" s="8" t="s">
        <v>88</v>
      </c>
      <c r="I100" s="246" t="s">
        <v>204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225">
        <v>0</v>
      </c>
      <c r="S100" s="225">
        <v>0</v>
      </c>
      <c r="T100" s="225">
        <f t="shared" si="61"/>
        <v>0</v>
      </c>
      <c r="U100" s="225">
        <f t="shared" si="62"/>
        <v>0</v>
      </c>
      <c r="V100" s="65">
        <f t="shared" si="63"/>
        <v>0</v>
      </c>
      <c r="W100" s="73">
        <f t="shared" si="27"/>
        <v>0</v>
      </c>
      <c r="X100" s="89"/>
      <c r="Y100" s="65">
        <f>VLOOKUP($I100,'[17]Resumen OPE'!$A$57:$M$78,Y$1,0)</f>
        <v>0</v>
      </c>
      <c r="Z100" s="65">
        <f>VLOOKUP($I100,'[17]Resumen OPE'!$A$57:$M$78,Z$1,0)</f>
        <v>0</v>
      </c>
      <c r="AA100" s="65">
        <f>VLOOKUP($I100,'[17]Resumen OPE'!$A$57:$M$78,AA$1,0)</f>
        <v>0</v>
      </c>
      <c r="AB100" s="65">
        <f>VLOOKUP($I100,'[17]Resumen OPE'!$A$57:$M$78,AB$1,0)</f>
        <v>0</v>
      </c>
      <c r="AC100" s="65">
        <f>VLOOKUP($I100,'[17]Resumen OPE'!$A$57:$M$78,AC$1,0)</f>
        <v>0</v>
      </c>
      <c r="AD100" s="65">
        <f>VLOOKUP($I100,'[17]Resumen OPE'!$A$57:$M$78,AD$1,0)</f>
        <v>0</v>
      </c>
      <c r="AE100" s="65">
        <f>VLOOKUP($I100,'[17]Resumen OPE'!$A$57:$M$78,AE$1,0)</f>
        <v>0</v>
      </c>
      <c r="AF100" s="65">
        <f>VLOOKUP($I100,'[17]Resumen OPE'!$A$57:$M$78,AF$1,0)</f>
        <v>0</v>
      </c>
      <c r="AG100" s="65">
        <f>VLOOKUP($I100,'[17]Resumen OPE'!$A$57:$M$78,AG$1,0)</f>
        <v>0</v>
      </c>
      <c r="AH100" s="65">
        <f>VLOOKUP($I100,'[17]Resumen OPE'!$A$57:$M$78,AH$1,0)</f>
        <v>0</v>
      </c>
      <c r="AI100" s="65">
        <f>VLOOKUP($I100,'[17]Resumen OPE'!$A$57:$M$78,AI$1,0)</f>
        <v>0</v>
      </c>
      <c r="AJ100" s="65">
        <f>VLOOKUP($I100,'[17]Resumen OPE'!$A$57:$M$78,AJ$1,0)</f>
        <v>0</v>
      </c>
      <c r="AK100" s="65">
        <f t="shared" si="64"/>
        <v>0</v>
      </c>
      <c r="AL100" s="73">
        <f t="shared" si="29"/>
        <v>0</v>
      </c>
      <c r="AM100" s="14">
        <f t="shared" si="30"/>
        <v>0</v>
      </c>
      <c r="AN100" s="9"/>
    </row>
    <row r="101" spans="1:40" ht="15" hidden="1" customHeight="1" outlineLevel="1">
      <c r="A101" s="12" t="s">
        <v>215</v>
      </c>
      <c r="B101" s="8" t="s">
        <v>88</v>
      </c>
      <c r="I101" s="246" t="s">
        <v>205</v>
      </c>
      <c r="J101" s="65">
        <v>6332</v>
      </c>
      <c r="K101" s="65">
        <v>5300</v>
      </c>
      <c r="L101" s="65">
        <v>5982</v>
      </c>
      <c r="M101" s="65">
        <v>5310</v>
      </c>
      <c r="N101" s="65">
        <v>5506</v>
      </c>
      <c r="O101" s="65">
        <v>4325</v>
      </c>
      <c r="P101" s="65">
        <v>5732</v>
      </c>
      <c r="Q101" s="65">
        <v>5449</v>
      </c>
      <c r="R101" s="225">
        <v>5155</v>
      </c>
      <c r="S101" s="225">
        <v>6035</v>
      </c>
      <c r="T101" s="225">
        <f t="shared" si="61"/>
        <v>5546.333333333333</v>
      </c>
      <c r="U101" s="225">
        <f t="shared" si="62"/>
        <v>5578.7777777777774</v>
      </c>
      <c r="V101" s="65">
        <f t="shared" si="63"/>
        <v>66251.111111111109</v>
      </c>
      <c r="W101" s="73">
        <f t="shared" si="27"/>
        <v>3.0862246213275875E-4</v>
      </c>
      <c r="X101" s="89"/>
      <c r="Y101" s="65">
        <f>VLOOKUP($I101,'[17]Resumen OPE'!$A$57:$M$78,Y$1,0)</f>
        <v>6644.5397752500003</v>
      </c>
      <c r="Z101" s="65">
        <f>VLOOKUP($I101,'[17]Resumen OPE'!$A$57:$M$78,Z$1,0)</f>
        <v>6001.5197969999999</v>
      </c>
      <c r="AA101" s="65">
        <f>VLOOKUP($I101,'[17]Resumen OPE'!$A$57:$M$78,AA$1,0)</f>
        <v>6644.5397752500003</v>
      </c>
      <c r="AB101" s="65">
        <f>VLOOKUP($I101,'[17]Resumen OPE'!$A$57:$M$78,AB$1,0)</f>
        <v>6430.1997824999989</v>
      </c>
      <c r="AC101" s="65">
        <f>VLOOKUP($I101,'[17]Resumen OPE'!$A$57:$M$78,AC$1,0)</f>
        <v>6644.5397752500003</v>
      </c>
      <c r="AD101" s="65">
        <f>VLOOKUP($I101,'[17]Resumen OPE'!$A$57:$M$78,AD$1,0)</f>
        <v>6430.1997824999989</v>
      </c>
      <c r="AE101" s="65">
        <f>VLOOKUP($I101,'[17]Resumen OPE'!$A$57:$M$78,AE$1,0)</f>
        <v>6644.5397752500003</v>
      </c>
      <c r="AF101" s="65">
        <f>VLOOKUP($I101,'[17]Resumen OPE'!$A$57:$M$78,AF$1,0)</f>
        <v>6644.5397752500003</v>
      </c>
      <c r="AG101" s="65">
        <f>VLOOKUP($I101,'[17]Resumen OPE'!$A$57:$M$78,AG$1,0)</f>
        <v>6430.1997824999989</v>
      </c>
      <c r="AH101" s="65">
        <f>VLOOKUP($I101,'[17]Resumen OPE'!$A$57:$M$78,AH$1,0)</f>
        <v>6644.5397752500003</v>
      </c>
      <c r="AI101" s="65">
        <f>VLOOKUP($I101,'[17]Resumen OPE'!$A$57:$M$78,AI$1,0)</f>
        <v>6430.1997824999989</v>
      </c>
      <c r="AJ101" s="65">
        <f>VLOOKUP($I101,'[17]Resumen OPE'!$A$57:$M$78,AJ$1,0)</f>
        <v>6644.5397752500003</v>
      </c>
      <c r="AK101" s="65">
        <f t="shared" si="64"/>
        <v>78234.097353749996</v>
      </c>
      <c r="AL101" s="73">
        <f t="shared" si="29"/>
        <v>3.4027121978185847E-4</v>
      </c>
      <c r="AM101" s="14">
        <f t="shared" si="30"/>
        <v>0.18087223054330326</v>
      </c>
      <c r="AN101" s="9"/>
    </row>
    <row r="102" spans="1:40" ht="15" hidden="1" customHeight="1" outlineLevel="1">
      <c r="A102" s="12" t="s">
        <v>215</v>
      </c>
      <c r="B102" s="8" t="s">
        <v>88</v>
      </c>
      <c r="I102" s="246" t="s">
        <v>207</v>
      </c>
      <c r="J102" s="65">
        <v>2132</v>
      </c>
      <c r="K102" s="65">
        <v>2034</v>
      </c>
      <c r="L102" s="65">
        <v>2305</v>
      </c>
      <c r="M102" s="65">
        <v>2146</v>
      </c>
      <c r="N102" s="65">
        <v>2263</v>
      </c>
      <c r="O102" s="65">
        <v>2183</v>
      </c>
      <c r="P102" s="65">
        <v>2358</v>
      </c>
      <c r="Q102" s="65">
        <v>2181</v>
      </c>
      <c r="R102" s="225">
        <v>2223</v>
      </c>
      <c r="S102" s="225">
        <v>2289</v>
      </c>
      <c r="T102" s="225">
        <f t="shared" si="61"/>
        <v>2231</v>
      </c>
      <c r="U102" s="225">
        <f t="shared" si="62"/>
        <v>2247.6666666666665</v>
      </c>
      <c r="V102" s="65">
        <f t="shared" si="63"/>
        <v>26592.666666666668</v>
      </c>
      <c r="W102" s="73">
        <f t="shared" si="27"/>
        <v>1.2387859046738284E-4</v>
      </c>
      <c r="X102" s="89"/>
      <c r="Y102" s="65">
        <f>VLOOKUP($I102,'[17]Resumen OPE'!$A$57:$M$78,Y$1,0)</f>
        <v>2542.3279987380138</v>
      </c>
      <c r="Z102" s="65">
        <f>VLOOKUP($I102,'[17]Resumen OPE'!$A$57:$M$78,Z$1,0)</f>
        <v>2296.2962569246579</v>
      </c>
      <c r="AA102" s="65">
        <f>VLOOKUP($I102,'[17]Resumen OPE'!$A$57:$M$78,AA$1,0)</f>
        <v>2542.3279987380138</v>
      </c>
      <c r="AB102" s="65">
        <f>VLOOKUP($I102,'[17]Resumen OPE'!$A$57:$M$78,AB$1,0)</f>
        <v>2460.3174181335617</v>
      </c>
      <c r="AC102" s="65">
        <f>VLOOKUP($I102,'[17]Resumen OPE'!$A$57:$M$78,AC$1,0)</f>
        <v>2542.3279987380138</v>
      </c>
      <c r="AD102" s="65">
        <f>VLOOKUP($I102,'[17]Resumen OPE'!$A$57:$M$78,AD$1,0)</f>
        <v>2460.3174181335617</v>
      </c>
      <c r="AE102" s="65">
        <f>VLOOKUP($I102,'[17]Resumen OPE'!$A$57:$M$78,AE$1,0)</f>
        <v>2542.3279987380138</v>
      </c>
      <c r="AF102" s="65">
        <f>VLOOKUP($I102,'[17]Resumen OPE'!$A$57:$M$78,AF$1,0)</f>
        <v>2542.3279987380138</v>
      </c>
      <c r="AG102" s="65">
        <f>VLOOKUP($I102,'[17]Resumen OPE'!$A$57:$M$78,AG$1,0)</f>
        <v>2460.3174181335617</v>
      </c>
      <c r="AH102" s="65">
        <f>VLOOKUP($I102,'[17]Resumen OPE'!$A$57:$M$78,AH$1,0)</f>
        <v>2542.3279987380138</v>
      </c>
      <c r="AI102" s="65">
        <f>VLOOKUP($I102,'[17]Resumen OPE'!$A$57:$M$78,AI$1,0)</f>
        <v>2460.3174181335617</v>
      </c>
      <c r="AJ102" s="65">
        <f>VLOOKUP($I102,'[17]Resumen OPE'!$A$57:$M$78,AJ$1,0)</f>
        <v>2542.3279987380138</v>
      </c>
      <c r="AK102" s="65">
        <f t="shared" si="64"/>
        <v>29933.861920625008</v>
      </c>
      <c r="AL102" s="73">
        <f t="shared" si="29"/>
        <v>1.301942765755521E-4</v>
      </c>
      <c r="AM102" s="14">
        <f t="shared" si="30"/>
        <v>0.12564348268789671</v>
      </c>
      <c r="AN102" s="9"/>
    </row>
    <row r="103" spans="1:40" ht="15" hidden="1" customHeight="1" outlineLevel="1">
      <c r="A103" s="12" t="s">
        <v>215</v>
      </c>
      <c r="B103" s="8" t="s">
        <v>88</v>
      </c>
      <c r="I103" s="246" t="s">
        <v>208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225">
        <v>0</v>
      </c>
      <c r="S103" s="225">
        <v>0</v>
      </c>
      <c r="T103" s="225">
        <f t="shared" si="61"/>
        <v>0</v>
      </c>
      <c r="U103" s="225">
        <f t="shared" si="62"/>
        <v>0</v>
      </c>
      <c r="V103" s="65">
        <f t="shared" si="63"/>
        <v>0</v>
      </c>
      <c r="W103" s="73">
        <f t="shared" si="27"/>
        <v>0</v>
      </c>
      <c r="X103" s="89"/>
      <c r="Y103" s="65">
        <f>VLOOKUP($I103,'[17]Resumen OPE'!$A$57:$M$78,Y$1,0)</f>
        <v>0</v>
      </c>
      <c r="Z103" s="65">
        <f>VLOOKUP($I103,'[17]Resumen OPE'!$A$57:$M$78,Z$1,0)</f>
        <v>0</v>
      </c>
      <c r="AA103" s="65">
        <f>VLOOKUP($I103,'[17]Resumen OPE'!$A$57:$M$78,AA$1,0)</f>
        <v>0</v>
      </c>
      <c r="AB103" s="65">
        <f>VLOOKUP($I103,'[17]Resumen OPE'!$A$57:$M$78,AB$1,0)</f>
        <v>0</v>
      </c>
      <c r="AC103" s="65">
        <f>VLOOKUP($I103,'[17]Resumen OPE'!$A$57:$M$78,AC$1,0)</f>
        <v>0</v>
      </c>
      <c r="AD103" s="65">
        <f>VLOOKUP($I103,'[17]Resumen OPE'!$A$57:$M$78,AD$1,0)</f>
        <v>0</v>
      </c>
      <c r="AE103" s="65">
        <f>VLOOKUP($I103,'[17]Resumen OPE'!$A$57:$M$78,AE$1,0)</f>
        <v>0</v>
      </c>
      <c r="AF103" s="65">
        <f>VLOOKUP($I103,'[17]Resumen OPE'!$A$57:$M$78,AF$1,0)</f>
        <v>0</v>
      </c>
      <c r="AG103" s="65">
        <f>VLOOKUP($I103,'[17]Resumen OPE'!$A$57:$M$78,AG$1,0)</f>
        <v>0</v>
      </c>
      <c r="AH103" s="65">
        <f>VLOOKUP($I103,'[17]Resumen OPE'!$A$57:$M$78,AH$1,0)</f>
        <v>0</v>
      </c>
      <c r="AI103" s="65">
        <f>VLOOKUP($I103,'[17]Resumen OPE'!$A$57:$M$78,AI$1,0)</f>
        <v>0</v>
      </c>
      <c r="AJ103" s="65">
        <f>VLOOKUP($I103,'[17]Resumen OPE'!$A$57:$M$78,AJ$1,0)</f>
        <v>0</v>
      </c>
      <c r="AK103" s="65">
        <f t="shared" si="64"/>
        <v>0</v>
      </c>
      <c r="AL103" s="73">
        <f t="shared" si="29"/>
        <v>0</v>
      </c>
      <c r="AM103" s="14">
        <f t="shared" si="30"/>
        <v>0</v>
      </c>
      <c r="AN103" s="9"/>
    </row>
    <row r="104" spans="1:40" ht="14.45" hidden="1" customHeight="1" outlineLevel="1">
      <c r="A104" s="12" t="s">
        <v>221</v>
      </c>
      <c r="B104" s="8" t="s">
        <v>88</v>
      </c>
      <c r="C104" s="8" t="s">
        <v>222</v>
      </c>
      <c r="I104" s="246" t="s">
        <v>209</v>
      </c>
      <c r="J104" s="65"/>
      <c r="K104" s="65"/>
      <c r="L104" s="65">
        <v>0</v>
      </c>
      <c r="M104" s="65"/>
      <c r="N104" s="65"/>
      <c r="O104" s="65"/>
      <c r="P104" s="65"/>
      <c r="Q104" s="65"/>
      <c r="R104" s="225"/>
      <c r="S104" s="225"/>
      <c r="T104" s="225"/>
      <c r="U104" s="225"/>
      <c r="V104" s="65">
        <f t="shared" si="63"/>
        <v>0</v>
      </c>
      <c r="W104" s="73">
        <f t="shared" si="27"/>
        <v>0</v>
      </c>
      <c r="X104" s="89"/>
      <c r="Y104" s="65">
        <f>VLOOKUP($I104,'[17]Resumen OPE'!$A$57:$M$78,Y$1,0)</f>
        <v>0</v>
      </c>
      <c r="Z104" s="65">
        <f>VLOOKUP($I104,'[17]Resumen OPE'!$A$57:$M$78,Z$1,0)</f>
        <v>0</v>
      </c>
      <c r="AA104" s="65">
        <f>VLOOKUP($I104,'[17]Resumen OPE'!$A$57:$M$78,AA$1,0)</f>
        <v>0</v>
      </c>
      <c r="AB104" s="65">
        <f>VLOOKUP($I104,'[17]Resumen OPE'!$A$57:$M$78,AB$1,0)</f>
        <v>0</v>
      </c>
      <c r="AC104" s="65">
        <f>VLOOKUP($I104,'[17]Resumen OPE'!$A$57:$M$78,AC$1,0)</f>
        <v>0</v>
      </c>
      <c r="AD104" s="65">
        <f>VLOOKUP($I104,'[17]Resumen OPE'!$A$57:$M$78,AD$1,0)</f>
        <v>0</v>
      </c>
      <c r="AE104" s="65">
        <f>VLOOKUP($I104,'[17]Resumen OPE'!$A$57:$M$78,AE$1,0)</f>
        <v>0</v>
      </c>
      <c r="AF104" s="65">
        <f>VLOOKUP($I104,'[17]Resumen OPE'!$A$57:$M$78,AF$1,0)</f>
        <v>0</v>
      </c>
      <c r="AG104" s="65">
        <f>VLOOKUP($I104,'[17]Resumen OPE'!$A$57:$M$78,AG$1,0)</f>
        <v>0</v>
      </c>
      <c r="AH104" s="65">
        <f>VLOOKUP($I104,'[17]Resumen OPE'!$A$57:$M$78,AH$1,0)</f>
        <v>0</v>
      </c>
      <c r="AI104" s="65">
        <f>VLOOKUP($I104,'[17]Resumen OPE'!$A$57:$M$78,AI$1,0)</f>
        <v>0</v>
      </c>
      <c r="AJ104" s="65">
        <f>VLOOKUP($I104,'[17]Resumen OPE'!$A$57:$M$78,AJ$1,0)</f>
        <v>0</v>
      </c>
      <c r="AK104" s="65">
        <f t="shared" si="64"/>
        <v>0</v>
      </c>
      <c r="AL104" s="73">
        <f t="shared" si="29"/>
        <v>0</v>
      </c>
      <c r="AM104" s="14">
        <f t="shared" si="30"/>
        <v>0</v>
      </c>
      <c r="AN104" s="9"/>
    </row>
    <row r="105" spans="1:40" ht="14.45" hidden="1" customHeight="1" outlineLevel="1">
      <c r="A105" s="12"/>
      <c r="I105" s="246" t="s">
        <v>210</v>
      </c>
      <c r="J105" s="65">
        <v>0</v>
      </c>
      <c r="K105" s="65"/>
      <c r="L105" s="65">
        <v>0</v>
      </c>
      <c r="M105" s="65">
        <v>0</v>
      </c>
      <c r="N105" s="65">
        <v>840</v>
      </c>
      <c r="O105" s="65">
        <v>0</v>
      </c>
      <c r="P105" s="65">
        <v>0</v>
      </c>
      <c r="Q105" s="65">
        <v>0</v>
      </c>
      <c r="R105" s="225"/>
      <c r="S105" s="225"/>
      <c r="T105" s="225">
        <f t="shared" si="61"/>
        <v>0</v>
      </c>
      <c r="U105" s="225">
        <f t="shared" si="62"/>
        <v>0</v>
      </c>
      <c r="V105" s="65">
        <f t="shared" ref="V105:V106" si="65">SUM(J105:U105)</f>
        <v>840</v>
      </c>
      <c r="W105" s="73">
        <f t="shared" ref="W105:W106" si="66">V105/V$6</f>
        <v>3.913034269821313E-6</v>
      </c>
      <c r="X105" s="89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>
        <f t="shared" ref="AK105:AK106" si="67">SUM(Y105:AJ105)</f>
        <v>0</v>
      </c>
      <c r="AL105" s="73">
        <f t="shared" ref="AL105:AL106" si="68">AK105/AK$6</f>
        <v>0</v>
      </c>
      <c r="AM105" s="14">
        <f t="shared" ref="AM105:AM106" si="69">IFERROR(AK105/V105-1,0)</f>
        <v>-1</v>
      </c>
      <c r="AN105" s="9"/>
    </row>
    <row r="106" spans="1:40" ht="14.45" hidden="1" customHeight="1" outlineLevel="1">
      <c r="A106" s="12" t="s">
        <v>221</v>
      </c>
      <c r="B106" s="8" t="s">
        <v>88</v>
      </c>
      <c r="I106" s="246" t="s">
        <v>211</v>
      </c>
      <c r="J106" s="65">
        <v>213883</v>
      </c>
      <c r="K106" s="65">
        <v>221523</v>
      </c>
      <c r="L106" s="65">
        <v>248774</v>
      </c>
      <c r="M106" s="65">
        <v>224379</v>
      </c>
      <c r="N106" s="65">
        <v>228015</v>
      </c>
      <c r="O106" s="65">
        <v>225517</v>
      </c>
      <c r="P106" s="65">
        <v>226504</v>
      </c>
      <c r="Q106" s="65">
        <v>232750</v>
      </c>
      <c r="R106" s="225">
        <v>219238</v>
      </c>
      <c r="S106" s="225">
        <v>223588</v>
      </c>
      <c r="T106" s="225">
        <f t="shared" si="61"/>
        <v>225192</v>
      </c>
      <c r="U106" s="225">
        <f t="shared" si="62"/>
        <v>222672.66666666666</v>
      </c>
      <c r="V106" s="65">
        <f t="shared" si="65"/>
        <v>2712035.6666666665</v>
      </c>
      <c r="W106" s="73">
        <f t="shared" si="66"/>
        <v>1.2633676791243283E-2</v>
      </c>
      <c r="X106" s="89"/>
      <c r="Y106" s="65">
        <f>VLOOKUP($I106,'[17]Resumen OPE'!$A$57:$M$78,Y$1,0)</f>
        <v>285522.9906275</v>
      </c>
      <c r="Z106" s="65">
        <f>VLOOKUP($I106,'[17]Resumen OPE'!$A$57:$M$78,Z$1,0)</f>
        <v>257891.73346999998</v>
      </c>
      <c r="AA106" s="65">
        <f>VLOOKUP($I106,'[17]Resumen OPE'!$A$57:$M$78,AA$1,0)</f>
        <v>285522.9906275</v>
      </c>
      <c r="AB106" s="65">
        <f>VLOOKUP($I106,'[17]Resumen OPE'!$A$57:$M$78,AB$1,0)</f>
        <v>276312.57157500001</v>
      </c>
      <c r="AC106" s="65">
        <f>VLOOKUP($I106,'[17]Resumen OPE'!$A$57:$M$78,AC$1,0)</f>
        <v>285522.9906275</v>
      </c>
      <c r="AD106" s="65">
        <f>VLOOKUP($I106,'[17]Resumen OPE'!$A$57:$M$78,AD$1,0)</f>
        <v>276312.57157500001</v>
      </c>
      <c r="AE106" s="65">
        <f>VLOOKUP($I106,'[17]Resumen OPE'!$A$57:$M$78,AE$1,0)</f>
        <v>285522.9906275</v>
      </c>
      <c r="AF106" s="65">
        <f>VLOOKUP($I106,'[17]Resumen OPE'!$A$57:$M$78,AF$1,0)</f>
        <v>285522.9906275</v>
      </c>
      <c r="AG106" s="65">
        <f>VLOOKUP($I106,'[17]Resumen OPE'!$A$57:$M$78,AG$1,0)</f>
        <v>276312.57157500001</v>
      </c>
      <c r="AH106" s="65">
        <f>VLOOKUP($I106,'[17]Resumen OPE'!$A$57:$M$78,AH$1,0)</f>
        <v>285522.9906275</v>
      </c>
      <c r="AI106" s="65">
        <f>VLOOKUP($I106,'[17]Resumen OPE'!$A$57:$M$78,AI$1,0)</f>
        <v>276312.57157500001</v>
      </c>
      <c r="AJ106" s="65">
        <f>VLOOKUP($I106,'[17]Resumen OPE'!$A$57:$M$78,AJ$1,0)</f>
        <v>285522.9906275</v>
      </c>
      <c r="AK106" s="65">
        <f t="shared" si="67"/>
        <v>3361802.9541624999</v>
      </c>
      <c r="AL106" s="73">
        <f t="shared" si="68"/>
        <v>1.4621818753869694E-2</v>
      </c>
      <c r="AM106" s="14">
        <f t="shared" si="69"/>
        <v>0.23958655687388331</v>
      </c>
      <c r="AN106" s="9"/>
    </row>
    <row r="107" spans="1:40" ht="14.45" hidden="1" customHeight="1" outlineLevel="1">
      <c r="A107" s="12"/>
      <c r="I107" s="246" t="s">
        <v>213</v>
      </c>
      <c r="J107" s="65">
        <v>2730</v>
      </c>
      <c r="K107" s="65">
        <v>0</v>
      </c>
      <c r="L107" s="65">
        <v>1365</v>
      </c>
      <c r="M107" s="65">
        <v>11235</v>
      </c>
      <c r="N107" s="65">
        <v>5250</v>
      </c>
      <c r="O107" s="65">
        <v>10080</v>
      </c>
      <c r="P107" s="65">
        <v>7140</v>
      </c>
      <c r="Q107" s="65">
        <v>3780</v>
      </c>
      <c r="R107" s="225">
        <v>6615</v>
      </c>
      <c r="S107" s="225">
        <v>7875</v>
      </c>
      <c r="T107" s="225">
        <f t="shared" si="61"/>
        <v>6090</v>
      </c>
      <c r="U107" s="225">
        <f t="shared" si="62"/>
        <v>6860</v>
      </c>
      <c r="V107" s="65">
        <f t="shared" si="63"/>
        <v>69020</v>
      </c>
      <c r="W107" s="73">
        <f t="shared" si="27"/>
        <v>3.2152098250365124E-4</v>
      </c>
      <c r="X107" s="89"/>
      <c r="Y107" s="65">
        <f>VLOOKUP($I107,'[17]Resumen OPE'!$A$57:$M$78,Y$1,0)</f>
        <v>0</v>
      </c>
      <c r="Z107" s="65">
        <f>VLOOKUP($I107,'[17]Resumen OPE'!$A$57:$M$78,Z$1,0)</f>
        <v>0</v>
      </c>
      <c r="AA107" s="65">
        <f>VLOOKUP($I107,'[17]Resumen OPE'!$A$57:$M$78,AA$1,0)</f>
        <v>0</v>
      </c>
      <c r="AB107" s="65">
        <f>VLOOKUP($I107,'[17]Resumen OPE'!$A$57:$M$78,AB$1,0)</f>
        <v>0</v>
      </c>
      <c r="AC107" s="65">
        <f>VLOOKUP($I107,'[17]Resumen OPE'!$A$57:$M$78,AC$1,0)</f>
        <v>0</v>
      </c>
      <c r="AD107" s="65">
        <f>VLOOKUP($I107,'[17]Resumen OPE'!$A$57:$M$78,AD$1,0)</f>
        <v>0</v>
      </c>
      <c r="AE107" s="65">
        <f>VLOOKUP($I107,'[17]Resumen OPE'!$A$57:$M$78,AE$1,0)</f>
        <v>0</v>
      </c>
      <c r="AF107" s="65">
        <f>VLOOKUP($I107,'[17]Resumen OPE'!$A$57:$M$78,AF$1,0)</f>
        <v>0</v>
      </c>
      <c r="AG107" s="65">
        <f>VLOOKUP($I107,'[17]Resumen OPE'!$A$57:$M$78,AG$1,0)</f>
        <v>0</v>
      </c>
      <c r="AH107" s="65">
        <f>VLOOKUP($I107,'[17]Resumen OPE'!$A$57:$M$78,AH$1,0)</f>
        <v>0</v>
      </c>
      <c r="AI107" s="65">
        <f>VLOOKUP($I107,'[17]Resumen OPE'!$A$57:$M$78,AI$1,0)</f>
        <v>0</v>
      </c>
      <c r="AJ107" s="65">
        <f>VLOOKUP($I107,'[17]Resumen OPE'!$A$57:$M$78,AJ$1,0)</f>
        <v>0</v>
      </c>
      <c r="AK107" s="65">
        <f t="shared" si="64"/>
        <v>0</v>
      </c>
      <c r="AL107" s="73">
        <f t="shared" si="29"/>
        <v>0</v>
      </c>
      <c r="AM107" s="14">
        <f t="shared" si="30"/>
        <v>-1</v>
      </c>
      <c r="AN107" s="9"/>
    </row>
    <row r="108" spans="1:40" ht="14.45" hidden="1" customHeight="1" outlineLevel="1">
      <c r="A108" s="12"/>
      <c r="I108" s="246" t="s">
        <v>214</v>
      </c>
      <c r="J108" s="65">
        <v>8526</v>
      </c>
      <c r="K108" s="65">
        <v>8135</v>
      </c>
      <c r="L108" s="65">
        <v>9220</v>
      </c>
      <c r="M108" s="65">
        <v>8585</v>
      </c>
      <c r="N108" s="65">
        <v>9052</v>
      </c>
      <c r="O108" s="65">
        <v>8733</v>
      </c>
      <c r="P108" s="65">
        <v>9431</v>
      </c>
      <c r="Q108" s="65">
        <v>8724</v>
      </c>
      <c r="R108" s="225">
        <v>8892</v>
      </c>
      <c r="S108" s="225">
        <v>9157</v>
      </c>
      <c r="T108" s="225">
        <f t="shared" si="61"/>
        <v>8924.3333333333339</v>
      </c>
      <c r="U108" s="225">
        <f t="shared" si="62"/>
        <v>8991.1111111111113</v>
      </c>
      <c r="V108" s="65">
        <f t="shared" si="63"/>
        <v>106370.44444444444</v>
      </c>
      <c r="W108" s="73">
        <f t="shared" si="27"/>
        <v>4.9551332667527998E-4</v>
      </c>
      <c r="X108" s="89"/>
      <c r="Y108" s="65">
        <f>VLOOKUP($I108,'[17]Resumen OPE'!$A$57:$M$78,Y$1,0)</f>
        <v>0</v>
      </c>
      <c r="Z108" s="65">
        <f>VLOOKUP($I108,'[17]Resumen OPE'!$A$57:$M$78,Z$1,0)</f>
        <v>0</v>
      </c>
      <c r="AA108" s="65">
        <f>VLOOKUP($I108,'[17]Resumen OPE'!$A$57:$M$78,AA$1,0)</f>
        <v>0</v>
      </c>
      <c r="AB108" s="65">
        <f>VLOOKUP($I108,'[17]Resumen OPE'!$A$57:$M$78,AB$1,0)</f>
        <v>0</v>
      </c>
      <c r="AC108" s="65">
        <f>VLOOKUP($I108,'[17]Resumen OPE'!$A$57:$M$78,AC$1,0)</f>
        <v>0</v>
      </c>
      <c r="AD108" s="65">
        <f>VLOOKUP($I108,'[17]Resumen OPE'!$A$57:$M$78,AD$1,0)</f>
        <v>0</v>
      </c>
      <c r="AE108" s="65">
        <f>VLOOKUP($I108,'[17]Resumen OPE'!$A$57:$M$78,AE$1,0)</f>
        <v>0</v>
      </c>
      <c r="AF108" s="65">
        <f>VLOOKUP($I108,'[17]Resumen OPE'!$A$57:$M$78,AF$1,0)</f>
        <v>0</v>
      </c>
      <c r="AG108" s="65">
        <f>VLOOKUP($I108,'[17]Resumen OPE'!$A$57:$M$78,AG$1,0)</f>
        <v>0</v>
      </c>
      <c r="AH108" s="65">
        <f>VLOOKUP($I108,'[17]Resumen OPE'!$A$57:$M$78,AH$1,0)</f>
        <v>0</v>
      </c>
      <c r="AI108" s="65">
        <f>VLOOKUP($I108,'[17]Resumen OPE'!$A$57:$M$78,AI$1,0)</f>
        <v>0</v>
      </c>
      <c r="AJ108" s="65">
        <f>VLOOKUP($I108,'[17]Resumen OPE'!$A$57:$M$78,AJ$1,0)</f>
        <v>0</v>
      </c>
      <c r="AK108" s="65">
        <f t="shared" si="64"/>
        <v>0</v>
      </c>
      <c r="AL108" s="73">
        <f t="shared" si="29"/>
        <v>0</v>
      </c>
      <c r="AM108" s="14">
        <f t="shared" si="30"/>
        <v>-1</v>
      </c>
      <c r="AN108" s="9"/>
    </row>
    <row r="109" spans="1:40" ht="14.45" customHeight="1" collapsed="1">
      <c r="A109" s="12"/>
      <c r="E109" s="7" t="s">
        <v>474</v>
      </c>
      <c r="I109" s="167" t="s">
        <v>216</v>
      </c>
      <c r="J109" s="15">
        <v>77798</v>
      </c>
      <c r="K109" s="15">
        <v>76993</v>
      </c>
      <c r="L109" s="15">
        <v>88726</v>
      </c>
      <c r="M109" s="15">
        <v>81604</v>
      </c>
      <c r="N109" s="15">
        <v>84111</v>
      </c>
      <c r="O109" s="15">
        <v>81803</v>
      </c>
      <c r="P109" s="15">
        <v>84638</v>
      </c>
      <c r="Q109" s="15">
        <v>83111</v>
      </c>
      <c r="R109" s="15">
        <v>80352</v>
      </c>
      <c r="S109" s="15">
        <v>80254</v>
      </c>
      <c r="T109" s="15">
        <f t="shared" ref="R109:U109" si="70">SUM(T110:T113)</f>
        <v>81239</v>
      </c>
      <c r="U109" s="15">
        <f t="shared" si="70"/>
        <v>80615</v>
      </c>
      <c r="V109" s="15">
        <f t="shared" ref="V109" si="71">SUM(V110:V113)</f>
        <v>981242</v>
      </c>
      <c r="W109" s="72">
        <f t="shared" si="27"/>
        <v>4.5709923487952438E-3</v>
      </c>
      <c r="X109" s="89"/>
      <c r="Y109" s="15">
        <f>SUM(Y110:Y113)</f>
        <v>100189.33510765128</v>
      </c>
      <c r="Z109" s="15">
        <f t="shared" ref="Z109:AK109" si="72">SUM(Z110:Z113)</f>
        <v>92558.499553632166</v>
      </c>
      <c r="AA109" s="15">
        <f t="shared" si="72"/>
        <v>100189.33510765128</v>
      </c>
      <c r="AB109" s="15">
        <f t="shared" si="72"/>
        <v>95282.004047022376</v>
      </c>
      <c r="AC109" s="15">
        <f t="shared" si="72"/>
        <v>100189.33510765128</v>
      </c>
      <c r="AD109" s="15">
        <f t="shared" si="72"/>
        <v>95282.004047022376</v>
      </c>
      <c r="AE109" s="15">
        <f t="shared" si="72"/>
        <v>97825.61589836207</v>
      </c>
      <c r="AF109" s="15">
        <f t="shared" si="72"/>
        <v>97825.61589836207</v>
      </c>
      <c r="AG109" s="15">
        <f t="shared" si="72"/>
        <v>97645.723256311583</v>
      </c>
      <c r="AH109" s="15">
        <f t="shared" si="72"/>
        <v>97825.61589836207</v>
      </c>
      <c r="AI109" s="15">
        <f t="shared" si="72"/>
        <v>97645.723256311583</v>
      </c>
      <c r="AJ109" s="15">
        <f t="shared" si="72"/>
        <v>100189.33510765128</v>
      </c>
      <c r="AK109" s="15">
        <f t="shared" si="72"/>
        <v>1172648.1422859912</v>
      </c>
      <c r="AL109" s="72">
        <f t="shared" si="29"/>
        <v>5.1003133831320213E-3</v>
      </c>
      <c r="AM109" s="10">
        <f t="shared" si="30"/>
        <v>0.19506517483555652</v>
      </c>
      <c r="AN109" s="9"/>
    </row>
    <row r="110" spans="1:40" ht="14.45" hidden="1" customHeight="1" outlineLevel="1">
      <c r="A110" s="12"/>
      <c r="I110" s="246" t="s">
        <v>217</v>
      </c>
      <c r="J110" s="65">
        <v>15223</v>
      </c>
      <c r="K110" s="65">
        <v>14610</v>
      </c>
      <c r="L110" s="65">
        <v>16861</v>
      </c>
      <c r="M110" s="65">
        <v>15477</v>
      </c>
      <c r="N110" s="65">
        <v>15705</v>
      </c>
      <c r="O110" s="65">
        <v>14949</v>
      </c>
      <c r="P110" s="65">
        <v>15800</v>
      </c>
      <c r="Q110" s="65">
        <v>15363</v>
      </c>
      <c r="R110" s="225">
        <v>14979</v>
      </c>
      <c r="S110" s="225">
        <v>14845</v>
      </c>
      <c r="T110" s="225">
        <f t="shared" ref="T110:T113" si="73">+AVERAGE(Q110:S110)</f>
        <v>15062.333333333334</v>
      </c>
      <c r="U110" s="225">
        <f t="shared" ref="U110:U113" si="74">+AVERAGE(R110:T110)</f>
        <v>14962.111111111111</v>
      </c>
      <c r="V110" s="65">
        <f t="shared" ref="V110:V113" si="75">SUM(J110:U110)</f>
        <v>183836.44444444447</v>
      </c>
      <c r="W110" s="73">
        <f t="shared" si="27"/>
        <v>8.563789370871585E-4</v>
      </c>
      <c r="X110" s="89"/>
      <c r="Y110" s="65">
        <f>VLOOKUP($I110,'[17]Resumen OPE'!$A$57:$M$78,Y$1,0)</f>
        <v>17603.902049856253</v>
      </c>
      <c r="Z110" s="65">
        <f>VLOOKUP($I110,'[17]Resumen OPE'!$A$57:$M$78,Z$1,0)</f>
        <v>16100.066220175</v>
      </c>
      <c r="AA110" s="65">
        <f>VLOOKUP($I110,'[17]Resumen OPE'!$A$57:$M$78,AA$1,0)</f>
        <v>17603.902049856253</v>
      </c>
      <c r="AB110" s="65">
        <f>VLOOKUP($I110,'[17]Resumen OPE'!$A$57:$M$78,AB$1,0)</f>
        <v>16549.9982968125</v>
      </c>
      <c r="AC110" s="65">
        <f>VLOOKUP($I110,'[17]Resumen OPE'!$A$57:$M$78,AC$1,0)</f>
        <v>17603.902049856253</v>
      </c>
      <c r="AD110" s="65">
        <f>VLOOKUP($I110,'[17]Resumen OPE'!$A$57:$M$78,AD$1,0)</f>
        <v>16549.9982968125</v>
      </c>
      <c r="AE110" s="65">
        <f>VLOOKUP($I110,'[17]Resumen OPE'!$A$57:$M$78,AE$1,0)</f>
        <v>17051.276906706251</v>
      </c>
      <c r="AF110" s="65">
        <f>VLOOKUP($I110,'[17]Resumen OPE'!$A$57:$M$78,AF$1,0)</f>
        <v>17051.276906706251</v>
      </c>
      <c r="AG110" s="65">
        <f>VLOOKUP($I110,'[17]Resumen OPE'!$A$57:$M$78,AG$1,0)</f>
        <v>17102.623439962499</v>
      </c>
      <c r="AH110" s="65">
        <f>VLOOKUP($I110,'[17]Resumen OPE'!$A$57:$M$78,AH$1,0)</f>
        <v>17051.276906706251</v>
      </c>
      <c r="AI110" s="65">
        <f>VLOOKUP($I110,'[17]Resumen OPE'!$A$57:$M$78,AI$1,0)</f>
        <v>17102.623439962499</v>
      </c>
      <c r="AJ110" s="65">
        <f>VLOOKUP($I110,'[17]Resumen OPE'!$A$57:$M$78,AJ$1,0)</f>
        <v>17603.902049856253</v>
      </c>
      <c r="AK110" s="65">
        <f t="shared" si="64"/>
        <v>204974.74861326878</v>
      </c>
      <c r="AL110" s="73">
        <f t="shared" si="29"/>
        <v>8.9151674390442219E-4</v>
      </c>
      <c r="AM110" s="14">
        <f t="shared" si="30"/>
        <v>0.11498429613727823</v>
      </c>
      <c r="AN110" s="9"/>
    </row>
    <row r="111" spans="1:40" ht="14.45" hidden="1" customHeight="1" outlineLevel="1">
      <c r="A111" s="12"/>
      <c r="I111" s="246" t="s">
        <v>218</v>
      </c>
      <c r="J111" s="65">
        <v>24376</v>
      </c>
      <c r="K111" s="65">
        <v>23972</v>
      </c>
      <c r="L111" s="65">
        <v>27653</v>
      </c>
      <c r="M111" s="65">
        <v>25519</v>
      </c>
      <c r="N111" s="65">
        <v>25855</v>
      </c>
      <c r="O111" s="65">
        <v>24984</v>
      </c>
      <c r="P111" s="65">
        <v>26429</v>
      </c>
      <c r="Q111" s="65">
        <v>25859</v>
      </c>
      <c r="R111" s="225">
        <v>24510</v>
      </c>
      <c r="S111" s="225">
        <v>25053</v>
      </c>
      <c r="T111" s="225">
        <f t="shared" si="73"/>
        <v>25140.666666666668</v>
      </c>
      <c r="U111" s="225">
        <f t="shared" si="74"/>
        <v>24901.222222222223</v>
      </c>
      <c r="V111" s="65">
        <f t="shared" si="75"/>
        <v>304251.88888888893</v>
      </c>
      <c r="W111" s="73">
        <f t="shared" si="27"/>
        <v>1.4173191284286772E-3</v>
      </c>
      <c r="X111" s="89"/>
      <c r="Y111" s="65">
        <f>VLOOKUP($I111,'[17]Resumen OPE'!$A$57:$M$78,Y$1,0)</f>
        <v>33493.184040056498</v>
      </c>
      <c r="Z111" s="65">
        <f>VLOOKUP($I111,'[17]Resumen OPE'!$A$57:$M$78,Z$1,0)</f>
        <v>30631.985990504956</v>
      </c>
      <c r="AA111" s="65">
        <f>VLOOKUP($I111,'[17]Resumen OPE'!$A$57:$M$78,AA$1,0)</f>
        <v>33493.184040056498</v>
      </c>
      <c r="AB111" s="65">
        <f>VLOOKUP($I111,'[17]Resumen OPE'!$A$57:$M$78,AB$1,0)</f>
        <v>31488.026759515455</v>
      </c>
      <c r="AC111" s="65">
        <f>VLOOKUP($I111,'[17]Resumen OPE'!$A$57:$M$78,AC$1,0)</f>
        <v>33493.184040056498</v>
      </c>
      <c r="AD111" s="65">
        <f>VLOOKUP($I111,'[17]Resumen OPE'!$A$57:$M$78,AD$1,0)</f>
        <v>31488.026759515455</v>
      </c>
      <c r="AE111" s="65">
        <f>VLOOKUP($I111,'[17]Resumen OPE'!$A$57:$M$78,AE$1,0)</f>
        <v>32441.759442699306</v>
      </c>
      <c r="AF111" s="65">
        <f>VLOOKUP($I111,'[17]Resumen OPE'!$A$57:$M$78,AF$1,0)</f>
        <v>32441.759442699306</v>
      </c>
      <c r="AG111" s="65">
        <f>VLOOKUP($I111,'[17]Resumen OPE'!$A$57:$M$78,AG$1,0)</f>
        <v>32539.451356872651</v>
      </c>
      <c r="AH111" s="65">
        <f>VLOOKUP($I111,'[17]Resumen OPE'!$A$57:$M$78,AH$1,0)</f>
        <v>32441.759442699306</v>
      </c>
      <c r="AI111" s="65">
        <f>VLOOKUP($I111,'[17]Resumen OPE'!$A$57:$M$78,AI$1,0)</f>
        <v>32539.451356872651</v>
      </c>
      <c r="AJ111" s="65">
        <f>VLOOKUP($I111,'[17]Resumen OPE'!$A$57:$M$78,AJ$1,0)</f>
        <v>33493.184040056498</v>
      </c>
      <c r="AK111" s="65">
        <f t="shared" si="64"/>
        <v>389984.95671160507</v>
      </c>
      <c r="AL111" s="73">
        <f t="shared" si="29"/>
        <v>1.6961997569525532E-3</v>
      </c>
      <c r="AM111" s="14">
        <f t="shared" si="30"/>
        <v>0.28178319002655527</v>
      </c>
      <c r="AN111" s="9"/>
    </row>
    <row r="112" spans="1:40" ht="14.45" hidden="1" customHeight="1" outlineLevel="1">
      <c r="A112" s="12"/>
      <c r="I112" s="246" t="s">
        <v>219</v>
      </c>
      <c r="J112" s="65">
        <v>27641</v>
      </c>
      <c r="K112" s="65">
        <v>27741</v>
      </c>
      <c r="L112" s="65">
        <v>31705</v>
      </c>
      <c r="M112" s="65">
        <v>29739</v>
      </c>
      <c r="N112" s="65">
        <v>30361</v>
      </c>
      <c r="O112" s="65">
        <v>29728</v>
      </c>
      <c r="P112" s="65">
        <v>31454</v>
      </c>
      <c r="Q112" s="65">
        <v>30353</v>
      </c>
      <c r="R112" s="225">
        <v>28652</v>
      </c>
      <c r="S112" s="225">
        <v>29893</v>
      </c>
      <c r="T112" s="225">
        <f t="shared" si="73"/>
        <v>29632.666666666668</v>
      </c>
      <c r="U112" s="225">
        <f t="shared" si="74"/>
        <v>29392.555555555558</v>
      </c>
      <c r="V112" s="65">
        <f t="shared" si="75"/>
        <v>356292.22222222225</v>
      </c>
      <c r="W112" s="73">
        <f t="shared" si="27"/>
        <v>1.6597424709837458E-3</v>
      </c>
      <c r="X112" s="89"/>
      <c r="Y112" s="65">
        <f>VLOOKUP($I112,'[17]Resumen OPE'!$A$57:$M$78,Y$1,0)</f>
        <v>36584.271770747189</v>
      </c>
      <c r="Z112" s="65">
        <f>VLOOKUP($I112,'[17]Resumen OPE'!$A$57:$M$78,Z$1,0)</f>
        <v>33318.470095960882</v>
      </c>
      <c r="AA112" s="65">
        <f>VLOOKUP($I112,'[17]Resumen OPE'!$A$57:$M$78,AA$1,0)</f>
        <v>36584.271770747189</v>
      </c>
      <c r="AB112" s="65">
        <f>VLOOKUP($I112,'[17]Resumen OPE'!$A$57:$M$78,AB$1,0)</f>
        <v>34736.001743703084</v>
      </c>
      <c r="AC112" s="65">
        <f>VLOOKUP($I112,'[17]Resumen OPE'!$A$57:$M$78,AC$1,0)</f>
        <v>36584.271770747189</v>
      </c>
      <c r="AD112" s="65">
        <f>VLOOKUP($I112,'[17]Resumen OPE'!$A$57:$M$78,AD$1,0)</f>
        <v>34736.001743703084</v>
      </c>
      <c r="AE112" s="65">
        <f>VLOOKUP($I112,'[17]Resumen OPE'!$A$57:$M$78,AE$1,0)</f>
        <v>35824.602301965177</v>
      </c>
      <c r="AF112" s="65">
        <f>VLOOKUP($I112,'[17]Resumen OPE'!$A$57:$M$78,AF$1,0)</f>
        <v>35824.602301965177</v>
      </c>
      <c r="AG112" s="65">
        <f>VLOOKUP($I112,'[17]Resumen OPE'!$A$57:$M$78,AG$1,0)</f>
        <v>35495.671212485096</v>
      </c>
      <c r="AH112" s="65">
        <f>VLOOKUP($I112,'[17]Resumen OPE'!$A$57:$M$78,AH$1,0)</f>
        <v>35824.602301965177</v>
      </c>
      <c r="AI112" s="65">
        <f>VLOOKUP($I112,'[17]Resumen OPE'!$A$57:$M$78,AI$1,0)</f>
        <v>35495.671212485096</v>
      </c>
      <c r="AJ112" s="65">
        <f>VLOOKUP($I112,'[17]Resumen OPE'!$A$57:$M$78,AJ$1,0)</f>
        <v>36584.271770747189</v>
      </c>
      <c r="AK112" s="65">
        <f t="shared" si="64"/>
        <v>427592.70999722159</v>
      </c>
      <c r="AL112" s="73">
        <f t="shared" si="29"/>
        <v>1.8597708406181404E-3</v>
      </c>
      <c r="AM112" s="14">
        <f t="shared" si="30"/>
        <v>0.20011800238100252</v>
      </c>
      <c r="AN112" s="9"/>
    </row>
    <row r="113" spans="1:40" ht="14.45" hidden="1" customHeight="1" outlineLevel="1">
      <c r="A113" s="12"/>
      <c r="I113" s="246" t="s">
        <v>220</v>
      </c>
      <c r="J113" s="65">
        <v>10558</v>
      </c>
      <c r="K113" s="65">
        <v>10670</v>
      </c>
      <c r="L113" s="65">
        <v>12506</v>
      </c>
      <c r="M113" s="65">
        <v>10869</v>
      </c>
      <c r="N113" s="65">
        <v>12189</v>
      </c>
      <c r="O113" s="65">
        <v>12142</v>
      </c>
      <c r="P113" s="65">
        <v>10955</v>
      </c>
      <c r="Q113" s="65">
        <v>11536</v>
      </c>
      <c r="R113" s="225">
        <v>12212</v>
      </c>
      <c r="S113" s="225">
        <v>10462</v>
      </c>
      <c r="T113" s="225">
        <f t="shared" si="73"/>
        <v>11403.333333333334</v>
      </c>
      <c r="U113" s="225">
        <f t="shared" si="74"/>
        <v>11359.111111111111</v>
      </c>
      <c r="V113" s="65">
        <f t="shared" si="75"/>
        <v>136861.44444444444</v>
      </c>
      <c r="W113" s="73">
        <f t="shared" si="27"/>
        <v>6.375518122956629E-4</v>
      </c>
      <c r="X113" s="89"/>
      <c r="Y113" s="65">
        <f>VLOOKUP($I113,'[17]Resumen OPE'!$A$57:$M$78,Y$1,0)</f>
        <v>12507.977246991328</v>
      </c>
      <c r="Z113" s="65">
        <f>VLOOKUP($I113,'[17]Resumen OPE'!$A$57:$M$78,Z$1,0)</f>
        <v>12507.977246991328</v>
      </c>
      <c r="AA113" s="65">
        <f>VLOOKUP($I113,'[17]Resumen OPE'!$A$57:$M$78,AA$1,0)</f>
        <v>12507.977246991328</v>
      </c>
      <c r="AB113" s="65">
        <f>VLOOKUP($I113,'[17]Resumen OPE'!$A$57:$M$78,AB$1,0)</f>
        <v>12507.977246991328</v>
      </c>
      <c r="AC113" s="65">
        <f>VLOOKUP($I113,'[17]Resumen OPE'!$A$57:$M$78,AC$1,0)</f>
        <v>12507.977246991328</v>
      </c>
      <c r="AD113" s="65">
        <f>VLOOKUP($I113,'[17]Resumen OPE'!$A$57:$M$78,AD$1,0)</f>
        <v>12507.977246991328</v>
      </c>
      <c r="AE113" s="65">
        <f>VLOOKUP($I113,'[17]Resumen OPE'!$A$57:$M$78,AE$1,0)</f>
        <v>12507.977246991328</v>
      </c>
      <c r="AF113" s="65">
        <f>VLOOKUP($I113,'[17]Resumen OPE'!$A$57:$M$78,AF$1,0)</f>
        <v>12507.977246991328</v>
      </c>
      <c r="AG113" s="65">
        <f>VLOOKUP($I113,'[17]Resumen OPE'!$A$57:$M$78,AG$1,0)</f>
        <v>12507.977246991328</v>
      </c>
      <c r="AH113" s="65">
        <f>VLOOKUP($I113,'[17]Resumen OPE'!$A$57:$M$78,AH$1,0)</f>
        <v>12507.977246991328</v>
      </c>
      <c r="AI113" s="65">
        <f>VLOOKUP($I113,'[17]Resumen OPE'!$A$57:$M$78,AI$1,0)</f>
        <v>12507.977246991328</v>
      </c>
      <c r="AJ113" s="65">
        <f>VLOOKUP($I113,'[17]Resumen OPE'!$A$57:$M$78,AJ$1,0)</f>
        <v>12507.977246991328</v>
      </c>
      <c r="AK113" s="65">
        <f t="shared" si="64"/>
        <v>150095.72696389593</v>
      </c>
      <c r="AL113" s="73">
        <f t="shared" si="29"/>
        <v>6.5282604165690624E-4</v>
      </c>
      <c r="AM113" s="14">
        <f t="shared" si="30"/>
        <v>9.6698398684690323E-2</v>
      </c>
      <c r="AN113" s="9"/>
    </row>
    <row r="114" spans="1:40" ht="14.45" customHeight="1" collapsed="1">
      <c r="A114" s="12"/>
      <c r="I114" s="167" t="s">
        <v>223</v>
      </c>
      <c r="J114" s="15">
        <v>302614</v>
      </c>
      <c r="K114" s="15">
        <v>63121</v>
      </c>
      <c r="L114" s="15">
        <v>158503</v>
      </c>
      <c r="M114" s="15">
        <v>213178</v>
      </c>
      <c r="N114" s="15">
        <v>269794</v>
      </c>
      <c r="O114" s="15">
        <v>176705</v>
      </c>
      <c r="P114" s="15">
        <v>220946</v>
      </c>
      <c r="Q114" s="15">
        <v>231801</v>
      </c>
      <c r="R114" s="15">
        <v>79364</v>
      </c>
      <c r="S114" s="15">
        <v>104392</v>
      </c>
      <c r="T114" s="15">
        <v>163251.00882181351</v>
      </c>
      <c r="U114" s="15">
        <v>168712.36920896446</v>
      </c>
      <c r="V114" s="15">
        <f t="shared" ref="V114" si="76">SUM(V115:V150)</f>
        <v>2155382.3780307779</v>
      </c>
      <c r="W114" s="72">
        <f t="shared" si="27"/>
        <v>1.0040577511670704E-2</v>
      </c>
      <c r="X114" s="89"/>
      <c r="Y114" s="15">
        <f>SUM(Y115:Y150)</f>
        <v>192359.08873655018</v>
      </c>
      <c r="Z114" s="15">
        <f t="shared" ref="Z114:AK114" si="77">SUM(Z115:Z150)</f>
        <v>212815.75866287138</v>
      </c>
      <c r="AA114" s="15">
        <f t="shared" si="77"/>
        <v>196201.392577191</v>
      </c>
      <c r="AB114" s="15">
        <f t="shared" si="77"/>
        <v>156133.40698134794</v>
      </c>
      <c r="AC114" s="15">
        <f t="shared" si="77"/>
        <v>162900.71211050235</v>
      </c>
      <c r="AD114" s="15">
        <f t="shared" si="77"/>
        <v>172029.0283052614</v>
      </c>
      <c r="AE114" s="15">
        <f t="shared" si="77"/>
        <v>200370.93468338458</v>
      </c>
      <c r="AF114" s="15">
        <f t="shared" si="77"/>
        <v>221030.89521455904</v>
      </c>
      <c r="AG114" s="15">
        <f t="shared" si="77"/>
        <v>175966.65717190065</v>
      </c>
      <c r="AH114" s="15">
        <f t="shared" si="77"/>
        <v>166007.13255652931</v>
      </c>
      <c r="AI114" s="15">
        <f t="shared" si="77"/>
        <v>173964.95460898918</v>
      </c>
      <c r="AJ114" s="15">
        <f t="shared" si="77"/>
        <v>164573.19664533506</v>
      </c>
      <c r="AK114" s="15">
        <f t="shared" si="77"/>
        <v>2194353.1582544222</v>
      </c>
      <c r="AL114" s="72">
        <f t="shared" si="29"/>
        <v>9.5441150476265491E-3</v>
      </c>
      <c r="AM114" s="10">
        <f t="shared" si="30"/>
        <v>1.8080680542284622E-2</v>
      </c>
      <c r="AN114" s="9"/>
    </row>
    <row r="115" spans="1:40" ht="14.45" hidden="1" customHeight="1" outlineLevel="1">
      <c r="A115" s="12"/>
      <c r="I115" s="246" t="s">
        <v>225</v>
      </c>
      <c r="J115" s="65">
        <v>0</v>
      </c>
      <c r="K115" s="65">
        <v>5896</v>
      </c>
      <c r="L115" s="65">
        <v>1310</v>
      </c>
      <c r="M115" s="65">
        <v>15001</v>
      </c>
      <c r="N115" s="65">
        <v>4770</v>
      </c>
      <c r="O115" s="65">
        <v>0</v>
      </c>
      <c r="P115" s="65">
        <v>3398</v>
      </c>
      <c r="Q115" s="65">
        <v>3300</v>
      </c>
      <c r="R115" s="65">
        <v>5878</v>
      </c>
      <c r="S115" s="65">
        <v>6600</v>
      </c>
      <c r="T115" s="65">
        <v>4452.24</v>
      </c>
      <c r="U115" s="65">
        <v>4452.24</v>
      </c>
      <c r="V115" s="65">
        <f t="shared" ref="V115:V150" si="78">SUM(J115:U115)</f>
        <v>55057.479999999996</v>
      </c>
      <c r="W115" s="73">
        <f t="shared" si="27"/>
        <v>2.5647834053571614E-4</v>
      </c>
      <c r="X115" s="89"/>
      <c r="Y115" s="65">
        <f>VLOOKUP($E$1,[18]Resumen!$V$8:$AI$14,Y1,0)+VLOOKUP($E$1,[6]Resumen!$C$32:$O$39,Y1,0)</f>
        <v>5483.0180999999993</v>
      </c>
      <c r="Z115" s="65">
        <f>VLOOKUP($E$1,[18]Resumen!$V$8:$AI$14,Z1,0)+VLOOKUP($E$1,[6]Resumen!$C$32:$O$39,Z1,0)</f>
        <v>5483.0180999999993</v>
      </c>
      <c r="AA115" s="65">
        <f>VLOOKUP($E$1,[18]Resumen!$V$8:$AI$14,AA1,0)+VLOOKUP($E$1,[6]Resumen!$C$32:$O$39,AA1,0)</f>
        <v>5483.0180999999993</v>
      </c>
      <c r="AB115" s="65">
        <f>VLOOKUP($E$1,[18]Resumen!$V$8:$AI$14,AB1,0)+VLOOKUP($E$1,[6]Resumen!$C$32:$O$39,AB1,0)</f>
        <v>5483.0180999999993</v>
      </c>
      <c r="AC115" s="65">
        <f>VLOOKUP($E$1,[18]Resumen!$V$8:$AI$14,AC1,0)+VLOOKUP($E$1,[6]Resumen!$C$32:$O$39,AC1,0)</f>
        <v>5483.0180999999993</v>
      </c>
      <c r="AD115" s="65">
        <f>VLOOKUP($E$1,[18]Resumen!$V$8:$AI$14,AD1,0)+VLOOKUP($E$1,[6]Resumen!$C$32:$O$39,AD1,0)</f>
        <v>5483.0180999999993</v>
      </c>
      <c r="AE115" s="65">
        <f>VLOOKUP($E$1,[18]Resumen!$V$8:$AI$14,AE1,0)+VLOOKUP($E$1,[6]Resumen!$C$32:$O$39,AE1,0)</f>
        <v>5483.0180999999993</v>
      </c>
      <c r="AF115" s="65">
        <f>VLOOKUP($E$1,[18]Resumen!$V$8:$AI$14,AF1,0)+VLOOKUP($E$1,[6]Resumen!$C$32:$O$39,AF1,0)</f>
        <v>5483.0180999999993</v>
      </c>
      <c r="AG115" s="65">
        <f>VLOOKUP($E$1,[18]Resumen!$V$8:$AI$14,AG1,0)+VLOOKUP($E$1,[6]Resumen!$C$32:$O$39,AG1,0)</f>
        <v>5483.0180999999993</v>
      </c>
      <c r="AH115" s="65">
        <f>VLOOKUP($E$1,[18]Resumen!$V$8:$AI$14,AH1,0)+VLOOKUP($E$1,[6]Resumen!$C$32:$O$39,AH1,0)</f>
        <v>5483.0180999999993</v>
      </c>
      <c r="AI115" s="65">
        <f>VLOOKUP($E$1,[18]Resumen!$V$8:$AI$14,AI1,0)+VLOOKUP($E$1,[6]Resumen!$C$32:$O$39,AI1,0)</f>
        <v>5483.0180999999993</v>
      </c>
      <c r="AJ115" s="65">
        <f>VLOOKUP($E$1,[18]Resumen!$V$8:$AI$14,AJ1,0)+VLOOKUP($E$1,[6]Resumen!$C$32:$O$39,AJ1,0)</f>
        <v>5483.0180999999993</v>
      </c>
      <c r="AK115" s="65">
        <f t="shared" si="64"/>
        <v>65796.217199999999</v>
      </c>
      <c r="AL115" s="73">
        <f t="shared" si="29"/>
        <v>2.8617392979485745E-4</v>
      </c>
      <c r="AM115" s="14">
        <f t="shared" si="30"/>
        <v>0.19504592654803687</v>
      </c>
      <c r="AN115" s="9"/>
    </row>
    <row r="116" spans="1:40" ht="14.45" hidden="1" customHeight="1" outlineLevel="1">
      <c r="A116" s="12"/>
      <c r="I116" s="246" t="s">
        <v>227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/>
      <c r="U116" s="65"/>
      <c r="V116" s="65">
        <f t="shared" si="78"/>
        <v>0</v>
      </c>
      <c r="W116" s="73">
        <f t="shared" si="27"/>
        <v>0</v>
      </c>
      <c r="X116" s="89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>
        <f t="shared" si="64"/>
        <v>0</v>
      </c>
      <c r="AL116" s="73">
        <f t="shared" si="29"/>
        <v>0</v>
      </c>
      <c r="AM116" s="14">
        <f t="shared" si="30"/>
        <v>0</v>
      </c>
      <c r="AN116" s="9"/>
    </row>
    <row r="117" spans="1:40" ht="14.45" hidden="1" customHeight="1" outlineLevel="1">
      <c r="A117" s="12"/>
      <c r="I117" s="246" t="s">
        <v>228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/>
      <c r="U117" s="65"/>
      <c r="V117" s="65">
        <f t="shared" si="78"/>
        <v>0</v>
      </c>
      <c r="W117" s="73">
        <f t="shared" si="27"/>
        <v>0</v>
      </c>
      <c r="X117" s="89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>
        <f t="shared" si="64"/>
        <v>0</v>
      </c>
      <c r="AL117" s="73">
        <f t="shared" si="29"/>
        <v>0</v>
      </c>
      <c r="AM117" s="14">
        <f t="shared" si="30"/>
        <v>0</v>
      </c>
      <c r="AN117" s="9"/>
    </row>
    <row r="118" spans="1:40" ht="14.45" hidden="1" customHeight="1" outlineLevel="1">
      <c r="A118" s="12"/>
      <c r="I118" s="246" t="s">
        <v>229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15080</v>
      </c>
      <c r="S118" s="65">
        <v>0</v>
      </c>
      <c r="T118" s="65">
        <v>0</v>
      </c>
      <c r="U118" s="65">
        <v>0</v>
      </c>
      <c r="V118" s="65">
        <f t="shared" si="78"/>
        <v>15080</v>
      </c>
      <c r="W118" s="73">
        <f t="shared" si="27"/>
        <v>7.0248281891554054E-5</v>
      </c>
      <c r="X118" s="89"/>
      <c r="Y118" s="65">
        <f>VLOOKUP($E$1,[9]Resumen!$V$22:$AH$28,Y1,0)</f>
        <v>0</v>
      </c>
      <c r="Z118" s="65">
        <f>VLOOKUP($E$1,[9]Resumen!$V$22:$AH$28,Z1,0)</f>
        <v>36228.5</v>
      </c>
      <c r="AA118" s="65">
        <f>VLOOKUP($E$1,[9]Resumen!$V$22:$AH$28,AA1,0)</f>
        <v>0</v>
      </c>
      <c r="AB118" s="65">
        <f>VLOOKUP($E$1,[9]Resumen!$V$22:$AH$28,AB1,0)</f>
        <v>0</v>
      </c>
      <c r="AC118" s="65">
        <f>VLOOKUP($E$1,[9]Resumen!$V$22:$AH$28,AC1,0)</f>
        <v>0</v>
      </c>
      <c r="AD118" s="65">
        <f>VLOOKUP($E$1,[9]Resumen!$V$22:$AH$28,AD1,0)</f>
        <v>0</v>
      </c>
      <c r="AE118" s="65">
        <f>VLOOKUP($E$1,[9]Resumen!$V$22:$AH$28,AE1,0)</f>
        <v>0</v>
      </c>
      <c r="AF118" s="65">
        <f>VLOOKUP($E$1,[9]Resumen!$V$22:$AH$28,AF1,0)</f>
        <v>0</v>
      </c>
      <c r="AG118" s="65">
        <f>VLOOKUP($E$1,[9]Resumen!$V$22:$AH$28,AG1,0)</f>
        <v>0</v>
      </c>
      <c r="AH118" s="65">
        <f>VLOOKUP($E$1,[9]Resumen!$V$22:$AH$28,AH1,0)</f>
        <v>0</v>
      </c>
      <c r="AI118" s="65">
        <f>VLOOKUP($E$1,[9]Resumen!$V$22:$AH$28,AI1,0)</f>
        <v>0</v>
      </c>
      <c r="AJ118" s="65">
        <f>VLOOKUP($E$1,[9]Resumen!$V$22:$AH$28,AJ1,0)</f>
        <v>0</v>
      </c>
      <c r="AK118" s="65">
        <f t="shared" si="64"/>
        <v>36228.5</v>
      </c>
      <c r="AL118" s="73">
        <f t="shared" si="29"/>
        <v>1.5757216230316952E-4</v>
      </c>
      <c r="AM118" s="14">
        <f t="shared" si="30"/>
        <v>1.402420424403183</v>
      </c>
      <c r="AN118" s="9"/>
    </row>
    <row r="119" spans="1:40" ht="14.45" hidden="1" customHeight="1" outlineLevel="1">
      <c r="A119" s="12"/>
      <c r="I119" s="246" t="s">
        <v>231</v>
      </c>
      <c r="J119" s="65">
        <v>0</v>
      </c>
      <c r="K119" s="65">
        <v>3611</v>
      </c>
      <c r="L119" s="65">
        <v>0</v>
      </c>
      <c r="M119" s="65">
        <v>2200</v>
      </c>
      <c r="N119" s="65">
        <v>0</v>
      </c>
      <c r="O119" s="65">
        <v>0</v>
      </c>
      <c r="P119" s="65">
        <v>11314</v>
      </c>
      <c r="Q119" s="65">
        <v>6900</v>
      </c>
      <c r="R119" s="65">
        <v>0</v>
      </c>
      <c r="S119" s="65">
        <v>0</v>
      </c>
      <c r="T119" s="65">
        <v>0</v>
      </c>
      <c r="U119" s="65">
        <v>0</v>
      </c>
      <c r="V119" s="65">
        <f t="shared" si="78"/>
        <v>24025</v>
      </c>
      <c r="W119" s="73">
        <f t="shared" si="27"/>
        <v>1.119174384910203E-4</v>
      </c>
      <c r="X119" s="89"/>
      <c r="Y119" s="65">
        <f>VLOOKUP($E$1,[9]Resumen!$V$34:$AH$40,Y1,0)</f>
        <v>0</v>
      </c>
      <c r="Z119" s="65">
        <f>VLOOKUP($E$1,[9]Resumen!$V$34:$AH$40,Z1,0)</f>
        <v>0</v>
      </c>
      <c r="AA119" s="65">
        <f>VLOOKUP($E$1,[9]Resumen!$V$34:$AH$40,AA1,0)</f>
        <v>0</v>
      </c>
      <c r="AB119" s="65">
        <f>VLOOKUP($E$1,[9]Resumen!$V$34:$AH$40,AB1,0)</f>
        <v>0</v>
      </c>
      <c r="AC119" s="65">
        <f>VLOOKUP($E$1,[9]Resumen!$V$34:$AH$40,AC1,0)</f>
        <v>0</v>
      </c>
      <c r="AD119" s="65">
        <f>VLOOKUP($E$1,[9]Resumen!$V$34:$AH$40,AD1,0)</f>
        <v>0</v>
      </c>
      <c r="AE119" s="65">
        <f>VLOOKUP($E$1,[9]Resumen!$V$34:$AH$40,AE1,0)</f>
        <v>22169.771799999999</v>
      </c>
      <c r="AF119" s="65">
        <f>VLOOKUP($E$1,[9]Resumen!$V$34:$AH$40,AF1,0)</f>
        <v>0</v>
      </c>
      <c r="AG119" s="65">
        <f>VLOOKUP($E$1,[9]Resumen!$V$34:$AH$40,AG1,0)</f>
        <v>0</v>
      </c>
      <c r="AH119" s="65">
        <f>VLOOKUP($E$1,[9]Resumen!$V$34:$AH$40,AH1,0)</f>
        <v>0</v>
      </c>
      <c r="AI119" s="65">
        <f>VLOOKUP($E$1,[9]Resumen!$V$34:$AH$40,AI1,0)</f>
        <v>0</v>
      </c>
      <c r="AJ119" s="65">
        <f>VLOOKUP($E$1,[9]Resumen!$V$34:$AH$40,AJ1,0)</f>
        <v>0</v>
      </c>
      <c r="AK119" s="65">
        <f t="shared" si="64"/>
        <v>22169.771799999999</v>
      </c>
      <c r="AL119" s="73">
        <f t="shared" si="29"/>
        <v>9.6425159205979562E-5</v>
      </c>
      <c r="AM119" s="14">
        <f t="shared" si="30"/>
        <v>-7.722073673257035E-2</v>
      </c>
      <c r="AN119" s="9"/>
    </row>
    <row r="120" spans="1:40" ht="14.45" hidden="1" customHeight="1" outlineLevel="1">
      <c r="A120" s="12"/>
      <c r="I120" s="246" t="s">
        <v>232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/>
      <c r="U120" s="65"/>
      <c r="V120" s="65">
        <f t="shared" si="78"/>
        <v>0</v>
      </c>
      <c r="W120" s="73">
        <f t="shared" si="27"/>
        <v>0</v>
      </c>
      <c r="X120" s="89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>
        <f t="shared" si="64"/>
        <v>0</v>
      </c>
      <c r="AL120" s="73">
        <f t="shared" si="29"/>
        <v>0</v>
      </c>
      <c r="AM120" s="14">
        <f t="shared" si="30"/>
        <v>0</v>
      </c>
      <c r="AN120" s="9"/>
    </row>
    <row r="121" spans="1:40" ht="14.45" hidden="1" customHeight="1" outlineLevel="1">
      <c r="A121" s="12"/>
      <c r="E121" s="7" t="s">
        <v>254</v>
      </c>
      <c r="I121" s="246" t="s">
        <v>233</v>
      </c>
      <c r="J121" s="65">
        <v>37688</v>
      </c>
      <c r="K121" s="65">
        <v>0</v>
      </c>
      <c r="L121" s="65">
        <v>0</v>
      </c>
      <c r="M121" s="65">
        <v>2496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f t="shared" si="78"/>
        <v>40184</v>
      </c>
      <c r="W121" s="73">
        <f>V121/V$6</f>
        <v>1.8719210606964244E-4</v>
      </c>
      <c r="X121" s="89"/>
      <c r="Y121" s="65">
        <f>VLOOKUP($E$1,[8]Resumen!$V$68:$AH$74,Y1,0)</f>
        <v>39010.8488</v>
      </c>
      <c r="Z121" s="65">
        <f>VLOOKUP($E$1,[8]Resumen!$V$68:$AH$74,Z1,0)</f>
        <v>0</v>
      </c>
      <c r="AA121" s="65">
        <f>VLOOKUP($E$1,[8]Resumen!$V$68:$AH$74,AA1,0)</f>
        <v>0</v>
      </c>
      <c r="AB121" s="65">
        <f>VLOOKUP($E$1,[8]Resumen!$V$68:$AH$74,AB1,0)</f>
        <v>0</v>
      </c>
      <c r="AC121" s="65">
        <f>VLOOKUP($E$1,[8]Resumen!$V$68:$AH$74,AC1,0)</f>
        <v>0</v>
      </c>
      <c r="AD121" s="65">
        <f>VLOOKUP($E$1,[8]Resumen!$V$68:$AH$74,AD1,0)</f>
        <v>0</v>
      </c>
      <c r="AE121" s="65">
        <f>VLOOKUP($E$1,[8]Resumen!$V$68:$AH$74,AE1,0)</f>
        <v>0</v>
      </c>
      <c r="AF121" s="65">
        <f>VLOOKUP($E$1,[8]Resumen!$V$68:$AH$74,AF1,0)</f>
        <v>0</v>
      </c>
      <c r="AG121" s="65">
        <f>VLOOKUP($E$1,[8]Resumen!$V$68:$AH$74,AG1,0)</f>
        <v>0</v>
      </c>
      <c r="AH121" s="65">
        <f>VLOOKUP($E$1,[8]Resumen!$V$68:$AH$74,AH1,0)</f>
        <v>0</v>
      </c>
      <c r="AI121" s="65">
        <f>VLOOKUP($E$1,[8]Resumen!$V$68:$AH$74,AI1,0)</f>
        <v>0</v>
      </c>
      <c r="AJ121" s="65">
        <f>VLOOKUP($E$1,[8]Resumen!$V$68:$AH$74,AJ1,0)</f>
        <v>0</v>
      </c>
      <c r="AK121" s="65">
        <f t="shared" si="64"/>
        <v>39010.8488</v>
      </c>
      <c r="AL121" s="73">
        <f>AK121/AK$6</f>
        <v>1.6967370436805294E-4</v>
      </c>
      <c r="AM121" s="14">
        <f>IFERROR(AK121/V121-1,0)</f>
        <v>-2.9194485367310397E-2</v>
      </c>
      <c r="AN121" s="9"/>
    </row>
    <row r="122" spans="1:40" ht="14.45" hidden="1" customHeight="1" outlineLevel="1">
      <c r="A122" s="12"/>
      <c r="I122" s="246" t="s">
        <v>234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/>
      <c r="U122" s="65"/>
      <c r="V122" s="65">
        <f t="shared" si="78"/>
        <v>0</v>
      </c>
      <c r="W122" s="73">
        <f>V122/V$6</f>
        <v>0</v>
      </c>
      <c r="X122" s="89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>
        <f t="shared" si="64"/>
        <v>0</v>
      </c>
      <c r="AL122" s="73">
        <f>AK122/AK$6</f>
        <v>0</v>
      </c>
      <c r="AM122" s="14">
        <f>IFERROR(AK122/V122-1,0)</f>
        <v>0</v>
      </c>
      <c r="AN122" s="9"/>
    </row>
    <row r="123" spans="1:40" ht="14.45" hidden="1" customHeight="1" outlineLevel="1">
      <c r="A123" s="12"/>
      <c r="I123" s="246" t="s">
        <v>235</v>
      </c>
      <c r="J123" s="65">
        <v>6100</v>
      </c>
      <c r="K123" s="65">
        <v>0</v>
      </c>
      <c r="L123" s="65"/>
      <c r="M123" s="65">
        <v>0</v>
      </c>
      <c r="N123" s="65"/>
      <c r="O123" s="65"/>
      <c r="P123" s="65"/>
      <c r="Q123" s="65"/>
      <c r="R123" s="65"/>
      <c r="S123" s="65"/>
      <c r="T123" s="65">
        <v>0</v>
      </c>
      <c r="U123" s="65">
        <v>0</v>
      </c>
      <c r="V123" s="65">
        <f t="shared" si="78"/>
        <v>6100</v>
      </c>
      <c r="W123" s="73">
        <f>V123/V$6</f>
        <v>2.8416082197511916E-5</v>
      </c>
      <c r="X123" s="89"/>
      <c r="Y123" s="65">
        <f>VLOOKUP($E$1,[9]Resumen!$V$46:$AH$52,Y1,0)</f>
        <v>0</v>
      </c>
      <c r="Z123" s="65">
        <f>VLOOKUP($E$1,[9]Resumen!$V$46:$AH$52,Z1,0)</f>
        <v>6314.11</v>
      </c>
      <c r="AA123" s="65">
        <f>VLOOKUP($E$1,[9]Resumen!$V$46:$AH$52,AA1,0)</f>
        <v>0</v>
      </c>
      <c r="AB123" s="65">
        <f>VLOOKUP($E$1,[9]Resumen!$V$46:$AH$52,AB1,0)</f>
        <v>0</v>
      </c>
      <c r="AC123" s="65">
        <f>VLOOKUP($E$1,[9]Resumen!$V$46:$AH$52,AC1,0)</f>
        <v>0</v>
      </c>
      <c r="AD123" s="65">
        <f>VLOOKUP($E$1,[9]Resumen!$V$46:$AH$52,AD1,0)</f>
        <v>0</v>
      </c>
      <c r="AE123" s="65">
        <f>VLOOKUP($E$1,[9]Resumen!$V$46:$AH$52,AE1,0)</f>
        <v>0</v>
      </c>
      <c r="AF123" s="65">
        <f>VLOOKUP($E$1,[9]Resumen!$V$46:$AH$52,AF1,0)</f>
        <v>0</v>
      </c>
      <c r="AG123" s="65">
        <f>VLOOKUP($E$1,[9]Resumen!$V$46:$AH$52,AG1,0)</f>
        <v>0</v>
      </c>
      <c r="AH123" s="65">
        <f>VLOOKUP($E$1,[9]Resumen!$V$46:$AH$52,AH1,0)</f>
        <v>0</v>
      </c>
      <c r="AI123" s="65">
        <f>VLOOKUP($E$1,[9]Resumen!$V$46:$AH$52,AI1,0)</f>
        <v>0</v>
      </c>
      <c r="AJ123" s="65">
        <f>VLOOKUP($E$1,[9]Resumen!$V$46:$AH$52,AJ1,0)</f>
        <v>0</v>
      </c>
      <c r="AK123" s="65">
        <f t="shared" si="64"/>
        <v>6314.11</v>
      </c>
      <c r="AL123" s="73">
        <f>AK123/AK$6</f>
        <v>2.74625768585524E-5</v>
      </c>
      <c r="AM123" s="14">
        <f>IFERROR(AK123/V123-1,0)</f>
        <v>3.5099999999999909E-2</v>
      </c>
      <c r="AN123" s="9"/>
    </row>
    <row r="124" spans="1:40" ht="14.45" hidden="1" customHeight="1" outlineLevel="1">
      <c r="A124" s="12"/>
      <c r="I124" s="246" t="s">
        <v>236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/>
      <c r="U124" s="65"/>
      <c r="V124" s="65">
        <f t="shared" si="78"/>
        <v>0</v>
      </c>
      <c r="W124" s="73">
        <f>V124/V$6</f>
        <v>0</v>
      </c>
      <c r="X124" s="89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>
        <f t="shared" si="64"/>
        <v>0</v>
      </c>
      <c r="AL124" s="73">
        <f>AK124/AK$6</f>
        <v>0</v>
      </c>
      <c r="AM124" s="14">
        <f>IFERROR(AK124/V124-1,0)</f>
        <v>0</v>
      </c>
      <c r="AN124" s="9"/>
    </row>
    <row r="125" spans="1:40" ht="14.45" hidden="1" customHeight="1" outlineLevel="1">
      <c r="A125" s="12"/>
      <c r="I125" s="246" t="s">
        <v>237</v>
      </c>
      <c r="J125" s="65">
        <v>30371</v>
      </c>
      <c r="K125" s="65">
        <v>19016</v>
      </c>
      <c r="L125" s="65">
        <v>31856</v>
      </c>
      <c r="M125" s="65">
        <v>26095</v>
      </c>
      <c r="N125" s="65">
        <v>108756</v>
      </c>
      <c r="O125" s="65">
        <v>40050</v>
      </c>
      <c r="P125" s="65">
        <v>46705</v>
      </c>
      <c r="Q125" s="65">
        <v>49699</v>
      </c>
      <c r="R125" s="65">
        <v>15626</v>
      </c>
      <c r="S125" s="65">
        <v>58169</v>
      </c>
      <c r="T125" s="65">
        <v>7427.9191999999994</v>
      </c>
      <c r="U125" s="65">
        <v>7636.0024000000003</v>
      </c>
      <c r="V125" s="65">
        <f t="shared" ref="V125:V136" si="79">SUM(J125:U125)</f>
        <v>441406.9216</v>
      </c>
      <c r="W125" s="73">
        <f t="shared" ref="W125:W136" si="80">V125/V$6</f>
        <v>2.0562385847108689E-3</v>
      </c>
      <c r="X125" s="89"/>
      <c r="Y125" s="65">
        <f>VLOOKUP($E$1,[9]Resumen!$V$58:$AH$64,Y1,0)</f>
        <v>12903.416064472998</v>
      </c>
      <c r="Z125" s="65">
        <f>VLOOKUP($E$1,[9]Resumen!$V$58:$AH$64,Z1,0)</f>
        <v>9033.165790794199</v>
      </c>
      <c r="AA125" s="65">
        <f>VLOOKUP($E$1,[9]Resumen!$V$58:$AH$64,AA1,0)</f>
        <v>12084.710540781998</v>
      </c>
      <c r="AB125" s="65">
        <f>VLOOKUP($E$1,[9]Resumen!$V$58:$AH$64,AB1,0)</f>
        <v>9881.6438906096992</v>
      </c>
      <c r="AC125" s="65">
        <f>VLOOKUP($E$1,[9]Resumen!$V$58:$AH$64,AC1,0)</f>
        <v>11117.14779329</v>
      </c>
      <c r="AD125" s="65">
        <f>VLOOKUP($E$1,[9]Resumen!$V$58:$AH$64,AD1,0)</f>
        <v>9658.3594709249992</v>
      </c>
      <c r="AE125" s="65">
        <f>VLOOKUP($E$1,[9]Resumen!$V$58:$AH$64,AE1,0)</f>
        <v>13201.128390119999</v>
      </c>
      <c r="AF125" s="65">
        <f>VLOOKUP($E$1,[9]Resumen!$V$58:$AH$64,AF1,0)</f>
        <v>9286.2199535347008</v>
      </c>
      <c r="AG125" s="65">
        <f>VLOOKUP($E$1,[9]Resumen!$V$58:$AH$64,AG1,0)</f>
        <v>14503.617409511999</v>
      </c>
      <c r="AH125" s="65">
        <f>VLOOKUP($E$1,[9]Resumen!$V$58:$AH$64,AH1,0)</f>
        <v>9683.1162640145994</v>
      </c>
      <c r="AI125" s="65">
        <f>VLOOKUP($E$1,[9]Resumen!$V$58:$AH$64,AI1,0)</f>
        <v>9099.1585861186995</v>
      </c>
      <c r="AJ125" s="65">
        <f>VLOOKUP($E$1,[9]Resumen!$V$58:$AH$64,AJ1,0)</f>
        <v>9286.2199535347008</v>
      </c>
      <c r="AK125" s="65">
        <f t="shared" si="64"/>
        <v>129737.9041077086</v>
      </c>
      <c r="AL125" s="73">
        <f t="shared" ref="AL125:AL135" si="81">AK125/AK$6</f>
        <v>5.6428176940621065E-4</v>
      </c>
      <c r="AM125" s="14">
        <f t="shared" ref="AM125:AM135" si="82">IFERROR(AK125/V125-1,0)</f>
        <v>-0.7060809476266523</v>
      </c>
      <c r="AN125" s="9"/>
    </row>
    <row r="126" spans="1:40" ht="14.45" hidden="1" customHeight="1" outlineLevel="1">
      <c r="A126" s="12"/>
      <c r="I126" s="246" t="s">
        <v>238</v>
      </c>
      <c r="J126" s="65">
        <v>2028</v>
      </c>
      <c r="K126" s="65">
        <v>0</v>
      </c>
      <c r="L126" s="65">
        <v>861</v>
      </c>
      <c r="M126" s="65">
        <v>0</v>
      </c>
      <c r="N126" s="65">
        <v>0</v>
      </c>
      <c r="O126" s="65">
        <v>431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2111.2000000000003</v>
      </c>
      <c r="V126" s="65">
        <f t="shared" si="79"/>
        <v>5431.2000000000007</v>
      </c>
      <c r="W126" s="73">
        <f t="shared" si="80"/>
        <v>2.5300561578873239E-5</v>
      </c>
      <c r="X126" s="89"/>
      <c r="Y126" s="65">
        <f>VLOOKUP($E$1,[9]Resumen!$V$70:$AH$76,Y1,0)</f>
        <v>0</v>
      </c>
      <c r="Z126" s="65">
        <f>VLOOKUP($E$1,[9]Resumen!$V$70:$AH$76,Z1,0)</f>
        <v>455.44399999999996</v>
      </c>
      <c r="AA126" s="65">
        <f>VLOOKUP($E$1,[9]Resumen!$V$70:$AH$76,AA1,0)</f>
        <v>455.44399999999996</v>
      </c>
      <c r="AB126" s="65">
        <f>VLOOKUP($E$1,[9]Resumen!$V$70:$AH$76,AB1,0)</f>
        <v>0</v>
      </c>
      <c r="AC126" s="65">
        <f>VLOOKUP($E$1,[9]Resumen!$V$70:$AH$76,AC1,0)</f>
        <v>0</v>
      </c>
      <c r="AD126" s="65">
        <f>VLOOKUP($E$1,[9]Resumen!$V$70:$AH$76,AD1,0)</f>
        <v>455.44399999999996</v>
      </c>
      <c r="AE126" s="65">
        <f>VLOOKUP($E$1,[9]Resumen!$V$70:$AH$76,AE1,0)</f>
        <v>0</v>
      </c>
      <c r="AF126" s="65">
        <f>VLOOKUP($E$1,[9]Resumen!$V$70:$AH$76,AF1,0)</f>
        <v>455.44399999999996</v>
      </c>
      <c r="AG126" s="65">
        <f>VLOOKUP($E$1,[9]Resumen!$V$70:$AH$76,AG1,0)</f>
        <v>455.44399999999996</v>
      </c>
      <c r="AH126" s="65">
        <f>VLOOKUP($E$1,[9]Resumen!$V$70:$AH$76,AH1,0)</f>
        <v>1366.3319999999999</v>
      </c>
      <c r="AI126" s="65">
        <f>VLOOKUP($E$1,[9]Resumen!$V$70:$AH$76,AI1,0)</f>
        <v>455.44399999999996</v>
      </c>
      <c r="AJ126" s="65">
        <f>VLOOKUP($E$1,[9]Resumen!$V$70:$AH$76,AJ1,0)</f>
        <v>2277.2199999999998</v>
      </c>
      <c r="AK126" s="65">
        <f t="shared" si="64"/>
        <v>6376.2159999999985</v>
      </c>
      <c r="AL126" s="73">
        <f t="shared" si="81"/>
        <v>2.7732700565357829E-5</v>
      </c>
      <c r="AM126" s="14">
        <f t="shared" si="82"/>
        <v>0.17399764324642764</v>
      </c>
      <c r="AN126" s="9"/>
    </row>
    <row r="127" spans="1:40" ht="14.45" hidden="1" customHeight="1" outlineLevel="1">
      <c r="A127" s="12"/>
      <c r="I127" s="250" t="s">
        <v>239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6998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f t="shared" si="79"/>
        <v>6998</v>
      </c>
      <c r="W127" s="73">
        <f t="shared" si="80"/>
        <v>3.2599302166916133E-5</v>
      </c>
      <c r="X127" s="89"/>
      <c r="Y127" s="65">
        <f>VLOOKUP($E$1,[8]Resumen!$V$80:$AH$86,Y1,0)</f>
        <v>0</v>
      </c>
      <c r="Z127" s="65">
        <f>VLOOKUP($E$1,[8]Resumen!$V$80:$AH$86,Z1,0)</f>
        <v>0</v>
      </c>
      <c r="AA127" s="65">
        <f>VLOOKUP($E$1,[8]Resumen!$V$80:$AH$86,AA1,0)</f>
        <v>0</v>
      </c>
      <c r="AB127" s="65">
        <f>VLOOKUP($E$1,[8]Resumen!$V$80:$AH$86,AB1,0)</f>
        <v>0</v>
      </c>
      <c r="AC127" s="65">
        <f>VLOOKUP($E$1,[8]Resumen!$V$80:$AH$86,AC1,0)</f>
        <v>0</v>
      </c>
      <c r="AD127" s="65">
        <f>VLOOKUP($E$1,[8]Resumen!$V$80:$AH$86,AD1,0)</f>
        <v>0</v>
      </c>
      <c r="AE127" s="65">
        <f>VLOOKUP($E$1,[8]Resumen!$V$80:$AH$86,AE1,0)</f>
        <v>4201.305284</v>
      </c>
      <c r="AF127" s="65">
        <f>VLOOKUP($E$1,[8]Resumen!$V$80:$AH$86,AF1,0)</f>
        <v>0</v>
      </c>
      <c r="AG127" s="65">
        <f>VLOOKUP($E$1,[8]Resumen!$V$80:$AH$86,AG1,0)</f>
        <v>0</v>
      </c>
      <c r="AH127" s="65">
        <f>VLOOKUP($E$1,[8]Resumen!$V$80:$AH$86,AH1,0)</f>
        <v>0</v>
      </c>
      <c r="AI127" s="65">
        <f>VLOOKUP($E$1,[8]Resumen!$V$80:$AH$86,AI1,0)</f>
        <v>0</v>
      </c>
      <c r="AJ127" s="65">
        <f>VLOOKUP($E$1,[8]Resumen!$V$80:$AH$86,AJ1,0)</f>
        <v>0</v>
      </c>
      <c r="AK127" s="65">
        <f t="shared" si="64"/>
        <v>4201.305284</v>
      </c>
      <c r="AL127" s="73">
        <f t="shared" si="81"/>
        <v>1.827314843550276E-5</v>
      </c>
      <c r="AM127" s="14">
        <f t="shared" si="82"/>
        <v>-0.39964199999999994</v>
      </c>
      <c r="AN127" s="9"/>
    </row>
    <row r="128" spans="1:40" ht="14.45" hidden="1" customHeight="1" outlineLevel="1">
      <c r="A128" s="12"/>
      <c r="I128" s="246" t="s">
        <v>240</v>
      </c>
      <c r="J128" s="65">
        <v>0</v>
      </c>
      <c r="K128" s="65">
        <v>0</v>
      </c>
      <c r="L128" s="65">
        <v>0</v>
      </c>
      <c r="M128" s="65">
        <v>12000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3640</v>
      </c>
      <c r="U128" s="65">
        <v>0</v>
      </c>
      <c r="V128" s="65">
        <f t="shared" si="79"/>
        <v>15640</v>
      </c>
      <c r="W128" s="73">
        <f t="shared" si="80"/>
        <v>7.2856971404768265E-5</v>
      </c>
      <c r="X128" s="89"/>
      <c r="Y128" s="65">
        <f>VLOOKUP($E$1,[6]Resumen!$C$45:$O$51,Y1,0)+VLOOKUP($E$1,[9]Resumen!$V$82:$AH$88,Y1,0)</f>
        <v>0</v>
      </c>
      <c r="Z128" s="65">
        <f>VLOOKUP($E$1,[6]Resumen!$C$45:$O$51,Z1,0)+VLOOKUP($E$1,[9]Resumen!$V$82:$AH$88,Z1,0)</f>
        <v>12731.73</v>
      </c>
      <c r="AA128" s="65">
        <f>VLOOKUP($E$1,[6]Resumen!$C$45:$O$51,AA1,0)+VLOOKUP($E$1,[9]Resumen!$V$82:$AH$88,AA1,0)</f>
        <v>0</v>
      </c>
      <c r="AB128" s="65">
        <f>VLOOKUP($E$1,[6]Resumen!$C$45:$O$51,AB1,0)+VLOOKUP($E$1,[9]Resumen!$V$82:$AH$88,AB1,0)</f>
        <v>0</v>
      </c>
      <c r="AC128" s="65">
        <f>VLOOKUP($E$1,[6]Resumen!$C$45:$O$51,AC1,0)+VLOOKUP($E$1,[9]Resumen!$V$82:$AH$88,AC1,0)</f>
        <v>0</v>
      </c>
      <c r="AD128" s="65">
        <f>VLOOKUP($E$1,[6]Resumen!$C$45:$O$51,AD1,0)+VLOOKUP($E$1,[9]Resumen!$V$82:$AH$88,AD1,0)</f>
        <v>0</v>
      </c>
      <c r="AE128" s="65">
        <f>VLOOKUP($E$1,[6]Resumen!$C$45:$O$51,AE1,0)+VLOOKUP($E$1,[9]Resumen!$V$82:$AH$88,AE1,0)</f>
        <v>0</v>
      </c>
      <c r="AF128" s="65">
        <f>VLOOKUP($E$1,[6]Resumen!$C$45:$O$51,AF1,0)+VLOOKUP($E$1,[9]Resumen!$V$82:$AH$88,AF1,0)</f>
        <v>12731.73</v>
      </c>
      <c r="AG128" s="65">
        <f>VLOOKUP($E$1,[6]Resumen!$C$45:$O$51,AG1,0)+VLOOKUP($E$1,[9]Resumen!$V$82:$AH$88,AG1,0)</f>
        <v>0</v>
      </c>
      <c r="AH128" s="65">
        <f>VLOOKUP($E$1,[6]Resumen!$C$45:$O$51,AH1,0)+VLOOKUP($E$1,[9]Resumen!$V$82:$AH$88,AH1,0)</f>
        <v>0</v>
      </c>
      <c r="AI128" s="65">
        <f>VLOOKUP($E$1,[6]Resumen!$C$45:$O$51,AI1,0)+VLOOKUP($E$1,[9]Resumen!$V$82:$AH$88,AI1,0)</f>
        <v>0</v>
      </c>
      <c r="AJ128" s="65">
        <f>VLOOKUP($E$1,[6]Resumen!$C$45:$O$51,AJ1,0)+VLOOKUP($E$1,[9]Resumen!$V$82:$AH$88,AJ1,0)</f>
        <v>0</v>
      </c>
      <c r="AK128" s="65">
        <f t="shared" si="64"/>
        <v>25463.46</v>
      </c>
      <c r="AL128" s="73">
        <f t="shared" si="81"/>
        <v>1.1075071979022771E-4</v>
      </c>
      <c r="AM128" s="14">
        <f t="shared" si="82"/>
        <v>0.62809846547314563</v>
      </c>
      <c r="AN128" s="9"/>
    </row>
    <row r="129" spans="1:40" ht="14.45" hidden="1" customHeight="1" outlineLevel="1">
      <c r="A129" s="12"/>
      <c r="I129" s="246" t="s">
        <v>241</v>
      </c>
      <c r="J129" s="65">
        <v>0</v>
      </c>
      <c r="K129" s="65">
        <v>13200</v>
      </c>
      <c r="L129" s="65">
        <v>0</v>
      </c>
      <c r="M129" s="65">
        <v>2500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f t="shared" si="79"/>
        <v>15700</v>
      </c>
      <c r="W129" s="73">
        <f t="shared" si="80"/>
        <v>7.3136473852612638E-5</v>
      </c>
      <c r="X129" s="89"/>
      <c r="Y129" s="65">
        <f>VLOOKUP($E$1,[9]Resumen!$V$94:$AH$100,Y1,0)</f>
        <v>0</v>
      </c>
      <c r="Z129" s="65">
        <f>VLOOKUP($E$1,[9]Resumen!$V$94:$AH$100,Z1,0)</f>
        <v>0</v>
      </c>
      <c r="AA129" s="65">
        <f>VLOOKUP($E$1,[9]Resumen!$V$94:$AH$100,AA1,0)</f>
        <v>0</v>
      </c>
      <c r="AB129" s="65">
        <f>VLOOKUP($E$1,[9]Resumen!$V$94:$AH$100,AB1,0)</f>
        <v>0</v>
      </c>
      <c r="AC129" s="65">
        <f>VLOOKUP($E$1,[9]Resumen!$V$94:$AH$100,AC1,0)</f>
        <v>0</v>
      </c>
      <c r="AD129" s="65">
        <f>VLOOKUP($E$1,[9]Resumen!$V$94:$AH$100,AD1,0)</f>
        <v>0</v>
      </c>
      <c r="AE129" s="65">
        <f>VLOOKUP($E$1,[9]Resumen!$V$94:$AH$100,AE1,0)</f>
        <v>0</v>
      </c>
      <c r="AF129" s="65">
        <f>VLOOKUP($E$1,[9]Resumen!$V$94:$AH$100,AF1,0)</f>
        <v>0</v>
      </c>
      <c r="AG129" s="65">
        <f>VLOOKUP($E$1,[9]Resumen!$V$94:$AH$100,AG1,0)</f>
        <v>0</v>
      </c>
      <c r="AH129" s="65">
        <f>VLOOKUP($E$1,[9]Resumen!$V$94:$AH$100,AH1,0)</f>
        <v>0</v>
      </c>
      <c r="AI129" s="65">
        <f>VLOOKUP($E$1,[9]Resumen!$V$94:$AH$100,AI1,0)</f>
        <v>0</v>
      </c>
      <c r="AJ129" s="65">
        <f>VLOOKUP($E$1,[9]Resumen!$V$94:$AH$100,AJ1,0)</f>
        <v>0</v>
      </c>
      <c r="AK129" s="65">
        <f t="shared" si="64"/>
        <v>0</v>
      </c>
      <c r="AL129" s="73">
        <f t="shared" si="81"/>
        <v>0</v>
      </c>
      <c r="AM129" s="14">
        <f t="shared" si="82"/>
        <v>-1</v>
      </c>
      <c r="AN129" s="9"/>
    </row>
    <row r="130" spans="1:40" ht="14.45" hidden="1" customHeight="1" outlineLevel="1">
      <c r="A130" s="12" t="s">
        <v>263</v>
      </c>
      <c r="B130" s="8" t="s">
        <v>88</v>
      </c>
      <c r="I130" s="246" t="s">
        <v>242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/>
      <c r="U130" s="65"/>
      <c r="V130" s="65">
        <f t="shared" si="79"/>
        <v>0</v>
      </c>
      <c r="W130" s="73">
        <f t="shared" si="80"/>
        <v>0</v>
      </c>
      <c r="X130" s="89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>
        <f t="shared" si="64"/>
        <v>0</v>
      </c>
      <c r="AL130" s="73">
        <f t="shared" si="81"/>
        <v>0</v>
      </c>
      <c r="AM130" s="14">
        <f t="shared" si="82"/>
        <v>0</v>
      </c>
      <c r="AN130" s="9"/>
    </row>
    <row r="131" spans="1:40" ht="14.45" hidden="1" customHeight="1" outlineLevel="1">
      <c r="A131" s="12" t="s">
        <v>263</v>
      </c>
      <c r="B131" s="8" t="s">
        <v>88</v>
      </c>
      <c r="I131" s="246" t="s">
        <v>243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f t="shared" si="79"/>
        <v>0</v>
      </c>
      <c r="W131" s="73">
        <f t="shared" si="80"/>
        <v>0</v>
      </c>
      <c r="X131" s="89"/>
      <c r="Y131" s="65">
        <f>VLOOKUP($E$1,[9]Resumen!$V$106:$AH$112,Y1,0)</f>
        <v>0</v>
      </c>
      <c r="Z131" s="65">
        <f>VLOOKUP($E$1,[9]Resumen!$V$106:$AH$112,Z1,0)</f>
        <v>0</v>
      </c>
      <c r="AA131" s="65">
        <f>VLOOKUP($E$1,[9]Resumen!$V$106:$AH$112,AA1,0)</f>
        <v>0</v>
      </c>
      <c r="AB131" s="65">
        <f>VLOOKUP($E$1,[9]Resumen!$V$106:$AH$112,AB1,0)</f>
        <v>0</v>
      </c>
      <c r="AC131" s="65">
        <f>VLOOKUP($E$1,[9]Resumen!$V$106:$AH$112,AC1,0)</f>
        <v>0</v>
      </c>
      <c r="AD131" s="65">
        <f>VLOOKUP($E$1,[9]Resumen!$V$106:$AH$112,AD1,0)</f>
        <v>0</v>
      </c>
      <c r="AE131" s="65">
        <f>VLOOKUP($E$1,[9]Resumen!$V$106:$AH$112,AE1,0)</f>
        <v>0</v>
      </c>
      <c r="AF131" s="65">
        <f>VLOOKUP($E$1,[9]Resumen!$V$106:$AH$112,AF1,0)</f>
        <v>0</v>
      </c>
      <c r="AG131" s="65">
        <f>VLOOKUP($E$1,[9]Resumen!$V$106:$AH$112,AG1,0)</f>
        <v>0</v>
      </c>
      <c r="AH131" s="65">
        <f>VLOOKUP($E$1,[9]Resumen!$V$106:$AH$112,AH1,0)</f>
        <v>0</v>
      </c>
      <c r="AI131" s="65">
        <f>VLOOKUP($E$1,[9]Resumen!$V$106:$AH$112,AI1,0)</f>
        <v>0</v>
      </c>
      <c r="AJ131" s="65">
        <f>VLOOKUP($E$1,[9]Resumen!$V$106:$AH$112,AJ1,0)</f>
        <v>0</v>
      </c>
      <c r="AK131" s="65">
        <f t="shared" si="64"/>
        <v>0</v>
      </c>
      <c r="AL131" s="73">
        <f t="shared" si="81"/>
        <v>0</v>
      </c>
      <c r="AM131" s="14">
        <f t="shared" si="82"/>
        <v>0</v>
      </c>
      <c r="AN131" s="9"/>
    </row>
    <row r="132" spans="1:40" ht="14.45" hidden="1" customHeight="1" outlineLevel="1">
      <c r="A132" s="12" t="s">
        <v>263</v>
      </c>
      <c r="B132" s="8" t="s">
        <v>88</v>
      </c>
      <c r="I132" s="246" t="s">
        <v>244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/>
      <c r="U132" s="65"/>
      <c r="V132" s="65">
        <f t="shared" si="79"/>
        <v>0</v>
      </c>
      <c r="W132" s="73">
        <f t="shared" si="80"/>
        <v>0</v>
      </c>
      <c r="X132" s="89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>
        <f t="shared" si="64"/>
        <v>0</v>
      </c>
      <c r="AL132" s="73">
        <f t="shared" si="81"/>
        <v>0</v>
      </c>
      <c r="AM132" s="14">
        <f t="shared" si="82"/>
        <v>0</v>
      </c>
      <c r="AN132" s="9"/>
    </row>
    <row r="133" spans="1:40" ht="14.45" hidden="1" customHeight="1" outlineLevel="1">
      <c r="A133" s="12" t="s">
        <v>263</v>
      </c>
      <c r="B133" s="8" t="s">
        <v>88</v>
      </c>
      <c r="I133" s="246" t="s">
        <v>245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/>
      <c r="U133" s="65"/>
      <c r="V133" s="65">
        <f t="shared" si="79"/>
        <v>0</v>
      </c>
      <c r="W133" s="73">
        <f t="shared" si="80"/>
        <v>0</v>
      </c>
      <c r="X133" s="89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>
        <f t="shared" si="64"/>
        <v>0</v>
      </c>
      <c r="AL133" s="73">
        <f t="shared" si="81"/>
        <v>0</v>
      </c>
      <c r="AM133" s="14">
        <f t="shared" si="82"/>
        <v>0</v>
      </c>
      <c r="AN133" s="9"/>
    </row>
    <row r="134" spans="1:40" ht="14.45" hidden="1" customHeight="1" outlineLevel="1">
      <c r="A134" s="12" t="s">
        <v>263</v>
      </c>
      <c r="B134" s="8" t="s">
        <v>88</v>
      </c>
      <c r="I134" s="246" t="s">
        <v>246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/>
      <c r="U134" s="65"/>
      <c r="V134" s="65">
        <f t="shared" si="79"/>
        <v>0</v>
      </c>
      <c r="W134" s="73">
        <f t="shared" si="80"/>
        <v>0</v>
      </c>
      <c r="X134" s="89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>
        <f t="shared" si="64"/>
        <v>0</v>
      </c>
      <c r="AL134" s="73">
        <f t="shared" si="81"/>
        <v>0</v>
      </c>
      <c r="AM134" s="14">
        <f t="shared" si="82"/>
        <v>0</v>
      </c>
      <c r="AN134" s="9"/>
    </row>
    <row r="135" spans="1:40" ht="14.45" hidden="1" customHeight="1" outlineLevel="1">
      <c r="A135" s="12" t="s">
        <v>263</v>
      </c>
      <c r="B135" s="8" t="s">
        <v>88</v>
      </c>
      <c r="C135" s="19" t="s">
        <v>268</v>
      </c>
      <c r="D135" s="12"/>
      <c r="E135" s="20"/>
      <c r="F135" s="12"/>
      <c r="G135" s="12"/>
      <c r="H135" s="12"/>
      <c r="I135" s="246" t="s">
        <v>247</v>
      </c>
      <c r="J135" s="65">
        <v>0</v>
      </c>
      <c r="K135" s="65">
        <v>5471</v>
      </c>
      <c r="L135" s="65">
        <v>0</v>
      </c>
      <c r="M135" s="65">
        <v>0</v>
      </c>
      <c r="N135" s="65">
        <v>0</v>
      </c>
      <c r="O135" s="65">
        <v>0</v>
      </c>
      <c r="P135" s="65">
        <v>8943</v>
      </c>
      <c r="Q135" s="65">
        <v>0</v>
      </c>
      <c r="R135" s="65">
        <v>0</v>
      </c>
      <c r="S135" s="65">
        <v>0</v>
      </c>
      <c r="T135" s="65">
        <v>1539.2</v>
      </c>
      <c r="U135" s="65">
        <v>0</v>
      </c>
      <c r="V135" s="65">
        <f t="shared" si="79"/>
        <v>15953.2</v>
      </c>
      <c r="W135" s="73">
        <f t="shared" si="80"/>
        <v>7.4315974182515929E-5</v>
      </c>
      <c r="X135" s="89"/>
      <c r="Y135" s="65">
        <f>VLOOKUP($E$1,[6]Resumen!$C$21:$O$27,Y1,0)+VLOOKUP($E$1,[9]Resumen!$V$118:$AH$124,Y1,0)</f>
        <v>6000</v>
      </c>
      <c r="Z135" s="65">
        <f>VLOOKUP($E$1,[6]Resumen!$C$21:$O$27,Z1,0)+VLOOKUP($E$1,[9]Resumen!$V$118:$AH$124,Z1,0)</f>
        <v>6000</v>
      </c>
      <c r="AA135" s="65">
        <f>VLOOKUP($E$1,[6]Resumen!$C$21:$O$27,AA1,0)+VLOOKUP($E$1,[9]Resumen!$V$118:$AH$124,AA1,0)</f>
        <v>0</v>
      </c>
      <c r="AB135" s="65">
        <f>VLOOKUP($E$1,[6]Resumen!$C$21:$O$27,AB1,0)+VLOOKUP($E$1,[9]Resumen!$V$118:$AH$124,AB1,0)</f>
        <v>0</v>
      </c>
      <c r="AC135" s="65">
        <f>VLOOKUP($E$1,[6]Resumen!$C$21:$O$27,AC1,0)+VLOOKUP($E$1,[9]Resumen!$V$118:$AH$124,AC1,0)</f>
        <v>1600</v>
      </c>
      <c r="AD135" s="65">
        <f>VLOOKUP($E$1,[6]Resumen!$C$21:$O$27,AD1,0)+VLOOKUP($E$1,[9]Resumen!$V$118:$AH$124,AD1,0)</f>
        <v>0</v>
      </c>
      <c r="AE135" s="65">
        <f>VLOOKUP($E$1,[6]Resumen!$C$21:$O$27,AE1,0)+VLOOKUP($E$1,[9]Resumen!$V$118:$AH$124,AE1,0)</f>
        <v>6000</v>
      </c>
      <c r="AF135" s="65">
        <f>VLOOKUP($E$1,[6]Resumen!$C$21:$O$27,AF1,0)+VLOOKUP($E$1,[9]Resumen!$V$118:$AH$124,AF1,0)</f>
        <v>6000</v>
      </c>
      <c r="AG135" s="65">
        <f>VLOOKUP($E$1,[6]Resumen!$C$21:$O$27,AG1,0)+VLOOKUP($E$1,[9]Resumen!$V$118:$AH$124,AG1,0)</f>
        <v>0</v>
      </c>
      <c r="AH135" s="65">
        <f>VLOOKUP($E$1,[6]Resumen!$C$21:$O$27,AH1,0)+VLOOKUP($E$1,[9]Resumen!$V$118:$AH$124,AH1,0)</f>
        <v>0</v>
      </c>
      <c r="AI135" s="65">
        <f>VLOOKUP($E$1,[6]Resumen!$C$21:$O$27,AI1,0)+VLOOKUP($E$1,[9]Resumen!$V$118:$AH$124,AI1,0)</f>
        <v>1600</v>
      </c>
      <c r="AJ135" s="65">
        <f>VLOOKUP($E$1,[6]Resumen!$C$21:$O$27,AJ1,0)+VLOOKUP($E$1,[9]Resumen!$V$118:$AH$124,AJ1,0)</f>
        <v>0</v>
      </c>
      <c r="AK135" s="65">
        <f t="shared" si="64"/>
        <v>27200</v>
      </c>
      <c r="AL135" s="73">
        <f t="shared" si="81"/>
        <v>1.1830362324264629E-4</v>
      </c>
      <c r="AM135" s="14">
        <f t="shared" si="82"/>
        <v>0.70498708723014802</v>
      </c>
      <c r="AN135" s="9"/>
    </row>
    <row r="136" spans="1:40" ht="14.45" hidden="1" customHeight="1" outlineLevel="1">
      <c r="A136" s="12" t="s">
        <v>263</v>
      </c>
      <c r="B136" s="8" t="s">
        <v>88</v>
      </c>
      <c r="I136" s="246" t="s">
        <v>249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/>
      <c r="U136" s="65"/>
      <c r="V136" s="65">
        <f t="shared" si="79"/>
        <v>0</v>
      </c>
      <c r="W136" s="73">
        <f t="shared" si="80"/>
        <v>0</v>
      </c>
      <c r="X136" s="89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>
        <f t="shared" si="64"/>
        <v>0</v>
      </c>
      <c r="AL136" s="73">
        <f t="shared" si="29"/>
        <v>0</v>
      </c>
      <c r="AM136" s="14">
        <f t="shared" si="30"/>
        <v>0</v>
      </c>
      <c r="AN136" s="9"/>
    </row>
    <row r="137" spans="1:40" ht="14.45" hidden="1" customHeight="1" outlineLevel="1">
      <c r="A137" s="12"/>
      <c r="I137" s="246" t="s">
        <v>250</v>
      </c>
      <c r="J137" s="65">
        <v>0</v>
      </c>
      <c r="K137" s="65">
        <v>0</v>
      </c>
      <c r="L137" s="65">
        <v>0</v>
      </c>
      <c r="M137" s="65">
        <v>705</v>
      </c>
      <c r="N137" s="65">
        <v>246</v>
      </c>
      <c r="O137" s="65">
        <v>0</v>
      </c>
      <c r="P137" s="65">
        <v>0</v>
      </c>
      <c r="Q137" s="65">
        <v>427</v>
      </c>
      <c r="R137" s="65">
        <v>0</v>
      </c>
      <c r="S137" s="65">
        <v>0</v>
      </c>
      <c r="T137" s="65">
        <v>0</v>
      </c>
      <c r="U137" s="65">
        <v>0</v>
      </c>
      <c r="V137" s="65">
        <f t="shared" si="78"/>
        <v>1378</v>
      </c>
      <c r="W137" s="73">
        <f t="shared" si="27"/>
        <v>6.4192395521592496E-6</v>
      </c>
      <c r="X137" s="89"/>
      <c r="Y137" s="65">
        <f>VLOOKUP($E$1,[9]Resumen!$V$130:$AH$136,Y1,0)</f>
        <v>0</v>
      </c>
      <c r="Z137" s="65">
        <f>VLOOKUP($E$1,[9]Resumen!$V$130:$AH$136,Z1,0)</f>
        <v>0</v>
      </c>
      <c r="AA137" s="65">
        <f>VLOOKUP($E$1,[9]Resumen!$V$130:$AH$136,AA1,0)</f>
        <v>33125.270199999999</v>
      </c>
      <c r="AB137" s="65">
        <f>VLOOKUP($E$1,[9]Resumen!$V$130:$AH$136,AB1,0)</f>
        <v>0</v>
      </c>
      <c r="AC137" s="65">
        <f>VLOOKUP($E$1,[9]Resumen!$V$130:$AH$136,AC1,0)</f>
        <v>0</v>
      </c>
      <c r="AD137" s="65">
        <f>VLOOKUP($E$1,[9]Resumen!$V$130:$AH$136,AD1,0)</f>
        <v>0</v>
      </c>
      <c r="AE137" s="65">
        <f>VLOOKUP($E$1,[9]Resumen!$V$130:$AH$136,AE1,0)</f>
        <v>0</v>
      </c>
      <c r="AF137" s="65">
        <f>VLOOKUP($E$1,[9]Resumen!$V$130:$AH$136,AF1,0)</f>
        <v>33125.270199999999</v>
      </c>
      <c r="AG137" s="65">
        <f>VLOOKUP($E$1,[9]Resumen!$V$130:$AH$136,AG1,0)</f>
        <v>0</v>
      </c>
      <c r="AH137" s="65">
        <f>VLOOKUP($E$1,[9]Resumen!$V$130:$AH$136,AH1,0)</f>
        <v>0</v>
      </c>
      <c r="AI137" s="65">
        <f>VLOOKUP($E$1,[9]Resumen!$V$130:$AH$136,AI1,0)</f>
        <v>0</v>
      </c>
      <c r="AJ137" s="65">
        <f>VLOOKUP($E$1,[9]Resumen!$V$130:$AH$136,AJ1,0)</f>
        <v>0</v>
      </c>
      <c r="AK137" s="65">
        <f t="shared" si="64"/>
        <v>66250.540399999998</v>
      </c>
      <c r="AL137" s="73">
        <f t="shared" si="29"/>
        <v>2.8814996217291607E-4</v>
      </c>
      <c r="AM137" s="14">
        <f t="shared" si="30"/>
        <v>47.0773152394775</v>
      </c>
      <c r="AN137" s="9"/>
    </row>
    <row r="138" spans="1:40" ht="14.45" hidden="1" customHeight="1" outlineLevel="1">
      <c r="I138" s="246" t="s">
        <v>251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/>
      <c r="U138" s="65"/>
      <c r="V138" s="65">
        <f t="shared" si="78"/>
        <v>0</v>
      </c>
      <c r="W138" s="73">
        <f t="shared" si="27"/>
        <v>0</v>
      </c>
      <c r="X138" s="89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>
        <f t="shared" si="64"/>
        <v>0</v>
      </c>
      <c r="AL138" s="73">
        <f t="shared" si="29"/>
        <v>0</v>
      </c>
      <c r="AM138" s="14">
        <f t="shared" si="30"/>
        <v>0</v>
      </c>
      <c r="AN138" s="9"/>
    </row>
    <row r="139" spans="1:40" ht="14.45" hidden="1" customHeight="1" outlineLevel="1">
      <c r="I139" s="246" t="s">
        <v>252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/>
      <c r="U139" s="65"/>
      <c r="V139" s="65">
        <f t="shared" si="78"/>
        <v>0</v>
      </c>
      <c r="W139" s="73">
        <f t="shared" si="27"/>
        <v>0</v>
      </c>
      <c r="X139" s="89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>
        <f t="shared" si="64"/>
        <v>0</v>
      </c>
      <c r="AL139" s="73">
        <f t="shared" si="29"/>
        <v>0</v>
      </c>
      <c r="AM139" s="14">
        <f t="shared" si="30"/>
        <v>0</v>
      </c>
      <c r="AN139" s="9"/>
    </row>
    <row r="140" spans="1:40" ht="14.45" hidden="1" customHeight="1" outlineLevel="1">
      <c r="I140" s="246" t="s">
        <v>253</v>
      </c>
      <c r="J140" s="65">
        <v>0</v>
      </c>
      <c r="K140" s="65">
        <v>0</v>
      </c>
      <c r="L140" s="65">
        <v>9750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f t="shared" si="78"/>
        <v>9750</v>
      </c>
      <c r="W140" s="73">
        <f t="shared" si="27"/>
        <v>4.541914777471167E-5</v>
      </c>
      <c r="X140" s="89"/>
      <c r="Y140" s="65">
        <f>VLOOKUP($E$1,[9]Resumen!$V$142:$AH$148,Y1,0)</f>
        <v>0</v>
      </c>
      <c r="Z140" s="65">
        <f>VLOOKUP($E$1,[9]Resumen!$V$142:$AH$148,Z1,0)</f>
        <v>0</v>
      </c>
      <c r="AA140" s="65">
        <f>VLOOKUP($E$1,[9]Resumen!$V$142:$AH$148,AA1,0)</f>
        <v>10092.224999999999</v>
      </c>
      <c r="AB140" s="65">
        <f>VLOOKUP($E$1,[9]Resumen!$V$142:$AH$148,AB1,0)</f>
        <v>0</v>
      </c>
      <c r="AC140" s="65">
        <f>VLOOKUP($E$1,[9]Resumen!$V$142:$AH$148,AC1,0)</f>
        <v>0</v>
      </c>
      <c r="AD140" s="65">
        <f>VLOOKUP($E$1,[9]Resumen!$V$142:$AH$148,AD1,0)</f>
        <v>0</v>
      </c>
      <c r="AE140" s="65">
        <f>VLOOKUP($E$1,[9]Resumen!$V$142:$AH$148,AE1,0)</f>
        <v>0</v>
      </c>
      <c r="AF140" s="65">
        <f>VLOOKUP($E$1,[9]Resumen!$V$142:$AH$148,AF1,0)</f>
        <v>0</v>
      </c>
      <c r="AG140" s="65">
        <f>VLOOKUP($E$1,[9]Resumen!$V$142:$AH$148,AG1,0)</f>
        <v>0</v>
      </c>
      <c r="AH140" s="65">
        <f>VLOOKUP($E$1,[9]Resumen!$V$142:$AH$148,AH1,0)</f>
        <v>0</v>
      </c>
      <c r="AI140" s="65">
        <f>VLOOKUP($E$1,[9]Resumen!$V$142:$AH$148,AI1,0)</f>
        <v>0</v>
      </c>
      <c r="AJ140" s="65">
        <f>VLOOKUP($E$1,[9]Resumen!$V$142:$AH$148,AJ1,0)</f>
        <v>0</v>
      </c>
      <c r="AK140" s="65">
        <f t="shared" si="64"/>
        <v>10092.224999999999</v>
      </c>
      <c r="AL140" s="73">
        <f t="shared" si="29"/>
        <v>4.389510235588293E-5</v>
      </c>
      <c r="AM140" s="14">
        <f t="shared" si="30"/>
        <v>3.5099999999999909E-2</v>
      </c>
      <c r="AN140" s="9"/>
    </row>
    <row r="141" spans="1:40" ht="15.6" hidden="1" customHeight="1" outlineLevel="1">
      <c r="I141" s="246" t="s">
        <v>254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f t="shared" si="78"/>
        <v>0</v>
      </c>
      <c r="W141" s="73">
        <f t="shared" si="27"/>
        <v>0</v>
      </c>
      <c r="X141" s="89"/>
      <c r="Y141" s="65">
        <f>VLOOKUP($E$1,[9]Resumen!$V$154:$AH$160,Y1,0)</f>
        <v>0</v>
      </c>
      <c r="Z141" s="65">
        <f>VLOOKUP($E$1,[9]Resumen!$V$154:$AH$160,Z1,0)</f>
        <v>0</v>
      </c>
      <c r="AA141" s="65">
        <f>VLOOKUP($E$1,[9]Resumen!$V$154:$AH$160,AA1,0)</f>
        <v>0</v>
      </c>
      <c r="AB141" s="65">
        <f>VLOOKUP($E$1,[9]Resumen!$V$154:$AH$160,AB1,0)</f>
        <v>0</v>
      </c>
      <c r="AC141" s="65">
        <f>VLOOKUP($E$1,[9]Resumen!$V$154:$AH$160,AC1,0)</f>
        <v>0</v>
      </c>
      <c r="AD141" s="65">
        <f>VLOOKUP($E$1,[9]Resumen!$V$154:$AH$160,AD1,0)</f>
        <v>0</v>
      </c>
      <c r="AE141" s="65">
        <f>VLOOKUP($E$1,[9]Resumen!$V$154:$AH$160,AE1,0)</f>
        <v>0</v>
      </c>
      <c r="AF141" s="65">
        <f>VLOOKUP($E$1,[9]Resumen!$V$154:$AH$160,AF1,0)</f>
        <v>0</v>
      </c>
      <c r="AG141" s="65">
        <f>VLOOKUP($E$1,[9]Resumen!$V$154:$AH$160,AG1,0)</f>
        <v>0</v>
      </c>
      <c r="AH141" s="65">
        <f>VLOOKUP($E$1,[9]Resumen!$V$154:$AH$160,AH1,0)</f>
        <v>0</v>
      </c>
      <c r="AI141" s="65">
        <f>VLOOKUP($E$1,[9]Resumen!$V$154:$AH$160,AI1,0)</f>
        <v>0</v>
      </c>
      <c r="AJ141" s="65">
        <f>VLOOKUP($E$1,[9]Resumen!$V$154:$AH$160,AJ1,0)</f>
        <v>0</v>
      </c>
      <c r="AK141" s="65">
        <f t="shared" si="64"/>
        <v>0</v>
      </c>
      <c r="AL141" s="73">
        <f t="shared" si="29"/>
        <v>0</v>
      </c>
      <c r="AM141" s="14">
        <f t="shared" si="30"/>
        <v>0</v>
      </c>
      <c r="AN141" s="9"/>
    </row>
    <row r="142" spans="1:40" ht="14.45" hidden="1" customHeight="1" outlineLevel="1">
      <c r="I142" s="246" t="s">
        <v>255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3400</v>
      </c>
      <c r="S142" s="65">
        <v>3600</v>
      </c>
      <c r="T142" s="65">
        <v>0</v>
      </c>
      <c r="U142" s="292">
        <v>3000</v>
      </c>
      <c r="V142" s="65">
        <f t="shared" si="78"/>
        <v>10000</v>
      </c>
      <c r="W142" s="73">
        <f t="shared" si="27"/>
        <v>4.6583741307396589E-5</v>
      </c>
      <c r="X142" s="89"/>
      <c r="Y142" s="65">
        <f>VLOOKUP($E$1,[9]Resumen!$V$166:$AH$172,Y1,0)</f>
        <v>0</v>
      </c>
      <c r="Z142" s="65">
        <f>VLOOKUP($E$1,[9]Resumen!$V$166:$AH$172,Z1,0)</f>
        <v>0</v>
      </c>
      <c r="AA142" s="65">
        <f>VLOOKUP($E$1,[9]Resumen!$V$166:$AH$172,AA1,0)</f>
        <v>3933.3799999999997</v>
      </c>
      <c r="AB142" s="65">
        <f>VLOOKUP($E$1,[9]Resumen!$V$166:$AH$172,AB1,0)</f>
        <v>0</v>
      </c>
      <c r="AC142" s="65">
        <f>VLOOKUP($E$1,[9]Resumen!$V$166:$AH$172,AC1,0)</f>
        <v>0</v>
      </c>
      <c r="AD142" s="65">
        <f>VLOOKUP($E$1,[9]Resumen!$V$166:$AH$172,AD1,0)</f>
        <v>3933.3799999999997</v>
      </c>
      <c r="AE142" s="65">
        <f>VLOOKUP($E$1,[9]Resumen!$V$166:$AH$172,AE1,0)</f>
        <v>0</v>
      </c>
      <c r="AF142" s="65">
        <f>VLOOKUP($E$1,[9]Resumen!$V$166:$AH$172,AF1,0)</f>
        <v>0</v>
      </c>
      <c r="AG142" s="65">
        <f>VLOOKUP($E$1,[9]Resumen!$V$166:$AH$172,AG1,0)</f>
        <v>3933.3799999999997</v>
      </c>
      <c r="AH142" s="65">
        <f>VLOOKUP($E$1,[9]Resumen!$V$166:$AH$172,AH1,0)</f>
        <v>0</v>
      </c>
      <c r="AI142" s="65">
        <f>VLOOKUP($E$1,[9]Resumen!$V$166:$AH$172,AI1,0)</f>
        <v>0</v>
      </c>
      <c r="AJ142" s="65">
        <f>VLOOKUP($E$1,[9]Resumen!$V$166:$AH$172,AJ1,0)</f>
        <v>0</v>
      </c>
      <c r="AK142" s="65">
        <f t="shared" si="64"/>
        <v>11800.14</v>
      </c>
      <c r="AL142" s="73">
        <f t="shared" si="29"/>
        <v>5.1323504293032358E-5</v>
      </c>
      <c r="AM142" s="14">
        <f t="shared" si="30"/>
        <v>0.1800139999999999</v>
      </c>
      <c r="AN142" s="9"/>
    </row>
    <row r="143" spans="1:40" ht="15" hidden="1" outlineLevel="1">
      <c r="I143" s="246" t="s">
        <v>256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/>
      <c r="U143" s="65"/>
      <c r="V143" s="65">
        <f t="shared" si="78"/>
        <v>0</v>
      </c>
      <c r="W143" s="73">
        <f t="shared" si="27"/>
        <v>0</v>
      </c>
      <c r="X143" s="89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>
        <f t="shared" si="64"/>
        <v>0</v>
      </c>
      <c r="AL143" s="73">
        <f t="shared" si="29"/>
        <v>0</v>
      </c>
      <c r="AM143" s="14">
        <f t="shared" si="30"/>
        <v>0</v>
      </c>
    </row>
    <row r="144" spans="1:40" ht="15" hidden="1" outlineLevel="1">
      <c r="I144" s="246" t="s">
        <v>257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6865</v>
      </c>
      <c r="R144" s="65">
        <v>0</v>
      </c>
      <c r="S144" s="65">
        <v>4660</v>
      </c>
      <c r="T144" s="65">
        <v>0</v>
      </c>
      <c r="U144" s="65">
        <v>4269.2</v>
      </c>
      <c r="V144" s="65">
        <f t="shared" si="78"/>
        <v>15794.2</v>
      </c>
      <c r="W144" s="73">
        <f t="shared" si="27"/>
        <v>7.3575292695728317E-5</v>
      </c>
      <c r="X144" s="89"/>
      <c r="Y144" s="65">
        <f>VLOOKUP($E$1,[9]Resumen!$V$178:$AH$184,Y1,0)</f>
        <v>0</v>
      </c>
      <c r="Z144" s="65">
        <f>VLOOKUP($E$1,[9]Resumen!$V$178:$AH$184,Z1,0)</f>
        <v>5641.2949999999992</v>
      </c>
      <c r="AA144" s="65">
        <f>VLOOKUP($E$1,[9]Resumen!$V$178:$AH$184,AA1,0)</f>
        <v>0</v>
      </c>
      <c r="AB144" s="65">
        <f>VLOOKUP($E$1,[9]Resumen!$V$178:$AH$184,AB1,0)</f>
        <v>0</v>
      </c>
      <c r="AC144" s="65">
        <f>VLOOKUP($E$1,[9]Resumen!$V$178:$AH$184,AC1,0)</f>
        <v>5641.2949999999992</v>
      </c>
      <c r="AD144" s="65">
        <f>VLOOKUP($E$1,[9]Resumen!$V$178:$AH$184,AD1,0)</f>
        <v>0</v>
      </c>
      <c r="AE144" s="65">
        <f>VLOOKUP($E$1,[9]Resumen!$V$178:$AH$184,AE1,0)</f>
        <v>0</v>
      </c>
      <c r="AF144" s="65">
        <f>VLOOKUP($E$1,[9]Resumen!$V$178:$AH$184,AF1,0)</f>
        <v>5641.2949999999992</v>
      </c>
      <c r="AG144" s="65">
        <f>VLOOKUP($E$1,[9]Resumen!$V$178:$AH$184,AG1,0)</f>
        <v>0</v>
      </c>
      <c r="AH144" s="65">
        <f>VLOOKUP($E$1,[9]Resumen!$V$178:$AH$184,AH1,0)</f>
        <v>0</v>
      </c>
      <c r="AI144" s="65">
        <f>VLOOKUP($E$1,[9]Resumen!$V$178:$AH$184,AI1,0)</f>
        <v>5641.2949999999992</v>
      </c>
      <c r="AJ144" s="65">
        <f>VLOOKUP($E$1,[9]Resumen!$V$178:$AH$184,AJ1,0)</f>
        <v>0</v>
      </c>
      <c r="AK144" s="65">
        <f t="shared" si="64"/>
        <v>22565.179999999997</v>
      </c>
      <c r="AL144" s="73">
        <f t="shared" si="29"/>
        <v>9.8144946805974145E-5</v>
      </c>
      <c r="AM144" s="14">
        <f t="shared" si="30"/>
        <v>0.42870040901090256</v>
      </c>
    </row>
    <row r="145" spans="9:39" ht="15" hidden="1" outlineLevel="1">
      <c r="I145" s="246" t="s">
        <v>258</v>
      </c>
      <c r="J145" s="65">
        <v>0</v>
      </c>
      <c r="K145" s="65">
        <v>0</v>
      </c>
      <c r="L145" s="65">
        <v>0</v>
      </c>
      <c r="M145" s="65">
        <v>4050</v>
      </c>
      <c r="N145" s="65">
        <v>1900</v>
      </c>
      <c r="O145" s="65">
        <v>0</v>
      </c>
      <c r="P145" s="65">
        <v>0</v>
      </c>
      <c r="Q145" s="65">
        <v>1350</v>
      </c>
      <c r="R145" s="65">
        <v>0</v>
      </c>
      <c r="S145" s="65">
        <v>1350</v>
      </c>
      <c r="T145" s="65">
        <v>0</v>
      </c>
      <c r="U145" s="65">
        <v>2132</v>
      </c>
      <c r="V145" s="65">
        <f t="shared" si="78"/>
        <v>10782</v>
      </c>
      <c r="W145" s="73">
        <f t="shared" si="27"/>
        <v>5.0226589877635002E-5</v>
      </c>
      <c r="X145" s="89"/>
      <c r="Y145" s="65">
        <f>VLOOKUP($E$1,[9]Resumen!$V$190:$AH$196,Y1,0)</f>
        <v>0</v>
      </c>
      <c r="Z145" s="65">
        <f>VLOOKUP($E$1,[9]Resumen!$V$190:$AH$196,Z1,0)</f>
        <v>1966.6899999999998</v>
      </c>
      <c r="AA145" s="65">
        <f>VLOOKUP($E$1,[9]Resumen!$V$190:$AH$196,AA1,0)</f>
        <v>0</v>
      </c>
      <c r="AB145" s="65">
        <f>VLOOKUP($E$1,[9]Resumen!$V$190:$AH$196,AB1,0)</f>
        <v>0</v>
      </c>
      <c r="AC145" s="65">
        <f>VLOOKUP($E$1,[9]Resumen!$V$190:$AH$196,AC1,0)</f>
        <v>1966.6899999999998</v>
      </c>
      <c r="AD145" s="65">
        <f>VLOOKUP($E$1,[9]Resumen!$V$190:$AH$196,AD1,0)</f>
        <v>0</v>
      </c>
      <c r="AE145" s="65">
        <f>VLOOKUP($E$1,[9]Resumen!$V$190:$AH$196,AE1,0)</f>
        <v>0</v>
      </c>
      <c r="AF145" s="65">
        <f>VLOOKUP($E$1,[9]Resumen!$V$190:$AH$196,AF1,0)</f>
        <v>1966.6899999999998</v>
      </c>
      <c r="AG145" s="65">
        <f>VLOOKUP($E$1,[9]Resumen!$V$190:$AH$196,AG1,0)</f>
        <v>0</v>
      </c>
      <c r="AH145" s="65">
        <f>VLOOKUP($E$1,[9]Resumen!$V$190:$AH$196,AH1,0)</f>
        <v>0</v>
      </c>
      <c r="AI145" s="65">
        <f>VLOOKUP($E$1,[9]Resumen!$V$190:$AH$196,AI1,0)</f>
        <v>1966.6899999999998</v>
      </c>
      <c r="AJ145" s="65">
        <f>VLOOKUP($E$1,[9]Resumen!$V$190:$AH$196,AJ1,0)</f>
        <v>0</v>
      </c>
      <c r="AK145" s="65">
        <f t="shared" si="64"/>
        <v>7866.7599999999993</v>
      </c>
      <c r="AL145" s="73">
        <f t="shared" si="29"/>
        <v>3.4215669528688238E-5</v>
      </c>
      <c r="AM145" s="14">
        <f t="shared" ref="AM145:AM165" si="83">IFERROR(AK145/V145-1,0)</f>
        <v>-0.2703802634019663</v>
      </c>
    </row>
    <row r="146" spans="9:39" ht="15" hidden="1" outlineLevel="1">
      <c r="I146" s="246" t="s">
        <v>259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/>
      <c r="U146" s="65"/>
      <c r="V146" s="65">
        <f t="shared" si="78"/>
        <v>0</v>
      </c>
      <c r="W146" s="73">
        <f t="shared" si="27"/>
        <v>0</v>
      </c>
      <c r="X146" s="89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>
        <f t="shared" si="64"/>
        <v>0</v>
      </c>
      <c r="AL146" s="73">
        <f t="shared" si="29"/>
        <v>0</v>
      </c>
      <c r="AM146" s="14">
        <f t="shared" si="83"/>
        <v>0</v>
      </c>
    </row>
    <row r="147" spans="9:39" ht="15" hidden="1" outlineLevel="1">
      <c r="I147" s="251" t="s">
        <v>260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/>
      <c r="U147" s="65"/>
      <c r="V147" s="65">
        <f t="shared" si="78"/>
        <v>0</v>
      </c>
      <c r="W147" s="73">
        <f t="shared" si="27"/>
        <v>0</v>
      </c>
      <c r="X147" s="89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>
        <f t="shared" si="64"/>
        <v>0</v>
      </c>
      <c r="AL147" s="73">
        <f t="shared" si="29"/>
        <v>0</v>
      </c>
      <c r="AM147" s="14">
        <f t="shared" si="83"/>
        <v>0</v>
      </c>
    </row>
    <row r="148" spans="9:39" ht="15" hidden="1" outlineLevel="1">
      <c r="I148" s="251" t="s">
        <v>261</v>
      </c>
      <c r="J148" s="65"/>
      <c r="K148" s="65">
        <v>0</v>
      </c>
      <c r="L148" s="65"/>
      <c r="M148" s="65"/>
      <c r="N148" s="65"/>
      <c r="O148" s="65">
        <v>0</v>
      </c>
      <c r="P148" s="65"/>
      <c r="Q148" s="65"/>
      <c r="R148" s="65"/>
      <c r="S148" s="65"/>
      <c r="T148" s="65">
        <v>0</v>
      </c>
      <c r="U148" s="65">
        <v>3640</v>
      </c>
      <c r="V148" s="65">
        <f t="shared" si="78"/>
        <v>3640</v>
      </c>
      <c r="W148" s="73">
        <f t="shared" si="27"/>
        <v>1.6956481835892357E-5</v>
      </c>
      <c r="X148" s="89"/>
      <c r="Y148" s="65">
        <f>VLOOKUP($E$1,[9]Resumen!$V$214:$AH$220,Y1,0)</f>
        <v>0</v>
      </c>
      <c r="Z148" s="65">
        <f>VLOOKUP($E$1,[9]Resumen!$V$214:$AH$220,Z1,0)</f>
        <v>0</v>
      </c>
      <c r="AA148" s="65">
        <f>VLOOKUP($E$1,[9]Resumen!$V$214:$AH$220,AA1,0)</f>
        <v>0</v>
      </c>
      <c r="AB148" s="65">
        <f>VLOOKUP($E$1,[9]Resumen!$V$214:$AH$220,AB1,0)</f>
        <v>0</v>
      </c>
      <c r="AC148" s="65">
        <f>VLOOKUP($E$1,[9]Resumen!$V$214:$AH$220,AC1,0)</f>
        <v>0</v>
      </c>
      <c r="AD148" s="65">
        <f>VLOOKUP($E$1,[9]Resumen!$V$214:$AH$220,AD1,0)</f>
        <v>0</v>
      </c>
      <c r="AE148" s="65">
        <f>VLOOKUP($E$1,[9]Resumen!$V$214:$AH$220,AE1,0)</f>
        <v>0</v>
      </c>
      <c r="AF148" s="65">
        <f>VLOOKUP($E$1,[9]Resumen!$V$214:$AH$220,AF1,0)</f>
        <v>0</v>
      </c>
      <c r="AG148" s="65">
        <f>VLOOKUP($E$1,[9]Resumen!$V$214:$AH$220,AG1,0)</f>
        <v>0</v>
      </c>
      <c r="AH148" s="65">
        <f>VLOOKUP($E$1,[9]Resumen!$V$214:$AH$220,AH1,0)</f>
        <v>0</v>
      </c>
      <c r="AI148" s="65">
        <f>VLOOKUP($E$1,[9]Resumen!$V$214:$AH$220,AI1,0)</f>
        <v>0</v>
      </c>
      <c r="AJ148" s="65">
        <f>VLOOKUP($E$1,[9]Resumen!$V$214:$AH$220,AJ1,0)</f>
        <v>3208.8099999999995</v>
      </c>
      <c r="AK148" s="65">
        <f t="shared" si="64"/>
        <v>3208.8099999999995</v>
      </c>
      <c r="AL148" s="73">
        <f t="shared" si="29"/>
        <v>1.3956391518280727E-5</v>
      </c>
      <c r="AM148" s="14">
        <f t="shared" si="83"/>
        <v>-0.11845879120879133</v>
      </c>
    </row>
    <row r="149" spans="9:39" ht="15" hidden="1" outlineLevel="1">
      <c r="I149" s="290" t="s">
        <v>464</v>
      </c>
      <c r="J149" s="65"/>
      <c r="K149" s="65"/>
      <c r="L149" s="65"/>
      <c r="M149" s="65"/>
      <c r="N149" s="65"/>
      <c r="O149" s="65">
        <v>22500</v>
      </c>
      <c r="P149" s="65"/>
      <c r="Q149" s="65"/>
      <c r="R149" s="65"/>
      <c r="S149" s="65"/>
      <c r="T149" s="65"/>
      <c r="U149" s="65"/>
      <c r="V149" s="65">
        <f t="shared" ref="V149" si="84">SUM(J149:U149)</f>
        <v>22500</v>
      </c>
      <c r="W149" s="73">
        <f t="shared" ref="W149" si="85">V149/V$6</f>
        <v>1.0481341794164231E-4</v>
      </c>
      <c r="X149" s="89"/>
      <c r="Y149" s="65">
        <f>VLOOKUP($E$1,[9]Detalle!$C$150:$O$156,Y1,0)</f>
        <v>0</v>
      </c>
      <c r="Z149" s="65">
        <f>VLOOKUP($E$1,[9]Detalle!$C$150:$O$156,Z1,0)</f>
        <v>0</v>
      </c>
      <c r="AA149" s="65">
        <f>VLOOKUP($E$1,[9]Detalle!$C$150:$O$156,AA1,0)</f>
        <v>0</v>
      </c>
      <c r="AB149" s="65">
        <f>VLOOKUP($E$1,[9]Detalle!$C$150:$O$156,AB1,0)</f>
        <v>0</v>
      </c>
      <c r="AC149" s="65">
        <f>VLOOKUP($E$1,[9]Detalle!$C$150:$O$156,AC1,0)</f>
        <v>0</v>
      </c>
      <c r="AD149" s="65">
        <f>VLOOKUP($E$1,[9]Detalle!$C$150:$O$156,AD1,0)</f>
        <v>0</v>
      </c>
      <c r="AE149" s="65">
        <f>VLOOKUP($E$1,[9]Detalle!$C$150:$O$156,AE1,0)</f>
        <v>0</v>
      </c>
      <c r="AF149" s="65">
        <f>VLOOKUP($E$1,[9]Detalle!$C$150:$O$156,AF1,0)</f>
        <v>0</v>
      </c>
      <c r="AG149" s="65">
        <f>VLOOKUP($E$1,[9]Detalle!$C$150:$O$156,AG1,0)</f>
        <v>0</v>
      </c>
      <c r="AH149" s="65">
        <f>VLOOKUP($E$1,[9]Detalle!$C$150:$O$156,AH1,0)</f>
        <v>0</v>
      </c>
      <c r="AI149" s="65">
        <f>VLOOKUP($E$1,[9]Detalle!$C$150:$O$156,AI1,0)</f>
        <v>0</v>
      </c>
      <c r="AJ149" s="65">
        <f>VLOOKUP($E$1,[9]Detalle!$C$150:$O$156,AJ1,0)</f>
        <v>0</v>
      </c>
      <c r="AK149" s="65">
        <f t="shared" ref="AK149" si="86">SUM(Y149:AJ149)</f>
        <v>0</v>
      </c>
      <c r="AL149" s="73">
        <f t="shared" ref="AL149" si="87">AK149/AK$6</f>
        <v>0</v>
      </c>
      <c r="AM149" s="14">
        <f t="shared" ref="AM149" si="88">IFERROR(AK149/V149-1,0)</f>
        <v>-1</v>
      </c>
    </row>
    <row r="150" spans="9:39" ht="15" hidden="1" outlineLevel="1">
      <c r="I150" s="288" t="s">
        <v>262</v>
      </c>
      <c r="J150" s="65">
        <v>226428</v>
      </c>
      <c r="K150" s="65">
        <v>15927</v>
      </c>
      <c r="L150" s="65">
        <v>114726</v>
      </c>
      <c r="M150" s="65">
        <v>148131</v>
      </c>
      <c r="N150" s="65">
        <v>154122</v>
      </c>
      <c r="O150" s="65">
        <v>113724</v>
      </c>
      <c r="P150" s="65">
        <v>143588</v>
      </c>
      <c r="Q150" s="65">
        <v>163260</v>
      </c>
      <c r="R150" s="65">
        <v>39380</v>
      </c>
      <c r="S150" s="65">
        <v>30013</v>
      </c>
      <c r="T150" s="65">
        <v>146191.6496218135</v>
      </c>
      <c r="U150" s="65">
        <v>144471.72680896445</v>
      </c>
      <c r="V150" s="65">
        <f t="shared" si="78"/>
        <v>1439962.3764307781</v>
      </c>
      <c r="W150" s="73">
        <f t="shared" si="27"/>
        <v>6.7078834836035387E-3</v>
      </c>
      <c r="X150" s="89"/>
      <c r="Y150" s="65">
        <f>+Z150</f>
        <v>128961.80577207719</v>
      </c>
      <c r="Z150" s="65">
        <f>((Y40*3.41*4.5%)+(Y41*2.89*4.5%))+((Z7+Z8)*0.03*5.5%)</f>
        <v>128961.80577207719</v>
      </c>
      <c r="AA150" s="65">
        <f t="shared" ref="AA150:AJ150" si="89">((Z40*3.41*4.5%)+(Z41*2.89*4.5%))+((AA7+AA8)*0.03*5.5%)</f>
        <v>131027.344736409</v>
      </c>
      <c r="AB150" s="65">
        <f t="shared" si="89"/>
        <v>140768.74499073825</v>
      </c>
      <c r="AC150" s="65">
        <f t="shared" si="89"/>
        <v>137092.56121721235</v>
      </c>
      <c r="AD150" s="65">
        <f t="shared" si="89"/>
        <v>152498.82673433641</v>
      </c>
      <c r="AE150" s="65">
        <f t="shared" si="89"/>
        <v>149315.71110926458</v>
      </c>
      <c r="AF150" s="65">
        <f t="shared" si="89"/>
        <v>146341.22796102433</v>
      </c>
      <c r="AG150" s="65">
        <f t="shared" si="89"/>
        <v>151591.19766238864</v>
      </c>
      <c r="AH150" s="65">
        <f t="shared" si="89"/>
        <v>149474.66619251471</v>
      </c>
      <c r="AI150" s="65">
        <f t="shared" si="89"/>
        <v>149719.34892287047</v>
      </c>
      <c r="AJ150" s="65">
        <f t="shared" si="89"/>
        <v>144317.92859180036</v>
      </c>
      <c r="AK150" s="65">
        <f t="shared" si="64"/>
        <v>1710071.1696627135</v>
      </c>
      <c r="AL150" s="73">
        <f t="shared" si="29"/>
        <v>7.4377799769812175E-3</v>
      </c>
      <c r="AM150" s="14">
        <f t="shared" si="83"/>
        <v>0.18758045185975747</v>
      </c>
    </row>
    <row r="151" spans="9:39" ht="15" collapsed="1">
      <c r="I151" s="121" t="s">
        <v>264</v>
      </c>
      <c r="J151" s="15">
        <v>26579</v>
      </c>
      <c r="K151" s="15">
        <v>22162</v>
      </c>
      <c r="L151" s="15">
        <v>23573</v>
      </c>
      <c r="M151" s="15">
        <v>21146</v>
      </c>
      <c r="N151" s="15">
        <v>20816</v>
      </c>
      <c r="O151" s="15">
        <v>22276</v>
      </c>
      <c r="P151" s="15">
        <v>25188</v>
      </c>
      <c r="Q151" s="15">
        <v>26742</v>
      </c>
      <c r="R151" s="15">
        <v>19439</v>
      </c>
      <c r="S151" s="15">
        <v>18072</v>
      </c>
      <c r="T151" s="15">
        <f t="shared" ref="R151:U151" si="90">SUM(T152:T158)</f>
        <v>18438</v>
      </c>
      <c r="U151" s="15">
        <f t="shared" si="90"/>
        <v>16894.666666666664</v>
      </c>
      <c r="V151" s="15">
        <f t="shared" ref="V151" si="91">SUM(V152:V158)</f>
        <v>261325.66666666669</v>
      </c>
      <c r="W151" s="72">
        <f t="shared" si="27"/>
        <v>1.2173527252982953E-3</v>
      </c>
      <c r="X151" s="89"/>
      <c r="Y151" s="15">
        <f>SUM(Y152:Y158)</f>
        <v>25826.586599999999</v>
      </c>
      <c r="Z151" s="15">
        <f t="shared" ref="Z151:AJ151" si="92">SUM(Z152:Z158)</f>
        <v>22682.924899999998</v>
      </c>
      <c r="AA151" s="15">
        <f t="shared" si="92"/>
        <v>24056.984999999997</v>
      </c>
      <c r="AB151" s="15">
        <f t="shared" si="92"/>
        <v>24056.557099999995</v>
      </c>
      <c r="AC151" s="15">
        <f t="shared" si="92"/>
        <v>21539.452099999995</v>
      </c>
      <c r="AD151" s="15">
        <f t="shared" si="92"/>
        <v>22401.709199999998</v>
      </c>
      <c r="AE151" s="15">
        <f t="shared" si="92"/>
        <v>25731.169899999997</v>
      </c>
      <c r="AF151" s="15">
        <f t="shared" si="92"/>
        <v>27346.641699999996</v>
      </c>
      <c r="AG151" s="15">
        <f t="shared" si="92"/>
        <v>19789.312799999996</v>
      </c>
      <c r="AH151" s="15">
        <f t="shared" si="92"/>
        <v>25087.2248</v>
      </c>
      <c r="AI151" s="15">
        <f t="shared" si="92"/>
        <v>20982.988933333334</v>
      </c>
      <c r="AJ151" s="15">
        <f t="shared" si="92"/>
        <v>20132.363011111105</v>
      </c>
      <c r="AK151" s="15">
        <f t="shared" ref="AK151" si="93">SUM(AK152:AK158)</f>
        <v>279633.91604444443</v>
      </c>
      <c r="AL151" s="72">
        <f t="shared" si="29"/>
        <v>1.2162391709407256E-3</v>
      </c>
      <c r="AM151" s="10">
        <f t="shared" si="83"/>
        <v>7.0059132006848657E-2</v>
      </c>
    </row>
    <row r="152" spans="9:39" ht="15" hidden="1" outlineLevel="1">
      <c r="I152" s="213" t="s">
        <v>265</v>
      </c>
      <c r="J152" s="67">
        <v>0</v>
      </c>
      <c r="K152" s="67">
        <v>0</v>
      </c>
      <c r="L152" s="67">
        <v>0</v>
      </c>
      <c r="M152" s="67">
        <v>0</v>
      </c>
      <c r="N152" s="67">
        <v>0</v>
      </c>
      <c r="O152" s="67">
        <v>0</v>
      </c>
      <c r="P152" s="67">
        <v>0</v>
      </c>
      <c r="Q152" s="67">
        <v>0</v>
      </c>
      <c r="R152" s="67">
        <v>0</v>
      </c>
      <c r="S152" s="67">
        <v>0</v>
      </c>
      <c r="T152" s="67"/>
      <c r="U152" s="67"/>
      <c r="V152" s="65">
        <f t="shared" ref="V152:V158" si="94">SUM(J152:U152)</f>
        <v>0</v>
      </c>
      <c r="W152" s="73">
        <f t="shared" si="27"/>
        <v>0</v>
      </c>
      <c r="X152" s="89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5">
        <f t="shared" si="64"/>
        <v>0</v>
      </c>
      <c r="AL152" s="73">
        <f t="shared" si="29"/>
        <v>0</v>
      </c>
      <c r="AM152" s="14">
        <f t="shared" si="83"/>
        <v>0</v>
      </c>
    </row>
    <row r="153" spans="9:39" ht="15" hidden="1" outlineLevel="1">
      <c r="I153" s="137" t="s">
        <v>292</v>
      </c>
      <c r="J153" s="67">
        <v>0</v>
      </c>
      <c r="K153" s="67">
        <v>0</v>
      </c>
      <c r="L153" s="67">
        <v>0</v>
      </c>
      <c r="M153" s="67">
        <v>0</v>
      </c>
      <c r="N153" s="67">
        <v>0</v>
      </c>
      <c r="O153" s="67">
        <v>0</v>
      </c>
      <c r="P153" s="67">
        <v>0</v>
      </c>
      <c r="Q153" s="67">
        <v>0</v>
      </c>
      <c r="R153" s="67">
        <v>0</v>
      </c>
      <c r="S153" s="67">
        <v>0</v>
      </c>
      <c r="T153" s="67"/>
      <c r="U153" s="67"/>
      <c r="V153" s="65">
        <f t="shared" si="94"/>
        <v>0</v>
      </c>
      <c r="W153" s="73">
        <f t="shared" si="27"/>
        <v>0</v>
      </c>
      <c r="X153" s="89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5">
        <f t="shared" si="64"/>
        <v>0</v>
      </c>
      <c r="AL153" s="73">
        <f t="shared" si="29"/>
        <v>0</v>
      </c>
      <c r="AM153" s="14">
        <f t="shared" si="83"/>
        <v>0</v>
      </c>
    </row>
    <row r="154" spans="9:39" ht="15" hidden="1" outlineLevel="1">
      <c r="I154" s="213" t="s">
        <v>266</v>
      </c>
      <c r="J154" s="65">
        <v>18774</v>
      </c>
      <c r="K154" s="65">
        <v>18357</v>
      </c>
      <c r="L154" s="65">
        <v>19483</v>
      </c>
      <c r="M154" s="65">
        <v>19229</v>
      </c>
      <c r="N154" s="65">
        <v>17554</v>
      </c>
      <c r="O154" s="65">
        <v>16650</v>
      </c>
      <c r="P154" s="65">
        <v>20057</v>
      </c>
      <c r="Q154" s="65">
        <v>18725</v>
      </c>
      <c r="R154" s="225">
        <v>10586</v>
      </c>
      <c r="S154" s="225">
        <v>9969</v>
      </c>
      <c r="T154" s="225">
        <f t="shared" ref="T154" si="95">+AVERAGE(Q154:S154)</f>
        <v>13093.333333333334</v>
      </c>
      <c r="U154" s="225">
        <f t="shared" ref="U154" si="96">+AVERAGE(R154:T154)</f>
        <v>11216.111111111111</v>
      </c>
      <c r="V154" s="65">
        <f t="shared" si="94"/>
        <v>193693.44444444447</v>
      </c>
      <c r="W154" s="73">
        <f t="shared" si="27"/>
        <v>9.0229653089385939E-4</v>
      </c>
      <c r="X154" s="89"/>
      <c r="Y154" s="65">
        <f>VLOOKUP($E$1,[8]Resumen!$V$104:$AH$110,Y1,0)</f>
        <v>19432.967399999998</v>
      </c>
      <c r="Z154" s="65">
        <f>VLOOKUP($E$1,[8]Resumen!$V$104:$AH$110,Z1,0)</f>
        <v>19001.330699999999</v>
      </c>
      <c r="AA154" s="65">
        <f>VLOOKUP($E$1,[8]Resumen!$V$104:$AH$110,AA1,0)</f>
        <v>20166.853299999999</v>
      </c>
      <c r="AB154" s="65">
        <f>VLOOKUP($E$1,[8]Resumen!$V$104:$AH$110,AB1,0)</f>
        <v>19903.937899999997</v>
      </c>
      <c r="AC154" s="65">
        <f>VLOOKUP($E$1,[8]Resumen!$V$104:$AH$110,AC1,0)</f>
        <v>18170.145399999998</v>
      </c>
      <c r="AD154" s="65">
        <f>VLOOKUP($E$1,[8]Resumen!$V$104:$AH$110,AD1,0)</f>
        <v>17234.414999999997</v>
      </c>
      <c r="AE154" s="65">
        <f>VLOOKUP($E$1,[8]Resumen!$V$104:$AH$110,AE1,0)</f>
        <v>20761.000699999997</v>
      </c>
      <c r="AF154" s="65">
        <f>VLOOKUP($E$1,[8]Resumen!$V$104:$AH$110,AF1,0)</f>
        <v>19382.247499999998</v>
      </c>
      <c r="AG154" s="65">
        <f>VLOOKUP($E$1,[8]Resumen!$V$104:$AH$110,AG1,0)</f>
        <v>10957.568599999999</v>
      </c>
      <c r="AH154" s="65">
        <f>VLOOKUP($E$1,[8]Resumen!$V$104:$AH$110,AH1,0)</f>
        <v>17033.605599999999</v>
      </c>
      <c r="AI154" s="65">
        <f>VLOOKUP($E$1,[8]Resumen!$V$104:$AH$110,AI1,0)</f>
        <v>15791.140566666669</v>
      </c>
      <c r="AJ154" s="65">
        <f>VLOOKUP($E$1,[8]Resumen!$V$104:$AH$110,AJ1,0)</f>
        <v>14594.104922222219</v>
      </c>
      <c r="AK154" s="65">
        <f t="shared" si="64"/>
        <v>212429.31758888887</v>
      </c>
      <c r="AL154" s="73">
        <f t="shared" si="29"/>
        <v>9.2393963065177801E-4</v>
      </c>
      <c r="AM154" s="14">
        <f t="shared" si="83"/>
        <v>9.6729516056586196E-2</v>
      </c>
    </row>
    <row r="155" spans="9:39" ht="15" hidden="1" outlineLevel="1">
      <c r="I155" s="213" t="s">
        <v>267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f t="shared" si="94"/>
        <v>0</v>
      </c>
      <c r="W155" s="73">
        <f t="shared" si="27"/>
        <v>0</v>
      </c>
      <c r="X155" s="89"/>
      <c r="Y155" s="65">
        <f>VLOOKUP($E$1,[5]Resumen!$V$32:$AH$38,Y1,0)</f>
        <v>0</v>
      </c>
      <c r="Z155" s="65">
        <f>VLOOKUP($E$1,[5]Resumen!$V$32:$AH$38,Z1,0)</f>
        <v>0</v>
      </c>
      <c r="AA155" s="65">
        <f>VLOOKUP($E$1,[5]Resumen!$V$32:$AH$38,AA1,0)</f>
        <v>0</v>
      </c>
      <c r="AB155" s="65">
        <f>VLOOKUP($E$1,[5]Resumen!$V$32:$AH$38,AB1,0)</f>
        <v>0</v>
      </c>
      <c r="AC155" s="65">
        <f>VLOOKUP($E$1,[5]Resumen!$V$32:$AH$38,AC1,0)</f>
        <v>0</v>
      </c>
      <c r="AD155" s="65">
        <f>VLOOKUP($E$1,[5]Resumen!$V$32:$AH$38,AD1,0)</f>
        <v>0</v>
      </c>
      <c r="AE155" s="65">
        <f>VLOOKUP($E$1,[5]Resumen!$V$32:$AH$38,AE1,0)</f>
        <v>0</v>
      </c>
      <c r="AF155" s="65">
        <f>VLOOKUP($E$1,[5]Resumen!$V$32:$AH$38,AF1,0)</f>
        <v>0</v>
      </c>
      <c r="AG155" s="65">
        <f>VLOOKUP($E$1,[5]Resumen!$V$32:$AH$38,AG1,0)</f>
        <v>0</v>
      </c>
      <c r="AH155" s="65">
        <f>VLOOKUP($E$1,[5]Resumen!$V$32:$AH$38,AH1,0)</f>
        <v>0</v>
      </c>
      <c r="AI155" s="65">
        <f>VLOOKUP($E$1,[5]Resumen!$V$32:$AH$38,AI1,0)</f>
        <v>0</v>
      </c>
      <c r="AJ155" s="65">
        <f>VLOOKUP($E$1,[5]Resumen!$V$32:$AH$38,AJ1,0)</f>
        <v>0</v>
      </c>
      <c r="AK155" s="65">
        <f t="shared" si="64"/>
        <v>0</v>
      </c>
      <c r="AL155" s="73">
        <f t="shared" si="29"/>
        <v>0</v>
      </c>
      <c r="AM155" s="14">
        <f t="shared" si="83"/>
        <v>0</v>
      </c>
    </row>
    <row r="156" spans="9:39" ht="15" hidden="1" outlineLevel="1">
      <c r="I156" s="213" t="s">
        <v>269</v>
      </c>
      <c r="J156" s="65">
        <v>3801</v>
      </c>
      <c r="K156" s="65">
        <v>1187</v>
      </c>
      <c r="L156" s="65">
        <v>1388</v>
      </c>
      <c r="M156" s="65">
        <v>1641</v>
      </c>
      <c r="N156" s="65">
        <v>886</v>
      </c>
      <c r="O156" s="65">
        <v>2619</v>
      </c>
      <c r="P156" s="65">
        <v>2429</v>
      </c>
      <c r="Q156" s="65">
        <v>5315</v>
      </c>
      <c r="R156" s="225">
        <v>6151</v>
      </c>
      <c r="S156" s="225">
        <v>5401</v>
      </c>
      <c r="T156" s="225">
        <f>+AVERAGE(S156,M156:N156)</f>
        <v>2642.6666666666665</v>
      </c>
      <c r="U156" s="225">
        <f>+AVERAGE(S156:T156,N156)</f>
        <v>2976.5555555555552</v>
      </c>
      <c r="V156" s="65">
        <f t="shared" si="94"/>
        <v>36437.222222222219</v>
      </c>
      <c r="W156" s="73">
        <f t="shared" si="27"/>
        <v>1.6973821339601221E-4</v>
      </c>
      <c r="X156" s="89"/>
      <c r="Y156" s="65">
        <f>J156*1.0375</f>
        <v>3943.5375000000004</v>
      </c>
      <c r="Z156" s="65">
        <f t="shared" ref="Z156:AJ156" si="97">K156*1.0375</f>
        <v>1231.5125</v>
      </c>
      <c r="AA156" s="65">
        <f t="shared" si="97"/>
        <v>1440.0500000000002</v>
      </c>
      <c r="AB156" s="65">
        <f t="shared" si="97"/>
        <v>1702.5375000000001</v>
      </c>
      <c r="AC156" s="65">
        <f t="shared" si="97"/>
        <v>919.22500000000002</v>
      </c>
      <c r="AD156" s="65">
        <f t="shared" si="97"/>
        <v>2717.2125000000001</v>
      </c>
      <c r="AE156" s="65">
        <f t="shared" si="97"/>
        <v>2520.0875000000001</v>
      </c>
      <c r="AF156" s="65">
        <f t="shared" si="97"/>
        <v>5514.3125000000009</v>
      </c>
      <c r="AG156" s="65">
        <f t="shared" si="97"/>
        <v>6381.6625000000004</v>
      </c>
      <c r="AH156" s="65">
        <f t="shared" si="97"/>
        <v>5603.5375000000004</v>
      </c>
      <c r="AI156" s="65">
        <f t="shared" si="97"/>
        <v>2741.7666666666669</v>
      </c>
      <c r="AJ156" s="65">
        <f t="shared" si="97"/>
        <v>3088.1763888888886</v>
      </c>
      <c r="AK156" s="65">
        <f t="shared" si="64"/>
        <v>37803.618055555562</v>
      </c>
      <c r="AL156" s="73">
        <f t="shared" si="29"/>
        <v>1.6442297748725537E-4</v>
      </c>
      <c r="AM156" s="14">
        <f t="shared" si="83"/>
        <v>3.7500000000000311E-2</v>
      </c>
    </row>
    <row r="157" spans="9:39" ht="15" hidden="1" outlineLevel="1">
      <c r="I157" s="213"/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/>
      <c r="Q157" s="65">
        <v>0</v>
      </c>
      <c r="R157" s="65">
        <v>0</v>
      </c>
      <c r="S157" s="65">
        <v>0</v>
      </c>
      <c r="T157" s="65"/>
      <c r="U157" s="65"/>
      <c r="V157" s="65">
        <f t="shared" si="94"/>
        <v>0</v>
      </c>
      <c r="W157" s="73">
        <f t="shared" si="27"/>
        <v>0</v>
      </c>
      <c r="X157" s="89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>
        <f t="shared" si="64"/>
        <v>0</v>
      </c>
      <c r="AL157" s="73">
        <f t="shared" si="29"/>
        <v>0</v>
      </c>
      <c r="AM157" s="14">
        <f t="shared" si="83"/>
        <v>0</v>
      </c>
    </row>
    <row r="158" spans="9:39" ht="15" hidden="1" outlineLevel="1">
      <c r="I158" s="213" t="s">
        <v>270</v>
      </c>
      <c r="J158" s="67">
        <v>4004</v>
      </c>
      <c r="K158" s="67">
        <v>2618</v>
      </c>
      <c r="L158" s="67">
        <v>2702</v>
      </c>
      <c r="M158" s="67">
        <v>276</v>
      </c>
      <c r="N158" s="67">
        <v>2376</v>
      </c>
      <c r="O158" s="67">
        <v>3007</v>
      </c>
      <c r="P158" s="67">
        <v>2702</v>
      </c>
      <c r="Q158" s="67">
        <v>2702</v>
      </c>
      <c r="R158" s="225">
        <v>2702</v>
      </c>
      <c r="S158" s="225">
        <v>2702</v>
      </c>
      <c r="T158" s="225">
        <f t="shared" ref="T158" si="98">+AVERAGE(Q158:S158)</f>
        <v>2702</v>
      </c>
      <c r="U158" s="225">
        <f t="shared" ref="U158" si="99">+AVERAGE(R158:T158)</f>
        <v>2702</v>
      </c>
      <c r="V158" s="65">
        <f t="shared" si="94"/>
        <v>31195</v>
      </c>
      <c r="W158" s="73">
        <f>V158/V$6</f>
        <v>1.4531798100842364E-4</v>
      </c>
      <c r="X158" s="89"/>
      <c r="Y158" s="67">
        <f>VLOOKUP($E$1,[19]Resumen!$V$8:$AH$14,Y1,0)</f>
        <v>2450.0816999999997</v>
      </c>
      <c r="Z158" s="67">
        <f>VLOOKUP($E$1,[19]Resumen!$V$8:$AH$14,Z1,0)</f>
        <v>2450.0816999999997</v>
      </c>
      <c r="AA158" s="67">
        <f>VLOOKUP($E$1,[19]Resumen!$V$8:$AH$14,AA1,0)</f>
        <v>2450.0816999999997</v>
      </c>
      <c r="AB158" s="67">
        <f>VLOOKUP($E$1,[19]Resumen!$V$8:$AH$14,AB1,0)</f>
        <v>2450.0816999999997</v>
      </c>
      <c r="AC158" s="67">
        <f>VLOOKUP($E$1,[19]Resumen!$V$8:$AH$14,AC1,0)</f>
        <v>2450.0816999999997</v>
      </c>
      <c r="AD158" s="67">
        <f>VLOOKUP($E$1,[19]Resumen!$V$8:$AH$14,AD1,0)</f>
        <v>2450.0816999999997</v>
      </c>
      <c r="AE158" s="67">
        <f>VLOOKUP($E$1,[19]Resumen!$V$8:$AH$14,AE1,0)</f>
        <v>2450.0816999999997</v>
      </c>
      <c r="AF158" s="67">
        <f>VLOOKUP($E$1,[19]Resumen!$V$8:$AH$14,AF1,0)</f>
        <v>2450.0816999999997</v>
      </c>
      <c r="AG158" s="67">
        <f>VLOOKUP($E$1,[19]Resumen!$V$8:$AH$14,AG1,0)</f>
        <v>2450.0816999999997</v>
      </c>
      <c r="AH158" s="67">
        <f>VLOOKUP($E$1,[19]Resumen!$V$8:$AH$14,AH1,0)</f>
        <v>2450.0816999999997</v>
      </c>
      <c r="AI158" s="67">
        <f>VLOOKUP($E$1,[19]Resumen!$V$8:$AH$14,AI1,0)</f>
        <v>2450.0816999999997</v>
      </c>
      <c r="AJ158" s="67">
        <f>VLOOKUP($E$1,[19]Resumen!$V$8:$AH$14,AJ1,0)</f>
        <v>2450.0816999999997</v>
      </c>
      <c r="AK158" s="65">
        <f t="shared" si="64"/>
        <v>29400.980399999989</v>
      </c>
      <c r="AL158" s="73">
        <f>AK158/AK$6</f>
        <v>1.2787656280169215E-4</v>
      </c>
      <c r="AM158" s="14">
        <f>IFERROR(AK158/V158-1,0)</f>
        <v>-5.750984452636676E-2</v>
      </c>
    </row>
    <row r="159" spans="9:39" ht="15" collapsed="1">
      <c r="I159" s="121" t="s">
        <v>466</v>
      </c>
      <c r="J159" s="15">
        <f t="shared" ref="J159:V159" si="100">SUM(J160)</f>
        <v>83944.080470038738</v>
      </c>
      <c r="K159" s="15">
        <f t="shared" si="100"/>
        <v>89197.465891646047</v>
      </c>
      <c r="L159" s="15">
        <f t="shared" si="100"/>
        <v>102300.66182219626</v>
      </c>
      <c r="M159" s="15">
        <f t="shared" si="100"/>
        <v>94067.62414514985</v>
      </c>
      <c r="N159" s="15">
        <f t="shared" si="100"/>
        <v>106467.34192380562</v>
      </c>
      <c r="O159" s="15">
        <f t="shared" si="100"/>
        <v>105328.15645021389</v>
      </c>
      <c r="P159" s="15">
        <f t="shared" si="100"/>
        <v>114717.46616248722</v>
      </c>
      <c r="Q159" s="15">
        <f t="shared" si="100"/>
        <v>95510.218134634997</v>
      </c>
      <c r="R159" s="15">
        <f t="shared" si="100"/>
        <v>113645.8946542233</v>
      </c>
      <c r="S159" s="15">
        <f t="shared" si="100"/>
        <v>115298.4092580836</v>
      </c>
      <c r="T159" s="15">
        <f t="shared" si="100"/>
        <v>108151.50734898064</v>
      </c>
      <c r="U159" s="15">
        <f t="shared" si="100"/>
        <v>112365.27042042918</v>
      </c>
      <c r="V159" s="15">
        <f t="shared" si="100"/>
        <v>1240994.0966818891</v>
      </c>
      <c r="W159" s="72">
        <f t="shared" ref="W159:W160" si="101">V159/V$6</f>
        <v>5.7810147963835434E-3</v>
      </c>
      <c r="X159" s="89"/>
      <c r="Y159" s="15">
        <f t="shared" ref="Y159" si="102">SUM(Y160)</f>
        <v>87091.983487665202</v>
      </c>
      <c r="Z159" s="15">
        <f t="shared" ref="Z159" si="103">SUM(Z160)</f>
        <v>92542.370862582786</v>
      </c>
      <c r="AA159" s="15">
        <f t="shared" ref="AA159" si="104">SUM(AA160)</f>
        <v>106136.93664052863</v>
      </c>
      <c r="AB159" s="15">
        <f t="shared" ref="AB159" si="105">SUM(AB160)</f>
        <v>97595.160050592982</v>
      </c>
      <c r="AC159" s="15">
        <f t="shared" ref="AC159" si="106">SUM(AC160)</f>
        <v>110459.86724594835</v>
      </c>
      <c r="AD159" s="15">
        <f t="shared" ref="AD159" si="107">SUM(AD160)</f>
        <v>109277.96231709693</v>
      </c>
      <c r="AE159" s="15">
        <f t="shared" ref="AE159" si="108">SUM(AE160)</f>
        <v>119019.3711435805</v>
      </c>
      <c r="AF159" s="15">
        <f t="shared" ref="AF159" si="109">SUM(AF160)</f>
        <v>99091.851314683823</v>
      </c>
      <c r="AG159" s="15">
        <f t="shared" ref="AG159" si="110">SUM(AG160)</f>
        <v>117907.61570375669</v>
      </c>
      <c r="AH159" s="15">
        <f t="shared" ref="AH159" si="111">SUM(AH160)</f>
        <v>119622.09960526174</v>
      </c>
      <c r="AI159" s="15">
        <f t="shared" ref="AI159" si="112">SUM(AI160)</f>
        <v>112207.18887456742</v>
      </c>
      <c r="AJ159" s="15">
        <f t="shared" ref="AJ159" si="113">SUM(AJ160)</f>
        <v>116578.96806119528</v>
      </c>
      <c r="AK159" s="15">
        <f t="shared" ref="AK159" si="114">SUM(AK160)</f>
        <v>1287531.3753074603</v>
      </c>
      <c r="AL159" s="72">
        <f t="shared" ref="AL159:AL160" si="115">AK159/AK$6</f>
        <v>5.5999862771125E-3</v>
      </c>
      <c r="AM159" s="10">
        <f t="shared" ref="AM159:AM160" si="116">IFERROR(AK159/V159-1,0)</f>
        <v>3.7500000000000311E-2</v>
      </c>
    </row>
    <row r="160" spans="9:39" ht="15" hidden="1" outlineLevel="1">
      <c r="I160" s="251" t="s">
        <v>328</v>
      </c>
      <c r="J160" s="65">
        <v>83944.080470038738</v>
      </c>
      <c r="K160" s="65">
        <v>89197.465891646047</v>
      </c>
      <c r="L160" s="65">
        <v>102300.66182219626</v>
      </c>
      <c r="M160" s="65">
        <v>94067.62414514985</v>
      </c>
      <c r="N160" s="65">
        <v>106467.34192380562</v>
      </c>
      <c r="O160" s="65">
        <v>105328.15645021389</v>
      </c>
      <c r="P160" s="65">
        <v>114717.46616248722</v>
      </c>
      <c r="Q160" s="65">
        <v>95510.218134634997</v>
      </c>
      <c r="R160" s="65">
        <v>113645.8946542233</v>
      </c>
      <c r="S160" s="65">
        <v>115298.4092580836</v>
      </c>
      <c r="T160" s="65">
        <v>108151.50734898064</v>
      </c>
      <c r="U160" s="65">
        <v>112365.27042042918</v>
      </c>
      <c r="V160" s="65">
        <f t="shared" ref="V160" si="117">SUM(J160:U160)</f>
        <v>1240994.0966818891</v>
      </c>
      <c r="W160" s="73">
        <f t="shared" si="101"/>
        <v>5.7810147963835434E-3</v>
      </c>
      <c r="X160" s="89"/>
      <c r="Y160" s="65">
        <f>VLOOKUP($E$1,[8]Resumen!$V$8:$AH$14,Y1,0)</f>
        <v>87091.983487665202</v>
      </c>
      <c r="Z160" s="65">
        <f>VLOOKUP($E$1,[8]Resumen!$V$8:$AH$14,Z1,0)</f>
        <v>92542.370862582786</v>
      </c>
      <c r="AA160" s="65">
        <f>VLOOKUP($E$1,[8]Resumen!$V$8:$AH$14,AA1,0)</f>
        <v>106136.93664052863</v>
      </c>
      <c r="AB160" s="65">
        <f>VLOOKUP($E$1,[8]Resumen!$V$8:$AH$14,AB1,0)</f>
        <v>97595.160050592982</v>
      </c>
      <c r="AC160" s="65">
        <f>VLOOKUP($E$1,[8]Resumen!$V$8:$AH$14,AC1,0)</f>
        <v>110459.86724594835</v>
      </c>
      <c r="AD160" s="65">
        <f>VLOOKUP($E$1,[8]Resumen!$V$8:$AH$14,AD1,0)</f>
        <v>109277.96231709693</v>
      </c>
      <c r="AE160" s="65">
        <f>VLOOKUP($E$1,[8]Resumen!$V$8:$AH$14,AE1,0)</f>
        <v>119019.3711435805</v>
      </c>
      <c r="AF160" s="65">
        <f>VLOOKUP($E$1,[8]Resumen!$V$8:$AH$14,AF1,0)</f>
        <v>99091.851314683823</v>
      </c>
      <c r="AG160" s="65">
        <f>VLOOKUP($E$1,[8]Resumen!$V$8:$AH$14,AG1,0)</f>
        <v>117907.61570375669</v>
      </c>
      <c r="AH160" s="65">
        <f>VLOOKUP($E$1,[8]Resumen!$V$8:$AH$14,AH1,0)</f>
        <v>119622.09960526174</v>
      </c>
      <c r="AI160" s="65">
        <f>VLOOKUP($E$1,[8]Resumen!$V$8:$AH$14,AI1,0)</f>
        <v>112207.18887456742</v>
      </c>
      <c r="AJ160" s="65">
        <f>VLOOKUP($E$1,[8]Resumen!$V$8:$AH$14,AJ1,0)</f>
        <v>116578.96806119528</v>
      </c>
      <c r="AK160" s="65">
        <f t="shared" ref="AK159:AK160" si="118">SUM(Y160:AJ160)</f>
        <v>1287531.3753074603</v>
      </c>
      <c r="AL160" s="73">
        <f t="shared" si="115"/>
        <v>5.5999862771125E-3</v>
      </c>
      <c r="AM160" s="14">
        <f t="shared" si="116"/>
        <v>3.7500000000000311E-2</v>
      </c>
    </row>
    <row r="161" spans="9:39" ht="15">
      <c r="I161" s="28" t="s">
        <v>271</v>
      </c>
      <c r="J161" s="27">
        <v>962174</v>
      </c>
      <c r="K161" s="27">
        <v>748989</v>
      </c>
      <c r="L161" s="27">
        <v>888010</v>
      </c>
      <c r="M161" s="27">
        <v>913959</v>
      </c>
      <c r="N161" s="27">
        <v>980783</v>
      </c>
      <c r="O161" s="27">
        <v>883547</v>
      </c>
      <c r="P161" s="27">
        <v>906891</v>
      </c>
      <c r="Q161" s="27">
        <v>976081</v>
      </c>
      <c r="R161" s="27">
        <v>788740</v>
      </c>
      <c r="S161" s="27">
        <v>814199</v>
      </c>
      <c r="T161" s="27">
        <f t="shared" ref="R161:U161" si="119">T50+T92+T109+T114+T151</f>
        <v>919458.98615514685</v>
      </c>
      <c r="U161" s="27">
        <f t="shared" si="119"/>
        <v>860862.81987563113</v>
      </c>
      <c r="V161" s="27">
        <f>V50+V92+V109+V114+V151</f>
        <v>10645172.806030778</v>
      </c>
      <c r="W161" s="76">
        <f t="shared" si="27"/>
        <v>4.958919761686708E-2</v>
      </c>
      <c r="X161" s="89"/>
      <c r="Y161" s="27">
        <f t="shared" ref="Y161:AJ161" si="120">Y50+Y92+Y109+Y114+Y151+Y159</f>
        <v>1179812.9092942816</v>
      </c>
      <c r="Z161" s="27">
        <f t="shared" si="120"/>
        <v>1041470.5856923248</v>
      </c>
      <c r="AA161" s="27">
        <f t="shared" si="120"/>
        <v>1444400.3308030306</v>
      </c>
      <c r="AB161" s="27">
        <f t="shared" si="120"/>
        <v>1009451.0398643726</v>
      </c>
      <c r="AC161" s="27">
        <f t="shared" si="120"/>
        <v>1062553.7365717688</v>
      </c>
      <c r="AD161" s="27">
        <f t="shared" si="120"/>
        <v>1036495.5370253266</v>
      </c>
      <c r="AE161" s="27">
        <f t="shared" si="120"/>
        <v>1100208.0071918429</v>
      </c>
      <c r="AF161" s="27">
        <f t="shared" si="120"/>
        <v>1112746.4960718192</v>
      </c>
      <c r="AG161" s="27">
        <f t="shared" si="120"/>
        <v>1075746.3917462523</v>
      </c>
      <c r="AH161" s="27">
        <f t="shared" si="120"/>
        <v>1112629.9049601979</v>
      </c>
      <c r="AI161" s="27">
        <f t="shared" si="120"/>
        <v>1075788.2819705091</v>
      </c>
      <c r="AJ161" s="27">
        <f>AJ50+AJ92+AJ109+AJ114+AJ151+AJ159</f>
        <v>1076712.8466508766</v>
      </c>
      <c r="AK161" s="27">
        <f>AK50+AK92+AK109+AK114+AK151+AK159</f>
        <v>13328016.067842603</v>
      </c>
      <c r="AL161" s="76">
        <f t="shared" si="29"/>
        <v>5.7968845274337773E-2</v>
      </c>
      <c r="AM161" s="10">
        <f t="shared" si="83"/>
        <v>0.25202439741437743</v>
      </c>
    </row>
    <row r="162" spans="9:39" ht="15">
      <c r="I162" s="26" t="s">
        <v>272</v>
      </c>
      <c r="J162" s="17">
        <v>1.0900000000000001</v>
      </c>
      <c r="K162" s="17">
        <v>0.86</v>
      </c>
      <c r="L162" s="17">
        <v>0.91</v>
      </c>
      <c r="M162" s="17">
        <v>1.01</v>
      </c>
      <c r="N162" s="17">
        <v>0.97</v>
      </c>
      <c r="O162" s="17">
        <v>0.88</v>
      </c>
      <c r="P162" s="17">
        <v>0.92</v>
      </c>
      <c r="Q162" s="17">
        <v>1.1100000000000001</v>
      </c>
      <c r="R162" s="17">
        <v>0.85</v>
      </c>
      <c r="S162" s="17">
        <v>0.8</v>
      </c>
      <c r="T162" s="17">
        <v>0.88971670409338943</v>
      </c>
      <c r="U162" s="17">
        <v>0.85940126037214948</v>
      </c>
      <c r="V162" s="17">
        <f>IFERROR(V161/V39,0)</f>
        <v>0.94151044710546428</v>
      </c>
      <c r="W162" s="73">
        <f t="shared" si="27"/>
        <v>4.3859079106172246E-9</v>
      </c>
      <c r="X162" s="89"/>
      <c r="Y162" s="17">
        <f t="shared" ref="Y162:AK162" si="121">IFERROR(Y161/Y39,0)</f>
        <v>1.3176054522831488</v>
      </c>
      <c r="Z162" s="17">
        <f t="shared" si="121"/>
        <v>1.1717162169343087</v>
      </c>
      <c r="AA162" s="17">
        <f t="shared" si="121"/>
        <v>1.4633699960619821</v>
      </c>
      <c r="AB162" s="17">
        <f t="shared" si="121"/>
        <v>1.1008058135228176</v>
      </c>
      <c r="AC162" s="17">
        <f t="shared" si="121"/>
        <v>1.0229462795729825</v>
      </c>
      <c r="AD162" s="17">
        <f t="shared" si="121"/>
        <v>1.0124963363644794</v>
      </c>
      <c r="AE162" s="17">
        <f t="shared" si="121"/>
        <v>1.0956326452652154</v>
      </c>
      <c r="AF162" s="17">
        <f t="shared" si="121"/>
        <v>1.107539950763281</v>
      </c>
      <c r="AG162" s="17">
        <f t="shared" si="121"/>
        <v>1.0785830652077486</v>
      </c>
      <c r="AH162" s="17">
        <f t="shared" si="121"/>
        <v>1.0960218853317656</v>
      </c>
      <c r="AI162" s="17">
        <f t="shared" si="121"/>
        <v>1.0950546739031612</v>
      </c>
      <c r="AJ162" s="17">
        <f t="shared" si="121"/>
        <v>1.1712248346858514</v>
      </c>
      <c r="AK162" s="17">
        <f t="shared" si="121"/>
        <v>1.1416989062166409</v>
      </c>
      <c r="AL162" s="73">
        <f t="shared" si="29"/>
        <v>4.9657028403527522E-9</v>
      </c>
      <c r="AM162" s="16">
        <f t="shared" si="83"/>
        <v>0.21262478788910588</v>
      </c>
    </row>
    <row r="163" spans="9:39" ht="15">
      <c r="I163" s="26" t="s">
        <v>273</v>
      </c>
      <c r="J163" s="17">
        <v>1.0900000000000001</v>
      </c>
      <c r="K163" s="17">
        <v>0.86</v>
      </c>
      <c r="L163" s="17">
        <v>0.91</v>
      </c>
      <c r="M163" s="17">
        <v>1.01</v>
      </c>
      <c r="N163" s="17">
        <v>0.97</v>
      </c>
      <c r="O163" s="17">
        <v>0.88</v>
      </c>
      <c r="P163" s="17">
        <v>0.92</v>
      </c>
      <c r="Q163" s="17">
        <v>1.1100000000000001</v>
      </c>
      <c r="R163" s="17">
        <v>0.85</v>
      </c>
      <c r="S163" s="17">
        <v>0.8</v>
      </c>
      <c r="T163" s="17">
        <v>1.2555058111645623E-6</v>
      </c>
      <c r="U163" s="17">
        <v>1.2230788700728232E-6</v>
      </c>
      <c r="V163" s="17">
        <f>IFERROR((V161-V152)/V39,0)</f>
        <v>0.94151044710546428</v>
      </c>
      <c r="W163" s="73">
        <f t="shared" si="27"/>
        <v>4.3859079106172246E-9</v>
      </c>
      <c r="X163" s="89"/>
      <c r="Y163" s="17">
        <f t="shared" ref="Y163:AJ163" si="122">IFERROR(Y162/Y40,0)</f>
        <v>2.0746229011899568E-6</v>
      </c>
      <c r="Z163" s="17">
        <f t="shared" si="122"/>
        <v>1.8536763205648259E-6</v>
      </c>
      <c r="AA163" s="17">
        <f t="shared" si="122"/>
        <v>2.1127608463661647E-6</v>
      </c>
      <c r="AB163" s="17">
        <f t="shared" si="122"/>
        <v>1.693190532953543E-6</v>
      </c>
      <c r="AC163" s="17">
        <f t="shared" si="122"/>
        <v>1.392108358223373E-6</v>
      </c>
      <c r="AD163" s="17">
        <f t="shared" si="122"/>
        <v>1.4056182401519315E-6</v>
      </c>
      <c r="AE163" s="17">
        <f t="shared" si="122"/>
        <v>1.5803016925646329E-6</v>
      </c>
      <c r="AF163" s="17">
        <f t="shared" si="122"/>
        <v>1.5178787341050334E-6</v>
      </c>
      <c r="AG163" s="17">
        <f t="shared" si="122"/>
        <v>1.5095380696303891E-6</v>
      </c>
      <c r="AH163" s="17">
        <f t="shared" si="122"/>
        <v>1.5056631384093943E-6</v>
      </c>
      <c r="AI163" s="17">
        <f t="shared" si="122"/>
        <v>1.5549364622249693E-6</v>
      </c>
      <c r="AJ163" s="17">
        <f t="shared" si="122"/>
        <v>1.7797713861101929E-6</v>
      </c>
      <c r="AK163" s="17">
        <f>IFERROR((AK161-AK152)/AK39,0)</f>
        <v>1.1416989062166409</v>
      </c>
      <c r="AL163" s="73">
        <f t="shared" si="29"/>
        <v>4.9657028403527522E-9</v>
      </c>
      <c r="AM163" s="16">
        <f t="shared" si="83"/>
        <v>0.21262478788910588</v>
      </c>
    </row>
    <row r="164" spans="9:39" ht="15.75">
      <c r="I164" s="25" t="s">
        <v>274</v>
      </c>
      <c r="J164" s="24">
        <v>1602983</v>
      </c>
      <c r="K164" s="24">
        <v>1726002</v>
      </c>
      <c r="L164" s="24">
        <v>1775974</v>
      </c>
      <c r="M164" s="24">
        <v>1569925</v>
      </c>
      <c r="N164" s="24">
        <v>2171985</v>
      </c>
      <c r="O164" s="24">
        <v>1816670</v>
      </c>
      <c r="P164" s="24">
        <v>1787880</v>
      </c>
      <c r="Q164" s="24">
        <v>1383235</v>
      </c>
      <c r="R164" s="24">
        <v>1137928</v>
      </c>
      <c r="S164" s="24">
        <v>2251410</v>
      </c>
      <c r="T164" s="24">
        <f t="shared" ref="R164:U164" si="123">T34-T161</f>
        <v>1585420.6805115198</v>
      </c>
      <c r="U164" s="24">
        <f t="shared" si="123"/>
        <v>1638189.4023465915</v>
      </c>
      <c r="V164" s="24">
        <f>V34-V161</f>
        <v>20446122.082858108</v>
      </c>
      <c r="W164" s="77">
        <f t="shared" si="27"/>
        <v>9.5245686184731074E-2</v>
      </c>
      <c r="X164" s="89"/>
      <c r="Y164" s="24">
        <f t="shared" ref="Y164:AK164" si="124">Y34-Y161</f>
        <v>1058657.0707057188</v>
      </c>
      <c r="Z164" s="24">
        <f t="shared" si="124"/>
        <v>1178243.2543076752</v>
      </c>
      <c r="AA164" s="24">
        <f t="shared" si="124"/>
        <v>1114597.2191969701</v>
      </c>
      <c r="AB164" s="24">
        <f t="shared" si="124"/>
        <v>1214859.6401356272</v>
      </c>
      <c r="AC164" s="24">
        <f t="shared" si="124"/>
        <v>1641083.1334282323</v>
      </c>
      <c r="AD164" s="24">
        <f t="shared" si="124"/>
        <v>1507483.9029746747</v>
      </c>
      <c r="AE164" s="24">
        <f t="shared" si="124"/>
        <v>1388450.5628081611</v>
      </c>
      <c r="AF164" s="24">
        <f t="shared" si="124"/>
        <v>1436535.8239281811</v>
      </c>
      <c r="AG164" s="24">
        <f t="shared" si="124"/>
        <v>1403925.5682537486</v>
      </c>
      <c r="AH164" s="24">
        <f t="shared" si="124"/>
        <v>1440778.3450398059</v>
      </c>
      <c r="AI164" s="24">
        <f t="shared" si="124"/>
        <v>1360166.6180294894</v>
      </c>
      <c r="AJ164" s="24">
        <f t="shared" si="124"/>
        <v>1162524.2633491228</v>
      </c>
      <c r="AK164" s="24">
        <f t="shared" si="124"/>
        <v>15907305.402157456</v>
      </c>
      <c r="AL164" s="77">
        <f t="shared" si="29"/>
        <v>6.9187200922887784E-2</v>
      </c>
      <c r="AM164" s="23">
        <f t="shared" si="83"/>
        <v>-0.22198912157068484</v>
      </c>
    </row>
    <row r="165" spans="9:39">
      <c r="I165" s="26" t="s">
        <v>309</v>
      </c>
      <c r="J165" s="17">
        <f>+J164/J39</f>
        <v>1.8214142869479455</v>
      </c>
      <c r="K165" s="17">
        <f>+K164/K39</f>
        <v>1.973329217471832</v>
      </c>
      <c r="L165" s="17">
        <f>+L164/L39</f>
        <v>1.8290870291525312</v>
      </c>
      <c r="M165" s="17">
        <f>+M164/M39</f>
        <v>1.740875491515876</v>
      </c>
      <c r="N165" s="17">
        <f>+N164/N39</f>
        <v>2.1423625529799462</v>
      </c>
      <c r="O165" s="17">
        <f>+O164/O39</f>
        <v>1.8148261366451686</v>
      </c>
      <c r="P165" s="17">
        <f>+P164/P39</f>
        <v>1.8185257967264339</v>
      </c>
      <c r="Q165" s="17">
        <f>+Q164/Q39</f>
        <v>1.5768573089682061</v>
      </c>
      <c r="R165" s="17">
        <f>+R164/R39</f>
        <v>1.2276747038775613</v>
      </c>
      <c r="S165" s="17">
        <f>+S164/S39</f>
        <v>2.2183521167561007</v>
      </c>
      <c r="T165" s="17">
        <f>+T164/T39</f>
        <v>1.6484662731272723</v>
      </c>
      <c r="U165" s="17">
        <f>+U164/U39</f>
        <v>1.8197575296221735</v>
      </c>
      <c r="V165" s="17">
        <f>+V164/V39</f>
        <v>1.8083536918159622</v>
      </c>
      <c r="W165" s="73">
        <f t="shared" ref="W165" si="125">V165/V$6</f>
        <v>8.4239880571830348E-9</v>
      </c>
      <c r="X165" s="89"/>
      <c r="Y165" s="17">
        <f>+Y164/Y39</f>
        <v>1.1822995980729967</v>
      </c>
      <c r="Z165" s="17">
        <f>+Z164/Z39</f>
        <v>1.3255935861578043</v>
      </c>
      <c r="AA165" s="17">
        <f>+AA164/AA39</f>
        <v>1.1292354989701199</v>
      </c>
      <c r="AB165" s="17">
        <f>+AB164/AB39</f>
        <v>1.3248037811276279</v>
      </c>
      <c r="AC165" s="17">
        <f>+AC164/AC39</f>
        <v>1.5799105758421983</v>
      </c>
      <c r="AD165" s="17">
        <f>+AD164/AD39</f>
        <v>1.4725793545341517</v>
      </c>
      <c r="AE165" s="17">
        <f>+AE164/AE39</f>
        <v>1.3826765057202732</v>
      </c>
      <c r="AF165" s="17">
        <f>+AF164/AF39</f>
        <v>1.4298142670587379</v>
      </c>
      <c r="AG165" s="17">
        <f>+AG164/AG39</f>
        <v>1.4076276289178025</v>
      </c>
      <c r="AH165" s="17">
        <f>+AH164/AH39</f>
        <v>1.4192721146859695</v>
      </c>
      <c r="AI165" s="17">
        <f>+AI164/AI39</f>
        <v>1.3845259679088782</v>
      </c>
      <c r="AJ165" s="17">
        <f>+AJ164/AJ39</f>
        <v>1.2645686288545399</v>
      </c>
      <c r="AK165" s="17">
        <f>+AK164/AK39</f>
        <v>1.3626449042417006</v>
      </c>
      <c r="AL165" s="73">
        <f t="shared" ref="AL165" si="126">AK165/AK$6</f>
        <v>5.9266849031221316E-9</v>
      </c>
      <c r="AM165" s="16">
        <f t="shared" si="83"/>
        <v>-0.24647213075152208</v>
      </c>
    </row>
    <row r="166" spans="9:39" ht="15"/>
    <row r="167" spans="9:39" ht="15"/>
    <row r="168" spans="9:39" ht="15"/>
  </sheetData>
  <mergeCells count="4">
    <mergeCell ref="J2:U2"/>
    <mergeCell ref="V2:W2"/>
    <mergeCell ref="Y2:AJ2"/>
    <mergeCell ref="AK2:AL2"/>
  </mergeCells>
  <conditionalFormatting sqref="AM1:AM158 AM161:AM165">
    <cfRule type="cellIs" dxfId="23" priority="4" operator="lessThan">
      <formula>0</formula>
    </cfRule>
  </conditionalFormatting>
  <conditionalFormatting sqref="AO43:AO46">
    <cfRule type="cellIs" dxfId="22" priority="3" operator="lessThan">
      <formula>0</formula>
    </cfRule>
  </conditionalFormatting>
  <conditionalFormatting sqref="AM159">
    <cfRule type="cellIs" dxfId="21" priority="2" operator="lessThan">
      <formula>0</formula>
    </cfRule>
  </conditionalFormatting>
  <conditionalFormatting sqref="AM160">
    <cfRule type="cellIs" dxfId="2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46">
    <outlinePr summaryBelow="0" summaryRight="0"/>
  </sheetPr>
  <dimension ref="A1:AO165"/>
  <sheetViews>
    <sheetView showGridLines="0" zoomScale="70" zoomScaleNormal="70" workbookViewId="0">
      <pane xSplit="9" ySplit="3" topLeftCell="AJ161" activePane="bottomRight" state="frozen"/>
      <selection pane="bottomRight" activeCell="AJ161" sqref="AJ161"/>
      <selection pane="bottomLeft" activeCell="AB112" sqref="AB112"/>
      <selection pane="topRight" activeCell="AB112" sqref="AB112"/>
    </sheetView>
  </sheetViews>
  <sheetFormatPr defaultColWidth="11.42578125" defaultRowHeight="14.45" outlineLevelRow="1" outlineLevelCol="1"/>
  <cols>
    <col min="1" max="1" width="11.42578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1.42578125" style="7" customWidth="1"/>
    <col min="6" max="8" width="10.28515625" style="6" hidden="1" customWidth="1"/>
    <col min="9" max="9" width="43.140625" style="5" customWidth="1" collapsed="1"/>
    <col min="10" max="10" width="16" style="4" hidden="1" customWidth="1" outlineLevel="1"/>
    <col min="11" max="12" width="16.42578125" style="4" hidden="1" customWidth="1" outlineLevel="1"/>
    <col min="13" max="14" width="16.42578125" style="3" hidden="1" customWidth="1" outlineLevel="1"/>
    <col min="15" max="15" width="16" style="3" hidden="1" customWidth="1" outlineLevel="1"/>
    <col min="16" max="16" width="16.42578125" style="3" hidden="1" customWidth="1" outlineLevel="1"/>
    <col min="17" max="17" width="17.42578125" style="4" hidden="1" customWidth="1" outlineLevel="1"/>
    <col min="18" max="18" width="16" style="3" hidden="1" customWidth="1" outlineLevel="1"/>
    <col min="19" max="19" width="17.42578125" style="3" hidden="1" customWidth="1" outlineLevel="1"/>
    <col min="20" max="20" width="18.28515625" style="3" hidden="1" customWidth="1" outlineLevel="1"/>
    <col min="21" max="21" width="17.42578125" style="4" hidden="1" customWidth="1" outlineLevel="1"/>
    <col min="22" max="22" width="14.7109375" style="4" bestFit="1" customWidth="1"/>
    <col min="23" max="23" width="11.42578125" style="83" customWidth="1"/>
    <col min="24" max="24" width="1.140625" style="93" customWidth="1"/>
    <col min="25" max="25" width="16" style="4" customWidth="1" outlineLevel="1"/>
    <col min="26" max="27" width="16.42578125" style="4" customWidth="1" outlineLevel="1"/>
    <col min="28" max="28" width="16.42578125" style="3" customWidth="1" outlineLevel="1"/>
    <col min="29" max="29" width="16" style="3" customWidth="1" outlineLevel="1"/>
    <col min="30" max="31" width="16.42578125" style="3" customWidth="1" outlineLevel="1"/>
    <col min="32" max="32" width="16.42578125" style="4" customWidth="1" outlineLevel="1"/>
    <col min="33" max="35" width="16.42578125" style="3" customWidth="1" outlineLevel="1"/>
    <col min="36" max="36" width="16.42578125" style="4" customWidth="1" outlineLevel="1"/>
    <col min="37" max="37" width="14.7109375" style="4" bestFit="1" customWidth="1"/>
    <col min="38" max="38" width="11.42578125" style="83" customWidth="1"/>
    <col min="39" max="39" width="11.42578125" style="2" customWidth="1"/>
    <col min="40" max="42" width="11.42578125" style="1" customWidth="1"/>
    <col min="43" max="16384" width="11.42578125" style="1"/>
  </cols>
  <sheetData>
    <row r="1" spans="1:40" s="57" customFormat="1" ht="6.75" customHeight="1">
      <c r="A1" s="6"/>
      <c r="B1" s="8"/>
      <c r="C1" s="8"/>
      <c r="D1" s="6"/>
      <c r="E1" s="7" t="s">
        <v>476</v>
      </c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0" s="52" customFormat="1" ht="18" customHeight="1">
      <c r="A2" s="55"/>
      <c r="B2" s="55"/>
      <c r="C2" s="55"/>
      <c r="D2" s="55"/>
      <c r="E2" s="56"/>
      <c r="F2" s="55"/>
      <c r="G2" s="55"/>
      <c r="H2" s="55"/>
      <c r="I2" s="54"/>
      <c r="J2" s="309">
        <v>2025</v>
      </c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1"/>
      <c r="V2" s="312" t="s">
        <v>81</v>
      </c>
      <c r="W2" s="313"/>
      <c r="X2" s="85"/>
      <c r="Y2" s="309">
        <v>2026</v>
      </c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1"/>
      <c r="AK2" s="312" t="s">
        <v>81</v>
      </c>
      <c r="AL2" s="314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2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82</v>
      </c>
      <c r="X3" s="86"/>
      <c r="Y3" s="132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82</v>
      </c>
      <c r="AM3" s="45" t="s">
        <v>83</v>
      </c>
    </row>
    <row r="4" spans="1:40" ht="14.45" customHeight="1">
      <c r="I4" s="43" t="s">
        <v>84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 ht="14.45" customHeight="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0" ht="14.45" customHeight="1">
      <c r="A6" s="12" t="s">
        <v>85</v>
      </c>
      <c r="B6" s="19"/>
      <c r="C6" s="19"/>
      <c r="D6" s="12"/>
      <c r="E6" s="7" t="s">
        <v>86</v>
      </c>
      <c r="I6" s="167" t="s">
        <v>87</v>
      </c>
      <c r="J6" s="15">
        <v>11380550</v>
      </c>
      <c r="K6" s="15">
        <v>11191788</v>
      </c>
      <c r="L6" s="15">
        <v>11873554</v>
      </c>
      <c r="M6" s="15">
        <v>11459055</v>
      </c>
      <c r="N6" s="15">
        <v>12983441</v>
      </c>
      <c r="O6" s="15">
        <v>13200516</v>
      </c>
      <c r="P6" s="15">
        <v>12848038</v>
      </c>
      <c r="Q6" s="15">
        <v>12057237</v>
      </c>
      <c r="R6" s="15">
        <v>11950838</v>
      </c>
      <c r="S6" s="15">
        <v>12780057</v>
      </c>
      <c r="T6" s="15">
        <v>14113910.826165359</v>
      </c>
      <c r="U6" s="15">
        <v>13888966.989756184</v>
      </c>
      <c r="V6" s="15">
        <f t="shared" ref="V6" si="1">SUM(V7:V12)</f>
        <v>149727949.81592155</v>
      </c>
      <c r="W6" s="72">
        <f t="shared" ref="W6:W34" si="2">V6/V$6</f>
        <v>1</v>
      </c>
      <c r="X6" s="89"/>
      <c r="Y6" s="15">
        <f t="shared" ref="Y6:AJ6" si="3">SUM(Y7:Y12)</f>
        <v>11579677.52</v>
      </c>
      <c r="Z6" s="15">
        <f t="shared" si="3"/>
        <v>11381913.8652</v>
      </c>
      <c r="AA6" s="15">
        <f t="shared" si="3"/>
        <v>12546069.911425835</v>
      </c>
      <c r="AB6" s="15">
        <f t="shared" si="3"/>
        <v>12162057.068591889</v>
      </c>
      <c r="AC6" s="15">
        <f t="shared" si="3"/>
        <v>13872925.744263399</v>
      </c>
      <c r="AD6" s="15">
        <f t="shared" si="3"/>
        <v>14211778.207753833</v>
      </c>
      <c r="AE6" s="15">
        <f t="shared" si="3"/>
        <v>14167956.168812525</v>
      </c>
      <c r="AF6" s="15">
        <f t="shared" si="3"/>
        <v>14490849.642831458</v>
      </c>
      <c r="AG6" s="15">
        <f t="shared" si="3"/>
        <v>14064994.237527827</v>
      </c>
      <c r="AH6" s="15">
        <f t="shared" si="3"/>
        <v>14084873.838304</v>
      </c>
      <c r="AI6" s="15">
        <f t="shared" si="3"/>
        <v>13763198.699936321</v>
      </c>
      <c r="AJ6" s="15">
        <f t="shared" si="3"/>
        <v>12936871.92792041</v>
      </c>
      <c r="AK6" s="15">
        <f>SUM(AK7:AK12)</f>
        <v>159263166.83256748</v>
      </c>
      <c r="AL6" s="72">
        <f t="shared" ref="AL6:AL34" si="4">AK6/AK$6</f>
        <v>1</v>
      </c>
      <c r="AM6" s="10">
        <f>IFERROR(AK6/V6-1,0)</f>
        <v>6.3683614371055741E-2</v>
      </c>
      <c r="AN6" s="9"/>
    </row>
    <row r="7" spans="1:40" ht="15" customHeight="1" outlineLevel="1">
      <c r="A7" s="12" t="s">
        <v>85</v>
      </c>
      <c r="B7" s="19" t="s">
        <v>88</v>
      </c>
      <c r="C7" s="19" t="s">
        <v>89</v>
      </c>
      <c r="D7" s="12" t="s">
        <v>90</v>
      </c>
      <c r="E7" s="20"/>
      <c r="F7" s="12"/>
      <c r="G7" s="12"/>
      <c r="H7" s="12"/>
      <c r="I7" s="117" t="s">
        <v>22</v>
      </c>
      <c r="J7" s="65">
        <v>9630463</v>
      </c>
      <c r="K7" s="65">
        <v>9373209</v>
      </c>
      <c r="L7" s="65">
        <v>9877650</v>
      </c>
      <c r="M7" s="65">
        <v>9535263</v>
      </c>
      <c r="N7" s="65">
        <v>10540294</v>
      </c>
      <c r="O7" s="65">
        <v>10553887</v>
      </c>
      <c r="P7" s="65">
        <v>10230023</v>
      </c>
      <c r="Q7" s="65">
        <v>9836323</v>
      </c>
      <c r="R7" s="65">
        <v>9428558</v>
      </c>
      <c r="S7" s="65">
        <v>10377001</v>
      </c>
      <c r="T7" s="65">
        <v>12108671.356978482</v>
      </c>
      <c r="U7" s="65">
        <v>11913294.395833194</v>
      </c>
      <c r="V7" s="11">
        <f t="shared" ref="V7:V33" si="5">SUM(J7:U7)</f>
        <v>123404636.75281167</v>
      </c>
      <c r="W7" s="73">
        <f t="shared" si="2"/>
        <v>0.82419238962750596</v>
      </c>
      <c r="X7" s="89"/>
      <c r="Y7" s="65">
        <f>IFERROR(Y40*'[3]Margen ctvs-lit'!W$13,0)</f>
        <v>9470002.1999999993</v>
      </c>
      <c r="Z7" s="65">
        <f>IFERROR(Z40*'[3]Margen ctvs-lit'!X$13,0)</f>
        <v>9212926.2688800003</v>
      </c>
      <c r="AA7" s="65">
        <f>IFERROR(AA40*'[3]Margen ctvs-lit'!Y$13,0)</f>
        <v>10133477.970955776</v>
      </c>
      <c r="AB7" s="65">
        <f>IFERROR(AB40*'[3]Margen ctvs-lit'!Z$13,0)</f>
        <v>9888253.1316202339</v>
      </c>
      <c r="AC7" s="65">
        <f>IFERROR(AC40*'[3]Margen ctvs-lit'!AA$13,0)</f>
        <v>11215963.255796203</v>
      </c>
      <c r="AD7" s="65">
        <f>IFERROR(AD40*'[3]Margen ctvs-lit'!AB$13,0)</f>
        <v>11355174.275551159</v>
      </c>
      <c r="AE7" s="65">
        <f>IFERROR(AE40*'[3]Margen ctvs-lit'!AC$13,0)</f>
        <v>11344116.453229323</v>
      </c>
      <c r="AF7" s="65">
        <f>IFERROR(AF40*'[3]Margen ctvs-lit'!AD$13,0)</f>
        <v>11616558.299110899</v>
      </c>
      <c r="AG7" s="65">
        <f>IFERROR(AG40*'[3]Margen ctvs-lit'!AE$13,0)</f>
        <v>11276821.818659153</v>
      </c>
      <c r="AH7" s="65">
        <f>IFERROR(AH40*'[3]Margen ctvs-lit'!AF$13,0)</f>
        <v>11487567.378519</v>
      </c>
      <c r="AI7" s="65">
        <f>IFERROR(AI40*'[3]Margen ctvs-lit'!AG$13,0)</f>
        <v>11222060.52216946</v>
      </c>
      <c r="AJ7" s="65">
        <f>IFERROR(AJ40*'[3]Margen ctvs-lit'!AH$13,0)</f>
        <v>10553894.642741729</v>
      </c>
      <c r="AK7" s="65">
        <f t="shared" ref="AK7:AK33" si="6">SUM(Y7:AJ7)</f>
        <v>128776816.21723293</v>
      </c>
      <c r="AL7" s="73">
        <f t="shared" si="4"/>
        <v>0.8085787742285403</v>
      </c>
      <c r="AM7" s="14">
        <f t="shared" ref="AM7:AM46" si="7">IFERROR(AK7/V7-1,0)</f>
        <v>4.3533043861083698E-2</v>
      </c>
      <c r="AN7" s="9"/>
    </row>
    <row r="8" spans="1:40" ht="15" customHeight="1" outlineLevel="1">
      <c r="A8" s="12" t="s">
        <v>85</v>
      </c>
      <c r="B8" s="19" t="s">
        <v>88</v>
      </c>
      <c r="C8" s="19" t="s">
        <v>91</v>
      </c>
      <c r="D8" s="12" t="s">
        <v>92</v>
      </c>
      <c r="E8" s="20"/>
      <c r="F8" s="12"/>
      <c r="G8" s="12"/>
      <c r="H8" s="12"/>
      <c r="I8" s="117" t="s">
        <v>23</v>
      </c>
      <c r="J8" s="65">
        <v>1740307</v>
      </c>
      <c r="K8" s="65">
        <v>1808289</v>
      </c>
      <c r="L8" s="65">
        <v>1987050</v>
      </c>
      <c r="M8" s="65">
        <v>1844169</v>
      </c>
      <c r="N8" s="65">
        <v>2093073</v>
      </c>
      <c r="O8" s="65">
        <v>2088235</v>
      </c>
      <c r="P8" s="65">
        <v>2050583</v>
      </c>
      <c r="Q8" s="65">
        <v>1672787</v>
      </c>
      <c r="R8" s="65">
        <v>2091452</v>
      </c>
      <c r="S8" s="65">
        <v>2045763</v>
      </c>
      <c r="T8" s="65">
        <v>1995639.4691868778</v>
      </c>
      <c r="U8" s="65">
        <v>1966492.5939229901</v>
      </c>
      <c r="V8" s="11">
        <f t="shared" si="5"/>
        <v>23383840.063109871</v>
      </c>
      <c r="W8" s="73">
        <f t="shared" si="2"/>
        <v>0.15617551760949389</v>
      </c>
      <c r="X8" s="89"/>
      <c r="Y8" s="65">
        <f>IFERROR(Y41*'[3]Margen ctvs-lit'!W$14,0)</f>
        <v>1705285.16</v>
      </c>
      <c r="Z8" s="65">
        <f>IFERROR(Z41*'[3]Margen ctvs-lit'!X$14,0)</f>
        <v>1771825.2500160001</v>
      </c>
      <c r="AA8" s="65">
        <f>IFERROR(AA41*'[3]Margen ctvs-lit'!Y$14,0)</f>
        <v>1988767.3974601252</v>
      </c>
      <c r="AB8" s="65">
        <f>IFERROR(AB41*'[3]Margen ctvs-lit'!Z$14,0)</f>
        <v>1842380.4610166908</v>
      </c>
      <c r="AC8" s="65">
        <f>IFERROR(AC41*'[3]Margen ctvs-lit'!AA$14,0)</f>
        <v>2213077.7405418381</v>
      </c>
      <c r="AD8" s="65">
        <f>IFERROR(AD41*'[3]Margen ctvs-lit'!AB$14,0)</f>
        <v>2258622.8484422737</v>
      </c>
      <c r="AE8" s="65">
        <f>IFERROR(AE41*'[3]Margen ctvs-lit'!AC$14,0)</f>
        <v>2226749.437180989</v>
      </c>
      <c r="AF8" s="65">
        <f>IFERROR(AF41*'[3]Margen ctvs-lit'!AD$14,0)</f>
        <v>2293841.068806252</v>
      </c>
      <c r="AG8" s="65">
        <f>IFERROR(AG41*'[3]Margen ctvs-lit'!AE$14,0)</f>
        <v>2317034.9224005817</v>
      </c>
      <c r="AH8" s="65">
        <f>IFERROR(AH41*'[3]Margen ctvs-lit'!AF$14,0)</f>
        <v>2248071.4233836243</v>
      </c>
      <c r="AI8" s="65">
        <f>IFERROR(AI41*'[3]Margen ctvs-lit'!AG$14,0)</f>
        <v>2201179.3813266251</v>
      </c>
      <c r="AJ8" s="65">
        <f>IFERROR(AJ41*'[3]Margen ctvs-lit'!AH$14,0)</f>
        <v>2064084.8671595773</v>
      </c>
      <c r="AK8" s="65">
        <f t="shared" si="6"/>
        <v>25130919.957734574</v>
      </c>
      <c r="AL8" s="73">
        <f t="shared" si="4"/>
        <v>0.15779492809002457</v>
      </c>
      <c r="AM8" s="14">
        <f t="shared" si="7"/>
        <v>7.4713130517039428E-2</v>
      </c>
      <c r="AN8" s="9"/>
    </row>
    <row r="9" spans="1:40" ht="15" customHeight="1" outlineLevel="1">
      <c r="A9" s="12" t="s">
        <v>85</v>
      </c>
      <c r="B9" s="19" t="s">
        <v>88</v>
      </c>
      <c r="C9" s="19" t="s">
        <v>93</v>
      </c>
      <c r="D9" s="12" t="s">
        <v>94</v>
      </c>
      <c r="E9" s="20"/>
      <c r="F9" s="12"/>
      <c r="G9" s="12"/>
      <c r="H9" s="12"/>
      <c r="I9" s="117" t="s">
        <v>5</v>
      </c>
      <c r="J9" s="65">
        <v>0</v>
      </c>
      <c r="K9" s="65">
        <v>0</v>
      </c>
      <c r="L9" s="65">
        <v>0</v>
      </c>
      <c r="M9" s="65">
        <v>69862</v>
      </c>
      <c r="N9" s="65">
        <v>340318</v>
      </c>
      <c r="O9" s="65">
        <v>547933</v>
      </c>
      <c r="P9" s="65">
        <v>557598</v>
      </c>
      <c r="Q9" s="65">
        <v>537091</v>
      </c>
      <c r="R9" s="65">
        <v>421772</v>
      </c>
      <c r="S9" s="65">
        <v>346610</v>
      </c>
      <c r="T9" s="65">
        <v>0</v>
      </c>
      <c r="U9" s="65">
        <v>0</v>
      </c>
      <c r="V9" s="11">
        <f t="shared" si="5"/>
        <v>2821184</v>
      </c>
      <c r="W9" s="73">
        <f t="shared" si="2"/>
        <v>1.8842066584551637E-2</v>
      </c>
      <c r="X9" s="89"/>
      <c r="Y9" s="65">
        <f>IFERROR(Y42*'[3]Margen ctvs-lit'!W$15,0)</f>
        <v>394190.16</v>
      </c>
      <c r="Z9" s="65">
        <f>IFERROR(Z42*'[3]Margen ctvs-lit'!X$15,0)</f>
        <v>385882.34630400001</v>
      </c>
      <c r="AA9" s="65">
        <f>IFERROR(AA42*'[3]Margen ctvs-lit'!Y$15,0)</f>
        <v>413624.54300993285</v>
      </c>
      <c r="AB9" s="65">
        <f>IFERROR(AB42*'[3]Margen ctvs-lit'!Z$15,0)</f>
        <v>420683.47595496493</v>
      </c>
      <c r="AC9" s="65">
        <f>IFERROR(AC42*'[3]Margen ctvs-lit'!AA$15,0)</f>
        <v>432424.74792535807</v>
      </c>
      <c r="AD9" s="65">
        <f>IFERROR(AD42*'[3]Margen ctvs-lit'!AB$15,0)</f>
        <v>589401.08376040193</v>
      </c>
      <c r="AE9" s="65">
        <f>IFERROR(AE42*'[3]Margen ctvs-lit'!AC$15,0)</f>
        <v>588210.27840221371</v>
      </c>
      <c r="AF9" s="65">
        <f>IFERROR(AF42*'[3]Margen ctvs-lit'!AD$15,0)</f>
        <v>571570.27491430729</v>
      </c>
      <c r="AG9" s="65">
        <f>IFERROR(AG42*'[3]Margen ctvs-lit'!AE$15,0)</f>
        <v>460457.49646809162</v>
      </c>
      <c r="AH9" s="65">
        <f>IFERROR(AH42*'[3]Margen ctvs-lit'!AF$15,0)</f>
        <v>336635.03640137456</v>
      </c>
      <c r="AI9" s="65">
        <f>IFERROR(AI42*'[3]Margen ctvs-lit'!AG$15,0)</f>
        <v>327598.7964402365</v>
      </c>
      <c r="AJ9" s="65">
        <f>IFERROR(AJ42*'[3]Margen ctvs-lit'!AH$15,0)</f>
        <v>308092.41801910434</v>
      </c>
      <c r="AK9" s="65">
        <f t="shared" si="6"/>
        <v>5228770.6575999856</v>
      </c>
      <c r="AL9" s="73">
        <f t="shared" si="4"/>
        <v>3.2831010217804872E-2</v>
      </c>
      <c r="AM9" s="14">
        <f t="shared" si="7"/>
        <v>0.85339582870170316</v>
      </c>
      <c r="AN9" s="9"/>
    </row>
    <row r="10" spans="1:40" ht="15" customHeight="1" outlineLevel="1">
      <c r="A10" s="12"/>
      <c r="B10" s="19"/>
      <c r="C10" s="19"/>
      <c r="D10" s="12"/>
      <c r="E10" s="20"/>
      <c r="F10" s="12"/>
      <c r="G10" s="12"/>
      <c r="H10" s="12"/>
      <c r="I10" s="117" t="s">
        <v>95</v>
      </c>
      <c r="J10" s="65">
        <v>9780</v>
      </c>
      <c r="K10" s="65">
        <v>10290</v>
      </c>
      <c r="L10" s="65">
        <v>8854</v>
      </c>
      <c r="M10" s="65">
        <v>9761</v>
      </c>
      <c r="N10" s="65">
        <v>9756</v>
      </c>
      <c r="O10" s="65">
        <v>10460</v>
      </c>
      <c r="P10" s="65">
        <v>9834</v>
      </c>
      <c r="Q10" s="65">
        <v>11036</v>
      </c>
      <c r="R10" s="65">
        <v>9056</v>
      </c>
      <c r="S10" s="65">
        <v>10682</v>
      </c>
      <c r="T10" s="65">
        <v>9600</v>
      </c>
      <c r="U10" s="65">
        <v>9180</v>
      </c>
      <c r="V10" s="11">
        <f t="shared" si="5"/>
        <v>118289</v>
      </c>
      <c r="W10" s="73">
        <f t="shared" si="2"/>
        <v>7.9002617844849143E-4</v>
      </c>
      <c r="X10" s="89"/>
      <c r="Y10" s="65">
        <f>VLOOKUP($E$1,'[3]Resumen x Tipo Combustible'!$C$60:$O$66,Y1,0)</f>
        <v>10200</v>
      </c>
      <c r="Z10" s="65">
        <f>VLOOKUP($E$1,'[3]Resumen x Tipo Combustible'!$C$60:$O$66,Z1,0)</f>
        <v>11280</v>
      </c>
      <c r="AA10" s="65">
        <f>VLOOKUP($E$1,'[3]Resumen x Tipo Combustible'!$C$60:$O$66,AA1,0)</f>
        <v>10200</v>
      </c>
      <c r="AB10" s="65">
        <f>VLOOKUP($E$1,'[3]Resumen x Tipo Combustible'!$C$60:$O$66,AB1,0)</f>
        <v>10740</v>
      </c>
      <c r="AC10" s="65">
        <f>VLOOKUP($E$1,'[3]Resumen x Tipo Combustible'!$C$60:$O$66,AC1,0)</f>
        <v>11460</v>
      </c>
      <c r="AD10" s="65">
        <f>VLOOKUP($E$1,'[3]Resumen x Tipo Combustible'!$C$60:$O$66,AD1,0)</f>
        <v>8580</v>
      </c>
      <c r="AE10" s="65">
        <f>VLOOKUP($E$1,'[3]Resumen x Tipo Combustible'!$C$60:$O$66,AE1,0)</f>
        <v>8880</v>
      </c>
      <c r="AF10" s="65">
        <f>VLOOKUP($E$1,'[3]Resumen x Tipo Combustible'!$C$60:$O$66,AF1,0)</f>
        <v>8880</v>
      </c>
      <c r="AG10" s="65">
        <f>VLOOKUP($E$1,'[3]Resumen x Tipo Combustible'!$C$60:$O$66,AG1,0)</f>
        <v>10680</v>
      </c>
      <c r="AH10" s="65">
        <f>VLOOKUP($E$1,'[3]Resumen x Tipo Combustible'!$C$60:$O$66,AH1,0)</f>
        <v>12600</v>
      </c>
      <c r="AI10" s="65">
        <f>VLOOKUP($E$1,'[3]Resumen x Tipo Combustible'!$C$60:$O$66,AI1,0)</f>
        <v>12360</v>
      </c>
      <c r="AJ10" s="65">
        <f>VLOOKUP($E$1,'[3]Resumen x Tipo Combustible'!$C$60:$O$66,AJ1,0)</f>
        <v>10800</v>
      </c>
      <c r="AK10" s="65">
        <f t="shared" si="6"/>
        <v>126660</v>
      </c>
      <c r="AL10" s="73">
        <f t="shared" si="4"/>
        <v>7.9528746363028801E-4</v>
      </c>
      <c r="AM10" s="14">
        <f t="shared" si="7"/>
        <v>7.0767357911555528E-2</v>
      </c>
      <c r="AN10" s="9"/>
    </row>
    <row r="11" spans="1:40" ht="15" customHeight="1" outlineLevel="1">
      <c r="A11" s="12"/>
      <c r="B11" s="19"/>
      <c r="C11" s="19"/>
      <c r="D11" s="12"/>
      <c r="E11" s="20"/>
      <c r="F11" s="12"/>
      <c r="G11" s="12"/>
      <c r="H11" s="12"/>
      <c r="I11" s="117" t="s">
        <v>473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11">
        <f t="shared" si="5"/>
        <v>0</v>
      </c>
      <c r="W11" s="73">
        <f t="shared" si="2"/>
        <v>0</v>
      </c>
      <c r="X11" s="89"/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f t="shared" si="6"/>
        <v>0</v>
      </c>
      <c r="AL11" s="73">
        <f t="shared" si="4"/>
        <v>0</v>
      </c>
      <c r="AM11" s="14">
        <f t="shared" si="7"/>
        <v>0</v>
      </c>
      <c r="AN11" s="9"/>
    </row>
    <row r="12" spans="1:40" ht="15" customHeight="1" outlineLevel="1">
      <c r="A12" s="12"/>
      <c r="B12" s="19"/>
      <c r="C12" s="19"/>
      <c r="D12" s="12"/>
      <c r="E12" s="20"/>
      <c r="F12" s="12"/>
      <c r="G12" s="12"/>
      <c r="H12" s="12"/>
      <c r="I12" s="117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11">
        <f t="shared" si="5"/>
        <v>0</v>
      </c>
      <c r="W12" s="73">
        <f t="shared" si="2"/>
        <v>0</v>
      </c>
      <c r="X12" s="89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>
        <f t="shared" si="6"/>
        <v>0</v>
      </c>
      <c r="AL12" s="73">
        <f t="shared" si="4"/>
        <v>0</v>
      </c>
      <c r="AM12" s="14">
        <f t="shared" si="7"/>
        <v>0</v>
      </c>
      <c r="AN12" s="9"/>
    </row>
    <row r="13" spans="1:40" ht="14.45" customHeight="1">
      <c r="A13" s="12" t="s">
        <v>97</v>
      </c>
      <c r="B13" s="19"/>
      <c r="E13" s="7" t="s">
        <v>98</v>
      </c>
      <c r="I13" s="167" t="s">
        <v>99</v>
      </c>
      <c r="J13" s="15">
        <v>9887879</v>
      </c>
      <c r="K13" s="15">
        <v>9401371</v>
      </c>
      <c r="L13" s="15">
        <v>10077381</v>
      </c>
      <c r="M13" s="15">
        <v>9666638</v>
      </c>
      <c r="N13" s="15">
        <v>10709652</v>
      </c>
      <c r="O13" s="15">
        <v>11142869</v>
      </c>
      <c r="P13" s="15">
        <v>11061380</v>
      </c>
      <c r="Q13" s="15">
        <v>10450310</v>
      </c>
      <c r="R13" s="15">
        <v>10222026</v>
      </c>
      <c r="S13" s="15">
        <v>10754510</v>
      </c>
      <c r="T13" s="15">
        <v>12048784.906165361</v>
      </c>
      <c r="U13" s="15">
        <v>11876332.779756185</v>
      </c>
      <c r="V13" s="15">
        <f t="shared" ref="V13" si="8">SUM(V14:V33)</f>
        <v>127299131.68592155</v>
      </c>
      <c r="W13" s="72">
        <f t="shared" si="2"/>
        <v>0.85020286354301633</v>
      </c>
      <c r="X13" s="89"/>
      <c r="Y13" s="15">
        <f>SUM(Y14:Y33)</f>
        <v>9944952.709999999</v>
      </c>
      <c r="Z13" s="15">
        <f t="shared" ref="Z13:AK13" si="9">SUM(Z14:Z33)</f>
        <v>9816186.5952000022</v>
      </c>
      <c r="AA13" s="15">
        <f t="shared" si="9"/>
        <v>10760012.241425835</v>
      </c>
      <c r="AB13" s="15">
        <f t="shared" si="9"/>
        <v>10526099.648591889</v>
      </c>
      <c r="AC13" s="15">
        <f t="shared" si="9"/>
        <v>11935540.8142634</v>
      </c>
      <c r="AD13" s="15">
        <f t="shared" si="9"/>
        <v>12322089.787753833</v>
      </c>
      <c r="AE13" s="15">
        <f t="shared" si="9"/>
        <v>12316028.408812525</v>
      </c>
      <c r="AF13" s="15">
        <f t="shared" si="9"/>
        <v>12599713.992831457</v>
      </c>
      <c r="AG13" s="15">
        <f t="shared" si="9"/>
        <v>12280390.017527826</v>
      </c>
      <c r="AH13" s="15">
        <f t="shared" si="9"/>
        <v>12284306.848304</v>
      </c>
      <c r="AI13" s="15">
        <f t="shared" si="9"/>
        <v>12055699.919936322</v>
      </c>
      <c r="AJ13" s="15">
        <f t="shared" si="9"/>
        <v>11368794.077920411</v>
      </c>
      <c r="AK13" s="15">
        <f t="shared" si="9"/>
        <v>138209815.06256753</v>
      </c>
      <c r="AL13" s="72">
        <f t="shared" si="4"/>
        <v>0.86780777885615434</v>
      </c>
      <c r="AM13" s="10">
        <f t="shared" si="7"/>
        <v>8.5709016488543899E-2</v>
      </c>
      <c r="AN13" s="9"/>
    </row>
    <row r="14" spans="1:40" ht="14.45" customHeight="1" outlineLevel="1">
      <c r="A14" s="37" t="s">
        <v>97</v>
      </c>
      <c r="B14" s="39"/>
      <c r="C14" s="39" t="s">
        <v>100</v>
      </c>
      <c r="D14" s="37" t="s">
        <v>101</v>
      </c>
      <c r="E14" s="38"/>
      <c r="F14" s="37"/>
      <c r="G14" s="37"/>
      <c r="H14" s="37"/>
      <c r="I14" s="171" t="s">
        <v>102</v>
      </c>
      <c r="J14" s="65">
        <v>9964225</v>
      </c>
      <c r="K14" s="65">
        <v>9619455</v>
      </c>
      <c r="L14" s="65">
        <v>10343847</v>
      </c>
      <c r="M14" s="65">
        <v>9875177</v>
      </c>
      <c r="N14" s="65">
        <v>10908992</v>
      </c>
      <c r="O14" s="65">
        <v>11072165</v>
      </c>
      <c r="P14" s="65">
        <v>10961451</v>
      </c>
      <c r="Q14" s="65">
        <v>10542515</v>
      </c>
      <c r="R14" s="65">
        <v>9947384</v>
      </c>
      <c r="S14" s="65">
        <v>10754764</v>
      </c>
      <c r="T14" s="65">
        <v>10319810.896978483</v>
      </c>
      <c r="U14" s="65">
        <v>10172705.915833194</v>
      </c>
      <c r="V14" s="11">
        <f t="shared" si="5"/>
        <v>124482491.81281167</v>
      </c>
      <c r="W14" s="73">
        <f t="shared" si="2"/>
        <v>0.83139114618114296</v>
      </c>
      <c r="X14" s="89"/>
      <c r="Y14" s="65">
        <f>Y7-Y28-Y35</f>
        <v>8103927.1699999999</v>
      </c>
      <c r="Z14" s="65">
        <f>Z7-Z28-Z35</f>
        <v>7920110.9788800003</v>
      </c>
      <c r="AA14" s="65">
        <f>AA7-AA28-AA35</f>
        <v>8659498.6109557766</v>
      </c>
      <c r="AB14" s="65">
        <f>AB7-AB28-AB35</f>
        <v>8532312.0516202338</v>
      </c>
      <c r="AC14" s="65">
        <f>AC7-AC28-AC35</f>
        <v>9603264.1757962033</v>
      </c>
      <c r="AD14" s="65">
        <f>AD7-AD28-AD35</f>
        <v>9808943.9955511596</v>
      </c>
      <c r="AE14" s="65">
        <f>AE7-AE28-AE35</f>
        <v>9823188.953229323</v>
      </c>
      <c r="AF14" s="65">
        <f>AF7-AF28-AF35</f>
        <v>10064646.539110899</v>
      </c>
      <c r="AG14" s="65">
        <f>AG7-AG28-AG35</f>
        <v>9817120.978659153</v>
      </c>
      <c r="AH14" s="65">
        <f>AH7-AH28-AH35</f>
        <v>9987882.6185190007</v>
      </c>
      <c r="AI14" s="65">
        <f>AI7-AI28-AI35</f>
        <v>9802571.2821694594</v>
      </c>
      <c r="AJ14" s="65">
        <f>AJ7-AJ28-AJ35</f>
        <v>9255601.5327417292</v>
      </c>
      <c r="AK14" s="65">
        <f t="shared" si="6"/>
        <v>111379068.88723296</v>
      </c>
      <c r="AL14" s="73">
        <f t="shared" si="4"/>
        <v>0.6993397852268326</v>
      </c>
      <c r="AM14" s="14">
        <f t="shared" si="7"/>
        <v>-0.10526317986374145</v>
      </c>
      <c r="AN14" s="9"/>
    </row>
    <row r="15" spans="1:40" ht="14.45" customHeight="1" outlineLevel="1">
      <c r="A15" s="37" t="s">
        <v>97</v>
      </c>
      <c r="B15" s="39"/>
      <c r="C15" s="39" t="s">
        <v>103</v>
      </c>
      <c r="D15" s="37" t="s">
        <v>104</v>
      </c>
      <c r="E15" s="38"/>
      <c r="F15" s="37"/>
      <c r="G15" s="37"/>
      <c r="H15" s="37"/>
      <c r="I15" s="172" t="s">
        <v>105</v>
      </c>
      <c r="J15" s="65">
        <v>1702327</v>
      </c>
      <c r="K15" s="65">
        <v>1750317</v>
      </c>
      <c r="L15" s="65">
        <v>1903880</v>
      </c>
      <c r="M15" s="65">
        <v>1783663</v>
      </c>
      <c r="N15" s="65">
        <v>2034811</v>
      </c>
      <c r="O15" s="65">
        <v>2064046</v>
      </c>
      <c r="P15" s="65">
        <v>2053638</v>
      </c>
      <c r="Q15" s="65">
        <v>1710470</v>
      </c>
      <c r="R15" s="65">
        <v>2147021</v>
      </c>
      <c r="S15" s="65">
        <v>2065095</v>
      </c>
      <c r="T15" s="65">
        <v>1720814.0091868779</v>
      </c>
      <c r="U15" s="65">
        <v>1695823.8639229902</v>
      </c>
      <c r="V15" s="11">
        <f t="shared" si="5"/>
        <v>22631905.87310987</v>
      </c>
      <c r="W15" s="73">
        <f t="shared" si="2"/>
        <v>0.15115351476417044</v>
      </c>
      <c r="X15" s="89"/>
      <c r="Y15" s="65">
        <f>Y8-Y29-Y36</f>
        <v>1482204.94</v>
      </c>
      <c r="Z15" s="65">
        <f>Z8-Z29-Z36</f>
        <v>1542698.3300160002</v>
      </c>
      <c r="AA15" s="65">
        <f>AA8-AA29-AA36</f>
        <v>1724486.5874601251</v>
      </c>
      <c r="AB15" s="65">
        <f>AB8-AB29-AB36</f>
        <v>1609562.2710166909</v>
      </c>
      <c r="AC15" s="65">
        <f>AC8-AC29-AC36</f>
        <v>1936622.1105418382</v>
      </c>
      <c r="AD15" s="65">
        <f>AD8-AD29-AD36</f>
        <v>1978610.7084422735</v>
      </c>
      <c r="AE15" s="65">
        <f>AE8-AE29-AE36</f>
        <v>1958151.937180989</v>
      </c>
      <c r="AF15" s="65">
        <f>AF8-AF29-AF36</f>
        <v>2014853.2188062519</v>
      </c>
      <c r="AG15" s="65">
        <f>AG8-AG29-AG36</f>
        <v>2040642.5424005818</v>
      </c>
      <c r="AH15" s="65">
        <f>AH8-AH29-AH36</f>
        <v>1982980.5533836242</v>
      </c>
      <c r="AI15" s="65">
        <f>AI8-AI29-AI36</f>
        <v>1947636.8813266251</v>
      </c>
      <c r="AJ15" s="65">
        <f>AJ8-AJ29-AJ36</f>
        <v>1826239.5671595773</v>
      </c>
      <c r="AK15" s="65">
        <f t="shared" si="6"/>
        <v>22044689.647734575</v>
      </c>
      <c r="AL15" s="73">
        <f t="shared" si="4"/>
        <v>0.13841674811671953</v>
      </c>
      <c r="AM15" s="14">
        <f t="shared" si="7"/>
        <v>-2.5946388636804874E-2</v>
      </c>
      <c r="AN15" s="9"/>
    </row>
    <row r="16" spans="1:40" ht="14.45" customHeight="1" outlineLevel="1">
      <c r="A16" s="37" t="s">
        <v>97</v>
      </c>
      <c r="B16" s="39"/>
      <c r="C16" s="39" t="s">
        <v>106</v>
      </c>
      <c r="D16" s="37" t="s">
        <v>107</v>
      </c>
      <c r="E16" s="38"/>
      <c r="F16" s="37"/>
      <c r="G16" s="37"/>
      <c r="H16" s="37"/>
      <c r="I16" s="167" t="s">
        <v>5</v>
      </c>
      <c r="J16" s="65">
        <v>0</v>
      </c>
      <c r="K16" s="65">
        <v>0</v>
      </c>
      <c r="L16" s="65">
        <v>0</v>
      </c>
      <c r="M16" s="65">
        <v>63519</v>
      </c>
      <c r="N16" s="65">
        <v>309391</v>
      </c>
      <c r="O16" s="65">
        <v>493672</v>
      </c>
      <c r="P16" s="65">
        <v>493923</v>
      </c>
      <c r="Q16" s="65">
        <v>481917</v>
      </c>
      <c r="R16" s="65">
        <v>376845</v>
      </c>
      <c r="S16" s="65">
        <v>308267</v>
      </c>
      <c r="T16" s="65">
        <v>0</v>
      </c>
      <c r="U16" s="65">
        <v>0</v>
      </c>
      <c r="V16" s="11">
        <f t="shared" si="5"/>
        <v>2527534</v>
      </c>
      <c r="W16" s="73">
        <f t="shared" si="2"/>
        <v>1.688084290947281E-2</v>
      </c>
      <c r="X16" s="89"/>
      <c r="Y16" s="65">
        <f>Y9-Y37</f>
        <v>350150.6</v>
      </c>
      <c r="Z16" s="65">
        <f>Z9-Z37</f>
        <v>343789.28630400001</v>
      </c>
      <c r="AA16" s="65">
        <f>AA9-AA37</f>
        <v>367357.04300993285</v>
      </c>
      <c r="AB16" s="65">
        <f>AB9-AB37</f>
        <v>375096.32595496491</v>
      </c>
      <c r="AC16" s="65">
        <f>AC9-AC37</f>
        <v>385913.52792535804</v>
      </c>
      <c r="AD16" s="65">
        <f>AD9-AD37</f>
        <v>527242.08376040193</v>
      </c>
      <c r="AE16" s="65">
        <f>AE9-AE37</f>
        <v>527139.5184022137</v>
      </c>
      <c r="AF16" s="65">
        <f>AF9-AF37</f>
        <v>512666.23491430731</v>
      </c>
      <c r="AG16" s="65">
        <f>AG9-AG37</f>
        <v>413548.49646809162</v>
      </c>
      <c r="AH16" s="65">
        <f>AH9-AH37</f>
        <v>302733.67640137457</v>
      </c>
      <c r="AI16" s="65">
        <f>AI9-AI37</f>
        <v>294985.75644023652</v>
      </c>
      <c r="AJ16" s="65">
        <f>AJ9-AJ37</f>
        <v>277772.97801910434</v>
      </c>
      <c r="AK16" s="65">
        <f t="shared" si="6"/>
        <v>4678395.5275999857</v>
      </c>
      <c r="AL16" s="73">
        <f t="shared" si="4"/>
        <v>2.9375251168516307E-2</v>
      </c>
      <c r="AM16" s="14">
        <f t="shared" si="7"/>
        <v>0.85097234205355332</v>
      </c>
      <c r="AN16" s="9"/>
    </row>
    <row r="17" spans="1:40" ht="14.45" customHeight="1" outlineLevel="1">
      <c r="A17" s="37" t="s">
        <v>97</v>
      </c>
      <c r="B17" s="39"/>
      <c r="C17" s="39" t="s">
        <v>108</v>
      </c>
      <c r="D17" s="37"/>
      <c r="E17" s="38"/>
      <c r="F17" s="37"/>
      <c r="G17" s="37"/>
      <c r="H17" s="37"/>
      <c r="I17" s="171" t="s">
        <v>109</v>
      </c>
      <c r="J17" s="65">
        <v>176852</v>
      </c>
      <c r="K17" s="65">
        <v>7160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11">
        <f t="shared" si="5"/>
        <v>184012</v>
      </c>
      <c r="W17" s="73">
        <f t="shared" si="2"/>
        <v>1.2289756202915217E-3</v>
      </c>
      <c r="X17" s="89"/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5">
        <f t="shared" si="6"/>
        <v>0</v>
      </c>
      <c r="AL17" s="73">
        <f t="shared" si="4"/>
        <v>0</v>
      </c>
      <c r="AM17" s="14">
        <f t="shared" si="7"/>
        <v>-1</v>
      </c>
      <c r="AN17" s="9"/>
    </row>
    <row r="18" spans="1:40" ht="14.45" customHeight="1" outlineLevel="1">
      <c r="A18" s="37" t="s">
        <v>97</v>
      </c>
      <c r="B18" s="39"/>
      <c r="C18" s="39" t="s">
        <v>110</v>
      </c>
      <c r="D18" s="37"/>
      <c r="E18" s="38"/>
      <c r="F18" s="37"/>
      <c r="G18" s="37"/>
      <c r="H18" s="37"/>
      <c r="I18" s="172" t="s">
        <v>111</v>
      </c>
      <c r="J18" s="65">
        <v>90244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11">
        <f t="shared" si="5"/>
        <v>90244</v>
      </c>
      <c r="W18" s="73">
        <f t="shared" si="2"/>
        <v>6.0271980021731238E-4</v>
      </c>
      <c r="X18" s="89"/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5">
        <f t="shared" si="6"/>
        <v>0</v>
      </c>
      <c r="AL18" s="73">
        <f t="shared" si="4"/>
        <v>0</v>
      </c>
      <c r="AM18" s="14">
        <f t="shared" si="7"/>
        <v>-1</v>
      </c>
      <c r="AN18" s="9"/>
    </row>
    <row r="19" spans="1:40" ht="14.45" customHeight="1" outlineLevel="1">
      <c r="A19" s="37" t="s">
        <v>97</v>
      </c>
      <c r="B19" s="39"/>
      <c r="C19" s="39" t="s">
        <v>112</v>
      </c>
      <c r="D19" s="37"/>
      <c r="E19" s="38"/>
      <c r="F19" s="37"/>
      <c r="G19" s="37"/>
      <c r="H19" s="37"/>
      <c r="I19" s="167" t="s">
        <v>113</v>
      </c>
      <c r="J19" s="65">
        <v>0</v>
      </c>
      <c r="K19" s="65">
        <v>0</v>
      </c>
      <c r="L19" s="65">
        <v>0</v>
      </c>
      <c r="M19" s="65">
        <v>0</v>
      </c>
      <c r="N19" s="65">
        <v>1771</v>
      </c>
      <c r="O19" s="65">
        <v>0</v>
      </c>
      <c r="P19" s="65">
        <v>0</v>
      </c>
      <c r="Q19" s="65">
        <v>144</v>
      </c>
      <c r="R19" s="65">
        <v>0</v>
      </c>
      <c r="S19" s="65">
        <v>0</v>
      </c>
      <c r="T19" s="65">
        <v>0</v>
      </c>
      <c r="U19" s="65">
        <v>0</v>
      </c>
      <c r="V19" s="11">
        <f t="shared" si="5"/>
        <v>1915</v>
      </c>
      <c r="W19" s="73">
        <f t="shared" si="2"/>
        <v>1.2789863230975502E-5</v>
      </c>
      <c r="X19" s="89"/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5">
        <f t="shared" si="6"/>
        <v>0</v>
      </c>
      <c r="AL19" s="73">
        <f t="shared" si="4"/>
        <v>0</v>
      </c>
      <c r="AM19" s="14">
        <f t="shared" si="7"/>
        <v>-1</v>
      </c>
      <c r="AN19" s="9"/>
    </row>
    <row r="20" spans="1:40" ht="14.45" customHeight="1" outlineLevel="1">
      <c r="A20" s="37" t="s">
        <v>97</v>
      </c>
      <c r="B20" s="39"/>
      <c r="C20" s="39" t="s">
        <v>117</v>
      </c>
      <c r="D20" s="37" t="s">
        <v>118</v>
      </c>
      <c r="E20" s="38"/>
      <c r="F20" s="37"/>
      <c r="G20" s="37"/>
      <c r="H20" s="37"/>
      <c r="I20" s="167" t="s">
        <v>114</v>
      </c>
      <c r="J20" s="65">
        <v>0</v>
      </c>
      <c r="K20" s="65">
        <v>0</v>
      </c>
      <c r="L20" s="65">
        <v>-10680</v>
      </c>
      <c r="M20" s="65">
        <v>-34636</v>
      </c>
      <c r="N20" s="65">
        <v>-128313</v>
      </c>
      <c r="O20" s="65">
        <v>-128430</v>
      </c>
      <c r="P20" s="65">
        <v>-115736</v>
      </c>
      <c r="Q20" s="65">
        <v>-105921</v>
      </c>
      <c r="R20" s="65">
        <v>-106041</v>
      </c>
      <c r="S20" s="65">
        <v>-92885</v>
      </c>
      <c r="T20" s="65"/>
      <c r="U20" s="65"/>
      <c r="V20" s="11">
        <f t="shared" si="5"/>
        <v>-722642</v>
      </c>
      <c r="W20" s="73">
        <f t="shared" si="2"/>
        <v>-4.8263667597695029E-3</v>
      </c>
      <c r="X20" s="89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5">
        <f t="shared" si="6"/>
        <v>0</v>
      </c>
      <c r="AL20" s="73">
        <f t="shared" si="4"/>
        <v>0</v>
      </c>
      <c r="AM20" s="14">
        <f t="shared" si="7"/>
        <v>-1</v>
      </c>
      <c r="AN20" s="9"/>
    </row>
    <row r="21" spans="1:40" ht="14.45" customHeight="1" outlineLevel="1">
      <c r="A21" s="37" t="s">
        <v>97</v>
      </c>
      <c r="B21" s="39"/>
      <c r="C21" s="39" t="s">
        <v>120</v>
      </c>
      <c r="D21" s="37"/>
      <c r="E21" s="38"/>
      <c r="F21" s="37"/>
      <c r="G21" s="37"/>
      <c r="H21" s="37"/>
      <c r="I21" s="167" t="s">
        <v>115</v>
      </c>
      <c r="J21" s="65">
        <v>0</v>
      </c>
      <c r="K21" s="65">
        <v>-2012</v>
      </c>
      <c r="L21" s="65">
        <v>-5517</v>
      </c>
      <c r="M21" s="65">
        <v>-14845</v>
      </c>
      <c r="N21" s="65">
        <v>-31573</v>
      </c>
      <c r="O21" s="65">
        <v>-28785</v>
      </c>
      <c r="P21" s="65">
        <v>-29531</v>
      </c>
      <c r="Q21" s="65">
        <v>-12333</v>
      </c>
      <c r="R21" s="65">
        <v>-20083</v>
      </c>
      <c r="S21" s="65">
        <v>-6163</v>
      </c>
      <c r="T21" s="65"/>
      <c r="U21" s="65"/>
      <c r="V21" s="11">
        <f t="shared" si="5"/>
        <v>-150842</v>
      </c>
      <c r="W21" s="73">
        <f t="shared" si="2"/>
        <v>-1.0074404958155647E-3</v>
      </c>
      <c r="X21" s="89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5">
        <f t="shared" si="6"/>
        <v>0</v>
      </c>
      <c r="AL21" s="73">
        <f t="shared" si="4"/>
        <v>0</v>
      </c>
      <c r="AM21" s="14">
        <f t="shared" si="7"/>
        <v>-1</v>
      </c>
      <c r="AN21" s="9"/>
    </row>
    <row r="22" spans="1:40" ht="14.45" customHeight="1" outlineLevel="1">
      <c r="A22" s="37" t="s">
        <v>97</v>
      </c>
      <c r="B22" s="39"/>
      <c r="C22" s="39" t="s">
        <v>122</v>
      </c>
      <c r="D22" s="37"/>
      <c r="E22" s="38"/>
      <c r="F22" s="37"/>
      <c r="G22" s="37"/>
      <c r="H22" s="37"/>
      <c r="I22" s="167" t="s">
        <v>116</v>
      </c>
      <c r="J22" s="65">
        <v>0</v>
      </c>
      <c r="K22" s="65">
        <v>0</v>
      </c>
      <c r="L22" s="65">
        <v>0</v>
      </c>
      <c r="M22" s="65">
        <v>-8361</v>
      </c>
      <c r="N22" s="65">
        <v>0</v>
      </c>
      <c r="O22" s="65">
        <v>-11582</v>
      </c>
      <c r="P22" s="65">
        <v>-2738</v>
      </c>
      <c r="Q22" s="65">
        <v>0</v>
      </c>
      <c r="R22" s="65">
        <v>-13856</v>
      </c>
      <c r="S22" s="65">
        <v>-2879</v>
      </c>
      <c r="T22" s="65"/>
      <c r="U22" s="65"/>
      <c r="V22" s="11">
        <f t="shared" si="5"/>
        <v>-39416</v>
      </c>
      <c r="W22" s="73">
        <f t="shared" si="2"/>
        <v>-2.6325078282617772E-4</v>
      </c>
      <c r="X22" s="89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5">
        <f t="shared" si="6"/>
        <v>0</v>
      </c>
      <c r="AL22" s="73">
        <f t="shared" si="4"/>
        <v>0</v>
      </c>
      <c r="AM22" s="14">
        <f t="shared" si="7"/>
        <v>-1</v>
      </c>
      <c r="AN22" s="9"/>
    </row>
    <row r="23" spans="1:40" ht="14.45" customHeight="1" outlineLevel="1">
      <c r="A23" s="37" t="s">
        <v>97</v>
      </c>
      <c r="B23" s="39"/>
      <c r="C23" s="39" t="s">
        <v>124</v>
      </c>
      <c r="D23" s="37"/>
      <c r="E23" s="38"/>
      <c r="F23" s="37"/>
      <c r="G23" s="37"/>
      <c r="H23" s="37"/>
      <c r="I23" s="171" t="s">
        <v>119</v>
      </c>
      <c r="J23" s="65">
        <v>21280</v>
      </c>
      <c r="K23" s="65">
        <v>36096</v>
      </c>
      <c r="L23" s="65">
        <v>21570</v>
      </c>
      <c r="M23" s="65">
        <v>95070</v>
      </c>
      <c r="N23" s="65">
        <v>-49997</v>
      </c>
      <c r="O23" s="65">
        <v>23259</v>
      </c>
      <c r="P23" s="65">
        <v>23894</v>
      </c>
      <c r="Q23" s="65">
        <v>21877</v>
      </c>
      <c r="R23" s="65">
        <v>20939</v>
      </c>
      <c r="S23" s="65">
        <v>23913</v>
      </c>
      <c r="T23" s="65">
        <v>0</v>
      </c>
      <c r="U23" s="65">
        <v>0</v>
      </c>
      <c r="V23" s="11">
        <f t="shared" si="5"/>
        <v>237901</v>
      </c>
      <c r="W23" s="73">
        <f t="shared" si="2"/>
        <v>1.5888883825129518E-3</v>
      </c>
      <c r="X23" s="89"/>
      <c r="Y23" s="65">
        <f>0*Y40</f>
        <v>0</v>
      </c>
      <c r="Z23" s="65">
        <f t="shared" ref="Z23:AJ24" si="10">0*Z40</f>
        <v>0</v>
      </c>
      <c r="AA23" s="65">
        <f t="shared" si="10"/>
        <v>0</v>
      </c>
      <c r="AB23" s="65">
        <f t="shared" si="10"/>
        <v>0</v>
      </c>
      <c r="AC23" s="65">
        <f t="shared" si="10"/>
        <v>0</v>
      </c>
      <c r="AD23" s="65">
        <f t="shared" si="10"/>
        <v>0</v>
      </c>
      <c r="AE23" s="65">
        <f t="shared" si="10"/>
        <v>0</v>
      </c>
      <c r="AF23" s="65">
        <f t="shared" si="10"/>
        <v>0</v>
      </c>
      <c r="AG23" s="65">
        <f t="shared" si="10"/>
        <v>0</v>
      </c>
      <c r="AH23" s="65">
        <f t="shared" si="10"/>
        <v>0</v>
      </c>
      <c r="AI23" s="65">
        <f t="shared" si="10"/>
        <v>0</v>
      </c>
      <c r="AJ23" s="65">
        <f t="shared" si="10"/>
        <v>0</v>
      </c>
      <c r="AK23" s="65">
        <f t="shared" si="6"/>
        <v>0</v>
      </c>
      <c r="AL23" s="73">
        <f t="shared" si="4"/>
        <v>0</v>
      </c>
      <c r="AM23" s="14">
        <f t="shared" si="7"/>
        <v>-1</v>
      </c>
      <c r="AN23" s="9"/>
    </row>
    <row r="24" spans="1:40" ht="14.45" customHeight="1" outlineLevel="1">
      <c r="A24" s="37" t="s">
        <v>97</v>
      </c>
      <c r="B24" s="39"/>
      <c r="C24" s="39" t="s">
        <v>126</v>
      </c>
      <c r="D24" s="37"/>
      <c r="E24" s="38"/>
      <c r="F24" s="37"/>
      <c r="G24" s="37"/>
      <c r="H24" s="37"/>
      <c r="I24" s="172" t="s">
        <v>121</v>
      </c>
      <c r="J24" s="65">
        <v>3570</v>
      </c>
      <c r="K24" s="65">
        <v>6173</v>
      </c>
      <c r="L24" s="65">
        <v>3642</v>
      </c>
      <c r="M24" s="65">
        <v>3457</v>
      </c>
      <c r="N24" s="65">
        <v>4430</v>
      </c>
      <c r="O24" s="65">
        <v>4247</v>
      </c>
      <c r="P24" s="65">
        <v>4349</v>
      </c>
      <c r="Q24" s="65">
        <v>2385</v>
      </c>
      <c r="R24" s="65">
        <v>5246</v>
      </c>
      <c r="S24" s="65">
        <v>4066</v>
      </c>
      <c r="T24" s="65">
        <v>0</v>
      </c>
      <c r="U24" s="65">
        <v>0</v>
      </c>
      <c r="V24" s="11">
        <f t="shared" si="5"/>
        <v>41565</v>
      </c>
      <c r="W24" s="73">
        <f t="shared" si="2"/>
        <v>2.776034805198416E-4</v>
      </c>
      <c r="X24" s="89"/>
      <c r="Y24" s="65">
        <f>0*Y41</f>
        <v>0</v>
      </c>
      <c r="Z24" s="65">
        <f t="shared" si="10"/>
        <v>0</v>
      </c>
      <c r="AA24" s="65">
        <f t="shared" si="10"/>
        <v>0</v>
      </c>
      <c r="AB24" s="65">
        <f t="shared" si="10"/>
        <v>0</v>
      </c>
      <c r="AC24" s="65">
        <f t="shared" si="10"/>
        <v>0</v>
      </c>
      <c r="AD24" s="65">
        <f t="shared" si="10"/>
        <v>0</v>
      </c>
      <c r="AE24" s="65">
        <f t="shared" si="10"/>
        <v>0</v>
      </c>
      <c r="AF24" s="65">
        <f t="shared" si="10"/>
        <v>0</v>
      </c>
      <c r="AG24" s="65">
        <f t="shared" si="10"/>
        <v>0</v>
      </c>
      <c r="AH24" s="65">
        <f t="shared" si="10"/>
        <v>0</v>
      </c>
      <c r="AI24" s="65">
        <f t="shared" si="10"/>
        <v>0</v>
      </c>
      <c r="AJ24" s="65">
        <f t="shared" si="10"/>
        <v>0</v>
      </c>
      <c r="AK24" s="65">
        <f t="shared" si="6"/>
        <v>0</v>
      </c>
      <c r="AL24" s="73">
        <f t="shared" si="4"/>
        <v>0</v>
      </c>
      <c r="AM24" s="14">
        <f t="shared" si="7"/>
        <v>-1</v>
      </c>
      <c r="AN24" s="9"/>
    </row>
    <row r="25" spans="1:40" ht="14.45" customHeight="1" outlineLevel="1">
      <c r="A25" s="37" t="s">
        <v>97</v>
      </c>
      <c r="B25" s="39"/>
      <c r="C25" s="39" t="s">
        <v>127</v>
      </c>
      <c r="D25" s="37" t="s">
        <v>90</v>
      </c>
      <c r="E25" s="38"/>
      <c r="F25" s="37"/>
      <c r="G25" s="37"/>
      <c r="H25" s="37"/>
      <c r="I25" s="171" t="s">
        <v>123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11">
        <f t="shared" si="5"/>
        <v>0</v>
      </c>
      <c r="W25" s="73">
        <f t="shared" si="2"/>
        <v>0</v>
      </c>
      <c r="X25" s="89"/>
      <c r="Y25" s="65">
        <f>(Y40*'Parametros JRZ'!$N$48)*'Parametros JRZ'!$B$59</f>
        <v>0</v>
      </c>
      <c r="Z25" s="65">
        <f>(Z40*'Parametros JRZ'!$N$48)*'Parametros JRZ'!$B$59</f>
        <v>0</v>
      </c>
      <c r="AA25" s="65">
        <f>(AA40*'Parametros JRZ'!$N$48)*'Parametros JRZ'!$B$59</f>
        <v>0</v>
      </c>
      <c r="AB25" s="65">
        <f>(AB40*'Parametros JRZ'!$N$48)*'Parametros JRZ'!$B$59</f>
        <v>0</v>
      </c>
      <c r="AC25" s="65">
        <f>(AC40*'Parametros JRZ'!$N$48)*'Parametros JRZ'!$B$59</f>
        <v>0</v>
      </c>
      <c r="AD25" s="65">
        <f>(AD40*'Parametros JRZ'!$N$48)*'Parametros JRZ'!$B$59</f>
        <v>0</v>
      </c>
      <c r="AE25" s="65">
        <f>(AE40*'Parametros JRZ'!$N$48)*'Parametros JRZ'!$B$59</f>
        <v>0</v>
      </c>
      <c r="AF25" s="65">
        <f>(AF40*'Parametros JRZ'!$N$48)*'Parametros JRZ'!$B$59</f>
        <v>0</v>
      </c>
      <c r="AG25" s="65">
        <f>(AG40*'Parametros JRZ'!$N$48)*'Parametros JRZ'!$B$59</f>
        <v>0</v>
      </c>
      <c r="AH25" s="65">
        <f>(AH40*'Parametros JRZ'!$N$48)*'Parametros JRZ'!$B$59</f>
        <v>0</v>
      </c>
      <c r="AI25" s="65">
        <f>(AI40*'Parametros JRZ'!$N$48)*'Parametros JRZ'!$B$59</f>
        <v>0</v>
      </c>
      <c r="AJ25" s="65">
        <f>(AJ40*'Parametros JRZ'!$N$48)*'Parametros JRZ'!$B$59</f>
        <v>0</v>
      </c>
      <c r="AK25" s="65">
        <f t="shared" si="6"/>
        <v>0</v>
      </c>
      <c r="AL25" s="73">
        <f t="shared" si="4"/>
        <v>0</v>
      </c>
      <c r="AM25" s="14">
        <f t="shared" si="7"/>
        <v>0</v>
      </c>
      <c r="AN25" s="9"/>
    </row>
    <row r="26" spans="1:40" ht="14.45" customHeight="1" outlineLevel="1">
      <c r="A26" s="37" t="s">
        <v>97</v>
      </c>
      <c r="B26" s="39"/>
      <c r="C26" s="39" t="s">
        <v>129</v>
      </c>
      <c r="D26" s="37" t="s">
        <v>90</v>
      </c>
      <c r="E26" s="38"/>
      <c r="F26" s="37"/>
      <c r="G26" s="37"/>
      <c r="H26" s="37"/>
      <c r="I26" s="172" t="s">
        <v>125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11">
        <f t="shared" si="5"/>
        <v>0</v>
      </c>
      <c r="W26" s="73">
        <f t="shared" si="2"/>
        <v>0</v>
      </c>
      <c r="X26" s="89"/>
      <c r="Y26" s="65">
        <f>(Y41*'Parametros JRZ'!$N$49)*'Parametros JRZ'!$B$60</f>
        <v>0</v>
      </c>
      <c r="Z26" s="65">
        <f>(Z41*'Parametros JRZ'!$N$49)*'Parametros JRZ'!$B$60</f>
        <v>0</v>
      </c>
      <c r="AA26" s="65">
        <f>(AA41*'Parametros JRZ'!$N$49)*'Parametros JRZ'!$B$60</f>
        <v>0</v>
      </c>
      <c r="AB26" s="65">
        <f>(AB41*'Parametros JRZ'!$N$49)*'Parametros JRZ'!$B$60</f>
        <v>0</v>
      </c>
      <c r="AC26" s="65">
        <f>(AC41*'Parametros JRZ'!$N$49)*'Parametros JRZ'!$B$60</f>
        <v>0</v>
      </c>
      <c r="AD26" s="65">
        <f>(AD41*'Parametros JRZ'!$N$49)*'Parametros JRZ'!$B$60</f>
        <v>0</v>
      </c>
      <c r="AE26" s="65">
        <f>(AE41*'Parametros JRZ'!$N$49)*'Parametros JRZ'!$B$60</f>
        <v>0</v>
      </c>
      <c r="AF26" s="65">
        <f>(AF41*'Parametros JRZ'!$N$49)*'Parametros JRZ'!$B$60</f>
        <v>0</v>
      </c>
      <c r="AG26" s="65">
        <f>(AG41*'Parametros JRZ'!$N$49)*'Parametros JRZ'!$B$60</f>
        <v>0</v>
      </c>
      <c r="AH26" s="65">
        <f>(AH41*'Parametros JRZ'!$N$49)*'Parametros JRZ'!$B$60</f>
        <v>0</v>
      </c>
      <c r="AI26" s="65">
        <f>(AI41*'Parametros JRZ'!$N$49)*'Parametros JRZ'!$B$60</f>
        <v>0</v>
      </c>
      <c r="AJ26" s="65">
        <f>(AJ41*'Parametros JRZ'!$N$49)*'Parametros JRZ'!$B$60</f>
        <v>0</v>
      </c>
      <c r="AK26" s="65">
        <f t="shared" si="6"/>
        <v>0</v>
      </c>
      <c r="AL26" s="73">
        <f t="shared" si="4"/>
        <v>0</v>
      </c>
      <c r="AM26" s="14">
        <f t="shared" si="7"/>
        <v>0</v>
      </c>
      <c r="AN26" s="9"/>
    </row>
    <row r="27" spans="1:40" ht="14.45" customHeight="1" outlineLevel="1">
      <c r="A27" s="37"/>
      <c r="B27" s="39"/>
      <c r="C27" s="39"/>
      <c r="D27" s="37"/>
      <c r="E27" s="38"/>
      <c r="F27" s="37"/>
      <c r="G27" s="37"/>
      <c r="H27" s="37"/>
      <c r="I27" s="167" t="s">
        <v>126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11">
        <f t="shared" si="5"/>
        <v>0</v>
      </c>
      <c r="W27" s="73">
        <f t="shared" si="2"/>
        <v>0</v>
      </c>
      <c r="X27" s="89"/>
      <c r="Y27" s="65">
        <f>(Y42*'Parametros JRZ'!$N$50)*'Parametros JRZ'!$B$61</f>
        <v>0</v>
      </c>
      <c r="Z27" s="65">
        <f>(Z42*'Parametros JRZ'!$N$50)*'Parametros JRZ'!$B$61</f>
        <v>0</v>
      </c>
      <c r="AA27" s="65">
        <f>(AA42*'Parametros JRZ'!$N$50)*'Parametros JRZ'!$B$61</f>
        <v>0</v>
      </c>
      <c r="AB27" s="65">
        <f>(AB42*'Parametros JRZ'!$N$50)*'Parametros JRZ'!$B$61</f>
        <v>0</v>
      </c>
      <c r="AC27" s="65">
        <f>(AC42*'Parametros JRZ'!$N$50)*'Parametros JRZ'!$B$61</f>
        <v>0</v>
      </c>
      <c r="AD27" s="65">
        <f>(AD42*'Parametros JRZ'!$N$50)*'Parametros JRZ'!$B$61</f>
        <v>0</v>
      </c>
      <c r="AE27" s="65">
        <f>(AE42*'Parametros JRZ'!$N$50)*'Parametros JRZ'!$B$61</f>
        <v>0</v>
      </c>
      <c r="AF27" s="65">
        <f>(AF42*'Parametros JRZ'!$N$50)*'Parametros JRZ'!$B$61</f>
        <v>0</v>
      </c>
      <c r="AG27" s="65">
        <f>(AG42*'Parametros JRZ'!$N$50)*'Parametros JRZ'!$B$61</f>
        <v>0</v>
      </c>
      <c r="AH27" s="65">
        <f>(AH42*'Parametros JRZ'!$N$50)*'Parametros JRZ'!$B$61</f>
        <v>0</v>
      </c>
      <c r="AI27" s="65">
        <f>(AI42*'Parametros JRZ'!$N$50)*'Parametros JRZ'!$B$61</f>
        <v>0</v>
      </c>
      <c r="AJ27" s="65">
        <f>(AJ42*'Parametros JRZ'!$N$50)*'Parametros JRZ'!$B$61</f>
        <v>0</v>
      </c>
      <c r="AK27" s="65">
        <f t="shared" si="6"/>
        <v>0</v>
      </c>
      <c r="AL27" s="73">
        <f t="shared" si="4"/>
        <v>0</v>
      </c>
      <c r="AM27" s="14">
        <f t="shared" si="7"/>
        <v>0</v>
      </c>
      <c r="AN27" s="9"/>
    </row>
    <row r="28" spans="1:40" ht="15.6" customHeight="1" outlineLevel="1">
      <c r="I28" s="171" t="s">
        <v>128</v>
      </c>
      <c r="J28" s="65">
        <v>-1832266</v>
      </c>
      <c r="K28" s="65">
        <v>-1767919</v>
      </c>
      <c r="L28" s="65">
        <v>-1915498</v>
      </c>
      <c r="M28" s="65">
        <v>-1844881</v>
      </c>
      <c r="N28" s="65">
        <v>-2043914</v>
      </c>
      <c r="O28" s="65">
        <v>-2047253</v>
      </c>
      <c r="P28" s="65">
        <v>-2032584</v>
      </c>
      <c r="Q28" s="65">
        <v>-1953751</v>
      </c>
      <c r="R28" s="65">
        <v>-1835025</v>
      </c>
      <c r="S28" s="65">
        <v>-2009228</v>
      </c>
      <c r="T28" s="65">
        <v>0</v>
      </c>
      <c r="U28" s="65">
        <v>0</v>
      </c>
      <c r="V28" s="11">
        <f t="shared" si="5"/>
        <v>-19282319</v>
      </c>
      <c r="W28" s="73">
        <f t="shared" si="2"/>
        <v>-0.12878236176816726</v>
      </c>
      <c r="X28" s="89"/>
      <c r="Y28" s="66">
        <f>+-Y40*'[3]Margen ctvs-lit'!$T$2</f>
        <v>0</v>
      </c>
      <c r="Z28" s="66">
        <f>+-Z40*'[3]Margen ctvs-lit'!$T$2</f>
        <v>0</v>
      </c>
      <c r="AA28" s="66">
        <f>+-AA40*'[3]Margen ctvs-lit'!$T$2</f>
        <v>0</v>
      </c>
      <c r="AB28" s="66">
        <f>+-AB40*'[3]Margen ctvs-lit'!$T$2</f>
        <v>0</v>
      </c>
      <c r="AC28" s="66">
        <f>+-AC40*'[3]Margen ctvs-lit'!$T$2</f>
        <v>0</v>
      </c>
      <c r="AD28" s="66">
        <f>+-AD40*'[3]Margen ctvs-lit'!$T$2</f>
        <v>0</v>
      </c>
      <c r="AE28" s="66">
        <f>+-AE40*'[3]Margen ctvs-lit'!$T$2</f>
        <v>0</v>
      </c>
      <c r="AF28" s="66">
        <f>+-AF40*'[3]Margen ctvs-lit'!$T$2</f>
        <v>0</v>
      </c>
      <c r="AG28" s="66">
        <f>+-AG40*'[3]Margen ctvs-lit'!$T$2</f>
        <v>0</v>
      </c>
      <c r="AH28" s="66">
        <f>+-AH40*'[3]Margen ctvs-lit'!$T$2</f>
        <v>0</v>
      </c>
      <c r="AI28" s="66">
        <f>+-AI40*'[3]Margen ctvs-lit'!$T$2</f>
        <v>0</v>
      </c>
      <c r="AJ28" s="66">
        <f>+-AJ40*'[3]Margen ctvs-lit'!$T$2</f>
        <v>0</v>
      </c>
      <c r="AK28" s="65">
        <f t="shared" si="6"/>
        <v>0</v>
      </c>
      <c r="AL28" s="73">
        <f t="shared" si="4"/>
        <v>0</v>
      </c>
      <c r="AM28" s="14">
        <f t="shared" si="7"/>
        <v>-1</v>
      </c>
      <c r="AN28" s="9"/>
    </row>
    <row r="29" spans="1:40" ht="14.45" customHeight="1" outlineLevel="1">
      <c r="I29" s="172" t="s">
        <v>130</v>
      </c>
      <c r="J29" s="65">
        <v>-246747</v>
      </c>
      <c r="K29" s="65">
        <v>-255803</v>
      </c>
      <c r="L29" s="65">
        <v>-272599</v>
      </c>
      <c r="M29" s="65">
        <v>-259041</v>
      </c>
      <c r="N29" s="65">
        <v>-303414</v>
      </c>
      <c r="O29" s="65">
        <v>-306534</v>
      </c>
      <c r="P29" s="65">
        <v>-300958</v>
      </c>
      <c r="Q29" s="65">
        <v>-245510</v>
      </c>
      <c r="R29" s="65">
        <v>-306956</v>
      </c>
      <c r="S29" s="65">
        <v>-300250</v>
      </c>
      <c r="T29" s="65">
        <v>0</v>
      </c>
      <c r="U29" s="65">
        <v>0</v>
      </c>
      <c r="V29" s="11">
        <f t="shared" si="5"/>
        <v>-2797812</v>
      </c>
      <c r="W29" s="73">
        <f t="shared" si="2"/>
        <v>-1.8685970144115941E-2</v>
      </c>
      <c r="X29" s="89"/>
      <c r="Y29" s="66">
        <f>+-Y41*'[3]Margen ctvs-lit'!$T$3</f>
        <v>0</v>
      </c>
      <c r="Z29" s="66">
        <f>+-Z41*'[3]Margen ctvs-lit'!$T$3</f>
        <v>0</v>
      </c>
      <c r="AA29" s="66">
        <f>+-AA41*'[3]Margen ctvs-lit'!$T$3</f>
        <v>0</v>
      </c>
      <c r="AB29" s="66">
        <f>+-AB41*'[3]Margen ctvs-lit'!$T$3</f>
        <v>0</v>
      </c>
      <c r="AC29" s="66">
        <f>+-AC41*'[3]Margen ctvs-lit'!$T$3</f>
        <v>0</v>
      </c>
      <c r="AD29" s="66">
        <f>+-AD41*'[3]Margen ctvs-lit'!$T$3</f>
        <v>0</v>
      </c>
      <c r="AE29" s="66">
        <f>+-AE41*'[3]Margen ctvs-lit'!$T$3</f>
        <v>0</v>
      </c>
      <c r="AF29" s="66">
        <f>+-AF41*'[3]Margen ctvs-lit'!$T$3</f>
        <v>0</v>
      </c>
      <c r="AG29" s="66">
        <f>+-AG41*'[3]Margen ctvs-lit'!$T$3</f>
        <v>0</v>
      </c>
      <c r="AH29" s="66">
        <f>+-AH41*'[3]Margen ctvs-lit'!$T$3</f>
        <v>0</v>
      </c>
      <c r="AI29" s="66">
        <f>+-AI41*'[3]Margen ctvs-lit'!$T$3</f>
        <v>0</v>
      </c>
      <c r="AJ29" s="66">
        <f>+-AJ41*'[3]Margen ctvs-lit'!$T$3</f>
        <v>0</v>
      </c>
      <c r="AK29" s="65">
        <f t="shared" si="6"/>
        <v>0</v>
      </c>
      <c r="AL29" s="73">
        <f t="shared" si="4"/>
        <v>0</v>
      </c>
      <c r="AM29" s="14">
        <f t="shared" si="7"/>
        <v>-1</v>
      </c>
      <c r="AN29" s="9"/>
    </row>
    <row r="30" spans="1:40" ht="14.45" customHeight="1" outlineLevel="1">
      <c r="I30" s="172" t="s">
        <v>131</v>
      </c>
      <c r="J30" s="65">
        <v>8394</v>
      </c>
      <c r="K30" s="65">
        <v>7905</v>
      </c>
      <c r="L30" s="65">
        <v>8736</v>
      </c>
      <c r="M30" s="65">
        <v>7515</v>
      </c>
      <c r="N30" s="65">
        <v>7468</v>
      </c>
      <c r="O30" s="65">
        <v>8063</v>
      </c>
      <c r="P30" s="65">
        <v>5671</v>
      </c>
      <c r="Q30" s="65">
        <v>8518</v>
      </c>
      <c r="R30" s="65">
        <v>6552</v>
      </c>
      <c r="S30" s="65">
        <v>9809</v>
      </c>
      <c r="T30" s="65">
        <v>8160</v>
      </c>
      <c r="U30" s="65">
        <v>7803</v>
      </c>
      <c r="V30" s="11">
        <f t="shared" si="5"/>
        <v>94594</v>
      </c>
      <c r="W30" s="73">
        <f t="shared" si="2"/>
        <v>6.3177249215190415E-4</v>
      </c>
      <c r="X30" s="89"/>
      <c r="Y30" s="65">
        <f t="shared" ref="Y30:AJ30" si="11">+Y10*0.85</f>
        <v>8670</v>
      </c>
      <c r="Z30" s="65">
        <f t="shared" si="11"/>
        <v>9588</v>
      </c>
      <c r="AA30" s="65">
        <f t="shared" si="11"/>
        <v>8670</v>
      </c>
      <c r="AB30" s="65">
        <f t="shared" si="11"/>
        <v>9129</v>
      </c>
      <c r="AC30" s="65">
        <f t="shared" si="11"/>
        <v>9741</v>
      </c>
      <c r="AD30" s="65">
        <f t="shared" si="11"/>
        <v>7293</v>
      </c>
      <c r="AE30" s="65">
        <f t="shared" si="11"/>
        <v>7548</v>
      </c>
      <c r="AF30" s="65">
        <f t="shared" si="11"/>
        <v>7548</v>
      </c>
      <c r="AG30" s="65">
        <f t="shared" si="11"/>
        <v>9078</v>
      </c>
      <c r="AH30" s="65">
        <f t="shared" si="11"/>
        <v>10710</v>
      </c>
      <c r="AI30" s="65">
        <f t="shared" si="11"/>
        <v>10506</v>
      </c>
      <c r="AJ30" s="65">
        <f t="shared" si="11"/>
        <v>9180</v>
      </c>
      <c r="AK30" s="65">
        <f t="shared" si="6"/>
        <v>107661</v>
      </c>
      <c r="AL30" s="73">
        <f t="shared" si="4"/>
        <v>6.7599434408574478E-4</v>
      </c>
      <c r="AM30" s="14">
        <f t="shared" si="7"/>
        <v>0.13813772543713121</v>
      </c>
      <c r="AN30" s="9"/>
    </row>
    <row r="31" spans="1:40" ht="14.45" customHeight="1" outlineLevel="1">
      <c r="I31" s="172" t="s">
        <v>132</v>
      </c>
      <c r="J31" s="65">
        <v>0</v>
      </c>
      <c r="K31" s="65">
        <v>0</v>
      </c>
      <c r="L31" s="65"/>
      <c r="M31" s="65"/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/>
      <c r="U31" s="65"/>
      <c r="V31" s="11">
        <f t="shared" si="5"/>
        <v>0</v>
      </c>
      <c r="W31" s="73">
        <f t="shared" si="2"/>
        <v>0</v>
      </c>
      <c r="X31" s="89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>
        <f t="shared" si="6"/>
        <v>0</v>
      </c>
      <c r="AL31" s="73">
        <f t="shared" si="4"/>
        <v>0</v>
      </c>
      <c r="AM31" s="14">
        <f t="shared" si="7"/>
        <v>0</v>
      </c>
      <c r="AN31" s="9"/>
    </row>
    <row r="32" spans="1:40" ht="14.25" customHeight="1" outlineLevel="1">
      <c r="I32" s="172" t="s">
        <v>133</v>
      </c>
      <c r="J32" s="65">
        <v>0</v>
      </c>
      <c r="K32" s="65">
        <v>0</v>
      </c>
      <c r="L32" s="65"/>
      <c r="M32" s="65"/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/>
      <c r="U32" s="65"/>
      <c r="V32" s="11">
        <f t="shared" si="5"/>
        <v>0</v>
      </c>
      <c r="W32" s="73">
        <f t="shared" si="2"/>
        <v>0</v>
      </c>
      <c r="X32" s="89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f t="shared" si="6"/>
        <v>0</v>
      </c>
      <c r="AL32" s="73">
        <f t="shared" si="4"/>
        <v>0</v>
      </c>
      <c r="AM32" s="14">
        <f t="shared" si="7"/>
        <v>0</v>
      </c>
      <c r="AN32" s="9"/>
    </row>
    <row r="33" spans="1:41" ht="14.45" customHeight="1" outlineLevel="1">
      <c r="I33" s="172" t="s">
        <v>134</v>
      </c>
      <c r="J33" s="65">
        <v>0</v>
      </c>
      <c r="K33" s="65">
        <v>0</v>
      </c>
      <c r="L33" s="65"/>
      <c r="M33" s="65"/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/>
      <c r="U33" s="65"/>
      <c r="V33" s="11">
        <f t="shared" si="5"/>
        <v>0</v>
      </c>
      <c r="W33" s="73">
        <f t="shared" si="2"/>
        <v>0</v>
      </c>
      <c r="X33" s="89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>
        <f t="shared" si="6"/>
        <v>0</v>
      </c>
      <c r="AL33" s="73">
        <f t="shared" si="4"/>
        <v>0</v>
      </c>
      <c r="AM33" s="14">
        <f t="shared" si="7"/>
        <v>0</v>
      </c>
      <c r="AN33" s="9"/>
    </row>
    <row r="34" spans="1:41" ht="14.45" customHeight="1">
      <c r="E34" s="127"/>
      <c r="I34" s="36" t="s">
        <v>135</v>
      </c>
      <c r="J34" s="35">
        <v>1492671</v>
      </c>
      <c r="K34" s="35">
        <v>1790417</v>
      </c>
      <c r="L34" s="35">
        <v>1796173</v>
      </c>
      <c r="M34" s="35">
        <v>1792417</v>
      </c>
      <c r="N34" s="35">
        <v>2273789</v>
      </c>
      <c r="O34" s="35">
        <v>2057647</v>
      </c>
      <c r="P34" s="35">
        <v>1786658</v>
      </c>
      <c r="Q34" s="35">
        <v>1606927</v>
      </c>
      <c r="R34" s="228">
        <v>1728812</v>
      </c>
      <c r="S34" s="228">
        <v>2025547</v>
      </c>
      <c r="T34" s="228">
        <f t="shared" ref="T34:V34" si="12">SUM(T35:T38)</f>
        <v>1822198</v>
      </c>
      <c r="U34" s="228">
        <f t="shared" si="12"/>
        <v>1858852.0000000002</v>
      </c>
      <c r="V34" s="228">
        <f t="shared" si="12"/>
        <v>22032105</v>
      </c>
      <c r="W34" s="73">
        <f t="shared" si="2"/>
        <v>0.14714757683576579</v>
      </c>
      <c r="X34" s="89"/>
      <c r="Y34" s="35">
        <f t="shared" ref="Y34:AJ34" si="13">Y6-Y13</f>
        <v>1634724.8100000005</v>
      </c>
      <c r="Z34" s="35">
        <f t="shared" si="13"/>
        <v>1565727.2699999977</v>
      </c>
      <c r="AA34" s="35">
        <f t="shared" si="13"/>
        <v>1786057.67</v>
      </c>
      <c r="AB34" s="35">
        <f t="shared" si="13"/>
        <v>1635957.42</v>
      </c>
      <c r="AC34" s="35">
        <f t="shared" si="13"/>
        <v>1937384.9299999997</v>
      </c>
      <c r="AD34" s="35">
        <f t="shared" si="13"/>
        <v>1889688.42</v>
      </c>
      <c r="AE34" s="35">
        <f t="shared" si="13"/>
        <v>1851927.7599999998</v>
      </c>
      <c r="AF34" s="35">
        <f t="shared" si="13"/>
        <v>1891135.6500000004</v>
      </c>
      <c r="AG34" s="35">
        <f t="shared" si="13"/>
        <v>1784604.2200000007</v>
      </c>
      <c r="AH34" s="35">
        <f t="shared" si="13"/>
        <v>1800566.9900000002</v>
      </c>
      <c r="AI34" s="35">
        <f t="shared" si="13"/>
        <v>1707498.7799999993</v>
      </c>
      <c r="AJ34" s="35">
        <f t="shared" si="13"/>
        <v>1568077.8499999996</v>
      </c>
      <c r="AK34" s="35">
        <f>AK6-AK13</f>
        <v>21053351.769999951</v>
      </c>
      <c r="AL34" s="73">
        <f t="shared" si="4"/>
        <v>0.13219222114384568</v>
      </c>
      <c r="AM34" s="34">
        <f t="shared" si="7"/>
        <v>-4.4423954497314178E-2</v>
      </c>
      <c r="AN34" s="9"/>
    </row>
    <row r="35" spans="1:41" ht="14.45" customHeight="1" outlineLevel="1">
      <c r="E35" s="127"/>
      <c r="I35" s="212" t="s">
        <v>136</v>
      </c>
      <c r="J35" s="30">
        <v>1300373</v>
      </c>
      <c r="K35" s="30">
        <v>1478416</v>
      </c>
      <c r="L35" s="30">
        <v>1438410</v>
      </c>
      <c r="M35" s="30">
        <v>1444532</v>
      </c>
      <c r="N35" s="30">
        <v>1853525</v>
      </c>
      <c r="O35" s="30">
        <v>1634145</v>
      </c>
      <c r="P35" s="30">
        <v>1392997</v>
      </c>
      <c r="Q35" s="30">
        <v>1331604</v>
      </c>
      <c r="R35" s="229">
        <v>1401301</v>
      </c>
      <c r="S35" s="229">
        <v>1700437</v>
      </c>
      <c r="T35" s="229">
        <f>IFERROR(AVERAGE(Q35:S35),0)</f>
        <v>1477780.6666666667</v>
      </c>
      <c r="U35" s="229">
        <f>IFERROR(AVERAGE(R35:T35),0)</f>
        <v>1526506.2222222222</v>
      </c>
      <c r="V35" s="229">
        <f t="shared" ref="V35:V38" si="14">SUM(J35:U35)</f>
        <v>17980026.888888888</v>
      </c>
      <c r="W35" s="74">
        <f t="shared" ref="W35:W46" si="15">V35/V$39</f>
        <v>2.228702859551507</v>
      </c>
      <c r="X35" s="90"/>
      <c r="Y35" s="30">
        <f>+Y40*Y44</f>
        <v>1366075.0299999998</v>
      </c>
      <c r="Z35" s="30">
        <f t="shared" ref="Z35:AJ35" si="16">+Z40*Z44</f>
        <v>1292815.29</v>
      </c>
      <c r="AA35" s="30">
        <f t="shared" si="16"/>
        <v>1473979.3599999999</v>
      </c>
      <c r="AB35" s="30">
        <f t="shared" si="16"/>
        <v>1355941.08</v>
      </c>
      <c r="AC35" s="30">
        <f t="shared" si="16"/>
        <v>1612699.08</v>
      </c>
      <c r="AD35" s="30">
        <f t="shared" si="16"/>
        <v>1546230.2799999998</v>
      </c>
      <c r="AE35" s="30">
        <f t="shared" si="16"/>
        <v>1520927.5</v>
      </c>
      <c r="AF35" s="30">
        <f t="shared" si="16"/>
        <v>1551911.76</v>
      </c>
      <c r="AG35" s="30">
        <f t="shared" si="16"/>
        <v>1459700.84</v>
      </c>
      <c r="AH35" s="30">
        <f t="shared" si="16"/>
        <v>1499684.76</v>
      </c>
      <c r="AI35" s="30">
        <f t="shared" si="16"/>
        <v>1419489.2400000002</v>
      </c>
      <c r="AJ35" s="30">
        <f t="shared" si="16"/>
        <v>1298293.1100000001</v>
      </c>
      <c r="AK35" s="30">
        <f t="shared" ref="AK35:AK42" si="17">SUM(Y35:AJ35)</f>
        <v>17397747.329999998</v>
      </c>
      <c r="AL35" s="74">
        <f t="shared" ref="AL35:AL46" si="18">AK35/AK$39</f>
        <v>2.0763993497402851</v>
      </c>
      <c r="AM35" s="29">
        <f>IFERROR(AK35/V35-1,0)</f>
        <v>-3.2384799115552032E-2</v>
      </c>
      <c r="AN35" s="9"/>
    </row>
    <row r="36" spans="1:41" ht="14.45" customHeight="1" outlineLevel="1">
      <c r="E36" s="127"/>
      <c r="I36" s="212" t="s">
        <v>137</v>
      </c>
      <c r="J36" s="30">
        <v>190913</v>
      </c>
      <c r="K36" s="30">
        <v>309615</v>
      </c>
      <c r="L36" s="30">
        <v>357645</v>
      </c>
      <c r="M36" s="30">
        <v>330936</v>
      </c>
      <c r="N36" s="30">
        <v>388819</v>
      </c>
      <c r="O36" s="30">
        <v>355261</v>
      </c>
      <c r="P36" s="30">
        <v>323084</v>
      </c>
      <c r="Q36" s="30">
        <v>217776</v>
      </c>
      <c r="R36" s="229">
        <v>266223</v>
      </c>
      <c r="S36" s="229">
        <v>283016</v>
      </c>
      <c r="T36" s="229">
        <f>IFERROR(AVERAGE(R36:S36,P36),0)</f>
        <v>290774.33333333331</v>
      </c>
      <c r="U36" s="229">
        <f>IFERROR(AVERAGE(R36:T36),0)</f>
        <v>280004.44444444444</v>
      </c>
      <c r="V36" s="229">
        <f t="shared" si="14"/>
        <v>3594066.777777778</v>
      </c>
      <c r="W36" s="74">
        <f t="shared" si="15"/>
        <v>0.44550027397358383</v>
      </c>
      <c r="X36" s="90"/>
      <c r="Y36" s="30">
        <f t="shared" ref="Y36:AJ37" si="19">+Y41*Y45</f>
        <v>223080.21999999997</v>
      </c>
      <c r="Z36" s="30">
        <f t="shared" si="19"/>
        <v>229126.91999999998</v>
      </c>
      <c r="AA36" s="30">
        <f t="shared" si="19"/>
        <v>264280.81</v>
      </c>
      <c r="AB36" s="30">
        <f t="shared" si="19"/>
        <v>232818.18999999997</v>
      </c>
      <c r="AC36" s="30">
        <f t="shared" si="19"/>
        <v>276455.63</v>
      </c>
      <c r="AD36" s="30">
        <f t="shared" si="19"/>
        <v>280012.14</v>
      </c>
      <c r="AE36" s="30">
        <f t="shared" si="19"/>
        <v>268597.5</v>
      </c>
      <c r="AF36" s="30">
        <f t="shared" si="19"/>
        <v>278987.84999999998</v>
      </c>
      <c r="AG36" s="30">
        <f t="shared" si="19"/>
        <v>276392.38</v>
      </c>
      <c r="AH36" s="30">
        <f t="shared" si="19"/>
        <v>265090.87</v>
      </c>
      <c r="AI36" s="30">
        <f t="shared" si="19"/>
        <v>253542.5</v>
      </c>
      <c r="AJ36" s="30">
        <f t="shared" si="19"/>
        <v>237845.3</v>
      </c>
      <c r="AK36" s="30">
        <f t="shared" si="17"/>
        <v>3086230.31</v>
      </c>
      <c r="AL36" s="74">
        <f t="shared" si="18"/>
        <v>0.36833772138894255</v>
      </c>
      <c r="AM36" s="29">
        <f>IFERROR(AK36/V36-1,0)</f>
        <v>-0.14129856209621539</v>
      </c>
      <c r="AN36" s="9"/>
    </row>
    <row r="37" spans="1:41" ht="14.45" customHeight="1" outlineLevel="1">
      <c r="I37" s="212" t="s">
        <v>138</v>
      </c>
      <c r="J37" s="30" t="s">
        <v>477</v>
      </c>
      <c r="K37" s="30" t="s">
        <v>477</v>
      </c>
      <c r="L37" s="30" t="s">
        <v>477</v>
      </c>
      <c r="M37" s="30">
        <v>14703</v>
      </c>
      <c r="N37" s="30">
        <v>29156</v>
      </c>
      <c r="O37" s="30">
        <v>65844</v>
      </c>
      <c r="P37" s="30">
        <v>66413</v>
      </c>
      <c r="Q37" s="30">
        <v>55030</v>
      </c>
      <c r="R37" s="229">
        <v>58783</v>
      </c>
      <c r="S37" s="229">
        <v>41221</v>
      </c>
      <c r="T37" s="229">
        <f>IFERROR(AVERAGE(Q37:S37),0)</f>
        <v>51678</v>
      </c>
      <c r="U37" s="229">
        <f>IFERROR(AVERAGE(R37:T37),0)</f>
        <v>50560.666666666664</v>
      </c>
      <c r="V37" s="229">
        <f t="shared" si="14"/>
        <v>433388.66666666669</v>
      </c>
      <c r="W37" s="74">
        <f t="shared" si="15"/>
        <v>5.3720418031972382E-2</v>
      </c>
      <c r="X37" s="90"/>
      <c r="Y37" s="30">
        <f t="shared" si="19"/>
        <v>44039.56</v>
      </c>
      <c r="Z37" s="30">
        <f t="shared" si="19"/>
        <v>42093.060000000005</v>
      </c>
      <c r="AA37" s="30">
        <f t="shared" si="19"/>
        <v>46267.5</v>
      </c>
      <c r="AB37" s="30">
        <f t="shared" si="19"/>
        <v>45587.15</v>
      </c>
      <c r="AC37" s="30">
        <f t="shared" si="19"/>
        <v>46511.22</v>
      </c>
      <c r="AD37" s="30">
        <f t="shared" si="19"/>
        <v>62159</v>
      </c>
      <c r="AE37" s="30">
        <f t="shared" si="19"/>
        <v>61070.76</v>
      </c>
      <c r="AF37" s="30">
        <f t="shared" si="19"/>
        <v>58904.04</v>
      </c>
      <c r="AG37" s="30">
        <f t="shared" si="19"/>
        <v>46909</v>
      </c>
      <c r="AH37" s="30">
        <f t="shared" si="19"/>
        <v>33901.360000000001</v>
      </c>
      <c r="AI37" s="30">
        <f t="shared" si="19"/>
        <v>32613.040000000001</v>
      </c>
      <c r="AJ37" s="30">
        <f t="shared" si="19"/>
        <v>30319.439999999999</v>
      </c>
      <c r="AK37" s="30">
        <f t="shared" si="17"/>
        <v>550375.12999999989</v>
      </c>
      <c r="AL37" s="74">
        <f t="shared" si="18"/>
        <v>6.5686582312563371E-2</v>
      </c>
      <c r="AM37" s="29">
        <f>IFERROR(AK37/V37-1,0)</f>
        <v>0.26993429300566207</v>
      </c>
      <c r="AN37" s="173"/>
    </row>
    <row r="38" spans="1:41" ht="14.45" customHeight="1" outlineLevel="1">
      <c r="I38" s="212" t="s">
        <v>139</v>
      </c>
      <c r="J38" s="32">
        <v>1386</v>
      </c>
      <c r="K38" s="32">
        <v>2385</v>
      </c>
      <c r="L38" s="32">
        <v>117</v>
      </c>
      <c r="M38" s="32">
        <v>2246</v>
      </c>
      <c r="N38" s="32">
        <v>2288</v>
      </c>
      <c r="O38" s="32">
        <v>2397</v>
      </c>
      <c r="P38" s="32">
        <v>4163</v>
      </c>
      <c r="Q38" s="32">
        <v>2518</v>
      </c>
      <c r="R38" s="229">
        <v>2504</v>
      </c>
      <c r="S38" s="229">
        <v>873</v>
      </c>
      <c r="T38" s="229">
        <f>IFERROR(AVERAGE(Q38:S38),0)</f>
        <v>1965</v>
      </c>
      <c r="U38" s="229">
        <f>IFERROR(AVERAGE(R38:T38),0)</f>
        <v>1780.6666666666667</v>
      </c>
      <c r="V38" s="229">
        <f t="shared" si="14"/>
        <v>24622.666666666668</v>
      </c>
      <c r="W38" s="74">
        <f t="shared" si="15"/>
        <v>3.0520870713322268E-3</v>
      </c>
      <c r="X38" s="90"/>
      <c r="Y38" s="32">
        <f>Y10-Y30</f>
        <v>1530</v>
      </c>
      <c r="Z38" s="32">
        <f t="shared" ref="Z38:AJ38" si="20">Z10-Z30</f>
        <v>1692</v>
      </c>
      <c r="AA38" s="32">
        <f t="shared" si="20"/>
        <v>1530</v>
      </c>
      <c r="AB38" s="32">
        <f t="shared" si="20"/>
        <v>1611</v>
      </c>
      <c r="AC38" s="32">
        <f t="shared" si="20"/>
        <v>1719</v>
      </c>
      <c r="AD38" s="32">
        <f t="shared" si="20"/>
        <v>1287</v>
      </c>
      <c r="AE38" s="32">
        <f t="shared" si="20"/>
        <v>1332</v>
      </c>
      <c r="AF38" s="32">
        <f t="shared" si="20"/>
        <v>1332</v>
      </c>
      <c r="AG38" s="32">
        <f t="shared" si="20"/>
        <v>1602</v>
      </c>
      <c r="AH38" s="32">
        <f t="shared" si="20"/>
        <v>1890</v>
      </c>
      <c r="AI38" s="32">
        <f t="shared" si="20"/>
        <v>1854</v>
      </c>
      <c r="AJ38" s="32">
        <f t="shared" si="20"/>
        <v>1620</v>
      </c>
      <c r="AK38" s="30">
        <f t="shared" si="17"/>
        <v>18999</v>
      </c>
      <c r="AL38" s="74">
        <f t="shared" si="18"/>
        <v>2.2675068500213513E-3</v>
      </c>
      <c r="AM38" s="29">
        <f>IFERROR(AK38/V38-1,0)</f>
        <v>-0.22839389180700709</v>
      </c>
      <c r="AN38" s="9"/>
    </row>
    <row r="39" spans="1:41" ht="14.45" customHeight="1">
      <c r="I39" s="18" t="s">
        <v>140</v>
      </c>
      <c r="J39" s="33">
        <v>623597</v>
      </c>
      <c r="K39" s="33">
        <v>607893</v>
      </c>
      <c r="L39" s="33">
        <v>657639</v>
      </c>
      <c r="M39" s="33">
        <v>634871</v>
      </c>
      <c r="N39" s="33">
        <v>721598</v>
      </c>
      <c r="O39" s="33">
        <v>733822</v>
      </c>
      <c r="P39" s="33">
        <v>726428</v>
      </c>
      <c r="Q39" s="33">
        <f>SUM(Q40:Q42)</f>
        <v>683110</v>
      </c>
      <c r="R39" s="33">
        <v>664441</v>
      </c>
      <c r="S39" s="33">
        <v>709638</v>
      </c>
      <c r="T39" s="33">
        <f>SUM(T40:T42)</f>
        <v>674715</v>
      </c>
      <c r="U39" s="33">
        <f>SUM(U40:U42)</f>
        <v>629733</v>
      </c>
      <c r="V39" s="33">
        <f>SUM(J39:U39)</f>
        <v>8067485</v>
      </c>
      <c r="W39" s="74">
        <f t="shared" si="15"/>
        <v>1</v>
      </c>
      <c r="X39" s="90"/>
      <c r="Y39" s="33">
        <f t="shared" ref="Y39:AJ39" si="21">SUM(Y40:Y42)</f>
        <v>650476</v>
      </c>
      <c r="Z39" s="33">
        <f t="shared" si="21"/>
        <v>631437</v>
      </c>
      <c r="AA39" s="33">
        <f t="shared" si="21"/>
        <v>688098</v>
      </c>
      <c r="AB39" s="33">
        <f t="shared" si="21"/>
        <v>659594</v>
      </c>
      <c r="AC39" s="33">
        <f t="shared" si="21"/>
        <v>743712</v>
      </c>
      <c r="AD39" s="33">
        <f t="shared" si="21"/>
        <v>751744</v>
      </c>
      <c r="AE39" s="33">
        <f t="shared" si="21"/>
        <v>740942</v>
      </c>
      <c r="AF39" s="33">
        <f t="shared" si="21"/>
        <v>749386</v>
      </c>
      <c r="AG39" s="33">
        <f t="shared" si="21"/>
        <v>719443</v>
      </c>
      <c r="AH39" s="33">
        <f t="shared" si="21"/>
        <v>713786</v>
      </c>
      <c r="AI39" s="33">
        <f t="shared" si="21"/>
        <v>689475</v>
      </c>
      <c r="AJ39" s="33">
        <f t="shared" si="21"/>
        <v>640713</v>
      </c>
      <c r="AK39" s="33">
        <f t="shared" si="17"/>
        <v>8378806</v>
      </c>
      <c r="AL39" s="74">
        <f t="shared" si="18"/>
        <v>1</v>
      </c>
      <c r="AM39" s="16">
        <f>IFERROR(AK39/V39-1,0)</f>
        <v>3.8589597625530159E-2</v>
      </c>
      <c r="AN39" s="9" t="s">
        <v>447</v>
      </c>
    </row>
    <row r="40" spans="1:41" ht="14.45" customHeight="1" outlineLevel="1">
      <c r="I40" s="31" t="s">
        <v>141</v>
      </c>
      <c r="J40" s="32">
        <v>537322</v>
      </c>
      <c r="K40" s="32">
        <v>518451</v>
      </c>
      <c r="L40" s="32">
        <v>558637</v>
      </c>
      <c r="M40" s="32">
        <v>541021</v>
      </c>
      <c r="N40" s="32">
        <v>599548</v>
      </c>
      <c r="O40" s="32">
        <v>601003</v>
      </c>
      <c r="P40" s="32">
        <v>596066</v>
      </c>
      <c r="Q40" s="32">
        <v>573126</v>
      </c>
      <c r="R40" s="32">
        <v>538282</v>
      </c>
      <c r="S40" s="32">
        <v>589216</v>
      </c>
      <c r="T40" s="32">
        <v>562872</v>
      </c>
      <c r="U40" s="32">
        <v>525347</v>
      </c>
      <c r="V40" s="32">
        <f>SUM(J40:U40)</f>
        <v>6740891</v>
      </c>
      <c r="W40" s="74">
        <f t="shared" si="15"/>
        <v>0.83556287988140043</v>
      </c>
      <c r="X40" s="90"/>
      <c r="Y40" s="32">
        <f>VLOOKUP($E$1,'[3]Resumen x Tipo Combustible'!$C$4:$O$10,Y$1,0)</f>
        <v>544253</v>
      </c>
      <c r="Z40" s="32">
        <f>VLOOKUP($E$1,'[3]Resumen x Tipo Combustible'!$C$4:$O$10,Z$1,0)</f>
        <v>523407</v>
      </c>
      <c r="AA40" s="32">
        <f>VLOOKUP($E$1,'[3]Resumen x Tipo Combustible'!$C$4:$O$10,AA$1,0)</f>
        <v>569104</v>
      </c>
      <c r="AB40" s="32">
        <f>VLOOKUP($E$1,'[3]Resumen x Tipo Combustible'!$C$4:$O$10,AB$1,0)</f>
        <v>548964</v>
      </c>
      <c r="AC40" s="32">
        <f>VLOOKUP($E$1,'[3]Resumen x Tipo Combustible'!$C$4:$O$10,AC$1,0)</f>
        <v>615534</v>
      </c>
      <c r="AD40" s="32">
        <f>VLOOKUP($E$1,'[3]Resumen x Tipo Combustible'!$C$4:$O$10,AD$1,0)</f>
        <v>616028</v>
      </c>
      <c r="AE40" s="32">
        <f>VLOOKUP($E$1,'[3]Resumen x Tipo Combustible'!$C$4:$O$10,AE$1,0)</f>
        <v>608371</v>
      </c>
      <c r="AF40" s="32">
        <f>VLOOKUP($E$1,'[3]Resumen x Tipo Combustible'!$C$4:$O$10,AF$1,0)</f>
        <v>615838</v>
      </c>
      <c r="AG40" s="32">
        <f>VLOOKUP($E$1,'[3]Resumen x Tipo Combustible'!$C$4:$O$10,AG$1,0)</f>
        <v>590972</v>
      </c>
      <c r="AH40" s="32">
        <f>VLOOKUP($E$1,'[3]Resumen x Tipo Combustible'!$C$4:$O$10,AH$1,0)</f>
        <v>595113</v>
      </c>
      <c r="AI40" s="32">
        <f>VLOOKUP($E$1,'[3]Resumen x Tipo Combustible'!$C$4:$O$10,AI$1,0)</f>
        <v>574692</v>
      </c>
      <c r="AJ40" s="32">
        <f>VLOOKUP($E$1,'[3]Resumen x Tipo Combustible'!$C$4:$O$10,AJ$1,0)</f>
        <v>534277</v>
      </c>
      <c r="AK40" s="32">
        <f t="shared" si="17"/>
        <v>6936553</v>
      </c>
      <c r="AL40" s="74">
        <f t="shared" si="18"/>
        <v>0.82786891115512162</v>
      </c>
      <c r="AM40" s="29">
        <f t="shared" si="7"/>
        <v>2.9026133192184833E-2</v>
      </c>
      <c r="AN40" s="9"/>
    </row>
    <row r="41" spans="1:41" ht="14.45" customHeight="1" outlineLevel="1">
      <c r="I41" s="31" t="s">
        <v>142</v>
      </c>
      <c r="J41" s="32">
        <v>86275</v>
      </c>
      <c r="K41" s="32">
        <v>89442</v>
      </c>
      <c r="L41" s="32">
        <v>99002</v>
      </c>
      <c r="M41" s="32">
        <v>90574</v>
      </c>
      <c r="N41" s="32">
        <v>106089</v>
      </c>
      <c r="O41" s="32">
        <v>107343</v>
      </c>
      <c r="P41" s="32">
        <v>105230</v>
      </c>
      <c r="Q41" s="32">
        <v>85843</v>
      </c>
      <c r="R41" s="32">
        <v>107327</v>
      </c>
      <c r="S41" s="32">
        <v>104983</v>
      </c>
      <c r="T41" s="32">
        <v>98751</v>
      </c>
      <c r="U41" s="32">
        <v>92167</v>
      </c>
      <c r="V41" s="32">
        <f>SUM(J41:U41)</f>
        <v>1173026</v>
      </c>
      <c r="W41" s="74">
        <f t="shared" si="15"/>
        <v>0.14540169581970094</v>
      </c>
      <c r="X41" s="90"/>
      <c r="Y41" s="32">
        <f>VLOOKUP($E$1,'[3]Resumen x Tipo Combustible'!$C$15:$O$21,Y$1,0)</f>
        <v>88174</v>
      </c>
      <c r="Z41" s="32">
        <f>VLOOKUP($E$1,'[3]Resumen x Tipo Combustible'!$C$15:$O$21,Z$1,0)</f>
        <v>90564</v>
      </c>
      <c r="AA41" s="32">
        <f>VLOOKUP($E$1,'[3]Resumen x Tipo Combustible'!$C$15:$O$21,AA$1,0)</f>
        <v>100487</v>
      </c>
      <c r="AB41" s="32">
        <f>VLOOKUP($E$1,'[3]Resumen x Tipo Combustible'!$C$15:$O$21,AB$1,0)</f>
        <v>92023</v>
      </c>
      <c r="AC41" s="32">
        <f>VLOOKUP($E$1,'[3]Resumen x Tipo Combustible'!$C$15:$O$21,AC$1,0)</f>
        <v>109271</v>
      </c>
      <c r="AD41" s="32">
        <f>VLOOKUP($E$1,'[3]Resumen x Tipo Combustible'!$C$15:$O$21,AD$1,0)</f>
        <v>110241</v>
      </c>
      <c r="AE41" s="32">
        <f>VLOOKUP($E$1,'[3]Resumen x Tipo Combustible'!$C$15:$O$21,AE$1,0)</f>
        <v>107439</v>
      </c>
      <c r="AF41" s="32">
        <f>VLOOKUP($E$1,'[3]Resumen x Tipo Combustible'!$C$15:$O$21,AF$1,0)</f>
        <v>109407</v>
      </c>
      <c r="AG41" s="32">
        <f>VLOOKUP($E$1,'[3]Resumen x Tipo Combustible'!$C$15:$O$21,AG$1,0)</f>
        <v>109246</v>
      </c>
      <c r="AH41" s="32">
        <f>VLOOKUP($E$1,'[3]Resumen x Tipo Combustible'!$C$15:$O$21,AH$1,0)</f>
        <v>104779</v>
      </c>
      <c r="AI41" s="32">
        <f>VLOOKUP($E$1,'[3]Resumen x Tipo Combustible'!$C$15:$O$21,AI$1,0)</f>
        <v>101417</v>
      </c>
      <c r="AJ41" s="32">
        <f>VLOOKUP($E$1,'[3]Resumen x Tipo Combustible'!$C$15:$O$21,AJ$1,0)</f>
        <v>94010</v>
      </c>
      <c r="AK41" s="32">
        <f t="shared" si="17"/>
        <v>1217058</v>
      </c>
      <c r="AL41" s="74">
        <f t="shared" si="18"/>
        <v>0.14525434769584114</v>
      </c>
      <c r="AM41" s="29">
        <f t="shared" si="7"/>
        <v>3.7537104889405759E-2</v>
      </c>
      <c r="AN41" s="9"/>
    </row>
    <row r="42" spans="1:41" ht="14.45" customHeight="1" outlineLevel="1">
      <c r="A42" s="21"/>
      <c r="B42" s="21"/>
      <c r="C42" s="21"/>
      <c r="D42" s="21"/>
      <c r="E42" s="7" t="s">
        <v>98</v>
      </c>
      <c r="I42" s="31" t="s">
        <v>143</v>
      </c>
      <c r="J42" s="32" t="s">
        <v>477</v>
      </c>
      <c r="K42" s="32" t="s">
        <v>477</v>
      </c>
      <c r="L42" s="32" t="s">
        <v>477</v>
      </c>
      <c r="M42" s="32">
        <v>3277</v>
      </c>
      <c r="N42" s="32">
        <v>15961</v>
      </c>
      <c r="O42" s="32">
        <v>25475</v>
      </c>
      <c r="P42" s="32">
        <v>25132</v>
      </c>
      <c r="Q42" s="32">
        <v>24141</v>
      </c>
      <c r="R42" s="32">
        <v>18832</v>
      </c>
      <c r="S42" s="32">
        <v>15439</v>
      </c>
      <c r="T42" s="32">
        <v>13092</v>
      </c>
      <c r="U42" s="32">
        <v>12219</v>
      </c>
      <c r="V42" s="32">
        <f>SUM(J42:U42)</f>
        <v>153568</v>
      </c>
      <c r="W42" s="74">
        <f t="shared" si="15"/>
        <v>1.9035424298898602E-2</v>
      </c>
      <c r="X42" s="90"/>
      <c r="Y42" s="32">
        <f>VLOOKUP($E$1,'[3]Resumen x Tipo Combustible'!$C$26:$O$32,Y$1,0)</f>
        <v>18049</v>
      </c>
      <c r="Z42" s="32">
        <f>VLOOKUP($E$1,'[3]Resumen x Tipo Combustible'!$C$26:$O$32,Z$1,0)</f>
        <v>17466</v>
      </c>
      <c r="AA42" s="32">
        <f>VLOOKUP($E$1,'[3]Resumen x Tipo Combustible'!$C$26:$O$32,AA$1,0)</f>
        <v>18507</v>
      </c>
      <c r="AB42" s="32">
        <f>VLOOKUP($E$1,'[3]Resumen x Tipo Combustible'!$C$26:$O$32,AB$1,0)</f>
        <v>18607</v>
      </c>
      <c r="AC42" s="32">
        <f>VLOOKUP($E$1,'[3]Resumen x Tipo Combustible'!$C$26:$O$32,AC$1,0)</f>
        <v>18907</v>
      </c>
      <c r="AD42" s="32">
        <f>VLOOKUP($E$1,'[3]Resumen x Tipo Combustible'!$C$26:$O$32,AD$1,0)</f>
        <v>25475</v>
      </c>
      <c r="AE42" s="32">
        <f>VLOOKUP($E$1,'[3]Resumen x Tipo Combustible'!$C$26:$O$32,AE$1,0)</f>
        <v>25132</v>
      </c>
      <c r="AF42" s="32">
        <f>VLOOKUP($E$1,'[3]Resumen x Tipo Combustible'!$C$26:$O$32,AF$1,0)</f>
        <v>24141</v>
      </c>
      <c r="AG42" s="32">
        <f>VLOOKUP($E$1,'[3]Resumen x Tipo Combustible'!$C$26:$O$32,AG$1,0)</f>
        <v>19225</v>
      </c>
      <c r="AH42" s="32">
        <f>VLOOKUP($E$1,'[3]Resumen x Tipo Combustible'!$C$26:$O$32,AH$1,0)</f>
        <v>13894</v>
      </c>
      <c r="AI42" s="32">
        <f>VLOOKUP($E$1,'[3]Resumen x Tipo Combustible'!$C$26:$O$32,AI$1,0)</f>
        <v>13366</v>
      </c>
      <c r="AJ42" s="32">
        <f>VLOOKUP($E$1,'[3]Resumen x Tipo Combustible'!$C$26:$O$32,AJ$1,0)</f>
        <v>12426</v>
      </c>
      <c r="AK42" s="32">
        <f t="shared" si="17"/>
        <v>225195</v>
      </c>
      <c r="AL42" s="74">
        <f t="shared" si="18"/>
        <v>2.6876741149037226E-2</v>
      </c>
      <c r="AM42" s="29">
        <f t="shared" si="7"/>
        <v>0.46641878516357571</v>
      </c>
      <c r="AN42" s="9"/>
    </row>
    <row r="43" spans="1:41" ht="16.5" customHeight="1">
      <c r="A43" s="21"/>
      <c r="B43" s="21"/>
      <c r="C43" s="21"/>
      <c r="D43" s="21"/>
      <c r="E43" s="22"/>
      <c r="F43" s="21"/>
      <c r="G43" s="21"/>
      <c r="H43" s="21"/>
      <c r="I43" s="18" t="s">
        <v>359</v>
      </c>
      <c r="J43" s="17">
        <v>2.39</v>
      </c>
      <c r="K43" s="17">
        <v>2.95</v>
      </c>
      <c r="L43" s="17">
        <v>2.73</v>
      </c>
      <c r="M43" s="17">
        <v>2.82</v>
      </c>
      <c r="N43" s="17">
        <v>3.15</v>
      </c>
      <c r="O43" s="17">
        <v>2.8</v>
      </c>
      <c r="P43" s="17">
        <v>2.46</v>
      </c>
      <c r="Q43" s="17">
        <v>2.35</v>
      </c>
      <c r="R43" s="17">
        <v>2.6</v>
      </c>
      <c r="S43" s="17">
        <v>2.85</v>
      </c>
      <c r="T43" s="17">
        <f t="shared" ref="R43:U46" si="22">+T34/T39</f>
        <v>2.7006928851440977</v>
      </c>
      <c r="U43" s="17">
        <f t="shared" si="22"/>
        <v>2.9518097352369979</v>
      </c>
      <c r="V43" s="17">
        <f>+V34/V39</f>
        <v>2.7309756386283954</v>
      </c>
      <c r="W43" s="74">
        <f t="shared" si="15"/>
        <v>3.3851635777796864E-7</v>
      </c>
      <c r="X43" s="90"/>
      <c r="Y43" s="17">
        <f>+Y34/Y39</f>
        <v>2.5131208684102111</v>
      </c>
      <c r="Z43" s="17">
        <f t="shared" ref="Z43:AK43" si="23">+Z34/Z39</f>
        <v>2.4796254733251262</v>
      </c>
      <c r="AA43" s="17">
        <f t="shared" si="23"/>
        <v>2.5956443268255391</v>
      </c>
      <c r="AB43" s="17">
        <f t="shared" si="23"/>
        <v>2.480249092623644</v>
      </c>
      <c r="AC43" s="17">
        <f t="shared" si="23"/>
        <v>2.6050203976808222</v>
      </c>
      <c r="AD43" s="17">
        <f t="shared" si="23"/>
        <v>2.513739278264941</v>
      </c>
      <c r="AE43" s="17">
        <f t="shared" si="23"/>
        <v>2.499423382666929</v>
      </c>
      <c r="AF43" s="17">
        <f t="shared" si="23"/>
        <v>2.5235801709666319</v>
      </c>
      <c r="AG43" s="17">
        <f t="shared" si="23"/>
        <v>2.4805359423887654</v>
      </c>
      <c r="AH43" s="17">
        <f t="shared" si="23"/>
        <v>2.5225585679741549</v>
      </c>
      <c r="AI43" s="17">
        <f t="shared" si="23"/>
        <v>2.4765202219079723</v>
      </c>
      <c r="AJ43" s="17">
        <f t="shared" si="23"/>
        <v>2.4473950895330665</v>
      </c>
      <c r="AK43" s="17">
        <f>+AK34/AK39</f>
        <v>2.5126911602918067</v>
      </c>
      <c r="AL43" s="74">
        <f t="shared" si="18"/>
        <v>2.9988654234169004E-7</v>
      </c>
      <c r="AM43" s="16">
        <f t="shared" si="7"/>
        <v>-7.9929119560443906E-2</v>
      </c>
      <c r="AN43" s="173" t="s">
        <v>447</v>
      </c>
      <c r="AO43" s="291">
        <f>+AK43-V43</f>
        <v>-0.21828447833658871</v>
      </c>
    </row>
    <row r="44" spans="1:41" ht="14.45" customHeight="1" outlineLevel="1">
      <c r="A44" s="12" t="s">
        <v>146</v>
      </c>
      <c r="B44" s="19" t="s">
        <v>88</v>
      </c>
      <c r="I44" s="31" t="s">
        <v>141</v>
      </c>
      <c r="J44" s="30">
        <v>2.42</v>
      </c>
      <c r="K44" s="30">
        <v>2.85</v>
      </c>
      <c r="L44" s="30">
        <v>2.57</v>
      </c>
      <c r="M44" s="30">
        <v>2.67</v>
      </c>
      <c r="N44" s="30">
        <v>3.09</v>
      </c>
      <c r="O44" s="30">
        <v>2.72</v>
      </c>
      <c r="P44" s="30">
        <v>2.34</v>
      </c>
      <c r="Q44" s="30">
        <v>2.3199999999999998</v>
      </c>
      <c r="R44" s="30">
        <v>2.6</v>
      </c>
      <c r="S44" s="30">
        <v>2.89</v>
      </c>
      <c r="T44" s="30">
        <f t="shared" si="22"/>
        <v>2.6254293456890143</v>
      </c>
      <c r="U44" s="30">
        <f t="shared" si="22"/>
        <v>2.9057103632879264</v>
      </c>
      <c r="V44" s="30">
        <f t="shared" ref="V44:V46" si="24">+V35/V40</f>
        <v>2.6673071688726147</v>
      </c>
      <c r="W44" s="74">
        <f t="shared" si="15"/>
        <v>3.3062437288357083E-7</v>
      </c>
      <c r="X44" s="90"/>
      <c r="Y44" s="30">
        <f>VLOOKUP(Y3,'[3]Margen ctvs-lit'!$J$82:$O$93,$Y$1,0)</f>
        <v>2.5099999999999998</v>
      </c>
      <c r="Z44" s="30">
        <f>VLOOKUP(Z3,'[3]Margen ctvs-lit'!$J$82:$O$93,$Y$1,0)</f>
        <v>2.4700000000000002</v>
      </c>
      <c r="AA44" s="30">
        <f>VLOOKUP(AA3,'[3]Margen ctvs-lit'!$J$82:$O$93,$Y$1,0)</f>
        <v>2.59</v>
      </c>
      <c r="AB44" s="30">
        <f>VLOOKUP(AB3,'[3]Margen ctvs-lit'!$J$82:$O$93,$Y$1,0)</f>
        <v>2.4700000000000002</v>
      </c>
      <c r="AC44" s="30">
        <f>VLOOKUP(AC3,'[3]Margen ctvs-lit'!$J$82:$O$93,$Y$1,0)</f>
        <v>2.62</v>
      </c>
      <c r="AD44" s="30">
        <f>VLOOKUP(AD3,'[3]Margen ctvs-lit'!$J$82:$O$93,$Y$1,0)</f>
        <v>2.5099999999999998</v>
      </c>
      <c r="AE44" s="30">
        <f>VLOOKUP(AE3,'[3]Margen ctvs-lit'!$J$82:$O$93,$Y$1,0)</f>
        <v>2.5</v>
      </c>
      <c r="AF44" s="30">
        <f>VLOOKUP(AF3,'[3]Margen ctvs-lit'!$J$82:$O$93,$Y$1,0)</f>
        <v>2.52</v>
      </c>
      <c r="AG44" s="30">
        <f>VLOOKUP(AG3,'[3]Margen ctvs-lit'!$J$82:$O$93,$Y$1,0)</f>
        <v>2.4700000000000002</v>
      </c>
      <c r="AH44" s="30">
        <f>VLOOKUP(AH3,'[3]Margen ctvs-lit'!$J$82:$O$93,$Y$1,0)</f>
        <v>2.52</v>
      </c>
      <c r="AI44" s="30">
        <f>VLOOKUP(AI3,'[3]Margen ctvs-lit'!$J$82:$O$93,$Y$1,0)</f>
        <v>2.4700000000000002</v>
      </c>
      <c r="AJ44" s="30">
        <f>VLOOKUP(AJ3,'[3]Margen ctvs-lit'!$J$82:$O$93,$Y$1,0)</f>
        <v>2.4300000000000002</v>
      </c>
      <c r="AK44" s="30">
        <f>+AK35/AK40</f>
        <v>2.5081257693843035</v>
      </c>
      <c r="AL44" s="74">
        <f t="shared" si="18"/>
        <v>2.9934166865592823E-7</v>
      </c>
      <c r="AM44" s="29">
        <f>IFERROR(AK44/V44-1,0)</f>
        <v>-5.9678690683230173E-2</v>
      </c>
      <c r="AN44" s="9"/>
      <c r="AO44" s="291">
        <f>+AK44-V44</f>
        <v>-0.15918139948831111</v>
      </c>
    </row>
    <row r="45" spans="1:41" ht="14.45" customHeight="1" outlineLevel="1">
      <c r="A45" s="12" t="s">
        <v>146</v>
      </c>
      <c r="B45" s="8" t="s">
        <v>88</v>
      </c>
      <c r="C45" s="19" t="s">
        <v>148</v>
      </c>
      <c r="D45" s="12"/>
      <c r="E45" s="20"/>
      <c r="F45" s="12"/>
      <c r="G45" s="12"/>
      <c r="H45" s="12"/>
      <c r="I45" s="31" t="s">
        <v>142</v>
      </c>
      <c r="J45" s="30">
        <v>2.21</v>
      </c>
      <c r="K45" s="30">
        <v>3.46</v>
      </c>
      <c r="L45" s="30">
        <v>3.61</v>
      </c>
      <c r="M45" s="30">
        <v>3.65</v>
      </c>
      <c r="N45" s="30">
        <v>3.67</v>
      </c>
      <c r="O45" s="30">
        <v>3.31</v>
      </c>
      <c r="P45" s="30">
        <v>3.07</v>
      </c>
      <c r="Q45" s="30">
        <v>2.54</v>
      </c>
      <c r="R45" s="30">
        <v>2.48</v>
      </c>
      <c r="S45" s="30">
        <v>2.7</v>
      </c>
      <c r="T45" s="30">
        <f t="shared" si="22"/>
        <v>2.9445203930424331</v>
      </c>
      <c r="U45" s="30">
        <f t="shared" si="22"/>
        <v>3.0380119179798024</v>
      </c>
      <c r="V45" s="30">
        <f t="shared" si="24"/>
        <v>3.0639276348331395</v>
      </c>
      <c r="W45" s="74">
        <f t="shared" si="15"/>
        <v>3.7978721185513692E-7</v>
      </c>
      <c r="X45" s="90"/>
      <c r="Y45" s="30">
        <f>VLOOKUP(Y3,'[3]Margen ctvs-lit'!$J$82:$O$93,$AA$1,0)</f>
        <v>2.5299999999999998</v>
      </c>
      <c r="Z45" s="30">
        <f>VLOOKUP(Z3,'[3]Margen ctvs-lit'!$J$82:$O$93,$AA$1,0)</f>
        <v>2.5299999999999998</v>
      </c>
      <c r="AA45" s="30">
        <f>VLOOKUP(AA3,'[3]Margen ctvs-lit'!$J$82:$O$93,$AA$1,0)</f>
        <v>2.63</v>
      </c>
      <c r="AB45" s="30">
        <f>VLOOKUP(AB3,'[3]Margen ctvs-lit'!$J$82:$O$93,$AA$1,0)</f>
        <v>2.5299999999999998</v>
      </c>
      <c r="AC45" s="30">
        <f>VLOOKUP(AC3,'[3]Margen ctvs-lit'!$J$82:$O$93,$AA$1,0)</f>
        <v>2.5299999999999998</v>
      </c>
      <c r="AD45" s="30">
        <f>VLOOKUP(AD3,'[3]Margen ctvs-lit'!$J$82:$O$93,$AA$1,0)</f>
        <v>2.54</v>
      </c>
      <c r="AE45" s="30">
        <f>VLOOKUP(AE3,'[3]Margen ctvs-lit'!$J$82:$O$93,$AA$1,0)</f>
        <v>2.5</v>
      </c>
      <c r="AF45" s="30">
        <f>VLOOKUP(AF3,'[3]Margen ctvs-lit'!$J$82:$O$93,$AA$1,0)</f>
        <v>2.5499999999999998</v>
      </c>
      <c r="AG45" s="30">
        <f>VLOOKUP(AG3,'[3]Margen ctvs-lit'!$J$82:$O$93,$AA$1,0)</f>
        <v>2.5299999999999998</v>
      </c>
      <c r="AH45" s="30">
        <f>VLOOKUP(AH3,'[3]Margen ctvs-lit'!$J$82:$O$93,$AA$1,0)</f>
        <v>2.5299999999999998</v>
      </c>
      <c r="AI45" s="30">
        <f>VLOOKUP(AI3,'[3]Margen ctvs-lit'!$J$82:$O$93,$AA$1,0)</f>
        <v>2.5</v>
      </c>
      <c r="AJ45" s="30">
        <f>VLOOKUP(AJ3,'[3]Margen ctvs-lit'!$J$82:$O$93,$AA$1,0)</f>
        <v>2.5299999999999998</v>
      </c>
      <c r="AK45" s="30">
        <f>+AK36/AK41</f>
        <v>2.5358120237490738</v>
      </c>
      <c r="AL45" s="74">
        <f t="shared" si="18"/>
        <v>3.0264598843189276E-7</v>
      </c>
      <c r="AM45" s="29">
        <f t="shared" si="7"/>
        <v>-0.17236556277636328</v>
      </c>
      <c r="AN45" s="9"/>
      <c r="AO45" s="291">
        <f>+AK45-V45</f>
        <v>-0.52811561108406568</v>
      </c>
    </row>
    <row r="46" spans="1:41" ht="14.45" customHeight="1" outlineLevel="1">
      <c r="A46" s="12" t="s">
        <v>146</v>
      </c>
      <c r="B46" s="8" t="s">
        <v>88</v>
      </c>
      <c r="I46" s="31" t="s">
        <v>143</v>
      </c>
      <c r="J46" s="30" t="s">
        <v>477</v>
      </c>
      <c r="K46" s="30" t="s">
        <v>477</v>
      </c>
      <c r="L46" s="30" t="s">
        <v>477</v>
      </c>
      <c r="M46" s="30">
        <v>4.49</v>
      </c>
      <c r="N46" s="30">
        <v>1.83</v>
      </c>
      <c r="O46" s="30">
        <v>2.58</v>
      </c>
      <c r="P46" s="30">
        <v>2.64</v>
      </c>
      <c r="Q46" s="30">
        <v>2.2799999999999998</v>
      </c>
      <c r="R46" s="30">
        <v>3.12</v>
      </c>
      <c r="S46" s="30">
        <v>2.67</v>
      </c>
      <c r="T46" s="30">
        <f t="shared" si="22"/>
        <v>3.9472960586617782</v>
      </c>
      <c r="U46" s="30">
        <f t="shared" si="22"/>
        <v>4.1378727118967724</v>
      </c>
      <c r="V46" s="30">
        <f t="shared" si="24"/>
        <v>2.8221287420990486</v>
      </c>
      <c r="W46" s="74">
        <f t="shared" si="15"/>
        <v>3.4981518305879075E-7</v>
      </c>
      <c r="X46" s="90"/>
      <c r="Y46" s="30">
        <f>VLOOKUP(Y3,'[3]Margen ctvs-lit'!$J$82:$O$93,$AC$1,0)</f>
        <v>2.44</v>
      </c>
      <c r="Z46" s="30">
        <f>VLOOKUP(Z3,'[3]Margen ctvs-lit'!$J$82:$O$93,$AC$1,0)</f>
        <v>2.41</v>
      </c>
      <c r="AA46" s="30">
        <f>VLOOKUP(AA3,'[3]Margen ctvs-lit'!$J$82:$O$93,$AC$1,0)</f>
        <v>2.5</v>
      </c>
      <c r="AB46" s="30">
        <f>VLOOKUP(AB3,'[3]Margen ctvs-lit'!$J$82:$O$93,$AC$1,0)</f>
        <v>2.4500000000000002</v>
      </c>
      <c r="AC46" s="30">
        <f>VLOOKUP(AC3,'[3]Margen ctvs-lit'!$J$82:$O$93,$AC$1,0)</f>
        <v>2.46</v>
      </c>
      <c r="AD46" s="30">
        <f>VLOOKUP(AD3,'[3]Margen ctvs-lit'!$J$82:$O$93,$AC$1,0)</f>
        <v>2.44</v>
      </c>
      <c r="AE46" s="30">
        <f>VLOOKUP(AE3,'[3]Margen ctvs-lit'!$J$82:$O$93,$AC$1,0)</f>
        <v>2.4300000000000002</v>
      </c>
      <c r="AF46" s="30">
        <f>VLOOKUP(AF3,'[3]Margen ctvs-lit'!$J$82:$O$93,$AC$1,0)</f>
        <v>2.44</v>
      </c>
      <c r="AG46" s="30">
        <f>VLOOKUP(AG3,'[3]Margen ctvs-lit'!$J$82:$O$93,$AC$1,0)</f>
        <v>2.44</v>
      </c>
      <c r="AH46" s="30">
        <f>VLOOKUP(AH3,'[3]Margen ctvs-lit'!$J$82:$O$93,$AC$1,0)</f>
        <v>2.44</v>
      </c>
      <c r="AI46" s="30">
        <f>VLOOKUP(AI3,'[3]Margen ctvs-lit'!$J$82:$O$93,$AC$1,0)</f>
        <v>2.44</v>
      </c>
      <c r="AJ46" s="30">
        <f>VLOOKUP(AJ3,'[3]Margen ctvs-lit'!$J$82:$O$93,$AC$1,0)</f>
        <v>2.44</v>
      </c>
      <c r="AK46" s="30">
        <f>IFERROR(+AK37/AK42,0)</f>
        <v>2.4439935611359038</v>
      </c>
      <c r="AL46" s="74">
        <f t="shared" si="18"/>
        <v>2.9168756993966729E-7</v>
      </c>
      <c r="AM46" s="29">
        <f t="shared" si="7"/>
        <v>-0.13398934475324276</v>
      </c>
      <c r="AN46" s="9"/>
      <c r="AO46" s="291">
        <f>+AK46-V46</f>
        <v>-0.3781351809631448</v>
      </c>
    </row>
    <row r="47" spans="1:41" ht="14.45" customHeight="1">
      <c r="A47" s="12" t="s">
        <v>146</v>
      </c>
      <c r="B47" s="8" t="s">
        <v>88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1" ht="14.45" customHeight="1">
      <c r="A48" s="12" t="s">
        <v>146</v>
      </c>
      <c r="B48" s="8" t="s">
        <v>88</v>
      </c>
      <c r="I48" s="139" t="s">
        <v>145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14.45" customHeight="1">
      <c r="A49" s="12" t="s">
        <v>146</v>
      </c>
      <c r="B49" s="8" t="s">
        <v>88</v>
      </c>
      <c r="C49" s="8" t="s">
        <v>155</v>
      </c>
      <c r="I49" s="139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ht="14.45" customHeight="1">
      <c r="A50" s="12" t="s">
        <v>146</v>
      </c>
      <c r="B50" s="8" t="s">
        <v>88</v>
      </c>
      <c r="I50" s="166" t="s">
        <v>147</v>
      </c>
      <c r="J50" s="15">
        <v>352766</v>
      </c>
      <c r="K50" s="15">
        <v>251501</v>
      </c>
      <c r="L50" s="15">
        <v>243537</v>
      </c>
      <c r="M50" s="15">
        <v>235004</v>
      </c>
      <c r="N50" s="15">
        <v>262190</v>
      </c>
      <c r="O50" s="15">
        <v>232346</v>
      </c>
      <c r="P50" s="15">
        <v>247719</v>
      </c>
      <c r="Q50" s="15">
        <v>279631</v>
      </c>
      <c r="R50" s="15">
        <v>252389</v>
      </c>
      <c r="S50" s="15">
        <v>266180</v>
      </c>
      <c r="T50" s="15">
        <f t="shared" ref="R50:U50" si="25">SUM(T51:T91)</f>
        <v>308349.45140000002</v>
      </c>
      <c r="U50" s="15">
        <f t="shared" si="25"/>
        <v>240332.58862222225</v>
      </c>
      <c r="V50" s="15">
        <f>SUM(V51:V91)</f>
        <v>3170418.0400222223</v>
      </c>
      <c r="W50" s="72">
        <f t="shared" ref="W50:W164" si="26">V50/V$6</f>
        <v>2.1174523820836365E-2</v>
      </c>
      <c r="X50" s="89"/>
      <c r="Y50" s="15">
        <f t="shared" ref="Y50:AK50" si="27">SUM(Y51:Y91)</f>
        <v>288185.45761929807</v>
      </c>
      <c r="Z50" s="15">
        <f t="shared" si="27"/>
        <v>249775.04846628959</v>
      </c>
      <c r="AA50" s="15">
        <f t="shared" si="27"/>
        <v>263946.02817417431</v>
      </c>
      <c r="AB50" s="15">
        <f t="shared" si="27"/>
        <v>250665.1472311659</v>
      </c>
      <c r="AC50" s="15">
        <f t="shared" si="27"/>
        <v>250529.12578960933</v>
      </c>
      <c r="AD50" s="15">
        <f t="shared" si="27"/>
        <v>267796.85149580153</v>
      </c>
      <c r="AE50" s="15">
        <f t="shared" si="27"/>
        <v>260036.52352909459</v>
      </c>
      <c r="AF50" s="15">
        <f t="shared" si="27"/>
        <v>277704.72329831833</v>
      </c>
      <c r="AG50" s="15">
        <f t="shared" si="27"/>
        <v>272437.03586911061</v>
      </c>
      <c r="AH50" s="15">
        <f t="shared" si="27"/>
        <v>308089.37811097788</v>
      </c>
      <c r="AI50" s="15">
        <f t="shared" si="27"/>
        <v>284021.21207193926</v>
      </c>
      <c r="AJ50" s="15">
        <f t="shared" si="27"/>
        <v>265417.69648902165</v>
      </c>
      <c r="AK50" s="15">
        <f t="shared" si="27"/>
        <v>3238604.2281448012</v>
      </c>
      <c r="AL50" s="72">
        <f t="shared" ref="AL50:AL164" si="28">AK50/AK$6</f>
        <v>2.0334922961500121E-2</v>
      </c>
      <c r="AM50" s="10">
        <f t="shared" ref="AM50:AM144" si="29">IFERROR(AK50/V50-1,0)</f>
        <v>2.1507002313833956E-2</v>
      </c>
      <c r="AN50" s="9"/>
    </row>
    <row r="51" spans="1:40" ht="14.45" customHeight="1" outlineLevel="1">
      <c r="A51" s="12" t="s">
        <v>146</v>
      </c>
      <c r="B51" s="8" t="s">
        <v>88</v>
      </c>
      <c r="I51" s="246" t="s">
        <v>149</v>
      </c>
      <c r="J51" s="65">
        <v>42154</v>
      </c>
      <c r="K51" s="65">
        <v>39669</v>
      </c>
      <c r="L51" s="65">
        <v>57772</v>
      </c>
      <c r="M51" s="65">
        <v>41233</v>
      </c>
      <c r="N51" s="65">
        <v>49424</v>
      </c>
      <c r="O51" s="65">
        <v>26069</v>
      </c>
      <c r="P51" s="65">
        <v>40401</v>
      </c>
      <c r="Q51" s="65">
        <v>58216</v>
      </c>
      <c r="R51" s="225">
        <v>44734</v>
      </c>
      <c r="S51" s="225">
        <v>57782</v>
      </c>
      <c r="T51" s="225">
        <f t="shared" ref="S51:U51" si="30">+AVERAGE(Q51:S51)</f>
        <v>53577.333333333336</v>
      </c>
      <c r="U51" s="225">
        <f t="shared" si="30"/>
        <v>52031.111111111117</v>
      </c>
      <c r="V51" s="65">
        <f>SUM(J51:U51)</f>
        <v>563062.44444444438</v>
      </c>
      <c r="W51" s="73">
        <f t="shared" si="26"/>
        <v>3.7605700548006189E-3</v>
      </c>
      <c r="X51" s="89"/>
      <c r="Y51" s="65">
        <f>VLOOKUP($E$1,'[4]PPTO 2025'!$C$1:$P$9,Y1,0)</f>
        <v>45610.968573373437</v>
      </c>
      <c r="Z51" s="65">
        <f>VLOOKUP($E$1,'[4]PPTO 2025'!$C$1:$P$9,Z1,0)</f>
        <v>43555.974141518876</v>
      </c>
      <c r="AA51" s="65">
        <f>VLOOKUP($E$1,'[4]PPTO 2025'!$C$1:$P$9,AA1,0)</f>
        <v>48050.358224403484</v>
      </c>
      <c r="AB51" s="65">
        <f>VLOOKUP($E$1,'[4]PPTO 2025'!$C$1:$P$9,AB1,0)</f>
        <v>46855.127272375852</v>
      </c>
      <c r="AC51" s="65">
        <f>VLOOKUP($E$1,'[4]PPTO 2025'!$C$1:$P$9,AC1,0)</f>
        <v>50649.054634819331</v>
      </c>
      <c r="AD51" s="65">
        <f>VLOOKUP($E$1,'[4]PPTO 2025'!$C$1:$P$9,AD1,0)</f>
        <v>50848.351635011488</v>
      </c>
      <c r="AE51" s="65">
        <f>VLOOKUP($E$1,'[4]PPTO 2025'!$C$1:$P$9,AE1,0)</f>
        <v>50752.290668304566</v>
      </c>
      <c r="AF51" s="65">
        <f>VLOOKUP($E$1,'[4]PPTO 2025'!$C$1:$P$9,AF1,0)</f>
        <v>51718.993143528307</v>
      </c>
      <c r="AG51" s="65">
        <f>VLOOKUP($E$1,'[4]PPTO 2025'!$C$1:$P$9,AG1,0)</f>
        <v>50083.42131232057</v>
      </c>
      <c r="AH51" s="65">
        <f>VLOOKUP($E$1,'[4]PPTO 2025'!$C$1:$P$9,AH1,0)</f>
        <v>50140.632207437819</v>
      </c>
      <c r="AI51" s="65">
        <f>VLOOKUP($E$1,'[4]PPTO 2025'!$C$1:$P$9,AI1,0)</f>
        <v>49099.394183065888</v>
      </c>
      <c r="AJ51" s="65">
        <f>VLOOKUP($E$1,'[4]PPTO 2025'!$C$1:$P$9,AJ1,0)</f>
        <v>47536.355793037183</v>
      </c>
      <c r="AK51" s="65">
        <f>SUM(Y51:AJ51)</f>
        <v>584900.92178919679</v>
      </c>
      <c r="AL51" s="73">
        <f t="shared" si="28"/>
        <v>3.6725435856998874E-3</v>
      </c>
      <c r="AM51" s="14">
        <f t="shared" si="29"/>
        <v>3.8785178376262941E-2</v>
      </c>
      <c r="AN51" s="9"/>
    </row>
    <row r="52" spans="1:40" ht="14.45" customHeight="1" outlineLevel="1">
      <c r="A52" s="12" t="s">
        <v>146</v>
      </c>
      <c r="B52" s="8" t="s">
        <v>88</v>
      </c>
      <c r="I52" s="246" t="s">
        <v>148</v>
      </c>
      <c r="J52" s="65">
        <v>60887</v>
      </c>
      <c r="K52" s="65">
        <v>60887</v>
      </c>
      <c r="L52" s="65">
        <v>60887</v>
      </c>
      <c r="M52" s="65">
        <v>60887</v>
      </c>
      <c r="N52" s="65">
        <v>60887</v>
      </c>
      <c r="O52" s="65">
        <v>60887</v>
      </c>
      <c r="P52" s="65">
        <v>60887</v>
      </c>
      <c r="Q52" s="65">
        <v>60887</v>
      </c>
      <c r="R52" s="225">
        <v>63054</v>
      </c>
      <c r="S52" s="225">
        <v>63054</v>
      </c>
      <c r="T52" s="225">
        <v>63054</v>
      </c>
      <c r="U52" s="225">
        <v>63054</v>
      </c>
      <c r="V52" s="65">
        <f t="shared" ref="V52:V87" si="31">SUM(J52:U52)</f>
        <v>739312</v>
      </c>
      <c r="W52" s="73">
        <f t="shared" si="26"/>
        <v>4.9377020182866634E-3</v>
      </c>
      <c r="X52" s="89"/>
      <c r="Y52" s="65">
        <f>VLOOKUP($E$1,[5]Resumen!$V$8:$AI$14,Y1,0)+VLOOKUP($E$1,[6]Resumen!$C$9:$O$15,Y1,0)</f>
        <v>64434</v>
      </c>
      <c r="Z52" s="65">
        <f>VLOOKUP($E$1,[5]Resumen!$V$8:$AI$14,Z1,0)+VLOOKUP($E$1,[6]Resumen!$C$9:$O$15,Z1,0)</f>
        <v>64434</v>
      </c>
      <c r="AA52" s="65">
        <f>VLOOKUP($E$1,[5]Resumen!$V$8:$AI$14,AA1,0)+VLOOKUP($E$1,[6]Resumen!$C$9:$O$15,AA1,0)</f>
        <v>64434</v>
      </c>
      <c r="AB52" s="65">
        <f>VLOOKUP($E$1,[5]Resumen!$V$8:$AI$14,AB1,0)+VLOOKUP($E$1,[6]Resumen!$C$9:$O$15,AB1,0)</f>
        <v>64434</v>
      </c>
      <c r="AC52" s="65">
        <f>VLOOKUP($E$1,[5]Resumen!$V$8:$AI$14,AC1,0)+VLOOKUP($E$1,[6]Resumen!$C$9:$O$15,AC1,0)</f>
        <v>64434</v>
      </c>
      <c r="AD52" s="65">
        <f>VLOOKUP($E$1,[5]Resumen!$V$8:$AI$14,AD1,0)+VLOOKUP($E$1,[6]Resumen!$C$9:$O$15,AD1,0)</f>
        <v>64434</v>
      </c>
      <c r="AE52" s="65">
        <f>VLOOKUP($E$1,[5]Resumen!$V$8:$AI$14,AE1,0)+VLOOKUP($E$1,[6]Resumen!$C$9:$O$15,AE1,0)</f>
        <v>64434</v>
      </c>
      <c r="AF52" s="65">
        <f>VLOOKUP($E$1,[5]Resumen!$V$8:$AI$14,AF1,0)+VLOOKUP($E$1,[6]Resumen!$C$9:$O$15,AF1,0)</f>
        <v>64434</v>
      </c>
      <c r="AG52" s="65">
        <f>VLOOKUP($E$1,[5]Resumen!$V$8:$AI$14,AG1,0)+VLOOKUP($E$1,[6]Resumen!$C$9:$O$15,AG1,0)</f>
        <v>66956.160000000003</v>
      </c>
      <c r="AH52" s="65">
        <f>VLOOKUP($E$1,[5]Resumen!$V$8:$AI$14,AH1,0)+VLOOKUP($E$1,[6]Resumen!$C$9:$O$15,AH1,0)</f>
        <v>66956.160000000003</v>
      </c>
      <c r="AI52" s="65">
        <f>VLOOKUP($E$1,[5]Resumen!$V$8:$AI$14,AI1,0)+VLOOKUP($E$1,[6]Resumen!$C$9:$O$15,AI1,0)</f>
        <v>66956.160000000003</v>
      </c>
      <c r="AJ52" s="65">
        <f>VLOOKUP($E$1,[5]Resumen!$V$8:$AI$14,AJ1,0)+VLOOKUP($E$1,[6]Resumen!$C$9:$O$15,AJ1,0)</f>
        <v>66956.160000000003</v>
      </c>
      <c r="AK52" s="65">
        <f t="shared" ref="AK52:AK91" si="32">SUM(Y52:AJ52)</f>
        <v>783296.64000000013</v>
      </c>
      <c r="AL52" s="73">
        <f t="shared" si="28"/>
        <v>4.9182535772598051E-3</v>
      </c>
      <c r="AM52" s="14">
        <f t="shared" si="29"/>
        <v>5.9494016058173171E-2</v>
      </c>
      <c r="AN52" s="9"/>
    </row>
    <row r="53" spans="1:40" ht="14.45" customHeight="1" outlineLevel="1">
      <c r="A53" s="12" t="s">
        <v>146</v>
      </c>
      <c r="B53" s="8" t="s">
        <v>88</v>
      </c>
      <c r="I53" s="246" t="s">
        <v>152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/>
      <c r="U53" s="65"/>
      <c r="V53" s="65">
        <f t="shared" si="31"/>
        <v>0</v>
      </c>
      <c r="W53" s="73">
        <f t="shared" si="26"/>
        <v>0</v>
      </c>
      <c r="X53" s="89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>
        <f t="shared" si="32"/>
        <v>0</v>
      </c>
      <c r="AL53" s="73">
        <f t="shared" si="28"/>
        <v>0</v>
      </c>
      <c r="AM53" s="14">
        <f t="shared" si="29"/>
        <v>0</v>
      </c>
      <c r="AN53" s="9"/>
    </row>
    <row r="54" spans="1:40" ht="14.45" customHeight="1" outlineLevel="1">
      <c r="A54" s="12" t="s">
        <v>146</v>
      </c>
      <c r="B54" s="8" t="s">
        <v>88</v>
      </c>
      <c r="I54" s="246" t="s">
        <v>153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225">
        <v>0</v>
      </c>
      <c r="S54" s="225">
        <v>0</v>
      </c>
      <c r="T54" s="225">
        <f t="shared" ref="T54" si="33">+AVERAGE(Q54:S54)</f>
        <v>0</v>
      </c>
      <c r="U54" s="225">
        <f t="shared" ref="U54" si="34">+AVERAGE(R54:T54)</f>
        <v>0</v>
      </c>
      <c r="V54" s="65">
        <f t="shared" si="31"/>
        <v>0</v>
      </c>
      <c r="W54" s="73">
        <f t="shared" si="26"/>
        <v>0</v>
      </c>
      <c r="X54" s="89"/>
      <c r="Y54" s="65">
        <f>VLOOKUP($E$1,[7]Resumen!$C$9:$O$15,Y1,0)</f>
        <v>0</v>
      </c>
      <c r="Z54" s="65">
        <f>VLOOKUP($E$1,[7]Resumen!$C$9:$O$15,Z1,0)</f>
        <v>0</v>
      </c>
      <c r="AA54" s="65">
        <f>VLOOKUP($E$1,[7]Resumen!$C$9:$O$15,AA1,0)</f>
        <v>0</v>
      </c>
      <c r="AB54" s="65">
        <f>VLOOKUP($E$1,[7]Resumen!$C$9:$O$15,AB1,0)</f>
        <v>0</v>
      </c>
      <c r="AC54" s="65">
        <f>VLOOKUP($E$1,[7]Resumen!$C$9:$O$15,AC1,0)</f>
        <v>0</v>
      </c>
      <c r="AD54" s="65">
        <f>VLOOKUP($E$1,[7]Resumen!$C$9:$O$15,AD1,0)</f>
        <v>0</v>
      </c>
      <c r="AE54" s="65">
        <f>VLOOKUP($E$1,[7]Resumen!$C$9:$O$15,AE1,0)</f>
        <v>0</v>
      </c>
      <c r="AF54" s="65">
        <f>VLOOKUP($E$1,[7]Resumen!$C$9:$O$15,AF1,0)</f>
        <v>0</v>
      </c>
      <c r="AG54" s="65">
        <f>VLOOKUP($E$1,[7]Resumen!$C$9:$O$15,AG1,0)</f>
        <v>0</v>
      </c>
      <c r="AH54" s="65">
        <f>VLOOKUP($E$1,[7]Resumen!$C$9:$O$15,AH1,0)</f>
        <v>0</v>
      </c>
      <c r="AI54" s="65">
        <f>VLOOKUP($E$1,[7]Resumen!$C$9:$O$15,AI1,0)</f>
        <v>0</v>
      </c>
      <c r="AJ54" s="65">
        <f>VLOOKUP($E$1,[7]Resumen!$C$9:$O$15,AJ1,0)</f>
        <v>1242.1199999999999</v>
      </c>
      <c r="AK54" s="65">
        <f t="shared" si="32"/>
        <v>1242.1199999999999</v>
      </c>
      <c r="AL54" s="73">
        <f t="shared" si="28"/>
        <v>7.7991667797604083E-6</v>
      </c>
      <c r="AM54" s="14">
        <f t="shared" si="29"/>
        <v>0</v>
      </c>
      <c r="AN54" s="9"/>
    </row>
    <row r="55" spans="1:40" ht="14.45" customHeight="1" outlineLevel="1">
      <c r="A55" s="12" t="s">
        <v>146</v>
      </c>
      <c r="B55" s="8" t="s">
        <v>88</v>
      </c>
      <c r="I55" s="246" t="s">
        <v>156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f t="shared" si="31"/>
        <v>0</v>
      </c>
      <c r="W55" s="73">
        <f t="shared" si="26"/>
        <v>0</v>
      </c>
      <c r="X55" s="89"/>
      <c r="Y55" s="65">
        <f>VLOOKUP($E$1,[8]Resumen!$V$140:$AH$146,Y1,0)</f>
        <v>0</v>
      </c>
      <c r="Z55" s="65">
        <f>VLOOKUP($E$1,[8]Resumen!$V$140:$AH$146,Z1,0)</f>
        <v>0</v>
      </c>
      <c r="AA55" s="65">
        <f>VLOOKUP($E$1,[8]Resumen!$V$140:$AH$146,AA1,0)</f>
        <v>0</v>
      </c>
      <c r="AB55" s="65">
        <f>VLOOKUP($E$1,[8]Resumen!$V$140:$AH$146,AB1,0)</f>
        <v>0</v>
      </c>
      <c r="AC55" s="65">
        <f>VLOOKUP($E$1,[8]Resumen!$V$140:$AH$146,AC1,0)</f>
        <v>0</v>
      </c>
      <c r="AD55" s="65">
        <f>VLOOKUP($E$1,[8]Resumen!$V$140:$AH$146,AD1,0)</f>
        <v>0</v>
      </c>
      <c r="AE55" s="65">
        <f>VLOOKUP($E$1,[8]Resumen!$V$140:$AH$146,AE1,0)</f>
        <v>0</v>
      </c>
      <c r="AF55" s="65">
        <f>VLOOKUP($E$1,[8]Resumen!$V$140:$AH$146,AF1,0)</f>
        <v>0</v>
      </c>
      <c r="AG55" s="65">
        <f>VLOOKUP($E$1,[8]Resumen!$V$140:$AH$146,AG1,0)</f>
        <v>0</v>
      </c>
      <c r="AH55" s="65">
        <f>VLOOKUP($E$1,[8]Resumen!$V$140:$AH$146,AH1,0)</f>
        <v>0</v>
      </c>
      <c r="AI55" s="65">
        <f>VLOOKUP($E$1,[8]Resumen!$V$140:$AH$146,AI1,0)</f>
        <v>0</v>
      </c>
      <c r="AJ55" s="65">
        <f>VLOOKUP($E$1,[8]Resumen!$V$140:$AH$146,AJ1,0)</f>
        <v>0</v>
      </c>
      <c r="AK55" s="65">
        <f t="shared" si="32"/>
        <v>0</v>
      </c>
      <c r="AL55" s="73">
        <f t="shared" si="28"/>
        <v>0</v>
      </c>
      <c r="AM55" s="14">
        <f t="shared" si="29"/>
        <v>0</v>
      </c>
      <c r="AN55" s="9"/>
    </row>
    <row r="56" spans="1:40" ht="14.45" customHeight="1" outlineLevel="1">
      <c r="A56" s="12" t="s">
        <v>146</v>
      </c>
      <c r="B56" s="8" t="s">
        <v>88</v>
      </c>
      <c r="I56" s="246" t="s">
        <v>158</v>
      </c>
      <c r="J56" s="65">
        <v>474</v>
      </c>
      <c r="K56" s="65">
        <v>3497</v>
      </c>
      <c r="L56" s="65">
        <v>3841</v>
      </c>
      <c r="M56" s="65">
        <v>3602</v>
      </c>
      <c r="N56" s="65">
        <v>4287</v>
      </c>
      <c r="O56" s="65">
        <v>4023</v>
      </c>
      <c r="P56" s="65">
        <v>3068</v>
      </c>
      <c r="Q56" s="65">
        <v>4612</v>
      </c>
      <c r="R56" s="225">
        <v>4802</v>
      </c>
      <c r="S56" s="225">
        <v>5918</v>
      </c>
      <c r="T56" s="225">
        <f t="shared" ref="T56" si="35">+AVERAGE(Q56:S56)</f>
        <v>5110.666666666667</v>
      </c>
      <c r="U56" s="225">
        <f t="shared" ref="U56" si="36">+AVERAGE(R56:T56)</f>
        <v>5276.8888888888896</v>
      </c>
      <c r="V56" s="65">
        <f t="shared" si="31"/>
        <v>48511.555555555555</v>
      </c>
      <c r="W56" s="73">
        <f t="shared" si="26"/>
        <v>3.2399799513181476E-4</v>
      </c>
      <c r="X56" s="89"/>
      <c r="Y56" s="65">
        <f>VLOOKUP($E$1,[9]Resumen!$V$238:$AH$244,Y1,0)</f>
        <v>4080.3641999999995</v>
      </c>
      <c r="Z56" s="65">
        <f>VLOOKUP($E$1,[9]Resumen!$V$238:$AH$244,Z1,0)</f>
        <v>4080.3641999999995</v>
      </c>
      <c r="AA56" s="65">
        <f>VLOOKUP($E$1,[9]Resumen!$V$238:$AH$244,AA1,0)</f>
        <v>4080.3641999999995</v>
      </c>
      <c r="AB56" s="65">
        <f>VLOOKUP($E$1,[9]Resumen!$V$238:$AH$244,AB1,0)</f>
        <v>4080.3641999999995</v>
      </c>
      <c r="AC56" s="65">
        <f>VLOOKUP($E$1,[9]Resumen!$V$238:$AH$244,AC1,0)</f>
        <v>4080.3641999999995</v>
      </c>
      <c r="AD56" s="65">
        <f>VLOOKUP($E$1,[9]Resumen!$V$238:$AH$244,AD1,0)</f>
        <v>4080.3641999999995</v>
      </c>
      <c r="AE56" s="65">
        <f>VLOOKUP($E$1,[9]Resumen!$V$238:$AH$244,AE1,0)</f>
        <v>4080.3641999999995</v>
      </c>
      <c r="AF56" s="65">
        <f>VLOOKUP($E$1,[9]Resumen!$V$238:$AH$244,AF1,0)</f>
        <v>4080.3641999999995</v>
      </c>
      <c r="AG56" s="65">
        <f>VLOOKUP($E$1,[9]Resumen!$V$238:$AH$244,AG1,0)</f>
        <v>4080.3641999999995</v>
      </c>
      <c r="AH56" s="65">
        <f>VLOOKUP($E$1,[9]Resumen!$V$238:$AH$244,AH1,0)</f>
        <v>4080.3641999999995</v>
      </c>
      <c r="AI56" s="65">
        <f>VLOOKUP($E$1,[9]Resumen!$V$238:$AH$244,AI1,0)</f>
        <v>4080.3641999999995</v>
      </c>
      <c r="AJ56" s="65">
        <f>VLOOKUP($E$1,[9]Resumen!$V$238:$AH$244,AJ1,0)</f>
        <v>4080.3641999999995</v>
      </c>
      <c r="AK56" s="65">
        <f t="shared" si="32"/>
        <v>48964.370399999985</v>
      </c>
      <c r="AL56" s="73">
        <f t="shared" si="28"/>
        <v>3.0744315445815521E-4</v>
      </c>
      <c r="AM56" s="14">
        <f t="shared" si="29"/>
        <v>9.3341645976672272E-3</v>
      </c>
      <c r="AN56" s="9"/>
    </row>
    <row r="57" spans="1:40" ht="14.45" customHeight="1" outlineLevel="1">
      <c r="A57" s="12" t="s">
        <v>146</v>
      </c>
      <c r="B57" s="8" t="s">
        <v>88</v>
      </c>
      <c r="I57" s="246" t="s">
        <v>159</v>
      </c>
      <c r="J57" s="65">
        <v>1000</v>
      </c>
      <c r="K57" s="65">
        <v>14689</v>
      </c>
      <c r="L57" s="65">
        <v>749</v>
      </c>
      <c r="M57" s="65">
        <v>13608</v>
      </c>
      <c r="N57" s="65">
        <v>34469</v>
      </c>
      <c r="O57" s="65">
        <v>4798</v>
      </c>
      <c r="P57" s="65">
        <v>21432</v>
      </c>
      <c r="Q57" s="65">
        <v>15907</v>
      </c>
      <c r="R57" s="65">
        <v>14640</v>
      </c>
      <c r="S57" s="65">
        <v>2247</v>
      </c>
      <c r="T57" s="65">
        <v>0</v>
      </c>
      <c r="U57" s="65">
        <v>0</v>
      </c>
      <c r="V57" s="65">
        <f t="shared" si="31"/>
        <v>123539</v>
      </c>
      <c r="W57" s="73">
        <f t="shared" si="26"/>
        <v>8.2508977216265401E-4</v>
      </c>
      <c r="X57" s="89"/>
      <c r="Y57" s="65">
        <f>VLOOKUP($E$1,[10]Resumen!$V$8:$AH$14,Y1,0)</f>
        <v>10351</v>
      </c>
      <c r="Z57" s="65">
        <f>VLOOKUP($E$1,[10]Resumen!$V$8:$AH$14,Z1,0)</f>
        <v>1552.6499999999999</v>
      </c>
      <c r="AA57" s="65">
        <f>VLOOKUP($E$1,[10]Resumen!$V$8:$AH$14,AA1,0)</f>
        <v>21902.715999999997</v>
      </c>
      <c r="AB57" s="65">
        <f>VLOOKUP($E$1,[10]Resumen!$V$8:$AH$14,AB1,0)</f>
        <v>8073.7799999999988</v>
      </c>
      <c r="AC57" s="65">
        <f>VLOOKUP($E$1,[10]Resumen!$V$8:$AH$14,AC1,0)</f>
        <v>1863.1799999999998</v>
      </c>
      <c r="AD57" s="65">
        <f>VLOOKUP($E$1,[10]Resumen!$V$8:$AH$14,AD1,0)</f>
        <v>13456.3</v>
      </c>
      <c r="AE57" s="65">
        <f>VLOOKUP($E$1,[10]Resumen!$V$8:$AH$14,AE1,0)</f>
        <v>6997.2759999999998</v>
      </c>
      <c r="AF57" s="65">
        <f>VLOOKUP($E$1,[10]Resumen!$V$8:$AH$14,AF1,0)</f>
        <v>9315.9</v>
      </c>
      <c r="AG57" s="65">
        <f>VLOOKUP($E$1,[10]Resumen!$V$8:$AH$14,AG1,0)</f>
        <v>2484.2399999999998</v>
      </c>
      <c r="AH57" s="65">
        <f>VLOOKUP($E$1,[10]Resumen!$V$8:$AH$14,AH1,0)</f>
        <v>30742.469999999998</v>
      </c>
      <c r="AI57" s="65">
        <f>VLOOKUP($E$1,[10]Resumen!$V$8:$AH$14,AI1,0)</f>
        <v>11758.735999999999</v>
      </c>
      <c r="AJ57" s="65">
        <f>VLOOKUP($E$1,[10]Resumen!$V$8:$AH$14,AJ1,0)</f>
        <v>8798.3499999999985</v>
      </c>
      <c r="AK57" s="65">
        <f t="shared" si="32"/>
        <v>127296.598</v>
      </c>
      <c r="AL57" s="73">
        <f t="shared" si="28"/>
        <v>7.9928460881244581E-4</v>
      </c>
      <c r="AM57" s="14">
        <f t="shared" si="29"/>
        <v>3.0416289592760215E-2</v>
      </c>
      <c r="AN57" s="9"/>
    </row>
    <row r="58" spans="1:40" ht="14.45" customHeight="1" outlineLevel="1">
      <c r="A58" s="12" t="s">
        <v>146</v>
      </c>
      <c r="B58" s="8" t="s">
        <v>88</v>
      </c>
      <c r="I58" s="246" t="s">
        <v>160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1611.4583333333333</v>
      </c>
      <c r="U58" s="65">
        <v>0</v>
      </c>
      <c r="V58" s="65">
        <f t="shared" si="31"/>
        <v>1611.4583333333333</v>
      </c>
      <c r="W58" s="73">
        <f t="shared" si="26"/>
        <v>1.0762575292819353E-5</v>
      </c>
      <c r="X58" s="89"/>
      <c r="Y58" s="65">
        <f>VLOOKUP($E$1,[11]Resumen!$V$8:$AH$14,Y1,0)</f>
        <v>1057.4939903846152</v>
      </c>
      <c r="Z58" s="65">
        <f>VLOOKUP($E$1,[11]Resumen!$V$8:$AH$14,Z1,0)</f>
        <v>3383.9807692307691</v>
      </c>
      <c r="AA58" s="65">
        <f>VLOOKUP($E$1,[11]Resumen!$V$8:$AH$14,AA1,0)</f>
        <v>634.49639423076906</v>
      </c>
      <c r="AB58" s="65">
        <f>VLOOKUP($E$1,[11]Resumen!$V$8:$AH$14,AB1,0)</f>
        <v>0</v>
      </c>
      <c r="AC58" s="65">
        <f>VLOOKUP($E$1,[11]Resumen!$V$8:$AH$14,AC1,0)</f>
        <v>0</v>
      </c>
      <c r="AD58" s="65">
        <f>VLOOKUP($E$1,[11]Resumen!$V$8:$AH$14,AD1,0)</f>
        <v>0</v>
      </c>
      <c r="AE58" s="65">
        <f>VLOOKUP($E$1,[11]Resumen!$V$8:$AH$14,AE1,0)</f>
        <v>0</v>
      </c>
      <c r="AF58" s="65">
        <f>VLOOKUP($E$1,[11]Resumen!$V$8:$AH$14,AF1,0)</f>
        <v>0</v>
      </c>
      <c r="AG58" s="65">
        <f>VLOOKUP($E$1,[11]Resumen!$V$8:$AH$14,AG1,0)</f>
        <v>0</v>
      </c>
      <c r="AH58" s="65">
        <f>VLOOKUP($E$1,[11]Resumen!$V$8:$AH$14,AH1,0)</f>
        <v>0</v>
      </c>
      <c r="AI58" s="65">
        <f>VLOOKUP($E$1,[11]Resumen!$V$8:$AH$14,AI1,0)</f>
        <v>0</v>
      </c>
      <c r="AJ58" s="65">
        <f>VLOOKUP($E$1,[11]Resumen!$V$8:$AH$14,AJ1,0)</f>
        <v>0</v>
      </c>
      <c r="AK58" s="65">
        <f t="shared" si="32"/>
        <v>5075.9711538461543</v>
      </c>
      <c r="AL58" s="73">
        <f t="shared" si="28"/>
        <v>3.1871595013443979E-5</v>
      </c>
      <c r="AM58" s="14">
        <f t="shared" si="29"/>
        <v>2.1499239222316149</v>
      </c>
      <c r="AN58" s="9"/>
    </row>
    <row r="59" spans="1:40" ht="14.45" customHeight="1" outlineLevel="1">
      <c r="A59" s="12" t="s">
        <v>146</v>
      </c>
      <c r="B59" s="8" t="s">
        <v>88</v>
      </c>
      <c r="I59" s="246" t="s">
        <v>161</v>
      </c>
      <c r="J59" s="65"/>
      <c r="K59" s="65">
        <v>0</v>
      </c>
      <c r="L59" s="65"/>
      <c r="M59" s="65">
        <v>0</v>
      </c>
      <c r="N59" s="65"/>
      <c r="O59" s="65"/>
      <c r="P59" s="65">
        <v>0</v>
      </c>
      <c r="Q59" s="65">
        <v>0</v>
      </c>
      <c r="R59" s="65">
        <v>0</v>
      </c>
      <c r="S59" s="65">
        <v>0</v>
      </c>
      <c r="T59" s="65"/>
      <c r="U59" s="65"/>
      <c r="V59" s="65">
        <f t="shared" si="31"/>
        <v>0</v>
      </c>
      <c r="W59" s="73">
        <f t="shared" si="26"/>
        <v>0</v>
      </c>
      <c r="X59" s="89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>
        <f t="shared" si="32"/>
        <v>0</v>
      </c>
      <c r="AL59" s="73">
        <f t="shared" si="28"/>
        <v>0</v>
      </c>
      <c r="AM59" s="14">
        <f t="shared" si="29"/>
        <v>0</v>
      </c>
      <c r="AN59" s="9"/>
    </row>
    <row r="60" spans="1:40" ht="14.45" customHeight="1" outlineLevel="1">
      <c r="A60" s="12" t="s">
        <v>146</v>
      </c>
      <c r="B60" s="8" t="s">
        <v>88</v>
      </c>
      <c r="I60" s="246" t="s">
        <v>162</v>
      </c>
      <c r="J60" s="65">
        <v>35000</v>
      </c>
      <c r="K60" s="65">
        <v>0</v>
      </c>
      <c r="L60" s="65">
        <v>0</v>
      </c>
      <c r="M60" s="65">
        <v>2850</v>
      </c>
      <c r="N60" s="65">
        <v>0</v>
      </c>
      <c r="O60" s="65">
        <v>11859</v>
      </c>
      <c r="P60" s="65">
        <v>6000</v>
      </c>
      <c r="Q60" s="65">
        <v>14800</v>
      </c>
      <c r="R60" s="65">
        <v>6000</v>
      </c>
      <c r="S60" s="65">
        <v>6000</v>
      </c>
      <c r="T60" s="65">
        <v>6000</v>
      </c>
      <c r="U60" s="65">
        <v>6000</v>
      </c>
      <c r="V60" s="65">
        <f t="shared" si="31"/>
        <v>94509</v>
      </c>
      <c r="W60" s="73">
        <f t="shared" si="26"/>
        <v>6.3120479587272255E-4</v>
      </c>
      <c r="X60" s="89"/>
      <c r="Y60" s="65">
        <f>+J60*1.0375</f>
        <v>36312.5</v>
      </c>
      <c r="Z60" s="65">
        <f>+K60*1.0375</f>
        <v>0</v>
      </c>
      <c r="AA60" s="65">
        <f>+L60*1.0375</f>
        <v>0</v>
      </c>
      <c r="AB60" s="65">
        <f>+M60*1.0375</f>
        <v>2956.8750000000005</v>
      </c>
      <c r="AC60" s="65">
        <f>+N60*1.0375</f>
        <v>0</v>
      </c>
      <c r="AD60" s="65">
        <f>+O60*1.0375</f>
        <v>12303.712500000001</v>
      </c>
      <c r="AE60" s="65">
        <f>+P60*1.0375</f>
        <v>6225.0000000000009</v>
      </c>
      <c r="AF60" s="65">
        <f>+Q60*1.0375</f>
        <v>15355.000000000002</v>
      </c>
      <c r="AG60" s="65">
        <f>+R60*1.0375</f>
        <v>6225.0000000000009</v>
      </c>
      <c r="AH60" s="65">
        <f>+S60*1.0375</f>
        <v>6225.0000000000009</v>
      </c>
      <c r="AI60" s="65">
        <f>+T60*1.0375</f>
        <v>6225.0000000000009</v>
      </c>
      <c r="AJ60" s="65">
        <f>+U60*1.0375</f>
        <v>6225.0000000000009</v>
      </c>
      <c r="AK60" s="65">
        <f t="shared" si="32"/>
        <v>98053.087500000009</v>
      </c>
      <c r="AL60" s="73">
        <f t="shared" si="28"/>
        <v>6.1566707136423264E-4</v>
      </c>
      <c r="AM60" s="14">
        <f t="shared" si="29"/>
        <v>3.7500000000000089E-2</v>
      </c>
      <c r="AN60" s="9"/>
    </row>
    <row r="61" spans="1:40" ht="14.45" customHeight="1" outlineLevel="1">
      <c r="A61" s="12" t="s">
        <v>146</v>
      </c>
      <c r="B61" s="8" t="s">
        <v>88</v>
      </c>
      <c r="I61" s="289" t="s">
        <v>278</v>
      </c>
      <c r="J61" s="65">
        <v>1425</v>
      </c>
      <c r="K61" s="65">
        <v>1425</v>
      </c>
      <c r="L61" s="65"/>
      <c r="M61" s="65"/>
      <c r="N61" s="65"/>
      <c r="O61" s="65"/>
      <c r="P61" s="65">
        <v>1425</v>
      </c>
      <c r="Q61" s="65"/>
      <c r="R61" s="65"/>
      <c r="S61" s="65"/>
      <c r="T61" s="65"/>
      <c r="U61" s="65"/>
      <c r="V61" s="65">
        <f t="shared" ref="V61" si="37">SUM(J61:U61)</f>
        <v>4275</v>
      </c>
      <c r="W61" s="73">
        <f t="shared" ref="W61" si="38">V61/V$6</f>
        <v>2.8551783452960975E-5</v>
      </c>
      <c r="X61" s="89"/>
      <c r="Y61" s="65">
        <f>+J61*1.0375</f>
        <v>1478.4375000000002</v>
      </c>
      <c r="Z61" s="65">
        <f>+K61*1.0375</f>
        <v>1478.4375000000002</v>
      </c>
      <c r="AA61" s="65">
        <f>+L61*1.0375</f>
        <v>0</v>
      </c>
      <c r="AB61" s="65">
        <f>+M61*1.0375</f>
        <v>0</v>
      </c>
      <c r="AC61" s="65">
        <f>+N61*1.0375</f>
        <v>0</v>
      </c>
      <c r="AD61" s="65">
        <f>+O61*1.0375</f>
        <v>0</v>
      </c>
      <c r="AE61" s="65">
        <f>+P61*1.0375</f>
        <v>1478.4375000000002</v>
      </c>
      <c r="AF61" s="65">
        <f>+Q61*1.0375</f>
        <v>0</v>
      </c>
      <c r="AG61" s="65">
        <f>+R61*1.0375</f>
        <v>0</v>
      </c>
      <c r="AH61" s="65">
        <f>+S61*1.0375</f>
        <v>0</v>
      </c>
      <c r="AI61" s="65">
        <f>+T61*1.0375</f>
        <v>0</v>
      </c>
      <c r="AJ61" s="65">
        <f>+U61*1.0375</f>
        <v>0</v>
      </c>
      <c r="AK61" s="65">
        <f t="shared" ref="AK61" si="39">SUM(Y61:AJ61)</f>
        <v>4435.3125000000009</v>
      </c>
      <c r="AL61" s="73">
        <f t="shared" ref="AL61" si="40">AK61/AK$6</f>
        <v>2.7848953328064997E-5</v>
      </c>
      <c r="AM61" s="14">
        <f t="shared" ref="AM61" si="41">IFERROR(AK61/V61-1,0)</f>
        <v>3.7500000000000311E-2</v>
      </c>
      <c r="AN61" s="9"/>
    </row>
    <row r="62" spans="1:40" ht="14.45" customHeight="1" outlineLevel="1">
      <c r="A62" s="12" t="s">
        <v>146</v>
      </c>
      <c r="B62" s="8" t="s">
        <v>88</v>
      </c>
      <c r="I62" s="246" t="s">
        <v>163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/>
      <c r="U62" s="65"/>
      <c r="V62" s="65">
        <f t="shared" si="31"/>
        <v>0</v>
      </c>
      <c r="W62" s="73">
        <f t="shared" si="26"/>
        <v>0</v>
      </c>
      <c r="X62" s="89"/>
      <c r="Y62" s="65">
        <f>+J62*1.0375</f>
        <v>0</v>
      </c>
      <c r="Z62" s="65">
        <f>+K62*1.0375</f>
        <v>0</v>
      </c>
      <c r="AA62" s="65">
        <f>+L62*1.0375</f>
        <v>0</v>
      </c>
      <c r="AB62" s="65">
        <f>+M62*1.0375</f>
        <v>0</v>
      </c>
      <c r="AC62" s="65">
        <f>+N62*1.0375</f>
        <v>0</v>
      </c>
      <c r="AD62" s="65">
        <f>+O62*1.0375</f>
        <v>0</v>
      </c>
      <c r="AE62" s="65">
        <f>+P62*1.0375</f>
        <v>0</v>
      </c>
      <c r="AF62" s="65">
        <f>+Q62*1.0375</f>
        <v>0</v>
      </c>
      <c r="AG62" s="65">
        <f>+R62*1.0375</f>
        <v>0</v>
      </c>
      <c r="AH62" s="65">
        <f>+S62*1.0375</f>
        <v>0</v>
      </c>
      <c r="AI62" s="65">
        <f>+T62*1.0375</f>
        <v>0</v>
      </c>
      <c r="AJ62" s="65">
        <f>+U62*1.0375</f>
        <v>0</v>
      </c>
      <c r="AK62" s="65">
        <f t="shared" si="32"/>
        <v>0</v>
      </c>
      <c r="AL62" s="73">
        <f t="shared" si="28"/>
        <v>0</v>
      </c>
      <c r="AM62" s="14">
        <f t="shared" si="29"/>
        <v>0</v>
      </c>
      <c r="AN62" s="9"/>
    </row>
    <row r="63" spans="1:40" ht="14.45" customHeight="1" outlineLevel="1">
      <c r="A63" s="12" t="s">
        <v>146</v>
      </c>
      <c r="B63" s="8" t="s">
        <v>88</v>
      </c>
      <c r="I63" s="246" t="s">
        <v>164</v>
      </c>
      <c r="J63" s="65">
        <v>2191</v>
      </c>
      <c r="K63" s="65">
        <v>0</v>
      </c>
      <c r="L63" s="65">
        <v>1072</v>
      </c>
      <c r="M63" s="65">
        <v>0</v>
      </c>
      <c r="N63" s="65">
        <v>40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/>
      <c r="U63" s="65"/>
      <c r="V63" s="65">
        <f t="shared" si="31"/>
        <v>3303</v>
      </c>
      <c r="W63" s="73">
        <f t="shared" si="26"/>
        <v>2.2060009531024586E-5</v>
      </c>
      <c r="X63" s="89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>
        <f t="shared" si="32"/>
        <v>0</v>
      </c>
      <c r="AL63" s="73">
        <f t="shared" si="28"/>
        <v>0</v>
      </c>
      <c r="AM63" s="14">
        <f t="shared" si="29"/>
        <v>-1</v>
      </c>
      <c r="AN63" s="9"/>
    </row>
    <row r="64" spans="1:40" ht="14.45" customHeight="1" outlineLevel="1">
      <c r="A64" s="12" t="s">
        <v>146</v>
      </c>
      <c r="B64" s="8" t="s">
        <v>88</v>
      </c>
      <c r="I64" s="246" t="s">
        <v>165</v>
      </c>
      <c r="J64" s="65">
        <v>641</v>
      </c>
      <c r="K64" s="65">
        <v>607</v>
      </c>
      <c r="L64" s="65">
        <v>985</v>
      </c>
      <c r="M64" s="65">
        <v>1191</v>
      </c>
      <c r="N64" s="65">
        <v>600</v>
      </c>
      <c r="O64" s="65">
        <v>642</v>
      </c>
      <c r="P64" s="65">
        <v>0</v>
      </c>
      <c r="Q64" s="65">
        <v>1210</v>
      </c>
      <c r="R64" s="225">
        <v>1469</v>
      </c>
      <c r="S64" s="225">
        <v>1196</v>
      </c>
      <c r="T64" s="225">
        <f t="shared" ref="T64" si="42">+AVERAGE(Q64:S64)</f>
        <v>1291.6666666666667</v>
      </c>
      <c r="U64" s="225">
        <f t="shared" ref="U64" si="43">+AVERAGE(R64:T64)</f>
        <v>1318.8888888888889</v>
      </c>
      <c r="V64" s="65">
        <f t="shared" si="31"/>
        <v>11151.555555555555</v>
      </c>
      <c r="W64" s="73">
        <f t="shared" si="26"/>
        <v>7.4478783482078627E-5</v>
      </c>
      <c r="X64" s="89"/>
      <c r="Y64" s="65">
        <f>VLOOKUP($E$1,[9]Resumen!$V$226:$AH$232,Y1,0)</f>
        <v>1342.5246999999999</v>
      </c>
      <c r="Z64" s="65">
        <f>VLOOKUP($E$1,[9]Resumen!$V$226:$AH$232,Z1,0)</f>
        <v>1342.5246999999999</v>
      </c>
      <c r="AA64" s="65">
        <f>VLOOKUP($E$1,[9]Resumen!$V$226:$AH$232,AA1,0)</f>
        <v>1342.5246999999999</v>
      </c>
      <c r="AB64" s="65">
        <f>VLOOKUP($E$1,[9]Resumen!$V$226:$AH$232,AB1,0)</f>
        <v>1342.5246999999999</v>
      </c>
      <c r="AC64" s="65">
        <f>VLOOKUP($E$1,[9]Resumen!$V$226:$AH$232,AC1,0)</f>
        <v>1342.5246999999999</v>
      </c>
      <c r="AD64" s="65">
        <f>VLOOKUP($E$1,[9]Resumen!$V$226:$AH$232,AD1,0)</f>
        <v>1342.5246999999999</v>
      </c>
      <c r="AE64" s="65">
        <f>VLOOKUP($E$1,[9]Resumen!$V$226:$AH$232,AE1,0)</f>
        <v>1342.5246999999999</v>
      </c>
      <c r="AF64" s="65">
        <f>VLOOKUP($E$1,[9]Resumen!$V$226:$AH$232,AF1,0)</f>
        <v>1342.5246999999999</v>
      </c>
      <c r="AG64" s="65">
        <f>VLOOKUP($E$1,[9]Resumen!$V$226:$AH$232,AG1,0)</f>
        <v>1342.5246999999999</v>
      </c>
      <c r="AH64" s="65">
        <f>VLOOKUP($E$1,[9]Resumen!$V$226:$AH$232,AH1,0)</f>
        <v>1342.5246999999999</v>
      </c>
      <c r="AI64" s="65">
        <f>VLOOKUP($E$1,[9]Resumen!$V$226:$AH$232,AI1,0)</f>
        <v>1342.5246999999999</v>
      </c>
      <c r="AJ64" s="65">
        <f>VLOOKUP($E$1,[9]Resumen!$V$226:$AH$232,AJ1,0)</f>
        <v>1342.5246999999999</v>
      </c>
      <c r="AK64" s="65">
        <f t="shared" si="32"/>
        <v>16110.296399999999</v>
      </c>
      <c r="AL64" s="73">
        <f t="shared" si="28"/>
        <v>1.0115519313349249E-4</v>
      </c>
      <c r="AM64" s="14">
        <f t="shared" si="29"/>
        <v>0.44466808417360815</v>
      </c>
      <c r="AN64" s="9"/>
    </row>
    <row r="65" spans="1:40" ht="14.45" customHeight="1" outlineLevel="1">
      <c r="A65" s="12" t="s">
        <v>146</v>
      </c>
      <c r="B65" s="8" t="s">
        <v>88</v>
      </c>
      <c r="I65" s="252" t="s">
        <v>167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/>
      <c r="U65" s="65"/>
      <c r="V65" s="65">
        <f t="shared" si="31"/>
        <v>0</v>
      </c>
      <c r="W65" s="73">
        <f t="shared" si="26"/>
        <v>0</v>
      </c>
      <c r="X65" s="89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>
        <f t="shared" si="32"/>
        <v>0</v>
      </c>
      <c r="AL65" s="73">
        <f t="shared" si="28"/>
        <v>0</v>
      </c>
      <c r="AM65" s="14">
        <f t="shared" si="29"/>
        <v>0</v>
      </c>
      <c r="AN65" s="9"/>
    </row>
    <row r="66" spans="1:40" ht="14.45" customHeight="1" outlineLevel="1">
      <c r="A66" s="12" t="s">
        <v>146</v>
      </c>
      <c r="B66" s="8" t="s">
        <v>88</v>
      </c>
      <c r="I66" s="246" t="s">
        <v>168</v>
      </c>
      <c r="J66" s="65">
        <v>8219</v>
      </c>
      <c r="K66" s="65">
        <v>0</v>
      </c>
      <c r="L66" s="65">
        <v>0</v>
      </c>
      <c r="M66" s="65">
        <v>640</v>
      </c>
      <c r="N66" s="65">
        <v>0</v>
      </c>
      <c r="O66" s="65">
        <v>0</v>
      </c>
      <c r="P66" s="65">
        <v>0</v>
      </c>
      <c r="Q66" s="65">
        <v>7411</v>
      </c>
      <c r="R66" s="65">
        <v>1510</v>
      </c>
      <c r="S66" s="65">
        <v>0</v>
      </c>
      <c r="T66" s="65">
        <v>0</v>
      </c>
      <c r="U66" s="65">
        <v>0</v>
      </c>
      <c r="V66" s="65">
        <f t="shared" si="31"/>
        <v>17780</v>
      </c>
      <c r="W66" s="73">
        <f t="shared" si="26"/>
        <v>1.1874870404529734E-4</v>
      </c>
      <c r="X66" s="89"/>
      <c r="Y66" s="65">
        <f>VLOOKUP($E$1,[8]Resumen!$V$32:$AH$38,Y1,0)</f>
        <v>0</v>
      </c>
      <c r="Z66" s="65">
        <f>VLOOKUP($E$1,[8]Resumen!$V$32:$AH$38,Z1,0)</f>
        <v>0</v>
      </c>
      <c r="AA66" s="65">
        <f>VLOOKUP($E$1,[8]Resumen!$V$32:$AH$38,AA1,0)</f>
        <v>0</v>
      </c>
      <c r="AB66" s="65">
        <f>VLOOKUP($E$1,[8]Resumen!$V$32:$AH$38,AB1,0)</f>
        <v>3560.7439999999997</v>
      </c>
      <c r="AC66" s="65">
        <f>VLOOKUP($E$1,[8]Resumen!$V$32:$AH$38,AC1,0)</f>
        <v>0</v>
      </c>
      <c r="AD66" s="65">
        <f>VLOOKUP($E$1,[8]Resumen!$V$32:$AH$38,AD1,0)</f>
        <v>0</v>
      </c>
      <c r="AE66" s="65">
        <f>VLOOKUP($E$1,[8]Resumen!$V$32:$AH$38,AE1,0)</f>
        <v>7670.0909999999994</v>
      </c>
      <c r="AF66" s="65">
        <f>VLOOKUP($E$1,[8]Resumen!$V$32:$AH$38,AF1,0)</f>
        <v>2184.0609999999997</v>
      </c>
      <c r="AG66" s="65">
        <f>VLOOKUP($E$1,[8]Resumen!$V$32:$AH$38,AG1,0)</f>
        <v>0</v>
      </c>
      <c r="AH66" s="65">
        <f>VLOOKUP($E$1,[8]Resumen!$V$32:$AH$38,AH1,0)</f>
        <v>0</v>
      </c>
      <c r="AI66" s="65">
        <f>VLOOKUP($E$1,[8]Resumen!$V$32:$AH$38,AI1,0)</f>
        <v>0</v>
      </c>
      <c r="AJ66" s="65">
        <f>VLOOKUP($E$1,[8]Resumen!$V$32:$AH$38,AJ1,0)</f>
        <v>0</v>
      </c>
      <c r="AK66" s="65">
        <f t="shared" si="32"/>
        <v>13414.895999999999</v>
      </c>
      <c r="AL66" s="73">
        <f t="shared" si="28"/>
        <v>8.4231001221412403E-5</v>
      </c>
      <c r="AM66" s="14">
        <f t="shared" si="29"/>
        <v>-0.24550641169853771</v>
      </c>
      <c r="AN66" s="9"/>
    </row>
    <row r="67" spans="1:40" ht="14.45" customHeight="1" outlineLevel="1">
      <c r="A67" s="12"/>
      <c r="I67" s="246" t="s">
        <v>170</v>
      </c>
      <c r="J67" s="65">
        <v>3298</v>
      </c>
      <c r="K67" s="65">
        <v>3298</v>
      </c>
      <c r="L67" s="65">
        <v>3298</v>
      </c>
      <c r="M67" s="65">
        <v>3298</v>
      </c>
      <c r="N67" s="65">
        <v>3298</v>
      </c>
      <c r="O67" s="65">
        <v>3298</v>
      </c>
      <c r="P67" s="65">
        <v>3298</v>
      </c>
      <c r="Q67" s="65">
        <v>3298</v>
      </c>
      <c r="R67" s="225">
        <v>3298</v>
      </c>
      <c r="S67" s="225">
        <v>3298</v>
      </c>
      <c r="T67" s="225">
        <f t="shared" ref="T67" si="44">+AVERAGE(Q67:S67)</f>
        <v>3298</v>
      </c>
      <c r="U67" s="225">
        <f t="shared" ref="U67" si="45">+AVERAGE(R67:T67)</f>
        <v>3298</v>
      </c>
      <c r="V67" s="65">
        <f t="shared" si="31"/>
        <v>39576</v>
      </c>
      <c r="W67" s="73">
        <f t="shared" si="26"/>
        <v>2.6431938758699028E-4</v>
      </c>
      <c r="X67" s="89"/>
      <c r="Y67" s="65">
        <f>VLOOKUP($E$1,[12]Resumen!$V$8:$AH$14,Y1,0)</f>
        <v>4942.6025</v>
      </c>
      <c r="Z67" s="65">
        <f>VLOOKUP($E$1,[12]Resumen!$V$8:$AH$14,Z1,0)</f>
        <v>4942.6025</v>
      </c>
      <c r="AA67" s="65">
        <f>VLOOKUP($E$1,[12]Resumen!$V$8:$AH$14,AA1,0)</f>
        <v>4942.6025</v>
      </c>
      <c r="AB67" s="65">
        <f>VLOOKUP($E$1,[12]Resumen!$V$8:$AH$14,AB1,0)</f>
        <v>4942.6025</v>
      </c>
      <c r="AC67" s="65">
        <f>VLOOKUP($E$1,[12]Resumen!$V$8:$AH$14,AC1,0)</f>
        <v>4942.6025</v>
      </c>
      <c r="AD67" s="65">
        <f>VLOOKUP($E$1,[12]Resumen!$V$8:$AH$14,AD1,0)</f>
        <v>4942.6025</v>
      </c>
      <c r="AE67" s="65">
        <f>VLOOKUP($E$1,[12]Resumen!$V$8:$AH$14,AE1,0)</f>
        <v>4942.6025</v>
      </c>
      <c r="AF67" s="65">
        <f>VLOOKUP($E$1,[12]Resumen!$V$8:$AH$14,AF1,0)</f>
        <v>4942.6025</v>
      </c>
      <c r="AG67" s="65">
        <f>VLOOKUP($E$1,[12]Resumen!$V$8:$AH$14,AG1,0)</f>
        <v>4942.6025</v>
      </c>
      <c r="AH67" s="65">
        <f>VLOOKUP($E$1,[12]Resumen!$V$8:$AH$14,AH1,0)</f>
        <v>4942.6025</v>
      </c>
      <c r="AI67" s="65">
        <f>VLOOKUP($E$1,[12]Resumen!$V$8:$AH$14,AI1,0)</f>
        <v>4942.6025</v>
      </c>
      <c r="AJ67" s="65">
        <f>VLOOKUP($E$1,[12]Resumen!$V$8:$AH$14,AJ1,0)</f>
        <v>4942.6025</v>
      </c>
      <c r="AK67" s="65">
        <f t="shared" si="32"/>
        <v>59311.23</v>
      </c>
      <c r="AL67" s="73">
        <f t="shared" si="28"/>
        <v>3.7241021373355949E-4</v>
      </c>
      <c r="AM67" s="14">
        <f t="shared" si="29"/>
        <v>0.4986666161309885</v>
      </c>
      <c r="AN67" s="9"/>
    </row>
    <row r="68" spans="1:40" ht="14.45" customHeight="1" outlineLevel="1">
      <c r="A68" s="12"/>
      <c r="I68" s="246" t="s">
        <v>171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/>
      <c r="U68" s="65"/>
      <c r="V68" s="65">
        <f t="shared" si="31"/>
        <v>0</v>
      </c>
      <c r="W68" s="73">
        <f t="shared" si="26"/>
        <v>0</v>
      </c>
      <c r="X68" s="89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>
        <f t="shared" si="32"/>
        <v>0</v>
      </c>
      <c r="AL68" s="73">
        <f t="shared" si="28"/>
        <v>0</v>
      </c>
      <c r="AM68" s="14">
        <f t="shared" si="29"/>
        <v>0</v>
      </c>
      <c r="AN68" s="9"/>
    </row>
    <row r="69" spans="1:40" ht="14.45" customHeight="1" outlineLevel="1">
      <c r="A69" s="12"/>
      <c r="I69" s="246" t="s">
        <v>172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/>
      <c r="U69" s="65"/>
      <c r="V69" s="65">
        <f t="shared" si="31"/>
        <v>0</v>
      </c>
      <c r="W69" s="73">
        <f t="shared" si="26"/>
        <v>0</v>
      </c>
      <c r="X69" s="89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>
        <f t="shared" si="32"/>
        <v>0</v>
      </c>
      <c r="AL69" s="73">
        <f t="shared" si="28"/>
        <v>0</v>
      </c>
      <c r="AM69" s="14">
        <f t="shared" si="29"/>
        <v>0</v>
      </c>
      <c r="AN69" s="9"/>
    </row>
    <row r="70" spans="1:40" ht="14.45" customHeight="1" outlineLevel="1">
      <c r="A70" s="12"/>
      <c r="I70" s="246" t="s">
        <v>173</v>
      </c>
      <c r="J70" s="65">
        <v>2082</v>
      </c>
      <c r="K70" s="65">
        <v>3600</v>
      </c>
      <c r="L70" s="65">
        <v>1800</v>
      </c>
      <c r="M70" s="65">
        <v>0</v>
      </c>
      <c r="N70" s="65">
        <v>1400</v>
      </c>
      <c r="O70" s="65">
        <v>2570</v>
      </c>
      <c r="P70" s="65">
        <v>1400</v>
      </c>
      <c r="Q70" s="65">
        <v>1400</v>
      </c>
      <c r="R70" s="225">
        <v>1400</v>
      </c>
      <c r="S70" s="225">
        <v>1400</v>
      </c>
      <c r="T70" s="225">
        <f t="shared" ref="T70" si="46">+AVERAGE(Q70:S70)</f>
        <v>1400</v>
      </c>
      <c r="U70" s="225">
        <f t="shared" ref="U70" si="47">+AVERAGE(R70:T70)</f>
        <v>1400</v>
      </c>
      <c r="V70" s="65">
        <f t="shared" si="31"/>
        <v>19852</v>
      </c>
      <c r="W70" s="73">
        <f t="shared" si="26"/>
        <v>1.3258713569782018E-4</v>
      </c>
      <c r="X70" s="89"/>
      <c r="Y70" s="65">
        <f>VLOOKUP($E$1,[8]Resumen!$V$44:$AH$50,Y1,0)</f>
        <v>1500</v>
      </c>
      <c r="Z70" s="65">
        <f>VLOOKUP($E$1,[8]Resumen!$V$44:$AH$50,Z1,0)</f>
        <v>1500</v>
      </c>
      <c r="AA70" s="65">
        <f>VLOOKUP($E$1,[8]Resumen!$V$44:$AH$50,AA1,0)</f>
        <v>1500</v>
      </c>
      <c r="AB70" s="65">
        <f>VLOOKUP($E$1,[8]Resumen!$V$44:$AH$50,AB1,0)</f>
        <v>1500</v>
      </c>
      <c r="AC70" s="65">
        <f>VLOOKUP($E$1,[8]Resumen!$V$44:$AH$50,AC1,0)</f>
        <v>1500</v>
      </c>
      <c r="AD70" s="65">
        <f>VLOOKUP($E$1,[8]Resumen!$V$44:$AH$50,AD1,0)</f>
        <v>1500</v>
      </c>
      <c r="AE70" s="65">
        <f>VLOOKUP($E$1,[8]Resumen!$V$44:$AH$50,AE1,0)</f>
        <v>1500</v>
      </c>
      <c r="AF70" s="65">
        <f>VLOOKUP($E$1,[8]Resumen!$V$44:$AH$50,AF1,0)</f>
        <v>1500</v>
      </c>
      <c r="AG70" s="65">
        <f>VLOOKUP($E$1,[8]Resumen!$V$44:$AH$50,AG1,0)</f>
        <v>1500</v>
      </c>
      <c r="AH70" s="65">
        <f>VLOOKUP($E$1,[8]Resumen!$V$44:$AH$50,AH1,0)</f>
        <v>1500</v>
      </c>
      <c r="AI70" s="65">
        <f>VLOOKUP($E$1,[8]Resumen!$V$44:$AH$50,AI1,0)</f>
        <v>1500</v>
      </c>
      <c r="AJ70" s="65">
        <f>VLOOKUP($E$1,[8]Resumen!$V$44:$AH$50,AJ1,0)</f>
        <v>1500</v>
      </c>
      <c r="AK70" s="65">
        <f t="shared" si="32"/>
        <v>18000</v>
      </c>
      <c r="AL70" s="73">
        <f t="shared" si="28"/>
        <v>1.1302048275181733E-4</v>
      </c>
      <c r="AM70" s="14">
        <f t="shared" si="29"/>
        <v>-9.3290348579488258E-2</v>
      </c>
      <c r="AN70" s="9"/>
    </row>
    <row r="71" spans="1:40" ht="14.45" customHeight="1" outlineLevel="1">
      <c r="A71" s="12"/>
      <c r="I71" s="246" t="s">
        <v>174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/>
      <c r="U71" s="65"/>
      <c r="V71" s="65">
        <f t="shared" si="31"/>
        <v>0</v>
      </c>
      <c r="W71" s="73">
        <f t="shared" si="26"/>
        <v>0</v>
      </c>
      <c r="X71" s="89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>
        <f t="shared" si="32"/>
        <v>0</v>
      </c>
      <c r="AL71" s="73">
        <f t="shared" si="28"/>
        <v>0</v>
      </c>
      <c r="AM71" s="14">
        <f t="shared" si="29"/>
        <v>0</v>
      </c>
      <c r="AN71" s="9"/>
    </row>
    <row r="72" spans="1:40" ht="14.45" customHeight="1" outlineLevel="1">
      <c r="A72" s="12"/>
      <c r="I72" s="246" t="s">
        <v>175</v>
      </c>
      <c r="J72" s="65">
        <v>902</v>
      </c>
      <c r="K72" s="65">
        <v>902</v>
      </c>
      <c r="L72" s="65">
        <v>902</v>
      </c>
      <c r="M72" s="65">
        <v>902</v>
      </c>
      <c r="N72" s="65">
        <v>902</v>
      </c>
      <c r="O72" s="65">
        <v>902</v>
      </c>
      <c r="P72" s="65">
        <v>902</v>
      </c>
      <c r="Q72" s="65">
        <v>902</v>
      </c>
      <c r="R72" s="225">
        <v>902</v>
      </c>
      <c r="S72" s="225">
        <v>902</v>
      </c>
      <c r="T72" s="225">
        <f t="shared" ref="T72" si="48">+AVERAGE(Q72:S72)</f>
        <v>902</v>
      </c>
      <c r="U72" s="225">
        <f t="shared" ref="U72" si="49">+AVERAGE(R72:T72)</f>
        <v>902</v>
      </c>
      <c r="V72" s="65">
        <f t="shared" si="31"/>
        <v>10824</v>
      </c>
      <c r="W72" s="73">
        <f t="shared" si="26"/>
        <v>7.229111206897067E-5</v>
      </c>
      <c r="X72" s="89"/>
      <c r="Y72" s="65">
        <f>U72*1.0375</f>
        <v>935.82500000000005</v>
      </c>
      <c r="Z72" s="65">
        <f>+Y72</f>
        <v>935.82500000000005</v>
      </c>
      <c r="AA72" s="65">
        <f>+Z72</f>
        <v>935.82500000000005</v>
      </c>
      <c r="AB72" s="65">
        <f>+AA72</f>
        <v>935.82500000000005</v>
      </c>
      <c r="AC72" s="65">
        <f>+AB72</f>
        <v>935.82500000000005</v>
      </c>
      <c r="AD72" s="65">
        <f>+AC72</f>
        <v>935.82500000000005</v>
      </c>
      <c r="AE72" s="65">
        <f>+AD72</f>
        <v>935.82500000000005</v>
      </c>
      <c r="AF72" s="65">
        <f>+AE72</f>
        <v>935.82500000000005</v>
      </c>
      <c r="AG72" s="65">
        <f>+AF72</f>
        <v>935.82500000000005</v>
      </c>
      <c r="AH72" s="65">
        <f>+AG72</f>
        <v>935.82500000000005</v>
      </c>
      <c r="AI72" s="65">
        <f>+AH72</f>
        <v>935.82500000000005</v>
      </c>
      <c r="AJ72" s="65">
        <f>+AI72</f>
        <v>935.82500000000005</v>
      </c>
      <c r="AK72" s="65">
        <f t="shared" si="32"/>
        <v>11229.900000000001</v>
      </c>
      <c r="AL72" s="73">
        <f t="shared" si="28"/>
        <v>7.0511595514146313E-5</v>
      </c>
      <c r="AM72" s="14">
        <f t="shared" si="29"/>
        <v>3.7500000000000089E-2</v>
      </c>
      <c r="AN72" s="9"/>
    </row>
    <row r="73" spans="1:40" ht="14.45" customHeight="1" outlineLevel="1">
      <c r="A73" s="12" t="s">
        <v>146</v>
      </c>
      <c r="B73" s="8" t="s">
        <v>88</v>
      </c>
      <c r="I73" s="246" t="s">
        <v>176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/>
      <c r="U73" s="65"/>
      <c r="V73" s="65">
        <f t="shared" si="31"/>
        <v>0</v>
      </c>
      <c r="W73" s="73">
        <f t="shared" si="26"/>
        <v>0</v>
      </c>
      <c r="X73" s="89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>
        <f t="shared" si="32"/>
        <v>0</v>
      </c>
      <c r="AL73" s="73">
        <f t="shared" si="28"/>
        <v>0</v>
      </c>
      <c r="AM73" s="14">
        <f t="shared" si="29"/>
        <v>0</v>
      </c>
      <c r="AN73" s="9"/>
    </row>
    <row r="74" spans="1:40" ht="14.45" customHeight="1" outlineLevel="1">
      <c r="A74" s="12" t="s">
        <v>146</v>
      </c>
      <c r="B74" s="8" t="s">
        <v>88</v>
      </c>
      <c r="I74" s="251" t="s">
        <v>177</v>
      </c>
      <c r="J74" s="65">
        <v>1300</v>
      </c>
      <c r="K74" s="65">
        <v>1300</v>
      </c>
      <c r="L74" s="65">
        <v>1300</v>
      </c>
      <c r="M74" s="65">
        <v>1300</v>
      </c>
      <c r="N74" s="65">
        <v>1300</v>
      </c>
      <c r="O74" s="65">
        <v>1300</v>
      </c>
      <c r="P74" s="65">
        <v>1300</v>
      </c>
      <c r="Q74" s="65">
        <v>1300</v>
      </c>
      <c r="R74" s="65">
        <v>1300</v>
      </c>
      <c r="S74" s="65">
        <v>1300</v>
      </c>
      <c r="T74" s="65">
        <v>1300</v>
      </c>
      <c r="U74" s="65">
        <v>1300</v>
      </c>
      <c r="V74" s="65">
        <f t="shared" si="31"/>
        <v>15600</v>
      </c>
      <c r="W74" s="73">
        <f t="shared" si="26"/>
        <v>1.0418896417922602E-4</v>
      </c>
      <c r="X74" s="89"/>
      <c r="Y74" s="65">
        <f>+J74*1.0375</f>
        <v>1348.7500000000002</v>
      </c>
      <c r="Z74" s="65">
        <f>+K74*1.0375</f>
        <v>1348.7500000000002</v>
      </c>
      <c r="AA74" s="65">
        <f>+L74*1.0375</f>
        <v>1348.7500000000002</v>
      </c>
      <c r="AB74" s="65">
        <f>+M74*1.0375</f>
        <v>1348.7500000000002</v>
      </c>
      <c r="AC74" s="65">
        <f>+N74*1.0375</f>
        <v>1348.7500000000002</v>
      </c>
      <c r="AD74" s="65">
        <f>+O74*1.0375</f>
        <v>1348.7500000000002</v>
      </c>
      <c r="AE74" s="65">
        <f>+P74*1.0375</f>
        <v>1348.7500000000002</v>
      </c>
      <c r="AF74" s="65">
        <f>+Q74*1.0375</f>
        <v>1348.7500000000002</v>
      </c>
      <c r="AG74" s="65">
        <f>+R74*1.0375</f>
        <v>1348.7500000000002</v>
      </c>
      <c r="AH74" s="65">
        <f>+S74*1.0375</f>
        <v>1348.7500000000002</v>
      </c>
      <c r="AI74" s="65">
        <f>+T74*1.0375</f>
        <v>1348.7500000000002</v>
      </c>
      <c r="AJ74" s="65">
        <f>+U74*1.0375</f>
        <v>1348.7500000000002</v>
      </c>
      <c r="AK74" s="65">
        <f t="shared" si="32"/>
        <v>16185.000000000002</v>
      </c>
      <c r="AL74" s="73">
        <f t="shared" si="28"/>
        <v>1.0162425074100909E-4</v>
      </c>
      <c r="AM74" s="14">
        <f t="shared" si="29"/>
        <v>3.7500000000000089E-2</v>
      </c>
      <c r="AN74" s="9"/>
    </row>
    <row r="75" spans="1:40" ht="14.45" customHeight="1" outlineLevel="1">
      <c r="A75" s="12"/>
      <c r="I75" s="246" t="s">
        <v>178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/>
      <c r="U75" s="65"/>
      <c r="V75" s="65">
        <f t="shared" si="31"/>
        <v>0</v>
      </c>
      <c r="W75" s="73">
        <f t="shared" si="26"/>
        <v>0</v>
      </c>
      <c r="X75" s="89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>
        <f t="shared" si="32"/>
        <v>0</v>
      </c>
      <c r="AL75" s="73">
        <f t="shared" si="28"/>
        <v>0</v>
      </c>
      <c r="AM75" s="14">
        <f t="shared" si="29"/>
        <v>0</v>
      </c>
      <c r="AN75" s="9"/>
    </row>
    <row r="76" spans="1:40" ht="14.45" customHeight="1" outlineLevel="1">
      <c r="A76" s="12" t="s">
        <v>146</v>
      </c>
      <c r="B76" s="8" t="s">
        <v>88</v>
      </c>
      <c r="I76" s="246" t="s">
        <v>179</v>
      </c>
      <c r="J76" s="65">
        <v>916</v>
      </c>
      <c r="K76" s="65">
        <v>902</v>
      </c>
      <c r="L76" s="65">
        <v>890</v>
      </c>
      <c r="M76" s="65">
        <v>884</v>
      </c>
      <c r="N76" s="65">
        <v>827</v>
      </c>
      <c r="O76" s="65">
        <v>953</v>
      </c>
      <c r="P76" s="65">
        <v>956</v>
      </c>
      <c r="Q76" s="65">
        <v>914</v>
      </c>
      <c r="R76" s="225">
        <v>855</v>
      </c>
      <c r="S76" s="225">
        <v>1008</v>
      </c>
      <c r="T76" s="225">
        <f t="shared" ref="T76:T77" si="50">+AVERAGE(Q76:S76)</f>
        <v>925.66666666666663</v>
      </c>
      <c r="U76" s="225">
        <f t="shared" ref="U76:U77" si="51">+AVERAGE(R76:T76)</f>
        <v>929.55555555555554</v>
      </c>
      <c r="V76" s="65">
        <f t="shared" si="31"/>
        <v>10960.222222222221</v>
      </c>
      <c r="W76" s="73">
        <f t="shared" si="26"/>
        <v>7.3200910288940245E-5</v>
      </c>
      <c r="X76" s="89"/>
      <c r="Y76" s="65">
        <f>VLOOKUP($E$1,[13]Resumen!$V$10:$AH$16,Y1,0)</f>
        <v>1035.0999999999999</v>
      </c>
      <c r="Z76" s="65">
        <f>VLOOKUP($E$1,[13]Resumen!$V$10:$AH$16,Z1,0)</f>
        <v>1035.0999999999999</v>
      </c>
      <c r="AA76" s="65">
        <f>VLOOKUP($E$1,[13]Resumen!$V$10:$AH$16,AA1,0)</f>
        <v>1035.0999999999999</v>
      </c>
      <c r="AB76" s="65">
        <f>VLOOKUP($E$1,[13]Resumen!$V$10:$AH$16,AB1,0)</f>
        <v>1035.0999999999999</v>
      </c>
      <c r="AC76" s="65">
        <f>VLOOKUP($E$1,[13]Resumen!$V$10:$AH$16,AC1,0)</f>
        <v>1035.0999999999999</v>
      </c>
      <c r="AD76" s="65">
        <f>VLOOKUP($E$1,[13]Resumen!$V$10:$AH$16,AD1,0)</f>
        <v>1035.0999999999999</v>
      </c>
      <c r="AE76" s="65">
        <f>VLOOKUP($E$1,[13]Resumen!$V$10:$AH$16,AE1,0)</f>
        <v>1035.0999999999999</v>
      </c>
      <c r="AF76" s="65">
        <f>VLOOKUP($E$1,[13]Resumen!$V$10:$AH$16,AF1,0)</f>
        <v>1035.0999999999999</v>
      </c>
      <c r="AG76" s="65">
        <f>VLOOKUP($E$1,[13]Resumen!$V$10:$AH$16,AG1,0)</f>
        <v>1035.0999999999999</v>
      </c>
      <c r="AH76" s="65">
        <f>VLOOKUP($E$1,[13]Resumen!$V$10:$AH$16,AH1,0)</f>
        <v>1035.0999999999999</v>
      </c>
      <c r="AI76" s="65">
        <f>VLOOKUP($E$1,[13]Resumen!$V$10:$AH$16,AI1,0)</f>
        <v>1035.0999999999999</v>
      </c>
      <c r="AJ76" s="65">
        <f>VLOOKUP($E$1,[13]Resumen!$V$10:$AH$16,AJ1,0)</f>
        <v>1035.0999999999999</v>
      </c>
      <c r="AK76" s="65">
        <f t="shared" si="32"/>
        <v>12421.200000000003</v>
      </c>
      <c r="AL76" s="73">
        <f t="shared" si="28"/>
        <v>7.79916677976041E-5</v>
      </c>
      <c r="AM76" s="14">
        <f t="shared" si="29"/>
        <v>0.13329818941221827</v>
      </c>
      <c r="AN76" s="9"/>
    </row>
    <row r="77" spans="1:40" ht="14.45" customHeight="1" outlineLevel="1">
      <c r="A77" s="12"/>
      <c r="I77" s="246" t="s">
        <v>180</v>
      </c>
      <c r="J77" s="65">
        <v>593</v>
      </c>
      <c r="K77" s="65">
        <v>569</v>
      </c>
      <c r="L77" s="65">
        <v>577</v>
      </c>
      <c r="M77" s="65">
        <v>636</v>
      </c>
      <c r="N77" s="65">
        <v>620</v>
      </c>
      <c r="O77" s="65">
        <v>657</v>
      </c>
      <c r="P77" s="65">
        <v>617</v>
      </c>
      <c r="Q77" s="65">
        <v>666</v>
      </c>
      <c r="R77" s="225">
        <v>579</v>
      </c>
      <c r="S77" s="225">
        <v>586</v>
      </c>
      <c r="T77" s="225">
        <f t="shared" si="50"/>
        <v>610.33333333333337</v>
      </c>
      <c r="U77" s="225">
        <f t="shared" si="51"/>
        <v>591.77777777777783</v>
      </c>
      <c r="V77" s="65">
        <f t="shared" si="31"/>
        <v>7302.1111111111113</v>
      </c>
      <c r="W77" s="73">
        <f t="shared" si="26"/>
        <v>4.8769191858223326E-5</v>
      </c>
      <c r="X77" s="89"/>
      <c r="Y77" s="65">
        <f>J77*1.0375</f>
        <v>615.23750000000007</v>
      </c>
      <c r="Z77" s="65">
        <f t="shared" ref="Z77:AJ77" si="52">K77*1.0375</f>
        <v>590.33750000000009</v>
      </c>
      <c r="AA77" s="65">
        <f t="shared" si="52"/>
        <v>598.63750000000005</v>
      </c>
      <c r="AB77" s="65">
        <f t="shared" si="52"/>
        <v>659.85</v>
      </c>
      <c r="AC77" s="65">
        <f t="shared" si="52"/>
        <v>643.25</v>
      </c>
      <c r="AD77" s="65">
        <f t="shared" si="52"/>
        <v>681.63750000000005</v>
      </c>
      <c r="AE77" s="65">
        <f t="shared" si="52"/>
        <v>640.13750000000005</v>
      </c>
      <c r="AF77" s="65">
        <f t="shared" si="52"/>
        <v>690.97500000000002</v>
      </c>
      <c r="AG77" s="65">
        <f t="shared" si="52"/>
        <v>600.71250000000009</v>
      </c>
      <c r="AH77" s="65">
        <f t="shared" si="52"/>
        <v>607.97500000000002</v>
      </c>
      <c r="AI77" s="65">
        <f t="shared" si="52"/>
        <v>633.22083333333342</v>
      </c>
      <c r="AJ77" s="65">
        <f t="shared" si="52"/>
        <v>613.96944444444455</v>
      </c>
      <c r="AK77" s="65">
        <f t="shared" si="32"/>
        <v>7575.9402777777805</v>
      </c>
      <c r="AL77" s="73">
        <f t="shared" si="28"/>
        <v>4.7568690416298991E-5</v>
      </c>
      <c r="AM77" s="14">
        <f t="shared" si="29"/>
        <v>3.7500000000000311E-2</v>
      </c>
      <c r="AN77" s="9"/>
    </row>
    <row r="78" spans="1:40" ht="14.45" customHeight="1" outlineLevel="1">
      <c r="A78" s="12"/>
      <c r="I78" s="246" t="s">
        <v>181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/>
      <c r="U78" s="65"/>
      <c r="V78" s="65">
        <f t="shared" si="31"/>
        <v>0</v>
      </c>
      <c r="W78" s="73">
        <f t="shared" si="26"/>
        <v>0</v>
      </c>
      <c r="X78" s="89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>
        <f t="shared" si="32"/>
        <v>0</v>
      </c>
      <c r="AL78" s="73">
        <f t="shared" si="28"/>
        <v>0</v>
      </c>
      <c r="AM78" s="14">
        <f t="shared" si="29"/>
        <v>0</v>
      </c>
      <c r="AN78" s="9"/>
    </row>
    <row r="79" spans="1:40" ht="14.45" customHeight="1" outlineLevel="1">
      <c r="A79" s="12"/>
      <c r="I79" s="246" t="s">
        <v>182</v>
      </c>
      <c r="J79" s="65">
        <v>0</v>
      </c>
      <c r="K79" s="65">
        <v>19230</v>
      </c>
      <c r="L79" s="65">
        <v>10562</v>
      </c>
      <c r="M79" s="65">
        <v>6749</v>
      </c>
      <c r="N79" s="65">
        <v>5062</v>
      </c>
      <c r="O79" s="65">
        <v>14268</v>
      </c>
      <c r="P79" s="65">
        <v>7922</v>
      </c>
      <c r="Q79" s="65">
        <v>5204</v>
      </c>
      <c r="R79" s="65">
        <v>7121</v>
      </c>
      <c r="S79" s="65">
        <v>0</v>
      </c>
      <c r="T79" s="65">
        <v>46736.206400000003</v>
      </c>
      <c r="U79" s="65">
        <v>4932.3663999999999</v>
      </c>
      <c r="V79" s="65">
        <f t="shared" si="31"/>
        <v>127786.57279999999</v>
      </c>
      <c r="W79" s="73">
        <f t="shared" si="26"/>
        <v>8.534583753875164E-4</v>
      </c>
      <c r="X79" s="89"/>
      <c r="Y79" s="65">
        <f>VLOOKUP($E$1,[14]Resumen!$V$8:$AH$14,Y1,0)</f>
        <v>10221.266155539999</v>
      </c>
      <c r="Z79" s="65">
        <f>VLOOKUP($E$1,[14]Resumen!$V$8:$AH$14,Z1,0)</f>
        <v>10221.266155539999</v>
      </c>
      <c r="AA79" s="65">
        <f>VLOOKUP($E$1,[14]Resumen!$V$8:$AH$14,AA1,0)</f>
        <v>10221.266155539999</v>
      </c>
      <c r="AB79" s="65">
        <f>VLOOKUP($E$1,[14]Resumen!$V$8:$AH$14,AB1,0)</f>
        <v>6020.2170587899991</v>
      </c>
      <c r="AC79" s="65">
        <f>VLOOKUP($E$1,[14]Resumen!$V$8:$AH$14,AC1,0)</f>
        <v>11740.138254789998</v>
      </c>
      <c r="AD79" s="65">
        <f>VLOOKUP($E$1,[14]Resumen!$V$8:$AH$14,AD1,0)</f>
        <v>3160.2564607899994</v>
      </c>
      <c r="AE79" s="65">
        <f>VLOOKUP($E$1,[14]Resumen!$V$8:$AH$14,AE1,0)</f>
        <v>3160.2564607899994</v>
      </c>
      <c r="AF79" s="65">
        <f>VLOOKUP($E$1,[14]Resumen!$V$8:$AH$14,AF1,0)</f>
        <v>11740.138254789998</v>
      </c>
      <c r="AG79" s="65">
        <f>VLOOKUP($E$1,[14]Resumen!$V$8:$AH$14,AG1,0)</f>
        <v>8880.1776567899979</v>
      </c>
      <c r="AH79" s="65">
        <f>VLOOKUP($E$1,[14]Resumen!$V$8:$AH$14,AH1,0)</f>
        <v>33713.357503539992</v>
      </c>
      <c r="AI79" s="65">
        <f>VLOOKUP($E$1,[14]Resumen!$V$8:$AH$14,AI1,0)</f>
        <v>10221.266155539999</v>
      </c>
      <c r="AJ79" s="65">
        <f>VLOOKUP($E$1,[14]Resumen!$V$8:$AH$14,AJ1,0)</f>
        <v>15941.18735154</v>
      </c>
      <c r="AK79" s="65">
        <f t="shared" si="32"/>
        <v>135240.79362397999</v>
      </c>
      <c r="AL79" s="73">
        <f t="shared" si="28"/>
        <v>8.491655435067288E-4</v>
      </c>
      <c r="AM79" s="14">
        <f t="shared" si="29"/>
        <v>5.8333365240545776E-2</v>
      </c>
      <c r="AN79" s="9"/>
    </row>
    <row r="80" spans="1:40" ht="14.45" customHeight="1" outlineLevel="1">
      <c r="A80" s="12"/>
      <c r="I80" s="246" t="s">
        <v>183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292</v>
      </c>
      <c r="P80" s="65">
        <v>0</v>
      </c>
      <c r="Q80" s="65">
        <v>146</v>
      </c>
      <c r="R80" s="65">
        <v>0</v>
      </c>
      <c r="S80" s="65">
        <v>0</v>
      </c>
      <c r="T80" s="65">
        <v>250.12</v>
      </c>
      <c r="U80" s="65">
        <v>0</v>
      </c>
      <c r="V80" s="65">
        <f t="shared" si="31"/>
        <v>688.12</v>
      </c>
      <c r="W80" s="73">
        <f t="shared" si="26"/>
        <v>4.5958019250646796E-6</v>
      </c>
      <c r="X80" s="89"/>
      <c r="Y80" s="65">
        <f>VLOOKUP($E$1,[15]Resumen!$V$8:$AH$14,Y1,0)</f>
        <v>0</v>
      </c>
      <c r="Z80" s="65">
        <f>VLOOKUP($E$1,[15]Resumen!$V$8:$AH$14,Z1,0)</f>
        <v>382.98699999999997</v>
      </c>
      <c r="AA80" s="65">
        <f>VLOOKUP($E$1,[15]Resumen!$V$8:$AH$14,AA1,0)</f>
        <v>0</v>
      </c>
      <c r="AB80" s="65">
        <f>VLOOKUP($E$1,[15]Resumen!$V$8:$AH$14,AB1,0)</f>
        <v>0</v>
      </c>
      <c r="AC80" s="65">
        <f>VLOOKUP($E$1,[15]Resumen!$V$8:$AH$14,AC1,0)</f>
        <v>191.49349999999998</v>
      </c>
      <c r="AD80" s="65">
        <f>VLOOKUP($E$1,[15]Resumen!$V$8:$AH$14,AD1,0)</f>
        <v>1552.6499999999999</v>
      </c>
      <c r="AE80" s="65">
        <f>VLOOKUP($E$1,[15]Resumen!$V$8:$AH$14,AE1,0)</f>
        <v>574.48049999999989</v>
      </c>
      <c r="AF80" s="65">
        <f>VLOOKUP($E$1,[15]Resumen!$V$8:$AH$14,AF1,0)</f>
        <v>1169.663</v>
      </c>
      <c r="AG80" s="65">
        <f>VLOOKUP($E$1,[15]Resumen!$V$8:$AH$14,AG1,0)</f>
        <v>574.48049999999989</v>
      </c>
      <c r="AH80" s="65">
        <f>VLOOKUP($E$1,[15]Resumen!$V$8:$AH$14,AH1,0)</f>
        <v>191.49349999999998</v>
      </c>
      <c r="AI80" s="65">
        <f>VLOOKUP($E$1,[15]Resumen!$V$8:$AH$14,AI1,0)</f>
        <v>786.67599999999993</v>
      </c>
      <c r="AJ80" s="65">
        <f>VLOOKUP($E$1,[15]Resumen!$V$8:$AH$14,AJ1,0)</f>
        <v>0</v>
      </c>
      <c r="AK80" s="65">
        <f t="shared" si="32"/>
        <v>5423.9239999999991</v>
      </c>
      <c r="AL80" s="73">
        <f t="shared" si="28"/>
        <v>3.4056361604953778E-5</v>
      </c>
      <c r="AM80" s="14">
        <f t="shared" si="29"/>
        <v>6.8822356565715266</v>
      </c>
      <c r="AN80" s="9"/>
    </row>
    <row r="81" spans="1:40" ht="14.45" customHeight="1" outlineLevel="1">
      <c r="A81" s="12"/>
      <c r="I81" s="246" t="s">
        <v>184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2312</v>
      </c>
      <c r="Q81" s="65">
        <v>0</v>
      </c>
      <c r="R81" s="65">
        <v>0</v>
      </c>
      <c r="S81" s="65">
        <v>0</v>
      </c>
      <c r="T81" s="65"/>
      <c r="U81" s="65"/>
      <c r="V81" s="65">
        <f t="shared" si="31"/>
        <v>2312</v>
      </c>
      <c r="W81" s="73">
        <f t="shared" si="26"/>
        <v>1.5441338793741701E-5</v>
      </c>
      <c r="X81" s="89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>
        <f t="shared" si="32"/>
        <v>0</v>
      </c>
      <c r="AL81" s="73">
        <f t="shared" si="28"/>
        <v>0</v>
      </c>
      <c r="AM81" s="14">
        <f t="shared" si="29"/>
        <v>-1</v>
      </c>
      <c r="AN81" s="9"/>
    </row>
    <row r="82" spans="1:40" ht="14.45" customHeight="1" outlineLevel="1">
      <c r="A82" s="12"/>
      <c r="I82" s="246" t="s">
        <v>185</v>
      </c>
      <c r="J82" s="65">
        <v>2345</v>
      </c>
      <c r="K82" s="65">
        <v>2345</v>
      </c>
      <c r="L82" s="65">
        <v>2345</v>
      </c>
      <c r="M82" s="65">
        <v>2345</v>
      </c>
      <c r="N82" s="65">
        <v>2345</v>
      </c>
      <c r="O82" s="65">
        <v>2345</v>
      </c>
      <c r="P82" s="65">
        <v>2345</v>
      </c>
      <c r="Q82" s="65">
        <v>5845</v>
      </c>
      <c r="R82" s="65">
        <v>5845</v>
      </c>
      <c r="S82" s="65">
        <f>+R82</f>
        <v>5845</v>
      </c>
      <c r="T82" s="65">
        <f>+S82</f>
        <v>5845</v>
      </c>
      <c r="U82" s="65">
        <f>+T82</f>
        <v>5845</v>
      </c>
      <c r="V82" s="65">
        <f t="shared" si="31"/>
        <v>45640</v>
      </c>
      <c r="W82" s="73">
        <f t="shared" si="26"/>
        <v>3.0481950802178687E-4</v>
      </c>
      <c r="X82" s="89"/>
      <c r="Y82" s="65">
        <f>U82*1.02</f>
        <v>5961.9000000000005</v>
      </c>
      <c r="Z82" s="65">
        <f>+Y82</f>
        <v>5961.9000000000005</v>
      </c>
      <c r="AA82" s="65">
        <f t="shared" ref="AA82:AJ82" si="53">+Z82</f>
        <v>5961.9000000000005</v>
      </c>
      <c r="AB82" s="65">
        <f t="shared" si="53"/>
        <v>5961.9000000000005</v>
      </c>
      <c r="AC82" s="65">
        <f t="shared" si="53"/>
        <v>5961.9000000000005</v>
      </c>
      <c r="AD82" s="65">
        <f t="shared" si="53"/>
        <v>5961.9000000000005</v>
      </c>
      <c r="AE82" s="65">
        <f t="shared" si="53"/>
        <v>5961.9000000000005</v>
      </c>
      <c r="AF82" s="65">
        <f t="shared" si="53"/>
        <v>5961.9000000000005</v>
      </c>
      <c r="AG82" s="65">
        <f t="shared" si="53"/>
        <v>5961.9000000000005</v>
      </c>
      <c r="AH82" s="65">
        <f t="shared" si="53"/>
        <v>5961.9000000000005</v>
      </c>
      <c r="AI82" s="65">
        <f t="shared" si="53"/>
        <v>5961.9000000000005</v>
      </c>
      <c r="AJ82" s="65">
        <f t="shared" si="53"/>
        <v>5961.9000000000005</v>
      </c>
      <c r="AK82" s="65">
        <f t="shared" si="32"/>
        <v>71542.8</v>
      </c>
      <c r="AL82" s="73">
        <f t="shared" si="28"/>
        <v>4.4921121074537323E-4</v>
      </c>
      <c r="AM82" s="14">
        <f t="shared" si="29"/>
        <v>0.56754601226993873</v>
      </c>
      <c r="AN82" s="9"/>
    </row>
    <row r="83" spans="1:40" ht="14.45" customHeight="1" outlineLevel="1">
      <c r="A83" s="12" t="s">
        <v>195</v>
      </c>
      <c r="B83" s="8" t="s">
        <v>88</v>
      </c>
      <c r="I83" s="246" t="s">
        <v>186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/>
      <c r="U83" s="65"/>
      <c r="V83" s="65">
        <f t="shared" si="31"/>
        <v>0</v>
      </c>
      <c r="W83" s="73">
        <f t="shared" si="26"/>
        <v>0</v>
      </c>
      <c r="X83" s="89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>
        <f t="shared" si="32"/>
        <v>0</v>
      </c>
      <c r="AL83" s="73">
        <f t="shared" si="28"/>
        <v>0</v>
      </c>
      <c r="AM83" s="14">
        <f t="shared" si="29"/>
        <v>0</v>
      </c>
      <c r="AN83" s="9"/>
    </row>
    <row r="84" spans="1:40" ht="14.45" customHeight="1" outlineLevel="1">
      <c r="A84" s="12" t="s">
        <v>195</v>
      </c>
      <c r="B84" s="8" t="s">
        <v>88</v>
      </c>
      <c r="I84" s="246" t="s">
        <v>187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/>
      <c r="U84" s="65"/>
      <c r="V84" s="65">
        <f t="shared" si="31"/>
        <v>0</v>
      </c>
      <c r="W84" s="73">
        <f t="shared" si="26"/>
        <v>0</v>
      </c>
      <c r="X84" s="89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>
        <f t="shared" si="32"/>
        <v>0</v>
      </c>
      <c r="AL84" s="73">
        <f t="shared" si="28"/>
        <v>0</v>
      </c>
      <c r="AM84" s="14">
        <f t="shared" si="29"/>
        <v>0</v>
      </c>
      <c r="AN84" s="9"/>
    </row>
    <row r="85" spans="1:40" ht="14.45" customHeight="1" outlineLevel="1">
      <c r="A85" s="12" t="s">
        <v>195</v>
      </c>
      <c r="B85" s="8" t="s">
        <v>88</v>
      </c>
      <c r="I85" s="246" t="s">
        <v>188</v>
      </c>
      <c r="J85" s="65">
        <v>0</v>
      </c>
      <c r="K85" s="65">
        <v>0</v>
      </c>
      <c r="L85" s="65">
        <v>1425</v>
      </c>
      <c r="M85" s="65">
        <v>1425</v>
      </c>
      <c r="N85" s="65">
        <v>1425</v>
      </c>
      <c r="O85" s="65">
        <v>1425</v>
      </c>
      <c r="P85" s="65">
        <v>0</v>
      </c>
      <c r="Q85" s="65">
        <v>1425</v>
      </c>
      <c r="R85" s="65">
        <v>1425</v>
      </c>
      <c r="S85" s="65">
        <v>1425</v>
      </c>
      <c r="T85" s="65"/>
      <c r="U85" s="65"/>
      <c r="V85" s="65">
        <f t="shared" si="31"/>
        <v>9975</v>
      </c>
      <c r="W85" s="73">
        <f t="shared" si="26"/>
        <v>6.6620828056908939E-5</v>
      </c>
      <c r="X85" s="89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>
        <f t="shared" si="32"/>
        <v>0</v>
      </c>
      <c r="AL85" s="73">
        <f t="shared" si="28"/>
        <v>0</v>
      </c>
      <c r="AM85" s="14">
        <f t="shared" si="29"/>
        <v>-1</v>
      </c>
      <c r="AN85" s="9"/>
    </row>
    <row r="86" spans="1:40" ht="14.45" customHeight="1" outlineLevel="1">
      <c r="A86" s="12" t="s">
        <v>195</v>
      </c>
      <c r="B86" s="8" t="s">
        <v>88</v>
      </c>
      <c r="I86" s="253" t="s">
        <v>189</v>
      </c>
      <c r="J86" s="65">
        <v>0</v>
      </c>
      <c r="K86" s="65">
        <v>0</v>
      </c>
      <c r="L86" s="65">
        <v>1680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f t="shared" si="31"/>
        <v>1680</v>
      </c>
      <c r="W86" s="73">
        <f t="shared" si="26"/>
        <v>1.1220349988532033E-5</v>
      </c>
      <c r="X86" s="89"/>
      <c r="Y86" s="65">
        <f>VLOOKUP($E$1,[9]Resumen!$V$202:$AH$208,Y1,0)</f>
        <v>0</v>
      </c>
      <c r="Z86" s="65">
        <f>VLOOKUP($E$1,[9]Resumen!$V$202:$AH$208,Z1,0)</f>
        <v>0</v>
      </c>
      <c r="AA86" s="65">
        <f>VLOOKUP($E$1,[9]Resumen!$V$202:$AH$208,AA1,0)</f>
        <v>0</v>
      </c>
      <c r="AB86" s="65">
        <f>VLOOKUP($E$1,[9]Resumen!$V$202:$AH$208,AB1,0)</f>
        <v>0</v>
      </c>
      <c r="AC86" s="65">
        <f>VLOOKUP($E$1,[9]Resumen!$V$202:$AH$208,AC1,0)</f>
        <v>0</v>
      </c>
      <c r="AD86" s="65">
        <f>VLOOKUP($E$1,[9]Resumen!$V$202:$AH$208,AD1,0)</f>
        <v>0</v>
      </c>
      <c r="AE86" s="65">
        <f>VLOOKUP($E$1,[9]Resumen!$V$202:$AH$208,AE1,0)</f>
        <v>0</v>
      </c>
      <c r="AF86" s="65">
        <f>VLOOKUP($E$1,[9]Resumen!$V$202:$AH$208,AF1,0)</f>
        <v>0</v>
      </c>
      <c r="AG86" s="65">
        <f>VLOOKUP($E$1,[9]Resumen!$V$202:$AH$208,AG1,0)</f>
        <v>0</v>
      </c>
      <c r="AH86" s="65">
        <f>VLOOKUP($E$1,[9]Resumen!$V$202:$AH$208,AH1,0)</f>
        <v>0</v>
      </c>
      <c r="AI86" s="65">
        <f>VLOOKUP($E$1,[9]Resumen!$V$202:$AH$208,AI1,0)</f>
        <v>0</v>
      </c>
      <c r="AJ86" s="65">
        <f>VLOOKUP($E$1,[9]Resumen!$V$202:$AH$208,AJ1,0)</f>
        <v>0</v>
      </c>
      <c r="AK86" s="65">
        <f t="shared" si="32"/>
        <v>0</v>
      </c>
      <c r="AL86" s="73">
        <f t="shared" si="28"/>
        <v>0</v>
      </c>
      <c r="AM86" s="14">
        <f t="shared" si="29"/>
        <v>-1</v>
      </c>
      <c r="AN86" s="9"/>
    </row>
    <row r="87" spans="1:40" ht="14.45" customHeight="1" outlineLevel="1">
      <c r="A87" s="12" t="s">
        <v>195</v>
      </c>
      <c r="B87" s="8" t="s">
        <v>88</v>
      </c>
      <c r="I87" s="246" t="s">
        <v>190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/>
      <c r="U87" s="65"/>
      <c r="V87" s="65">
        <f t="shared" si="31"/>
        <v>0</v>
      </c>
      <c r="W87" s="73">
        <f t="shared" si="26"/>
        <v>0</v>
      </c>
      <c r="X87" s="89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>
        <f t="shared" si="32"/>
        <v>0</v>
      </c>
      <c r="AL87" s="73">
        <f t="shared" si="28"/>
        <v>0</v>
      </c>
      <c r="AM87" s="14">
        <f t="shared" si="29"/>
        <v>0</v>
      </c>
      <c r="AN87" s="9"/>
    </row>
    <row r="88" spans="1:40" ht="14.45" customHeight="1" outlineLevel="1">
      <c r="A88" s="12" t="s">
        <v>195</v>
      </c>
      <c r="B88" s="8" t="s">
        <v>88</v>
      </c>
      <c r="I88" s="251" t="s">
        <v>191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19240</v>
      </c>
      <c r="T88" s="65">
        <v>0</v>
      </c>
      <c r="U88" s="65">
        <v>0</v>
      </c>
      <c r="V88" s="65">
        <f t="shared" ref="V88:V91" si="54">SUM(J88:U88)</f>
        <v>19240</v>
      </c>
      <c r="W88" s="73">
        <f t="shared" ref="W88:W91" si="55">V88/V$6</f>
        <v>1.2849972248771209E-4</v>
      </c>
      <c r="X88" s="89"/>
      <c r="Y88" s="65">
        <f>VLOOKUP($E$1,[9]Resumen!$V$10:$AH$16,Y1,0)</f>
        <v>0</v>
      </c>
      <c r="Z88" s="65">
        <f>VLOOKUP($E$1,[9]Resumen!$V$10:$AH$16,Z1,0)</f>
        <v>0</v>
      </c>
      <c r="AA88" s="65">
        <f>VLOOKUP($E$1,[9]Resumen!$V$10:$AH$16,AA1,0)</f>
        <v>0</v>
      </c>
      <c r="AB88" s="65">
        <f>VLOOKUP($E$1,[9]Resumen!$V$10:$AH$16,AB1,0)</f>
        <v>0</v>
      </c>
      <c r="AC88" s="65">
        <f>VLOOKUP($E$1,[9]Resumen!$V$10:$AH$16,AC1,0)</f>
        <v>0</v>
      </c>
      <c r="AD88" s="65">
        <f>VLOOKUP($E$1,[9]Resumen!$V$10:$AH$16,AD1,0)</f>
        <v>0</v>
      </c>
      <c r="AE88" s="65">
        <f>VLOOKUP($E$1,[9]Resumen!$V$10:$AH$16,AE1,0)</f>
        <v>0</v>
      </c>
      <c r="AF88" s="65">
        <f>VLOOKUP($E$1,[9]Resumen!$V$10:$AH$16,AF1,0)</f>
        <v>0</v>
      </c>
      <c r="AG88" s="65">
        <f>VLOOKUP($E$1,[9]Resumen!$V$10:$AH$16,AG1,0)</f>
        <v>18528.289999999997</v>
      </c>
      <c r="AH88" s="65">
        <f>VLOOKUP($E$1,[9]Resumen!$V$10:$AH$16,AH1,0)</f>
        <v>0</v>
      </c>
      <c r="AI88" s="65">
        <f>VLOOKUP($E$1,[9]Resumen!$V$10:$AH$16,AI1,0)</f>
        <v>0</v>
      </c>
      <c r="AJ88" s="65">
        <f>VLOOKUP($E$1,[9]Resumen!$V$10:$AH$16,AJ1,0)</f>
        <v>0</v>
      </c>
      <c r="AK88" s="65">
        <f t="shared" si="32"/>
        <v>18528.289999999997</v>
      </c>
      <c r="AL88" s="73">
        <f t="shared" si="28"/>
        <v>1.1633757113142607E-4</v>
      </c>
      <c r="AM88" s="14">
        <f t="shared" si="29"/>
        <v>-3.6991164241164332E-2</v>
      </c>
      <c r="AN88" s="9"/>
    </row>
    <row r="89" spans="1:40" ht="14.45" customHeight="1" outlineLevel="1">
      <c r="A89" s="12" t="s">
        <v>195</v>
      </c>
      <c r="B89" s="8" t="s">
        <v>88</v>
      </c>
      <c r="I89" s="246" t="s">
        <v>192</v>
      </c>
      <c r="J89" s="65">
        <v>0</v>
      </c>
      <c r="K89" s="65">
        <v>5129</v>
      </c>
      <c r="L89" s="65">
        <v>0</v>
      </c>
      <c r="M89" s="65">
        <v>0</v>
      </c>
      <c r="N89" s="65">
        <v>1852</v>
      </c>
      <c r="O89" s="65">
        <v>2606</v>
      </c>
      <c r="P89" s="65">
        <v>0</v>
      </c>
      <c r="Q89" s="65">
        <v>2034</v>
      </c>
      <c r="R89" s="65">
        <v>0</v>
      </c>
      <c r="S89" s="65">
        <v>0</v>
      </c>
      <c r="T89" s="65">
        <v>22984</v>
      </c>
      <c r="U89" s="65">
        <v>0</v>
      </c>
      <c r="V89" s="65">
        <f t="shared" si="54"/>
        <v>34605</v>
      </c>
      <c r="W89" s="73">
        <f t="shared" si="55"/>
        <v>2.3111917342449463E-4</v>
      </c>
      <c r="X89" s="89"/>
      <c r="Y89" s="65">
        <f>VLOOKUP($E$1,[16]Resumen!$V$8:$AH$14,Y1,0)</f>
        <v>0</v>
      </c>
      <c r="Z89" s="65">
        <f>VLOOKUP($E$1,[16]Resumen!$V$8:$AH$14,Z1,0)</f>
        <v>6070.8614999999991</v>
      </c>
      <c r="AA89" s="65">
        <f>VLOOKUP($E$1,[16]Resumen!$V$8:$AH$14,AA1,0)</f>
        <v>0</v>
      </c>
      <c r="AB89" s="65">
        <f>VLOOKUP($E$1,[16]Resumen!$V$8:$AH$14,AB1,0)</f>
        <v>0</v>
      </c>
      <c r="AC89" s="65">
        <f>VLOOKUP($E$1,[16]Resumen!$V$8:$AH$14,AC1,0)</f>
        <v>2903.4554999999996</v>
      </c>
      <c r="AD89" s="65">
        <f>VLOOKUP($E$1,[16]Resumen!$V$8:$AH$14,AD1,0)</f>
        <v>3255.3894999999998</v>
      </c>
      <c r="AE89" s="65">
        <f>VLOOKUP($E$1,[16]Resumen!$V$8:$AH$14,AE1,0)</f>
        <v>0</v>
      </c>
      <c r="AF89" s="65">
        <f>VLOOKUP($E$1,[16]Resumen!$V$8:$AH$14,AF1,0)</f>
        <v>2991.4389999999999</v>
      </c>
      <c r="AG89" s="65">
        <f>VLOOKUP($E$1,[16]Resumen!$V$8:$AH$14,AG1,0)</f>
        <v>0</v>
      </c>
      <c r="AH89" s="65">
        <f>VLOOKUP($E$1,[16]Resumen!$V$8:$AH$14,AH1,0)</f>
        <v>1407.7359999999999</v>
      </c>
      <c r="AI89" s="65">
        <f>VLOOKUP($E$1,[16]Resumen!$V$8:$AH$14,AI1,0)</f>
        <v>20236.204999999998</v>
      </c>
      <c r="AJ89" s="65">
        <f>VLOOKUP($E$1,[16]Resumen!$V$8:$AH$14,AJ1,0)</f>
        <v>0</v>
      </c>
      <c r="AK89" s="65">
        <f t="shared" si="32"/>
        <v>36865.086499999998</v>
      </c>
      <c r="AL89" s="73">
        <f t="shared" si="28"/>
        <v>2.3147277071763911E-4</v>
      </c>
      <c r="AM89" s="14">
        <f t="shared" si="29"/>
        <v>6.5310981072099317E-2</v>
      </c>
      <c r="AN89" s="9"/>
    </row>
    <row r="90" spans="1:40" ht="14.45" customHeight="1" outlineLevel="1">
      <c r="A90" s="12" t="s">
        <v>195</v>
      </c>
      <c r="B90" s="8" t="s">
        <v>88</v>
      </c>
      <c r="I90" s="246" t="s">
        <v>193</v>
      </c>
      <c r="J90" s="65">
        <v>93453</v>
      </c>
      <c r="K90" s="65">
        <v>93453</v>
      </c>
      <c r="L90" s="65">
        <v>93453</v>
      </c>
      <c r="M90" s="65">
        <v>93453</v>
      </c>
      <c r="N90" s="65">
        <v>93453</v>
      </c>
      <c r="O90" s="65">
        <v>93453</v>
      </c>
      <c r="P90" s="65">
        <v>93453</v>
      </c>
      <c r="Q90" s="65">
        <v>93453</v>
      </c>
      <c r="R90" s="65">
        <v>93453</v>
      </c>
      <c r="S90" s="65">
        <v>93453</v>
      </c>
      <c r="T90" s="65">
        <f>+S90</f>
        <v>93453</v>
      </c>
      <c r="U90" s="65">
        <f>+T90</f>
        <v>93453</v>
      </c>
      <c r="V90" s="65">
        <f t="shared" si="54"/>
        <v>1121436</v>
      </c>
      <c r="W90" s="73">
        <f t="shared" si="55"/>
        <v>7.4898240534163147E-3</v>
      </c>
      <c r="X90" s="89"/>
      <c r="Y90" s="65">
        <f>+U90*1.0375</f>
        <v>96957.487500000003</v>
      </c>
      <c r="Z90" s="65">
        <f>+Y90</f>
        <v>96957.487500000003</v>
      </c>
      <c r="AA90" s="65">
        <f t="shared" ref="AA90:AJ90" si="56">+Z90</f>
        <v>96957.487500000003</v>
      </c>
      <c r="AB90" s="65">
        <f t="shared" si="56"/>
        <v>96957.487500000003</v>
      </c>
      <c r="AC90" s="65">
        <f t="shared" si="56"/>
        <v>96957.487500000003</v>
      </c>
      <c r="AD90" s="65">
        <f t="shared" si="56"/>
        <v>96957.487500000003</v>
      </c>
      <c r="AE90" s="65">
        <f t="shared" si="56"/>
        <v>96957.487500000003</v>
      </c>
      <c r="AF90" s="65">
        <f t="shared" si="56"/>
        <v>96957.487500000003</v>
      </c>
      <c r="AG90" s="65">
        <f t="shared" si="56"/>
        <v>96957.487500000003</v>
      </c>
      <c r="AH90" s="65">
        <f t="shared" si="56"/>
        <v>96957.487500000003</v>
      </c>
      <c r="AI90" s="65">
        <f t="shared" si="56"/>
        <v>96957.487500000003</v>
      </c>
      <c r="AJ90" s="65">
        <f t="shared" si="56"/>
        <v>96957.487500000003</v>
      </c>
      <c r="AK90" s="65">
        <f t="shared" si="32"/>
        <v>1163489.8500000003</v>
      </c>
      <c r="AL90" s="73">
        <f t="shared" si="28"/>
        <v>7.3054546957688656E-3</v>
      </c>
      <c r="AM90" s="14">
        <f t="shared" si="29"/>
        <v>3.7500000000000311E-2</v>
      </c>
      <c r="AN90" s="9"/>
    </row>
    <row r="91" spans="1:40" ht="14.45" customHeight="1" outlineLevel="1">
      <c r="A91" s="12" t="s">
        <v>195</v>
      </c>
      <c r="B91" s="8" t="s">
        <v>88</v>
      </c>
      <c r="I91" s="251" t="s">
        <v>194</v>
      </c>
      <c r="J91" s="65">
        <v>95886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/>
      <c r="U91" s="65"/>
      <c r="V91" s="65">
        <f t="shared" si="54"/>
        <v>95886</v>
      </c>
      <c r="W91" s="73">
        <f t="shared" si="55"/>
        <v>6.4040147559546576E-4</v>
      </c>
      <c r="X91" s="89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>
        <f t="shared" si="32"/>
        <v>0</v>
      </c>
      <c r="AL91" s="73">
        <f t="shared" si="28"/>
        <v>0</v>
      </c>
      <c r="AM91" s="14">
        <f t="shared" si="29"/>
        <v>-1</v>
      </c>
      <c r="AN91" s="9"/>
    </row>
    <row r="92" spans="1:40" ht="14.45" customHeight="1">
      <c r="A92" s="12" t="s">
        <v>195</v>
      </c>
      <c r="B92" s="8" t="s">
        <v>88</v>
      </c>
      <c r="I92" s="167" t="s">
        <v>196</v>
      </c>
      <c r="J92" s="15">
        <v>246809</v>
      </c>
      <c r="K92" s="15">
        <v>256918</v>
      </c>
      <c r="L92" s="15">
        <v>299614</v>
      </c>
      <c r="M92" s="15">
        <v>267745</v>
      </c>
      <c r="N92" s="15">
        <v>221540</v>
      </c>
      <c r="O92" s="15">
        <v>277710</v>
      </c>
      <c r="P92" s="15">
        <v>255323</v>
      </c>
      <c r="Q92" s="15">
        <v>281333</v>
      </c>
      <c r="R92" s="15">
        <v>250691</v>
      </c>
      <c r="S92" s="15">
        <v>301217</v>
      </c>
      <c r="T92" s="15">
        <f t="shared" ref="R92:U92" si="57">SUM(T93:T108)</f>
        <v>277746.99999999994</v>
      </c>
      <c r="U92" s="15">
        <f t="shared" si="57"/>
        <v>276551.66666666669</v>
      </c>
      <c r="V92" s="15">
        <f t="shared" ref="V92" si="58">SUM(V93:V108)</f>
        <v>3213194.6666666665</v>
      </c>
      <c r="W92" s="72">
        <f t="shared" si="26"/>
        <v>2.1460219488859834E-2</v>
      </c>
      <c r="X92" s="89"/>
      <c r="Y92" s="15">
        <f t="shared" ref="Y92:AK92" si="59">SUM(Y93:Y108)</f>
        <v>316776.92803986499</v>
      </c>
      <c r="Z92" s="15">
        <f t="shared" si="59"/>
        <v>289335.75916861999</v>
      </c>
      <c r="AA92" s="15">
        <f t="shared" si="59"/>
        <v>316776.92803986499</v>
      </c>
      <c r="AB92" s="15">
        <f t="shared" si="59"/>
        <v>298705.08871245</v>
      </c>
      <c r="AC92" s="15">
        <f t="shared" si="59"/>
        <v>316776.92803986499</v>
      </c>
      <c r="AD92" s="15">
        <f t="shared" si="59"/>
        <v>298705.08871245</v>
      </c>
      <c r="AE92" s="15">
        <f t="shared" si="59"/>
        <v>307852.145002865</v>
      </c>
      <c r="AF92" s="15">
        <f t="shared" si="59"/>
        <v>307852.145002865</v>
      </c>
      <c r="AG92" s="15">
        <f t="shared" si="59"/>
        <v>307629.87174944999</v>
      </c>
      <c r="AH92" s="15">
        <f t="shared" si="59"/>
        <v>307852.145002865</v>
      </c>
      <c r="AI92" s="15">
        <f t="shared" si="59"/>
        <v>307629.87174944999</v>
      </c>
      <c r="AJ92" s="15">
        <f t="shared" si="59"/>
        <v>316776.92803986499</v>
      </c>
      <c r="AK92" s="15">
        <f t="shared" si="59"/>
        <v>3692669.8272604747</v>
      </c>
      <c r="AL92" s="72">
        <f t="shared" si="28"/>
        <v>2.3185962584447155E-2</v>
      </c>
      <c r="AM92" s="10">
        <f t="shared" si="29"/>
        <v>0.14922070099512852</v>
      </c>
      <c r="AN92" s="9">
        <f>+AK92-V92</f>
        <v>479475.16059380816</v>
      </c>
    </row>
    <row r="93" spans="1:40" ht="14.45" customHeight="1" outlineLevel="1">
      <c r="A93" s="12" t="s">
        <v>195</v>
      </c>
      <c r="B93" s="8" t="s">
        <v>88</v>
      </c>
      <c r="I93" s="246" t="s">
        <v>197</v>
      </c>
      <c r="J93" s="65">
        <v>8114</v>
      </c>
      <c r="K93" s="65">
        <v>8033</v>
      </c>
      <c r="L93" s="65">
        <v>9592</v>
      </c>
      <c r="M93" s="65">
        <v>8923</v>
      </c>
      <c r="N93" s="65">
        <v>8065</v>
      </c>
      <c r="O93" s="65">
        <v>9000</v>
      </c>
      <c r="P93" s="65">
        <v>8799</v>
      </c>
      <c r="Q93" s="65">
        <v>9003</v>
      </c>
      <c r="R93" s="225">
        <v>8353</v>
      </c>
      <c r="S93" s="225">
        <v>9279</v>
      </c>
      <c r="T93" s="225">
        <f t="shared" ref="T93:T108" si="60">+AVERAGE(Q93:S93)</f>
        <v>8878.3333333333339</v>
      </c>
      <c r="U93" s="225">
        <f t="shared" ref="U93:U108" si="61">+AVERAGE(R93:T93)</f>
        <v>8836.7777777777792</v>
      </c>
      <c r="V93" s="65">
        <f t="shared" ref="V93:V108" si="62">SUM(J93:U93)</f>
        <v>104876.11111111111</v>
      </c>
      <c r="W93" s="73">
        <f t="shared" si="26"/>
        <v>7.0044444768026172E-4</v>
      </c>
      <c r="X93" s="89"/>
      <c r="Y93" s="65">
        <f>VLOOKUP($I93,'[17]Resumen OPE'!$A$111:$M$132,Y$1,0)</f>
        <v>9474.9408954452047</v>
      </c>
      <c r="Z93" s="65">
        <f>VLOOKUP($I93,'[17]Resumen OPE'!$A$111:$M$132,Z$1,0)</f>
        <v>8558.0111313698635</v>
      </c>
      <c r="AA93" s="65">
        <f>VLOOKUP($I93,'[17]Resumen OPE'!$A$111:$M$132,AA$1,0)</f>
        <v>9474.9408954452047</v>
      </c>
      <c r="AB93" s="65">
        <f>VLOOKUP($I93,'[17]Resumen OPE'!$A$111:$M$132,AB$1,0)</f>
        <v>9169.2976407534261</v>
      </c>
      <c r="AC93" s="65">
        <f>VLOOKUP($I93,'[17]Resumen OPE'!$A$111:$M$132,AC$1,0)</f>
        <v>9474.9408954452047</v>
      </c>
      <c r="AD93" s="65">
        <f>VLOOKUP($I93,'[17]Resumen OPE'!$A$111:$M$132,AD$1,0)</f>
        <v>9169.2976407534261</v>
      </c>
      <c r="AE93" s="65">
        <f>VLOOKUP($I93,'[17]Resumen OPE'!$A$111:$M$132,AE$1,0)</f>
        <v>9474.9408954452047</v>
      </c>
      <c r="AF93" s="65">
        <f>VLOOKUP($I93,'[17]Resumen OPE'!$A$111:$M$132,AF$1,0)</f>
        <v>9474.9408954452047</v>
      </c>
      <c r="AG93" s="65">
        <f>VLOOKUP($I93,'[17]Resumen OPE'!$A$111:$M$132,AG$1,0)</f>
        <v>9169.2976407534261</v>
      </c>
      <c r="AH93" s="65">
        <f>VLOOKUP($I93,'[17]Resumen OPE'!$A$111:$M$132,AH$1,0)</f>
        <v>9474.9408954452047</v>
      </c>
      <c r="AI93" s="65">
        <f>VLOOKUP($I93,'[17]Resumen OPE'!$A$111:$M$132,AI$1,0)</f>
        <v>9169.2976407534261</v>
      </c>
      <c r="AJ93" s="65">
        <f>VLOOKUP($I93,'[17]Resumen OPE'!$A$111:$M$132,AJ$1,0)</f>
        <v>9474.9408954452047</v>
      </c>
      <c r="AK93" s="65">
        <f t="shared" ref="AK93:AK158" si="63">SUM(Y93:AJ93)</f>
        <v>111559.78796250002</v>
      </c>
      <c r="AL93" s="73">
        <f t="shared" si="28"/>
        <v>7.0047450506734068E-4</v>
      </c>
      <c r="AM93" s="14">
        <f t="shared" si="29"/>
        <v>6.372925903314508E-2</v>
      </c>
      <c r="AN93" s="9">
        <f>+AK93-V93</f>
        <v>6683.676851388911</v>
      </c>
    </row>
    <row r="94" spans="1:40" ht="14.45" customHeight="1" outlineLevel="1">
      <c r="A94" s="12" t="s">
        <v>195</v>
      </c>
      <c r="B94" s="8" t="s">
        <v>88</v>
      </c>
      <c r="I94" s="246" t="s">
        <v>198</v>
      </c>
      <c r="J94" s="65">
        <v>10498</v>
      </c>
      <c r="K94" s="65">
        <v>18180</v>
      </c>
      <c r="L94" s="65">
        <v>4250</v>
      </c>
      <c r="M94" s="65">
        <v>19387</v>
      </c>
      <c r="N94" s="65">
        <v>1886</v>
      </c>
      <c r="O94" s="65">
        <v>14321</v>
      </c>
      <c r="P94" s="65">
        <v>11669</v>
      </c>
      <c r="Q94" s="65">
        <v>13860</v>
      </c>
      <c r="R94" s="225">
        <v>3943</v>
      </c>
      <c r="S94" s="225">
        <v>17532</v>
      </c>
      <c r="T94" s="225">
        <f t="shared" si="60"/>
        <v>11778.333333333334</v>
      </c>
      <c r="U94" s="225">
        <f t="shared" si="61"/>
        <v>11084.444444444445</v>
      </c>
      <c r="V94" s="65">
        <f t="shared" si="62"/>
        <v>138388.77777777778</v>
      </c>
      <c r="W94" s="73">
        <f t="shared" si="26"/>
        <v>9.2426816735229219E-4</v>
      </c>
      <c r="X94" s="89"/>
      <c r="Y94" s="65">
        <f>VLOOKUP($I94,'[17]Resumen OPE'!$A$111:$M$132,Y$1,0)</f>
        <v>24293.399999999994</v>
      </c>
      <c r="Z94" s="65">
        <f>VLOOKUP($I94,'[17]Resumen OPE'!$A$111:$M$132,Z$1,0)</f>
        <v>24293.399999999994</v>
      </c>
      <c r="AA94" s="65">
        <f>VLOOKUP($I94,'[17]Resumen OPE'!$A$111:$M$132,AA$1,0)</f>
        <v>24293.399999999994</v>
      </c>
      <c r="AB94" s="65">
        <f>VLOOKUP($I94,'[17]Resumen OPE'!$A$111:$M$132,AB$1,0)</f>
        <v>24293.399999999994</v>
      </c>
      <c r="AC94" s="65">
        <f>VLOOKUP($I94,'[17]Resumen OPE'!$A$111:$M$132,AC$1,0)</f>
        <v>24293.399999999994</v>
      </c>
      <c r="AD94" s="65">
        <f>VLOOKUP($I94,'[17]Resumen OPE'!$A$111:$M$132,AD$1,0)</f>
        <v>24293.399999999994</v>
      </c>
      <c r="AE94" s="65">
        <f>VLOOKUP($I94,'[17]Resumen OPE'!$A$111:$M$132,AE$1,0)</f>
        <v>24293.399999999994</v>
      </c>
      <c r="AF94" s="65">
        <f>VLOOKUP($I94,'[17]Resumen OPE'!$A$111:$M$132,AF$1,0)</f>
        <v>24293.399999999994</v>
      </c>
      <c r="AG94" s="65">
        <f>VLOOKUP($I94,'[17]Resumen OPE'!$A$111:$M$132,AG$1,0)</f>
        <v>24293.399999999994</v>
      </c>
      <c r="AH94" s="65">
        <f>VLOOKUP($I94,'[17]Resumen OPE'!$A$111:$M$132,AH$1,0)</f>
        <v>24293.399999999994</v>
      </c>
      <c r="AI94" s="65">
        <f>VLOOKUP($I94,'[17]Resumen OPE'!$A$111:$M$132,AI$1,0)</f>
        <v>24293.399999999994</v>
      </c>
      <c r="AJ94" s="65">
        <f>VLOOKUP($I94,'[17]Resumen OPE'!$A$111:$M$132,AJ$1,0)</f>
        <v>24293.399999999994</v>
      </c>
      <c r="AK94" s="65">
        <f t="shared" si="63"/>
        <v>291520.79999999993</v>
      </c>
      <c r="AL94" s="73">
        <f t="shared" si="28"/>
        <v>1.8304345304553324E-3</v>
      </c>
      <c r="AM94" s="14">
        <f t="shared" si="29"/>
        <v>1.1065349711240229</v>
      </c>
      <c r="AN94" s="9">
        <f>+AK94-V94</f>
        <v>153132.02222222215</v>
      </c>
    </row>
    <row r="95" spans="1:40" ht="14.45" customHeight="1" outlineLevel="1">
      <c r="A95" s="12" t="s">
        <v>195</v>
      </c>
      <c r="B95" s="8" t="s">
        <v>88</v>
      </c>
      <c r="I95" s="246" t="s">
        <v>199</v>
      </c>
      <c r="J95" s="65">
        <v>5163</v>
      </c>
      <c r="K95" s="65">
        <v>9043</v>
      </c>
      <c r="L95" s="65">
        <v>9883</v>
      </c>
      <c r="M95" s="65">
        <v>0</v>
      </c>
      <c r="N95" s="65">
        <v>7760</v>
      </c>
      <c r="O95" s="65">
        <v>0</v>
      </c>
      <c r="P95" s="65">
        <v>0</v>
      </c>
      <c r="Q95" s="65">
        <v>0</v>
      </c>
      <c r="R95" s="225">
        <v>8003</v>
      </c>
      <c r="S95" s="225">
        <v>0</v>
      </c>
      <c r="T95" s="225">
        <f t="shared" si="60"/>
        <v>2667.6666666666665</v>
      </c>
      <c r="U95" s="225">
        <f t="shared" si="61"/>
        <v>3556.8888888888887</v>
      </c>
      <c r="V95" s="65">
        <f t="shared" si="62"/>
        <v>46076.555555555555</v>
      </c>
      <c r="W95" s="73">
        <f t="shared" si="26"/>
        <v>3.0773516642819838E-4</v>
      </c>
      <c r="X95" s="89"/>
      <c r="Y95" s="65">
        <f>VLOOKUP($I95,'[17]Resumen OPE'!$A$111:$M$132,Y$1,0)</f>
        <v>8924.7830370000011</v>
      </c>
      <c r="Z95" s="65">
        <f>VLOOKUP($I95,'[17]Resumen OPE'!$A$111:$M$132,Z$1,0)</f>
        <v>8924.7830370000011</v>
      </c>
      <c r="AA95" s="65">
        <f>VLOOKUP($I95,'[17]Resumen OPE'!$A$111:$M$132,AA$1,0)</f>
        <v>8924.7830370000011</v>
      </c>
      <c r="AB95" s="65">
        <f>VLOOKUP($I95,'[17]Resumen OPE'!$A$111:$M$132,AB$1,0)</f>
        <v>0</v>
      </c>
      <c r="AC95" s="65">
        <f>VLOOKUP($I95,'[17]Resumen OPE'!$A$111:$M$132,AC$1,0)</f>
        <v>8924.7830370000011</v>
      </c>
      <c r="AD95" s="65">
        <f>VLOOKUP($I95,'[17]Resumen OPE'!$A$111:$M$132,AD$1,0)</f>
        <v>0</v>
      </c>
      <c r="AE95" s="65">
        <f>VLOOKUP($I95,'[17]Resumen OPE'!$A$111:$M$132,AE$1,0)</f>
        <v>0</v>
      </c>
      <c r="AF95" s="65">
        <f>VLOOKUP($I95,'[17]Resumen OPE'!$A$111:$M$132,AF$1,0)</f>
        <v>0</v>
      </c>
      <c r="AG95" s="65">
        <f>VLOOKUP($I95,'[17]Resumen OPE'!$A$111:$M$132,AG$1,0)</f>
        <v>8924.7830370000011</v>
      </c>
      <c r="AH95" s="65">
        <f>VLOOKUP($I95,'[17]Resumen OPE'!$A$111:$M$132,AH$1,0)</f>
        <v>0</v>
      </c>
      <c r="AI95" s="65">
        <f>VLOOKUP($I95,'[17]Resumen OPE'!$A$111:$M$132,AI$1,0)</f>
        <v>8924.7830370000011</v>
      </c>
      <c r="AJ95" s="65">
        <f>VLOOKUP($I95,'[17]Resumen OPE'!$A$111:$M$132,AJ$1,0)</f>
        <v>8924.7830370000011</v>
      </c>
      <c r="AK95" s="65">
        <f t="shared" si="63"/>
        <v>62473.481259000007</v>
      </c>
      <c r="AL95" s="73">
        <f t="shared" si="28"/>
        <v>3.9226572283771079E-4</v>
      </c>
      <c r="AM95" s="14">
        <f t="shared" si="29"/>
        <v>0.35586266173204506</v>
      </c>
      <c r="AN95" s="9">
        <f>+AK95-V95</f>
        <v>16396.925703444453</v>
      </c>
    </row>
    <row r="96" spans="1:40" ht="14.45" customHeight="1" outlineLevel="1">
      <c r="A96" s="12" t="s">
        <v>195</v>
      </c>
      <c r="B96" s="8" t="s">
        <v>88</v>
      </c>
      <c r="I96" s="246" t="s">
        <v>200</v>
      </c>
      <c r="J96" s="65">
        <v>10566</v>
      </c>
      <c r="K96" s="65">
        <v>10542</v>
      </c>
      <c r="L96" s="65">
        <v>13167</v>
      </c>
      <c r="M96" s="65">
        <v>11834</v>
      </c>
      <c r="N96" s="65">
        <v>9870</v>
      </c>
      <c r="O96" s="65">
        <v>12207</v>
      </c>
      <c r="P96" s="65">
        <v>11210</v>
      </c>
      <c r="Q96" s="65">
        <v>12487</v>
      </c>
      <c r="R96" s="225">
        <v>10759</v>
      </c>
      <c r="S96" s="225">
        <v>12912</v>
      </c>
      <c r="T96" s="225">
        <f t="shared" si="60"/>
        <v>12052.666666666666</v>
      </c>
      <c r="U96" s="225">
        <f t="shared" si="61"/>
        <v>11907.888888888889</v>
      </c>
      <c r="V96" s="65">
        <f t="shared" si="62"/>
        <v>139514.55555555556</v>
      </c>
      <c r="W96" s="73">
        <f t="shared" si="26"/>
        <v>9.3178698918323184E-4</v>
      </c>
      <c r="X96" s="89"/>
      <c r="Y96" s="65">
        <f>VLOOKUP($I96,'[17]Resumen OPE'!$A$111:$M$132,Y$1,0)</f>
        <v>12450.072336614998</v>
      </c>
      <c r="Z96" s="65">
        <f>VLOOKUP($I96,'[17]Resumen OPE'!$A$111:$M$132,Z$1,0)</f>
        <v>11245.226626619999</v>
      </c>
      <c r="AA96" s="65">
        <f>VLOOKUP($I96,'[17]Resumen OPE'!$A$111:$M$132,AA$1,0)</f>
        <v>12450.072336614998</v>
      </c>
      <c r="AB96" s="65">
        <f>VLOOKUP($I96,'[17]Resumen OPE'!$A$111:$M$132,AB$1,0)</f>
        <v>12048.457099949997</v>
      </c>
      <c r="AC96" s="65">
        <f>VLOOKUP($I96,'[17]Resumen OPE'!$A$111:$M$132,AC$1,0)</f>
        <v>12450.072336614998</v>
      </c>
      <c r="AD96" s="65">
        <f>VLOOKUP($I96,'[17]Resumen OPE'!$A$111:$M$132,AD$1,0)</f>
        <v>12048.457099949997</v>
      </c>
      <c r="AE96" s="65">
        <f>VLOOKUP($I96,'[17]Resumen OPE'!$A$111:$M$132,AE$1,0)</f>
        <v>12450.072336614998</v>
      </c>
      <c r="AF96" s="65">
        <f>VLOOKUP($I96,'[17]Resumen OPE'!$A$111:$M$132,AF$1,0)</f>
        <v>12450.072336614998</v>
      </c>
      <c r="AG96" s="65">
        <f>VLOOKUP($I96,'[17]Resumen OPE'!$A$111:$M$132,AG$1,0)</f>
        <v>12048.457099949997</v>
      </c>
      <c r="AH96" s="65">
        <f>VLOOKUP($I96,'[17]Resumen OPE'!$A$111:$M$132,AH$1,0)</f>
        <v>12450.072336614998</v>
      </c>
      <c r="AI96" s="65">
        <f>VLOOKUP($I96,'[17]Resumen OPE'!$A$111:$M$132,AI$1,0)</f>
        <v>12048.457099949997</v>
      </c>
      <c r="AJ96" s="65">
        <f>VLOOKUP($I96,'[17]Resumen OPE'!$A$111:$M$132,AJ$1,0)</f>
        <v>12450.072336614998</v>
      </c>
      <c r="AK96" s="65">
        <f t="shared" si="63"/>
        <v>146589.56138272499</v>
      </c>
      <c r="AL96" s="73">
        <f t="shared" si="28"/>
        <v>9.2042349965848545E-4</v>
      </c>
      <c r="AM96" s="14">
        <f t="shared" si="29"/>
        <v>5.0711596356353805E-2</v>
      </c>
      <c r="AN96" s="9">
        <f>+AK96-V96</f>
        <v>7075.0058271694288</v>
      </c>
    </row>
    <row r="97" spans="1:40" ht="14.45" customHeight="1" outlineLevel="1">
      <c r="A97" s="12" t="s">
        <v>195</v>
      </c>
      <c r="B97" s="8" t="s">
        <v>88</v>
      </c>
      <c r="I97" s="246" t="s">
        <v>201</v>
      </c>
      <c r="J97" s="65"/>
      <c r="K97" s="65"/>
      <c r="L97" s="65">
        <v>0</v>
      </c>
      <c r="M97" s="65"/>
      <c r="N97" s="65">
        <v>0</v>
      </c>
      <c r="O97" s="65"/>
      <c r="P97" s="65">
        <v>0</v>
      </c>
      <c r="Q97" s="65">
        <v>0</v>
      </c>
      <c r="R97" s="225"/>
      <c r="S97" s="225"/>
      <c r="T97" s="225">
        <f t="shared" si="60"/>
        <v>0</v>
      </c>
      <c r="U97" s="225">
        <f t="shared" si="61"/>
        <v>0</v>
      </c>
      <c r="V97" s="65">
        <f t="shared" si="62"/>
        <v>0</v>
      </c>
      <c r="W97" s="73">
        <f t="shared" si="26"/>
        <v>0</v>
      </c>
      <c r="X97" s="89"/>
      <c r="Y97" s="65">
        <f>VLOOKUP($I97,'[17]Resumen OPE'!$A$111:$M$132,Y$1,0)</f>
        <v>0</v>
      </c>
      <c r="Z97" s="65">
        <f>VLOOKUP($I97,'[17]Resumen OPE'!$A$111:$M$132,Z$1,0)</f>
        <v>0</v>
      </c>
      <c r="AA97" s="65">
        <f>VLOOKUP($I97,'[17]Resumen OPE'!$A$111:$M$132,AA$1,0)</f>
        <v>0</v>
      </c>
      <c r="AB97" s="65">
        <f>VLOOKUP($I97,'[17]Resumen OPE'!$A$111:$M$132,AB$1,0)</f>
        <v>0</v>
      </c>
      <c r="AC97" s="65">
        <f>VLOOKUP($I97,'[17]Resumen OPE'!$A$111:$M$132,AC$1,0)</f>
        <v>0</v>
      </c>
      <c r="AD97" s="65">
        <f>VLOOKUP($I97,'[17]Resumen OPE'!$A$111:$M$132,AD$1,0)</f>
        <v>0</v>
      </c>
      <c r="AE97" s="65">
        <f>VLOOKUP($I97,'[17]Resumen OPE'!$A$111:$M$132,AE$1,0)</f>
        <v>0</v>
      </c>
      <c r="AF97" s="65">
        <f>VLOOKUP($I97,'[17]Resumen OPE'!$A$111:$M$132,AF$1,0)</f>
        <v>0</v>
      </c>
      <c r="AG97" s="65">
        <f>VLOOKUP($I97,'[17]Resumen OPE'!$A$111:$M$132,AG$1,0)</f>
        <v>0</v>
      </c>
      <c r="AH97" s="65">
        <f>VLOOKUP($I97,'[17]Resumen OPE'!$A$111:$M$132,AH$1,0)</f>
        <v>0</v>
      </c>
      <c r="AI97" s="65">
        <f>VLOOKUP($I97,'[17]Resumen OPE'!$A$111:$M$132,AI$1,0)</f>
        <v>0</v>
      </c>
      <c r="AJ97" s="65">
        <f>VLOOKUP($I97,'[17]Resumen OPE'!$A$111:$M$132,AJ$1,0)</f>
        <v>0</v>
      </c>
      <c r="AK97" s="65">
        <f t="shared" si="63"/>
        <v>0</v>
      </c>
      <c r="AL97" s="73">
        <f t="shared" si="28"/>
        <v>0</v>
      </c>
      <c r="AM97" s="14">
        <f t="shared" si="29"/>
        <v>0</v>
      </c>
      <c r="AN97" s="9">
        <f>+AK97-V97</f>
        <v>0</v>
      </c>
    </row>
    <row r="98" spans="1:40" ht="14.45" customHeight="1" outlineLevel="1">
      <c r="A98" s="12" t="s">
        <v>195</v>
      </c>
      <c r="B98" s="8" t="s">
        <v>88</v>
      </c>
      <c r="I98" s="246" t="s">
        <v>202</v>
      </c>
      <c r="J98" s="65">
        <v>11795</v>
      </c>
      <c r="K98" s="65">
        <v>14207</v>
      </c>
      <c r="L98" s="65">
        <v>16775</v>
      </c>
      <c r="M98" s="65">
        <v>9703</v>
      </c>
      <c r="N98" s="65">
        <v>9883</v>
      </c>
      <c r="O98" s="65">
        <v>14889</v>
      </c>
      <c r="P98" s="65">
        <v>11847</v>
      </c>
      <c r="Q98" s="65">
        <v>13941</v>
      </c>
      <c r="R98" s="225">
        <v>14210</v>
      </c>
      <c r="S98" s="225">
        <v>12679</v>
      </c>
      <c r="T98" s="225">
        <f t="shared" si="60"/>
        <v>13610</v>
      </c>
      <c r="U98" s="225">
        <f t="shared" si="61"/>
        <v>13499.666666666666</v>
      </c>
      <c r="V98" s="65">
        <f t="shared" si="62"/>
        <v>157038.66666666666</v>
      </c>
      <c r="W98" s="73">
        <f t="shared" si="26"/>
        <v>1.0488266676978684E-3</v>
      </c>
      <c r="X98" s="89"/>
      <c r="Y98" s="65">
        <f>VLOOKUP($I98,'[17]Resumen OPE'!$A$111:$M$132,Y$1,0)</f>
        <v>14939.395999999997</v>
      </c>
      <c r="Z98" s="65">
        <f>VLOOKUP($I98,'[17]Resumen OPE'!$A$111:$M$132,Z$1,0)</f>
        <v>13493.647999999999</v>
      </c>
      <c r="AA98" s="65">
        <f>VLOOKUP($I98,'[17]Resumen OPE'!$A$111:$M$132,AA$1,0)</f>
        <v>14939.395999999997</v>
      </c>
      <c r="AB98" s="65">
        <f>VLOOKUP($I98,'[17]Resumen OPE'!$A$111:$M$132,AB$1,0)</f>
        <v>14457.479999999998</v>
      </c>
      <c r="AC98" s="65">
        <f>VLOOKUP($I98,'[17]Resumen OPE'!$A$111:$M$132,AC$1,0)</f>
        <v>14939.395999999997</v>
      </c>
      <c r="AD98" s="65">
        <f>VLOOKUP($I98,'[17]Resumen OPE'!$A$111:$M$132,AD$1,0)</f>
        <v>14457.479999999998</v>
      </c>
      <c r="AE98" s="65">
        <f>VLOOKUP($I98,'[17]Resumen OPE'!$A$111:$M$132,AE$1,0)</f>
        <v>14939.395999999997</v>
      </c>
      <c r="AF98" s="65">
        <f>VLOOKUP($I98,'[17]Resumen OPE'!$A$111:$M$132,AF$1,0)</f>
        <v>14939.395999999997</v>
      </c>
      <c r="AG98" s="65">
        <f>VLOOKUP($I98,'[17]Resumen OPE'!$A$111:$M$132,AG$1,0)</f>
        <v>14457.479999999998</v>
      </c>
      <c r="AH98" s="65">
        <f>VLOOKUP($I98,'[17]Resumen OPE'!$A$111:$M$132,AH$1,0)</f>
        <v>14939.395999999997</v>
      </c>
      <c r="AI98" s="65">
        <f>VLOOKUP($I98,'[17]Resumen OPE'!$A$111:$M$132,AI$1,0)</f>
        <v>14457.479999999998</v>
      </c>
      <c r="AJ98" s="65">
        <f>VLOOKUP($I98,'[17]Resumen OPE'!$A$111:$M$132,AJ$1,0)</f>
        <v>14939.395999999997</v>
      </c>
      <c r="AK98" s="65">
        <f t="shared" si="63"/>
        <v>175899.34</v>
      </c>
      <c r="AL98" s="73">
        <f t="shared" si="28"/>
        <v>1.1044571290292251E-3</v>
      </c>
      <c r="AM98" s="14">
        <f t="shared" si="29"/>
        <v>0.12010209799709637</v>
      </c>
      <c r="AN98" s="9">
        <f>+AK98-V98</f>
        <v>18860.67333333334</v>
      </c>
    </row>
    <row r="99" spans="1:40" ht="14.45" customHeight="1" outlineLevel="1">
      <c r="A99" s="12" t="s">
        <v>215</v>
      </c>
      <c r="B99" s="8" t="s">
        <v>88</v>
      </c>
      <c r="I99" s="246" t="s">
        <v>203</v>
      </c>
      <c r="J99" s="65">
        <v>5592</v>
      </c>
      <c r="K99" s="65">
        <v>6285</v>
      </c>
      <c r="L99" s="65">
        <v>6864</v>
      </c>
      <c r="M99" s="65">
        <v>4427</v>
      </c>
      <c r="N99" s="65">
        <v>4720</v>
      </c>
      <c r="O99" s="65">
        <v>6481</v>
      </c>
      <c r="P99" s="65">
        <v>6839</v>
      </c>
      <c r="Q99" s="65">
        <v>6668</v>
      </c>
      <c r="R99" s="225">
        <v>6407</v>
      </c>
      <c r="S99" s="225">
        <v>10731</v>
      </c>
      <c r="T99" s="225">
        <f t="shared" si="60"/>
        <v>7935.333333333333</v>
      </c>
      <c r="U99" s="225">
        <f t="shared" si="61"/>
        <v>8357.7777777777774</v>
      </c>
      <c r="V99" s="65">
        <f t="shared" si="62"/>
        <v>81307.111111111109</v>
      </c>
      <c r="W99" s="73">
        <f t="shared" si="26"/>
        <v>5.4303228763281442E-4</v>
      </c>
      <c r="X99" s="89"/>
      <c r="Y99" s="65">
        <f>VLOOKUP($I99,'[17]Resumen OPE'!$A$111:$M$132,Y$1,0)</f>
        <v>8814.1493999999984</v>
      </c>
      <c r="Z99" s="65">
        <f>VLOOKUP($I99,'[17]Resumen OPE'!$A$111:$M$132,Z$1,0)</f>
        <v>7961.167199999999</v>
      </c>
      <c r="AA99" s="65">
        <f>VLOOKUP($I99,'[17]Resumen OPE'!$A$111:$M$132,AA$1,0)</f>
        <v>8814.1493999999984</v>
      </c>
      <c r="AB99" s="65">
        <f>VLOOKUP($I99,'[17]Resumen OPE'!$A$111:$M$132,AB$1,0)</f>
        <v>8529.8219999999983</v>
      </c>
      <c r="AC99" s="65">
        <f>VLOOKUP($I99,'[17]Resumen OPE'!$A$111:$M$132,AC$1,0)</f>
        <v>8814.1493999999984</v>
      </c>
      <c r="AD99" s="65">
        <f>VLOOKUP($I99,'[17]Resumen OPE'!$A$111:$M$132,AD$1,0)</f>
        <v>8529.8219999999983</v>
      </c>
      <c r="AE99" s="65">
        <f>VLOOKUP($I99,'[17]Resumen OPE'!$A$111:$M$132,AE$1,0)</f>
        <v>8814.1493999999984</v>
      </c>
      <c r="AF99" s="65">
        <f>VLOOKUP($I99,'[17]Resumen OPE'!$A$111:$M$132,AF$1,0)</f>
        <v>8814.1493999999984</v>
      </c>
      <c r="AG99" s="65">
        <f>VLOOKUP($I99,'[17]Resumen OPE'!$A$111:$M$132,AG$1,0)</f>
        <v>8529.8219999999983</v>
      </c>
      <c r="AH99" s="65">
        <f>VLOOKUP($I99,'[17]Resumen OPE'!$A$111:$M$132,AH$1,0)</f>
        <v>8814.1493999999984</v>
      </c>
      <c r="AI99" s="65">
        <f>VLOOKUP($I99,'[17]Resumen OPE'!$A$111:$M$132,AI$1,0)</f>
        <v>8529.8219999999983</v>
      </c>
      <c r="AJ99" s="65">
        <f>VLOOKUP($I99,'[17]Resumen OPE'!$A$111:$M$132,AJ$1,0)</f>
        <v>8814.1493999999984</v>
      </c>
      <c r="AK99" s="65">
        <f t="shared" si="63"/>
        <v>103779.50099999997</v>
      </c>
      <c r="AL99" s="73">
        <f t="shared" si="28"/>
        <v>6.5162273904237258E-4</v>
      </c>
      <c r="AM99" s="14">
        <f t="shared" si="29"/>
        <v>0.27638898469998496</v>
      </c>
      <c r="AN99" s="9">
        <f>+AK99-V99</f>
        <v>22472.389888888865</v>
      </c>
    </row>
    <row r="100" spans="1:40" ht="15" customHeight="1" outlineLevel="1">
      <c r="A100" s="12" t="s">
        <v>215</v>
      </c>
      <c r="B100" s="8" t="s">
        <v>88</v>
      </c>
      <c r="I100" s="246" t="s">
        <v>204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225">
        <v>0</v>
      </c>
      <c r="S100" s="225">
        <v>0</v>
      </c>
      <c r="T100" s="225">
        <f t="shared" si="60"/>
        <v>0</v>
      </c>
      <c r="U100" s="225">
        <f t="shared" si="61"/>
        <v>0</v>
      </c>
      <c r="V100" s="65">
        <f t="shared" si="62"/>
        <v>0</v>
      </c>
      <c r="W100" s="73">
        <f t="shared" si="26"/>
        <v>0</v>
      </c>
      <c r="X100" s="89"/>
      <c r="Y100" s="65">
        <f>VLOOKUP($I100,'[17]Resumen OPE'!$A$111:$M$132,Y$1,0)</f>
        <v>0</v>
      </c>
      <c r="Z100" s="65">
        <f>VLOOKUP($I100,'[17]Resumen OPE'!$A$111:$M$132,Z$1,0)</f>
        <v>0</v>
      </c>
      <c r="AA100" s="65">
        <f>VLOOKUP($I100,'[17]Resumen OPE'!$A$111:$M$132,AA$1,0)</f>
        <v>0</v>
      </c>
      <c r="AB100" s="65">
        <f>VLOOKUP($I100,'[17]Resumen OPE'!$A$111:$M$132,AB$1,0)</f>
        <v>0</v>
      </c>
      <c r="AC100" s="65">
        <f>VLOOKUP($I100,'[17]Resumen OPE'!$A$111:$M$132,AC$1,0)</f>
        <v>0</v>
      </c>
      <c r="AD100" s="65">
        <f>VLOOKUP($I100,'[17]Resumen OPE'!$A$111:$M$132,AD$1,0)</f>
        <v>0</v>
      </c>
      <c r="AE100" s="65">
        <f>VLOOKUP($I100,'[17]Resumen OPE'!$A$111:$M$132,AE$1,0)</f>
        <v>0</v>
      </c>
      <c r="AF100" s="65">
        <f>VLOOKUP($I100,'[17]Resumen OPE'!$A$111:$M$132,AF$1,0)</f>
        <v>0</v>
      </c>
      <c r="AG100" s="65">
        <f>VLOOKUP($I100,'[17]Resumen OPE'!$A$111:$M$132,AG$1,0)</f>
        <v>0</v>
      </c>
      <c r="AH100" s="65">
        <f>VLOOKUP($I100,'[17]Resumen OPE'!$A$111:$M$132,AH$1,0)</f>
        <v>0</v>
      </c>
      <c r="AI100" s="65">
        <f>VLOOKUP($I100,'[17]Resumen OPE'!$A$111:$M$132,AI$1,0)</f>
        <v>0</v>
      </c>
      <c r="AJ100" s="65">
        <f>VLOOKUP($I100,'[17]Resumen OPE'!$A$111:$M$132,AJ$1,0)</f>
        <v>0</v>
      </c>
      <c r="AK100" s="65">
        <f t="shared" si="63"/>
        <v>0</v>
      </c>
      <c r="AL100" s="73">
        <f t="shared" si="28"/>
        <v>0</v>
      </c>
      <c r="AM100" s="14">
        <f t="shared" si="29"/>
        <v>0</v>
      </c>
      <c r="AN100" s="9">
        <f>+AK100-V100</f>
        <v>0</v>
      </c>
    </row>
    <row r="101" spans="1:40" ht="15" customHeight="1" outlineLevel="1">
      <c r="A101" s="12" t="s">
        <v>215</v>
      </c>
      <c r="B101" s="8" t="s">
        <v>88</v>
      </c>
      <c r="I101" s="246" t="s">
        <v>205</v>
      </c>
      <c r="J101" s="65">
        <v>5429</v>
      </c>
      <c r="K101" s="65">
        <v>5046</v>
      </c>
      <c r="L101" s="65">
        <v>5590</v>
      </c>
      <c r="M101" s="65">
        <v>5522</v>
      </c>
      <c r="N101" s="65">
        <v>3782</v>
      </c>
      <c r="O101" s="65">
        <v>5620</v>
      </c>
      <c r="P101" s="65">
        <v>5180</v>
      </c>
      <c r="Q101" s="65">
        <v>5690</v>
      </c>
      <c r="R101" s="225">
        <v>4450</v>
      </c>
      <c r="S101" s="225">
        <v>5457</v>
      </c>
      <c r="T101" s="225">
        <f t="shared" si="60"/>
        <v>5199</v>
      </c>
      <c r="U101" s="225">
        <f t="shared" si="61"/>
        <v>5035.333333333333</v>
      </c>
      <c r="V101" s="65">
        <f t="shared" si="62"/>
        <v>62000.333333333336</v>
      </c>
      <c r="W101" s="73">
        <f t="shared" si="26"/>
        <v>4.14086571074791E-4</v>
      </c>
      <c r="X101" s="89"/>
      <c r="Y101" s="65">
        <f>VLOOKUP($I101,'[17]Resumen OPE'!$A$111:$M$132,Y$1,0)</f>
        <v>5270.3873876249991</v>
      </c>
      <c r="Z101" s="65">
        <f>VLOOKUP($I101,'[17]Resumen OPE'!$A$111:$M$132,Z$1,0)</f>
        <v>4760.3498984999997</v>
      </c>
      <c r="AA101" s="65">
        <f>VLOOKUP($I101,'[17]Resumen OPE'!$A$111:$M$132,AA$1,0)</f>
        <v>5270.3873876249991</v>
      </c>
      <c r="AB101" s="65">
        <f>VLOOKUP($I101,'[17]Resumen OPE'!$A$111:$M$132,AB$1,0)</f>
        <v>5100.3748912499996</v>
      </c>
      <c r="AC101" s="65">
        <f>VLOOKUP($I101,'[17]Resumen OPE'!$A$111:$M$132,AC$1,0)</f>
        <v>5270.3873876249991</v>
      </c>
      <c r="AD101" s="65">
        <f>VLOOKUP($I101,'[17]Resumen OPE'!$A$111:$M$132,AD$1,0)</f>
        <v>5100.3748912499996</v>
      </c>
      <c r="AE101" s="65">
        <f>VLOOKUP($I101,'[17]Resumen OPE'!$A$111:$M$132,AE$1,0)</f>
        <v>5270.3873876249991</v>
      </c>
      <c r="AF101" s="65">
        <f>VLOOKUP($I101,'[17]Resumen OPE'!$A$111:$M$132,AF$1,0)</f>
        <v>5270.3873876249991</v>
      </c>
      <c r="AG101" s="65">
        <f>VLOOKUP($I101,'[17]Resumen OPE'!$A$111:$M$132,AG$1,0)</f>
        <v>5100.3748912499996</v>
      </c>
      <c r="AH101" s="65">
        <f>VLOOKUP($I101,'[17]Resumen OPE'!$A$111:$M$132,AH$1,0)</f>
        <v>5270.3873876249991</v>
      </c>
      <c r="AI101" s="65">
        <f>VLOOKUP($I101,'[17]Resumen OPE'!$A$111:$M$132,AI$1,0)</f>
        <v>5100.3748912499996</v>
      </c>
      <c r="AJ101" s="65">
        <f>VLOOKUP($I101,'[17]Resumen OPE'!$A$111:$M$132,AJ$1,0)</f>
        <v>5270.3873876249991</v>
      </c>
      <c r="AK101" s="65">
        <f t="shared" si="63"/>
        <v>62054.561176875002</v>
      </c>
      <c r="AL101" s="73">
        <f t="shared" si="28"/>
        <v>3.896353589534775E-4</v>
      </c>
      <c r="AM101" s="14">
        <f t="shared" si="29"/>
        <v>8.7463793541431301E-4</v>
      </c>
      <c r="AN101" s="9">
        <f>+AK101-V101</f>
        <v>54.227843541666516</v>
      </c>
    </row>
    <row r="102" spans="1:40" ht="15" customHeight="1" outlineLevel="1">
      <c r="A102" s="12"/>
      <c r="I102" s="246" t="s">
        <v>207</v>
      </c>
      <c r="J102" s="65">
        <v>1809</v>
      </c>
      <c r="K102" s="65">
        <v>1794</v>
      </c>
      <c r="L102" s="65">
        <v>2112</v>
      </c>
      <c r="M102" s="65">
        <v>1974</v>
      </c>
      <c r="N102" s="65">
        <v>1879</v>
      </c>
      <c r="O102" s="65">
        <v>2012</v>
      </c>
      <c r="P102" s="65">
        <v>2056</v>
      </c>
      <c r="Q102" s="65">
        <v>1976</v>
      </c>
      <c r="R102" s="225">
        <v>1874</v>
      </c>
      <c r="S102" s="225">
        <v>2038</v>
      </c>
      <c r="T102" s="225">
        <f t="shared" si="60"/>
        <v>1962.6666666666667</v>
      </c>
      <c r="U102" s="225">
        <f t="shared" si="61"/>
        <v>1958.2222222222224</v>
      </c>
      <c r="V102" s="65">
        <f t="shared" ref="V102:V103" si="64">SUM(J102:U102)</f>
        <v>23444.888888888891</v>
      </c>
      <c r="W102" s="73">
        <f t="shared" ref="W102:W103" si="65">V102/V$6</f>
        <v>1.5658324927117812E-4</v>
      </c>
      <c r="X102" s="89"/>
      <c r="Y102" s="65">
        <f>VLOOKUP($I102,'[17]Resumen OPE'!$A$111:$M$132,Y$1,0)</f>
        <v>2052.9038606797944</v>
      </c>
      <c r="Z102" s="65">
        <f>VLOOKUP($I102,'[17]Resumen OPE'!$A$111:$M$132,Z$1,0)</f>
        <v>1854.235745130137</v>
      </c>
      <c r="AA102" s="65">
        <f>VLOOKUP($I102,'[17]Resumen OPE'!$A$111:$M$132,AA$1,0)</f>
        <v>2052.9038606797944</v>
      </c>
      <c r="AB102" s="65">
        <f>VLOOKUP($I102,'[17]Resumen OPE'!$A$111:$M$132,AB$1,0)</f>
        <v>1986.6811554965755</v>
      </c>
      <c r="AC102" s="65">
        <f>VLOOKUP($I102,'[17]Resumen OPE'!$A$111:$M$132,AC$1,0)</f>
        <v>2052.9038606797944</v>
      </c>
      <c r="AD102" s="65">
        <f>VLOOKUP($I102,'[17]Resumen OPE'!$A$111:$M$132,AD$1,0)</f>
        <v>1986.6811554965755</v>
      </c>
      <c r="AE102" s="65">
        <f>VLOOKUP($I102,'[17]Resumen OPE'!$A$111:$M$132,AE$1,0)</f>
        <v>2052.9038606797944</v>
      </c>
      <c r="AF102" s="65">
        <f>VLOOKUP($I102,'[17]Resumen OPE'!$A$111:$M$132,AF$1,0)</f>
        <v>2052.9038606797944</v>
      </c>
      <c r="AG102" s="65">
        <f>VLOOKUP($I102,'[17]Resumen OPE'!$A$111:$M$132,AG$1,0)</f>
        <v>1986.6811554965755</v>
      </c>
      <c r="AH102" s="65">
        <f>VLOOKUP($I102,'[17]Resumen OPE'!$A$111:$M$132,AH$1,0)</f>
        <v>2052.9038606797944</v>
      </c>
      <c r="AI102" s="65">
        <f>VLOOKUP($I102,'[17]Resumen OPE'!$A$111:$M$132,AI$1,0)</f>
        <v>1986.6811554965755</v>
      </c>
      <c r="AJ102" s="65">
        <f>VLOOKUP($I102,'[17]Resumen OPE'!$A$111:$M$132,AJ$1,0)</f>
        <v>2052.9038606797944</v>
      </c>
      <c r="AK102" s="65">
        <f t="shared" ref="AK102" si="66">SUM(Y102:AJ102)</f>
        <v>24171.287391875001</v>
      </c>
      <c r="AL102" s="73">
        <f t="shared" ref="AL102" si="67">AK102/AK$6</f>
        <v>1.5176947609792381E-4</v>
      </c>
      <c r="AM102" s="14">
        <f t="shared" ref="AM102" si="68">IFERROR(AK102/V102-1,0)</f>
        <v>3.0983235042345125E-2</v>
      </c>
      <c r="AN102" s="9">
        <f>+AK102-V102</f>
        <v>726.39850298611054</v>
      </c>
    </row>
    <row r="103" spans="1:40" ht="15" customHeight="1" outlineLevel="1">
      <c r="A103" s="12" t="s">
        <v>215</v>
      </c>
      <c r="B103" s="8" t="s">
        <v>88</v>
      </c>
      <c r="I103" s="246" t="s">
        <v>208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225">
        <v>0</v>
      </c>
      <c r="S103" s="225">
        <v>0</v>
      </c>
      <c r="T103" s="225">
        <f t="shared" si="60"/>
        <v>0</v>
      </c>
      <c r="U103" s="225">
        <f t="shared" si="61"/>
        <v>0</v>
      </c>
      <c r="V103" s="65">
        <f t="shared" si="64"/>
        <v>0</v>
      </c>
      <c r="W103" s="73">
        <f t="shared" si="65"/>
        <v>0</v>
      </c>
      <c r="X103" s="89"/>
      <c r="Y103" s="65">
        <f>VLOOKUP($I103,'[17]Resumen OPE'!$A$111:$M$132,Y$1,0)</f>
        <v>0</v>
      </c>
      <c r="Z103" s="65">
        <f>VLOOKUP($I103,'[17]Resumen OPE'!$A$111:$M$132,Z$1,0)</f>
        <v>0</v>
      </c>
      <c r="AA103" s="65">
        <f>VLOOKUP($I103,'[17]Resumen OPE'!$A$111:$M$132,AA$1,0)</f>
        <v>0</v>
      </c>
      <c r="AB103" s="65">
        <f>VLOOKUP($I103,'[17]Resumen OPE'!$A$111:$M$132,AB$1,0)</f>
        <v>0</v>
      </c>
      <c r="AC103" s="65">
        <f>VLOOKUP($I103,'[17]Resumen OPE'!$A$111:$M$132,AC$1,0)</f>
        <v>0</v>
      </c>
      <c r="AD103" s="65">
        <f>VLOOKUP($I103,'[17]Resumen OPE'!$A$111:$M$132,AD$1,0)</f>
        <v>0</v>
      </c>
      <c r="AE103" s="65">
        <f>VLOOKUP($I103,'[17]Resumen OPE'!$A$111:$M$132,AE$1,0)</f>
        <v>0</v>
      </c>
      <c r="AF103" s="65">
        <f>VLOOKUP($I103,'[17]Resumen OPE'!$A$111:$M$132,AF$1,0)</f>
        <v>0</v>
      </c>
      <c r="AG103" s="65">
        <f>VLOOKUP($I103,'[17]Resumen OPE'!$A$111:$M$132,AG$1,0)</f>
        <v>0</v>
      </c>
      <c r="AH103" s="65">
        <f>VLOOKUP($I103,'[17]Resumen OPE'!$A$111:$M$132,AH$1,0)</f>
        <v>0</v>
      </c>
      <c r="AI103" s="65">
        <f>VLOOKUP($I103,'[17]Resumen OPE'!$A$111:$M$132,AI$1,0)</f>
        <v>0</v>
      </c>
      <c r="AJ103" s="65">
        <f>VLOOKUP($I103,'[17]Resumen OPE'!$A$111:$M$132,AJ$1,0)</f>
        <v>0</v>
      </c>
      <c r="AK103" s="65">
        <f t="shared" si="63"/>
        <v>0</v>
      </c>
      <c r="AL103" s="73">
        <f t="shared" si="28"/>
        <v>0</v>
      </c>
      <c r="AM103" s="14">
        <f t="shared" si="29"/>
        <v>0</v>
      </c>
      <c r="AN103" s="9">
        <f>+AK103-V103</f>
        <v>0</v>
      </c>
    </row>
    <row r="104" spans="1:40" ht="15" customHeight="1" outlineLevel="1">
      <c r="A104" s="12" t="s">
        <v>215</v>
      </c>
      <c r="B104" s="8" t="s">
        <v>88</v>
      </c>
      <c r="I104" s="246" t="s">
        <v>209</v>
      </c>
      <c r="J104" s="65"/>
      <c r="K104" s="65"/>
      <c r="L104" s="65">
        <v>0</v>
      </c>
      <c r="M104" s="65"/>
      <c r="N104" s="65"/>
      <c r="O104" s="65"/>
      <c r="P104" s="65"/>
      <c r="Q104" s="65"/>
      <c r="R104" s="225"/>
      <c r="S104" s="225"/>
      <c r="T104" s="225"/>
      <c r="U104" s="225"/>
      <c r="V104" s="65">
        <f t="shared" si="62"/>
        <v>0</v>
      </c>
      <c r="W104" s="73">
        <f t="shared" si="26"/>
        <v>0</v>
      </c>
      <c r="X104" s="89"/>
      <c r="Y104" s="65">
        <f>VLOOKUP($I104,'[17]Resumen OPE'!$A$111:$M$132,Y$1,0)</f>
        <v>0</v>
      </c>
      <c r="Z104" s="65">
        <f>VLOOKUP($I104,'[17]Resumen OPE'!$A$111:$M$132,Z$1,0)</f>
        <v>0</v>
      </c>
      <c r="AA104" s="65">
        <f>VLOOKUP($I104,'[17]Resumen OPE'!$A$111:$M$132,AA$1,0)</f>
        <v>0</v>
      </c>
      <c r="AB104" s="65">
        <f>VLOOKUP($I104,'[17]Resumen OPE'!$A$111:$M$132,AB$1,0)</f>
        <v>0</v>
      </c>
      <c r="AC104" s="65">
        <f>VLOOKUP($I104,'[17]Resumen OPE'!$A$111:$M$132,AC$1,0)</f>
        <v>0</v>
      </c>
      <c r="AD104" s="65">
        <f>VLOOKUP($I104,'[17]Resumen OPE'!$A$111:$M$132,AD$1,0)</f>
        <v>0</v>
      </c>
      <c r="AE104" s="65">
        <f>VLOOKUP($I104,'[17]Resumen OPE'!$A$111:$M$132,AE$1,0)</f>
        <v>0</v>
      </c>
      <c r="AF104" s="65">
        <f>VLOOKUP($I104,'[17]Resumen OPE'!$A$111:$M$132,AF$1,0)</f>
        <v>0</v>
      </c>
      <c r="AG104" s="65">
        <f>VLOOKUP($I104,'[17]Resumen OPE'!$A$111:$M$132,AG$1,0)</f>
        <v>0</v>
      </c>
      <c r="AH104" s="65">
        <f>VLOOKUP($I104,'[17]Resumen OPE'!$A$111:$M$132,AH$1,0)</f>
        <v>0</v>
      </c>
      <c r="AI104" s="65">
        <f>VLOOKUP($I104,'[17]Resumen OPE'!$A$111:$M$132,AI$1,0)</f>
        <v>0</v>
      </c>
      <c r="AJ104" s="65">
        <f>VLOOKUP($I104,'[17]Resumen OPE'!$A$111:$M$132,AJ$1,0)</f>
        <v>0</v>
      </c>
      <c r="AK104" s="65">
        <f t="shared" si="63"/>
        <v>0</v>
      </c>
      <c r="AL104" s="73">
        <f t="shared" si="28"/>
        <v>0</v>
      </c>
      <c r="AM104" s="14">
        <f t="shared" si="29"/>
        <v>0</v>
      </c>
      <c r="AN104" s="9">
        <f>+AK104-V104</f>
        <v>0</v>
      </c>
    </row>
    <row r="105" spans="1:40" ht="14.45" customHeight="1" outlineLevel="1">
      <c r="A105" s="12" t="s">
        <v>221</v>
      </c>
      <c r="B105" s="8" t="s">
        <v>88</v>
      </c>
      <c r="C105" s="8" t="s">
        <v>222</v>
      </c>
      <c r="I105" s="246" t="s">
        <v>210</v>
      </c>
      <c r="J105" s="65">
        <v>0</v>
      </c>
      <c r="K105" s="65"/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225"/>
      <c r="S105" s="225"/>
      <c r="T105" s="225">
        <f t="shared" si="60"/>
        <v>0</v>
      </c>
      <c r="U105" s="225">
        <f t="shared" si="61"/>
        <v>0</v>
      </c>
      <c r="V105" s="65">
        <f t="shared" si="62"/>
        <v>0</v>
      </c>
      <c r="W105" s="73">
        <f t="shared" si="26"/>
        <v>0</v>
      </c>
      <c r="X105" s="89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>
        <f t="shared" si="63"/>
        <v>0</v>
      </c>
      <c r="AL105" s="73">
        <f t="shared" si="28"/>
        <v>0</v>
      </c>
      <c r="AM105" s="14">
        <f t="shared" si="29"/>
        <v>0</v>
      </c>
      <c r="AN105" s="9">
        <f>+AK105-V105</f>
        <v>0</v>
      </c>
    </row>
    <row r="106" spans="1:40" ht="14.45" customHeight="1" outlineLevel="1">
      <c r="A106" s="12" t="s">
        <v>221</v>
      </c>
      <c r="B106" s="8" t="s">
        <v>88</v>
      </c>
      <c r="I106" s="246" t="s">
        <v>211</v>
      </c>
      <c r="J106" s="65">
        <v>177083</v>
      </c>
      <c r="K106" s="65">
        <v>176613</v>
      </c>
      <c r="L106" s="65">
        <v>221360</v>
      </c>
      <c r="M106" s="65">
        <v>197236</v>
      </c>
      <c r="N106" s="65">
        <v>164921</v>
      </c>
      <c r="O106" s="65">
        <v>204292</v>
      </c>
      <c r="P106" s="65">
        <v>188657</v>
      </c>
      <c r="Q106" s="65">
        <v>208122</v>
      </c>
      <c r="R106" s="225">
        <v>179313</v>
      </c>
      <c r="S106" s="225">
        <v>216875</v>
      </c>
      <c r="T106" s="225">
        <f t="shared" si="60"/>
        <v>201436.66666666666</v>
      </c>
      <c r="U106" s="225">
        <f t="shared" si="61"/>
        <v>199208.22222222222</v>
      </c>
      <c r="V106" s="65">
        <f t="shared" si="62"/>
        <v>2335116.8888888885</v>
      </c>
      <c r="W106" s="73">
        <f t="shared" si="26"/>
        <v>1.5595731403253212E-2</v>
      </c>
      <c r="X106" s="89"/>
      <c r="Y106" s="65">
        <f>VLOOKUP($I106,'[17]Resumen OPE'!$A$111:$M$132,Y$1,0)</f>
        <v>230556.89512249999</v>
      </c>
      <c r="Z106" s="65">
        <f>VLOOKUP($I106,'[17]Resumen OPE'!$A$111:$M$132,Z$1,0)</f>
        <v>208244.93753</v>
      </c>
      <c r="AA106" s="65">
        <f>VLOOKUP($I106,'[17]Resumen OPE'!$A$111:$M$132,AA$1,0)</f>
        <v>230556.89512249999</v>
      </c>
      <c r="AB106" s="65">
        <f>VLOOKUP($I106,'[17]Resumen OPE'!$A$111:$M$132,AB$1,0)</f>
        <v>223119.57592499998</v>
      </c>
      <c r="AC106" s="65">
        <f>VLOOKUP($I106,'[17]Resumen OPE'!$A$111:$M$132,AC$1,0)</f>
        <v>230556.89512249999</v>
      </c>
      <c r="AD106" s="65">
        <f>VLOOKUP($I106,'[17]Resumen OPE'!$A$111:$M$132,AD$1,0)</f>
        <v>223119.57592499998</v>
      </c>
      <c r="AE106" s="65">
        <f>VLOOKUP($I106,'[17]Resumen OPE'!$A$111:$M$132,AE$1,0)</f>
        <v>230556.89512249999</v>
      </c>
      <c r="AF106" s="65">
        <f>VLOOKUP($I106,'[17]Resumen OPE'!$A$111:$M$132,AF$1,0)</f>
        <v>230556.89512249999</v>
      </c>
      <c r="AG106" s="65">
        <f>VLOOKUP($I106,'[17]Resumen OPE'!$A$111:$M$132,AG$1,0)</f>
        <v>223119.57592499998</v>
      </c>
      <c r="AH106" s="65">
        <f>VLOOKUP($I106,'[17]Resumen OPE'!$A$111:$M$132,AH$1,0)</f>
        <v>230556.89512249999</v>
      </c>
      <c r="AI106" s="65">
        <f>VLOOKUP($I106,'[17]Resumen OPE'!$A$111:$M$132,AI$1,0)</f>
        <v>223119.57592499998</v>
      </c>
      <c r="AJ106" s="65">
        <f>VLOOKUP($I106,'[17]Resumen OPE'!$A$111:$M$132,AJ$1,0)</f>
        <v>230556.89512249999</v>
      </c>
      <c r="AK106" s="65">
        <f t="shared" si="63"/>
        <v>2714621.5070874998</v>
      </c>
      <c r="AL106" s="73">
        <f t="shared" si="28"/>
        <v>1.7044879623305285E-2</v>
      </c>
      <c r="AM106" s="14">
        <f t="shared" si="29"/>
        <v>0.16252060871316365</v>
      </c>
      <c r="AN106" s="9">
        <f>+AK106-V106</f>
        <v>379504.61819861131</v>
      </c>
    </row>
    <row r="107" spans="1:40" ht="14.45" customHeight="1" outlineLevel="1">
      <c r="A107" s="12"/>
      <c r="I107" s="246" t="s">
        <v>213</v>
      </c>
      <c r="J107" s="65">
        <v>3360</v>
      </c>
      <c r="K107" s="65">
        <v>0</v>
      </c>
      <c r="L107" s="65">
        <v>1575</v>
      </c>
      <c r="M107" s="65">
        <v>840</v>
      </c>
      <c r="N107" s="65">
        <v>1260</v>
      </c>
      <c r="O107" s="65">
        <v>840</v>
      </c>
      <c r="P107" s="65">
        <v>840</v>
      </c>
      <c r="Q107" s="65">
        <v>1680</v>
      </c>
      <c r="R107" s="225">
        <v>5880</v>
      </c>
      <c r="S107" s="225">
        <v>5565</v>
      </c>
      <c r="T107" s="225">
        <f t="shared" si="60"/>
        <v>4375</v>
      </c>
      <c r="U107" s="225">
        <f t="shared" si="61"/>
        <v>5273.333333333333</v>
      </c>
      <c r="V107" s="65">
        <f t="shared" si="62"/>
        <v>31488.333333333332</v>
      </c>
      <c r="W107" s="73">
        <f t="shared" si="26"/>
        <v>2.10303643187833E-4</v>
      </c>
      <c r="X107" s="89"/>
      <c r="Y107" s="65">
        <f>VLOOKUP($I107,'[17]Resumen OPE'!$A$111:$M$132,Y$1,0)</f>
        <v>0</v>
      </c>
      <c r="Z107" s="65">
        <f>VLOOKUP($I107,'[17]Resumen OPE'!$A$111:$M$132,Z$1,0)</f>
        <v>0</v>
      </c>
      <c r="AA107" s="65">
        <f>VLOOKUP($I107,'[17]Resumen OPE'!$A$111:$M$132,AA$1,0)</f>
        <v>0</v>
      </c>
      <c r="AB107" s="65">
        <f>VLOOKUP($I107,'[17]Resumen OPE'!$A$111:$M$132,AB$1,0)</f>
        <v>0</v>
      </c>
      <c r="AC107" s="65">
        <f>VLOOKUP($I107,'[17]Resumen OPE'!$A$111:$M$132,AC$1,0)</f>
        <v>0</v>
      </c>
      <c r="AD107" s="65">
        <f>VLOOKUP($I107,'[17]Resumen OPE'!$A$111:$M$132,AD$1,0)</f>
        <v>0</v>
      </c>
      <c r="AE107" s="65">
        <f>VLOOKUP($I107,'[17]Resumen OPE'!$A$111:$M$132,AE$1,0)</f>
        <v>0</v>
      </c>
      <c r="AF107" s="65">
        <f>VLOOKUP($I107,'[17]Resumen OPE'!$A$111:$M$132,AF$1,0)</f>
        <v>0</v>
      </c>
      <c r="AG107" s="65">
        <f>VLOOKUP($I107,'[17]Resumen OPE'!$A$111:$M$132,AG$1,0)</f>
        <v>0</v>
      </c>
      <c r="AH107" s="65">
        <f>VLOOKUP($I107,'[17]Resumen OPE'!$A$111:$M$132,AH$1,0)</f>
        <v>0</v>
      </c>
      <c r="AI107" s="65">
        <f>VLOOKUP($I107,'[17]Resumen OPE'!$A$111:$M$132,AI$1,0)</f>
        <v>0</v>
      </c>
      <c r="AJ107" s="65">
        <f>VLOOKUP($I107,'[17]Resumen OPE'!$A$111:$M$132,AJ$1,0)</f>
        <v>0</v>
      </c>
      <c r="AK107" s="65">
        <f t="shared" si="63"/>
        <v>0</v>
      </c>
      <c r="AL107" s="73">
        <f t="shared" si="28"/>
        <v>0</v>
      </c>
      <c r="AM107" s="14">
        <f t="shared" si="29"/>
        <v>-1</v>
      </c>
      <c r="AN107" s="9">
        <f>+AK107-V107</f>
        <v>-31488.333333333332</v>
      </c>
    </row>
    <row r="108" spans="1:40" ht="14.45" customHeight="1" outlineLevel="1">
      <c r="A108" s="12"/>
      <c r="I108" s="246" t="s">
        <v>214</v>
      </c>
      <c r="J108" s="65">
        <v>7399</v>
      </c>
      <c r="K108" s="65">
        <v>7176</v>
      </c>
      <c r="L108" s="65">
        <v>8446</v>
      </c>
      <c r="M108" s="65">
        <v>7897</v>
      </c>
      <c r="N108" s="65">
        <v>7514</v>
      </c>
      <c r="O108" s="65">
        <v>8047</v>
      </c>
      <c r="P108" s="65">
        <v>8225</v>
      </c>
      <c r="Q108" s="65">
        <v>7906</v>
      </c>
      <c r="R108" s="225">
        <v>7498</v>
      </c>
      <c r="S108" s="225">
        <v>8150</v>
      </c>
      <c r="T108" s="225">
        <f t="shared" si="60"/>
        <v>7851.333333333333</v>
      </c>
      <c r="U108" s="225">
        <f t="shared" si="61"/>
        <v>7833.1111111111104</v>
      </c>
      <c r="V108" s="65">
        <f t="shared" si="62"/>
        <v>93942.444444444438</v>
      </c>
      <c r="W108" s="73">
        <f t="shared" si="26"/>
        <v>6.2742089609815071E-4</v>
      </c>
      <c r="X108" s="89"/>
      <c r="Y108" s="65">
        <f>VLOOKUP($I108,'[17]Resumen OPE'!$A$111:$M$132,Y$1,0)</f>
        <v>0</v>
      </c>
      <c r="Z108" s="65">
        <f>VLOOKUP($I108,'[17]Resumen OPE'!$A$111:$M$132,Z$1,0)</f>
        <v>0</v>
      </c>
      <c r="AA108" s="65">
        <f>VLOOKUP($I108,'[17]Resumen OPE'!$A$111:$M$132,AA$1,0)</f>
        <v>0</v>
      </c>
      <c r="AB108" s="65">
        <f>VLOOKUP($I108,'[17]Resumen OPE'!$A$111:$M$132,AB$1,0)</f>
        <v>0</v>
      </c>
      <c r="AC108" s="65">
        <f>VLOOKUP($I108,'[17]Resumen OPE'!$A$111:$M$132,AC$1,0)</f>
        <v>0</v>
      </c>
      <c r="AD108" s="65">
        <f>VLOOKUP($I108,'[17]Resumen OPE'!$A$111:$M$132,AD$1,0)</f>
        <v>0</v>
      </c>
      <c r="AE108" s="65">
        <f>VLOOKUP($I108,'[17]Resumen OPE'!$A$111:$M$132,AE$1,0)</f>
        <v>0</v>
      </c>
      <c r="AF108" s="65">
        <f>VLOOKUP($I108,'[17]Resumen OPE'!$A$111:$M$132,AF$1,0)</f>
        <v>0</v>
      </c>
      <c r="AG108" s="65">
        <f>VLOOKUP($I108,'[17]Resumen OPE'!$A$111:$M$132,AG$1,0)</f>
        <v>0</v>
      </c>
      <c r="AH108" s="65">
        <f>VLOOKUP($I108,'[17]Resumen OPE'!$A$111:$M$132,AH$1,0)</f>
        <v>0</v>
      </c>
      <c r="AI108" s="65">
        <f>VLOOKUP($I108,'[17]Resumen OPE'!$A$111:$M$132,AI$1,0)</f>
        <v>0</v>
      </c>
      <c r="AJ108" s="65">
        <f>VLOOKUP($I108,'[17]Resumen OPE'!$A$111:$M$132,AJ$1,0)</f>
        <v>0</v>
      </c>
      <c r="AK108" s="65">
        <f t="shared" si="63"/>
        <v>0</v>
      </c>
      <c r="AL108" s="73">
        <f t="shared" si="28"/>
        <v>0</v>
      </c>
      <c r="AM108" s="14">
        <f t="shared" si="29"/>
        <v>-1</v>
      </c>
      <c r="AN108" s="9">
        <f>+AK108-V108</f>
        <v>-93942.444444444438</v>
      </c>
    </row>
    <row r="109" spans="1:40" ht="14.45" customHeight="1">
      <c r="A109" s="12"/>
      <c r="E109" s="7" t="s">
        <v>474</v>
      </c>
      <c r="I109" s="167" t="s">
        <v>216</v>
      </c>
      <c r="J109" s="15">
        <v>58727</v>
      </c>
      <c r="K109" s="15">
        <v>57293</v>
      </c>
      <c r="L109" s="15">
        <v>72914</v>
      </c>
      <c r="M109" s="15">
        <v>64916</v>
      </c>
      <c r="N109" s="15">
        <v>58501</v>
      </c>
      <c r="O109" s="15">
        <v>63825</v>
      </c>
      <c r="P109" s="15">
        <v>63941</v>
      </c>
      <c r="Q109" s="15">
        <v>65247</v>
      </c>
      <c r="R109" s="15">
        <v>61668</v>
      </c>
      <c r="S109" s="15">
        <v>67811</v>
      </c>
      <c r="T109" s="15">
        <f t="shared" ref="R109:U109" si="69">SUM(T110:T113)</f>
        <v>64909</v>
      </c>
      <c r="U109" s="15">
        <f t="shared" si="69"/>
        <v>64796</v>
      </c>
      <c r="V109" s="15">
        <f t="shared" ref="V109" si="70">SUM(V110:V113)</f>
        <v>764549</v>
      </c>
      <c r="W109" s="72">
        <f t="shared" si="26"/>
        <v>5.1062543829655813E-3</v>
      </c>
      <c r="X109" s="89"/>
      <c r="Y109" s="15">
        <f>SUM(Y110:Y113)</f>
        <v>81709.861600160686</v>
      </c>
      <c r="Z109" s="15">
        <f t="shared" ref="Z109:AK109" si="71">SUM(Z110:Z113)</f>
        <v>75575.24552564224</v>
      </c>
      <c r="AA109" s="15">
        <f t="shared" si="71"/>
        <v>81709.861600160686</v>
      </c>
      <c r="AB109" s="15">
        <f t="shared" si="71"/>
        <v>77756.310485635884</v>
      </c>
      <c r="AC109" s="15">
        <f t="shared" si="71"/>
        <v>81709.861600160686</v>
      </c>
      <c r="AD109" s="15">
        <f t="shared" si="71"/>
        <v>77756.310485635884</v>
      </c>
      <c r="AE109" s="15">
        <f t="shared" si="71"/>
        <v>79801.182510475366</v>
      </c>
      <c r="AF109" s="15">
        <f t="shared" si="71"/>
        <v>79801.182510475366</v>
      </c>
      <c r="AG109" s="15">
        <f t="shared" si="71"/>
        <v>79664.989575321219</v>
      </c>
      <c r="AH109" s="15">
        <f t="shared" si="71"/>
        <v>79801.182510475366</v>
      </c>
      <c r="AI109" s="15">
        <f t="shared" si="71"/>
        <v>79664.989575321219</v>
      </c>
      <c r="AJ109" s="15">
        <f t="shared" si="71"/>
        <v>81709.861600160686</v>
      </c>
      <c r="AK109" s="15">
        <f t="shared" si="71"/>
        <v>956660.83957962529</v>
      </c>
      <c r="AL109" s="72">
        <f t="shared" si="28"/>
        <v>6.0067927732804513E-3</v>
      </c>
      <c r="AM109" s="10">
        <f t="shared" si="29"/>
        <v>0.25127472481113089</v>
      </c>
      <c r="AN109" s="9"/>
    </row>
    <row r="110" spans="1:40" ht="14.45" customHeight="1" outlineLevel="1">
      <c r="A110" s="12"/>
      <c r="I110" s="246" t="s">
        <v>217</v>
      </c>
      <c r="J110" s="65">
        <v>10818</v>
      </c>
      <c r="K110" s="65">
        <v>10319</v>
      </c>
      <c r="L110" s="65">
        <v>13390</v>
      </c>
      <c r="M110" s="65">
        <v>12003</v>
      </c>
      <c r="N110" s="65">
        <v>10557</v>
      </c>
      <c r="O110" s="65">
        <v>11491</v>
      </c>
      <c r="P110" s="65">
        <v>11680</v>
      </c>
      <c r="Q110" s="65">
        <v>11833</v>
      </c>
      <c r="R110" s="225">
        <v>11156</v>
      </c>
      <c r="S110" s="225">
        <v>12395</v>
      </c>
      <c r="T110" s="225">
        <f t="shared" ref="T110:T113" si="72">+AVERAGE(Q110:S110)</f>
        <v>11794.666666666666</v>
      </c>
      <c r="U110" s="225">
        <f t="shared" ref="U110:U113" si="73">+AVERAGE(R110:T110)</f>
        <v>11781.888888888889</v>
      </c>
      <c r="V110" s="65">
        <f t="shared" ref="V110:V113" si="74">SUM(J110:U110)</f>
        <v>139218.55555555556</v>
      </c>
      <c r="W110" s="73">
        <f t="shared" si="26"/>
        <v>9.2981007037572856E-4</v>
      </c>
      <c r="X110" s="89"/>
      <c r="Y110" s="65">
        <f>VLOOKUP($I110,'[17]Resumen OPE'!$A$111:$M$132,Y$1,0)</f>
        <v>14137.3919701625</v>
      </c>
      <c r="Z110" s="65">
        <f>VLOOKUP($I110,'[17]Resumen OPE'!$A$111:$M$132,Z$1,0)</f>
        <v>12929.990407099998</v>
      </c>
      <c r="AA110" s="65">
        <f>VLOOKUP($I110,'[17]Resumen OPE'!$A$111:$M$132,AA$1,0)</f>
        <v>14137.3919701625</v>
      </c>
      <c r="AB110" s="65">
        <f>VLOOKUP($I110,'[17]Resumen OPE'!$A$111:$M$132,AB$1,0)</f>
        <v>13288.685630625001</v>
      </c>
      <c r="AC110" s="65">
        <f>VLOOKUP($I110,'[17]Resumen OPE'!$A$111:$M$132,AC$1,0)</f>
        <v>14137.3919701625</v>
      </c>
      <c r="AD110" s="65">
        <f>VLOOKUP($I110,'[17]Resumen OPE'!$A$111:$M$132,AD$1,0)</f>
        <v>13288.685630625001</v>
      </c>
      <c r="AE110" s="65">
        <f>VLOOKUP($I110,'[17]Resumen OPE'!$A$111:$M$132,AE$1,0)</f>
        <v>13691.152818312499</v>
      </c>
      <c r="AF110" s="65">
        <f>VLOOKUP($I110,'[17]Resumen OPE'!$A$111:$M$132,AF$1,0)</f>
        <v>13691.152818312499</v>
      </c>
      <c r="AG110" s="65">
        <f>VLOOKUP($I110,'[17]Resumen OPE'!$A$111:$M$132,AG$1,0)</f>
        <v>13734.924782475</v>
      </c>
      <c r="AH110" s="65">
        <f>VLOOKUP($I110,'[17]Resumen OPE'!$A$111:$M$132,AH$1,0)</f>
        <v>13691.152818312499</v>
      </c>
      <c r="AI110" s="65">
        <f>VLOOKUP($I110,'[17]Resumen OPE'!$A$111:$M$132,AI$1,0)</f>
        <v>13734.924782475</v>
      </c>
      <c r="AJ110" s="65">
        <f>VLOOKUP($I110,'[17]Resumen OPE'!$A$111:$M$132,AJ$1,0)</f>
        <v>14137.3919701625</v>
      </c>
      <c r="AK110" s="65">
        <f t="shared" si="63"/>
        <v>164600.2375688875</v>
      </c>
      <c r="AL110" s="73">
        <f t="shared" si="28"/>
        <v>1.0335110172833048E-3</v>
      </c>
      <c r="AM110" s="14">
        <f t="shared" si="29"/>
        <v>0.18231536674149229</v>
      </c>
      <c r="AN110" s="9"/>
    </row>
    <row r="111" spans="1:40" ht="14.45" customHeight="1" outlineLevel="1">
      <c r="A111" s="12"/>
      <c r="I111" s="246" t="s">
        <v>218</v>
      </c>
      <c r="J111" s="65">
        <v>18038</v>
      </c>
      <c r="K111" s="65">
        <v>17058</v>
      </c>
      <c r="L111" s="65">
        <v>22450</v>
      </c>
      <c r="M111" s="65">
        <v>20194</v>
      </c>
      <c r="N111" s="65">
        <v>17616</v>
      </c>
      <c r="O111" s="65">
        <v>18946</v>
      </c>
      <c r="P111" s="65">
        <v>19255</v>
      </c>
      <c r="Q111" s="65">
        <v>19478</v>
      </c>
      <c r="R111" s="225">
        <v>18716</v>
      </c>
      <c r="S111" s="225">
        <v>20506</v>
      </c>
      <c r="T111" s="225">
        <f t="shared" si="72"/>
        <v>19566.666666666668</v>
      </c>
      <c r="U111" s="225">
        <f t="shared" si="73"/>
        <v>19596.222222222223</v>
      </c>
      <c r="V111" s="65">
        <f t="shared" si="74"/>
        <v>231419.88888888888</v>
      </c>
      <c r="W111" s="73">
        <f t="shared" si="26"/>
        <v>1.545602468833648E-3</v>
      </c>
      <c r="X111" s="89"/>
      <c r="Y111" s="65">
        <f>VLOOKUP($I111,'[17]Resumen OPE'!$A$111:$M$132,Y$1,0)</f>
        <v>26897.801962431167</v>
      </c>
      <c r="Z111" s="65">
        <f>VLOOKUP($I111,'[17]Resumen OPE'!$A$111:$M$132,Z$1,0)</f>
        <v>24600.599748548459</v>
      </c>
      <c r="AA111" s="65">
        <f>VLOOKUP($I111,'[17]Resumen OPE'!$A$111:$M$132,AA$1,0)</f>
        <v>26897.801962431167</v>
      </c>
      <c r="AB111" s="65">
        <f>VLOOKUP($I111,'[17]Resumen OPE'!$A$111:$M$132,AB$1,0)</f>
        <v>25283.05328082712</v>
      </c>
      <c r="AC111" s="65">
        <f>VLOOKUP($I111,'[17]Resumen OPE'!$A$111:$M$132,AC$1,0)</f>
        <v>26897.801962431167</v>
      </c>
      <c r="AD111" s="65">
        <f>VLOOKUP($I111,'[17]Resumen OPE'!$A$111:$M$132,AD$1,0)</f>
        <v>25283.05328082712</v>
      </c>
      <c r="AE111" s="65">
        <f>VLOOKUP($I111,'[17]Resumen OPE'!$A$111:$M$132,AE$1,0)</f>
        <v>26048.787352121362</v>
      </c>
      <c r="AF111" s="65">
        <f>VLOOKUP($I111,'[17]Resumen OPE'!$A$111:$M$132,AF$1,0)</f>
        <v>26048.787352121362</v>
      </c>
      <c r="AG111" s="65">
        <f>VLOOKUP($I111,'[17]Resumen OPE'!$A$111:$M$132,AG$1,0)</f>
        <v>26132.067891136936</v>
      </c>
      <c r="AH111" s="65">
        <f>VLOOKUP($I111,'[17]Resumen OPE'!$A$111:$M$132,AH$1,0)</f>
        <v>26048.787352121362</v>
      </c>
      <c r="AI111" s="65">
        <f>VLOOKUP($I111,'[17]Resumen OPE'!$A$111:$M$132,AI$1,0)</f>
        <v>26132.067891136936</v>
      </c>
      <c r="AJ111" s="65">
        <f>VLOOKUP($I111,'[17]Resumen OPE'!$A$111:$M$132,AJ$1,0)</f>
        <v>26897.801962431167</v>
      </c>
      <c r="AK111" s="65">
        <f t="shared" si="63"/>
        <v>313168.41199856531</v>
      </c>
      <c r="AL111" s="73">
        <f t="shared" si="28"/>
        <v>1.9663580614832153E-3</v>
      </c>
      <c r="AM111" s="14">
        <f t="shared" si="29"/>
        <v>0.35324761195839205</v>
      </c>
      <c r="AN111" s="9"/>
    </row>
    <row r="112" spans="1:40" ht="14.45" customHeight="1" outlineLevel="1">
      <c r="A112" s="12"/>
      <c r="I112" s="246" t="s">
        <v>219</v>
      </c>
      <c r="J112" s="65">
        <v>21677</v>
      </c>
      <c r="K112" s="65">
        <v>21530</v>
      </c>
      <c r="L112" s="65">
        <v>27024</v>
      </c>
      <c r="M112" s="65">
        <v>24673</v>
      </c>
      <c r="N112" s="65">
        <v>22324</v>
      </c>
      <c r="O112" s="65">
        <v>24126</v>
      </c>
      <c r="P112" s="65">
        <v>23937</v>
      </c>
      <c r="Q112" s="65">
        <v>24566</v>
      </c>
      <c r="R112" s="225">
        <v>22864</v>
      </c>
      <c r="S112" s="225">
        <v>25539</v>
      </c>
      <c r="T112" s="225">
        <f t="shared" si="72"/>
        <v>24323</v>
      </c>
      <c r="U112" s="225">
        <f t="shared" si="73"/>
        <v>24242</v>
      </c>
      <c r="V112" s="65">
        <f t="shared" si="74"/>
        <v>286825</v>
      </c>
      <c r="W112" s="73">
        <f t="shared" si="26"/>
        <v>1.9156410032504167E-3</v>
      </c>
      <c r="X112" s="89"/>
      <c r="Y112" s="65">
        <f>VLOOKUP($I112,'[17]Resumen OPE'!$A$111:$M$132,Y$1,0)</f>
        <v>29459.972472635702</v>
      </c>
      <c r="Z112" s="65">
        <f>VLOOKUP($I112,'[17]Resumen OPE'!$A$111:$M$132,Z$1,0)</f>
        <v>26829.960175062457</v>
      </c>
      <c r="AA112" s="65">
        <f>VLOOKUP($I112,'[17]Resumen OPE'!$A$111:$M$132,AA$1,0)</f>
        <v>29459.972472635702</v>
      </c>
      <c r="AB112" s="65">
        <f>VLOOKUP($I112,'[17]Resumen OPE'!$A$111:$M$132,AB$1,0)</f>
        <v>27969.876379252441</v>
      </c>
      <c r="AC112" s="65">
        <f>VLOOKUP($I112,'[17]Resumen OPE'!$A$111:$M$132,AC$1,0)</f>
        <v>29459.972472635702</v>
      </c>
      <c r="AD112" s="65">
        <f>VLOOKUP($I112,'[17]Resumen OPE'!$A$111:$M$132,AD$1,0)</f>
        <v>27969.876379252441</v>
      </c>
      <c r="AE112" s="65">
        <f>VLOOKUP($I112,'[17]Resumen OPE'!$A$111:$M$132,AE$1,0)</f>
        <v>28846.547145110184</v>
      </c>
      <c r="AF112" s="65">
        <f>VLOOKUP($I112,'[17]Resumen OPE'!$A$111:$M$132,AF$1,0)</f>
        <v>28846.547145110184</v>
      </c>
      <c r="AG112" s="65">
        <f>VLOOKUP($I112,'[17]Resumen OPE'!$A$111:$M$132,AG$1,0)</f>
        <v>28583.301706777955</v>
      </c>
      <c r="AH112" s="65">
        <f>VLOOKUP($I112,'[17]Resumen OPE'!$A$111:$M$132,AH$1,0)</f>
        <v>28846.547145110184</v>
      </c>
      <c r="AI112" s="65">
        <f>VLOOKUP($I112,'[17]Resumen OPE'!$A$111:$M$132,AI$1,0)</f>
        <v>28583.301706777955</v>
      </c>
      <c r="AJ112" s="65">
        <f>VLOOKUP($I112,'[17]Resumen OPE'!$A$111:$M$132,AJ$1,0)</f>
        <v>29459.972472635702</v>
      </c>
      <c r="AK112" s="65">
        <f t="shared" si="63"/>
        <v>344315.84767299658</v>
      </c>
      <c r="AL112" s="73">
        <f t="shared" si="28"/>
        <v>2.1619301846168486E-3</v>
      </c>
      <c r="AM112" s="14">
        <f t="shared" si="29"/>
        <v>0.200438761171434</v>
      </c>
      <c r="AN112" s="9"/>
    </row>
    <row r="113" spans="1:40" ht="14.45" customHeight="1" outlineLevel="1">
      <c r="A113" s="12"/>
      <c r="I113" s="246" t="s">
        <v>220</v>
      </c>
      <c r="J113" s="65">
        <v>8194</v>
      </c>
      <c r="K113" s="65">
        <v>8386</v>
      </c>
      <c r="L113" s="65">
        <v>10050</v>
      </c>
      <c r="M113" s="65">
        <v>8045</v>
      </c>
      <c r="N113" s="65">
        <v>8005</v>
      </c>
      <c r="O113" s="65">
        <v>9262</v>
      </c>
      <c r="P113" s="65">
        <v>9069</v>
      </c>
      <c r="Q113" s="65">
        <v>9371</v>
      </c>
      <c r="R113" s="225">
        <v>8932</v>
      </c>
      <c r="S113" s="225">
        <v>9371</v>
      </c>
      <c r="T113" s="225">
        <f t="shared" si="72"/>
        <v>9224.6666666666661</v>
      </c>
      <c r="U113" s="225">
        <f t="shared" si="73"/>
        <v>9175.8888888888887</v>
      </c>
      <c r="V113" s="65">
        <f t="shared" si="74"/>
        <v>107085.55555555556</v>
      </c>
      <c r="W113" s="73">
        <f t="shared" si="26"/>
        <v>7.1520084050578816E-4</v>
      </c>
      <c r="X113" s="89"/>
      <c r="Y113" s="65">
        <f>VLOOKUP($I113,'[17]Resumen OPE'!$A$111:$M$132,Y$1,0)</f>
        <v>11214.695194931321</v>
      </c>
      <c r="Z113" s="65">
        <f>VLOOKUP($I113,'[17]Resumen OPE'!$A$111:$M$132,Z$1,0)</f>
        <v>11214.695194931321</v>
      </c>
      <c r="AA113" s="65">
        <f>VLOOKUP($I113,'[17]Resumen OPE'!$A$111:$M$132,AA$1,0)</f>
        <v>11214.695194931321</v>
      </c>
      <c r="AB113" s="65">
        <f>VLOOKUP($I113,'[17]Resumen OPE'!$A$111:$M$132,AB$1,0)</f>
        <v>11214.695194931321</v>
      </c>
      <c r="AC113" s="65">
        <f>VLOOKUP($I113,'[17]Resumen OPE'!$A$111:$M$132,AC$1,0)</f>
        <v>11214.695194931321</v>
      </c>
      <c r="AD113" s="65">
        <f>VLOOKUP($I113,'[17]Resumen OPE'!$A$111:$M$132,AD$1,0)</f>
        <v>11214.695194931321</v>
      </c>
      <c r="AE113" s="65">
        <f>VLOOKUP($I113,'[17]Resumen OPE'!$A$111:$M$132,AE$1,0)</f>
        <v>11214.695194931321</v>
      </c>
      <c r="AF113" s="65">
        <f>VLOOKUP($I113,'[17]Resumen OPE'!$A$111:$M$132,AF$1,0)</f>
        <v>11214.695194931321</v>
      </c>
      <c r="AG113" s="65">
        <f>VLOOKUP($I113,'[17]Resumen OPE'!$A$111:$M$132,AG$1,0)</f>
        <v>11214.695194931321</v>
      </c>
      <c r="AH113" s="65">
        <f>VLOOKUP($I113,'[17]Resumen OPE'!$A$111:$M$132,AH$1,0)</f>
        <v>11214.695194931321</v>
      </c>
      <c r="AI113" s="65">
        <f>VLOOKUP($I113,'[17]Resumen OPE'!$A$111:$M$132,AI$1,0)</f>
        <v>11214.695194931321</v>
      </c>
      <c r="AJ113" s="65">
        <f>VLOOKUP($I113,'[17]Resumen OPE'!$A$111:$M$132,AJ$1,0)</f>
        <v>11214.695194931321</v>
      </c>
      <c r="AK113" s="65">
        <f t="shared" si="63"/>
        <v>134576.34233917584</v>
      </c>
      <c r="AL113" s="73">
        <f t="shared" si="28"/>
        <v>8.4499350989708272E-4</v>
      </c>
      <c r="AM113" s="14">
        <f t="shared" si="29"/>
        <v>0.25671797322243117</v>
      </c>
      <c r="AN113" s="9"/>
    </row>
    <row r="114" spans="1:40" ht="14.45" customHeight="1">
      <c r="A114" s="12"/>
      <c r="I114" s="167" t="s">
        <v>223</v>
      </c>
      <c r="J114" s="15">
        <v>264855</v>
      </c>
      <c r="K114" s="15">
        <v>40321</v>
      </c>
      <c r="L114" s="15">
        <v>198259</v>
      </c>
      <c r="M114" s="15">
        <v>200256</v>
      </c>
      <c r="N114" s="15">
        <v>180759</v>
      </c>
      <c r="O114" s="15">
        <v>372237</v>
      </c>
      <c r="P114" s="15">
        <v>161460</v>
      </c>
      <c r="Q114" s="15">
        <v>225226</v>
      </c>
      <c r="R114" s="15">
        <v>71514</v>
      </c>
      <c r="S114" s="15">
        <v>115880</v>
      </c>
      <c r="T114" s="15">
        <v>159763.24426317285</v>
      </c>
      <c r="U114" s="15">
        <v>165161.34193309772</v>
      </c>
      <c r="V114" s="15">
        <f t="shared" ref="V114" si="75">SUM(V115:V150)</f>
        <v>2165689.5861962703</v>
      </c>
      <c r="W114" s="72">
        <f t="shared" si="26"/>
        <v>1.4464163764072181E-2</v>
      </c>
      <c r="X114" s="89"/>
      <c r="Y114" s="15">
        <f>SUM(Y115:Y150)</f>
        <v>196430.6181869554</v>
      </c>
      <c r="Z114" s="15">
        <f t="shared" ref="Z114:AK114" si="76">SUM(Z115:Z150)</f>
        <v>210500.92710645741</v>
      </c>
      <c r="AA114" s="15">
        <f t="shared" si="76"/>
        <v>173781.23979737124</v>
      </c>
      <c r="AB114" s="15">
        <f t="shared" si="76"/>
        <v>151138.85308975392</v>
      </c>
      <c r="AC114" s="15">
        <f t="shared" si="76"/>
        <v>166818.34241604977</v>
      </c>
      <c r="AD114" s="15">
        <f t="shared" si="76"/>
        <v>165105.51295671717</v>
      </c>
      <c r="AE114" s="15">
        <f t="shared" si="76"/>
        <v>203619.18789317901</v>
      </c>
      <c r="AF114" s="15">
        <f t="shared" si="76"/>
        <v>203461.62348999429</v>
      </c>
      <c r="AG114" s="15">
        <f t="shared" si="76"/>
        <v>177614.59886709356</v>
      </c>
      <c r="AH114" s="15">
        <f t="shared" si="76"/>
        <v>157975.16600307034</v>
      </c>
      <c r="AI114" s="15">
        <f t="shared" si="76"/>
        <v>170807.91079067253</v>
      </c>
      <c r="AJ114" s="15">
        <f t="shared" si="76"/>
        <v>154801.41157726815</v>
      </c>
      <c r="AK114" s="15">
        <f t="shared" si="76"/>
        <v>2132055.3921745829</v>
      </c>
      <c r="AL114" s="72">
        <f t="shared" si="28"/>
        <v>1.3386996093177034E-2</v>
      </c>
      <c r="AM114" s="10">
        <f t="shared" si="29"/>
        <v>-1.5530477791492303E-2</v>
      </c>
      <c r="AN114" s="9"/>
    </row>
    <row r="115" spans="1:40" ht="14.45" customHeight="1" outlineLevel="1">
      <c r="A115" s="12"/>
      <c r="I115" s="246" t="s">
        <v>225</v>
      </c>
      <c r="J115" s="65">
        <v>0</v>
      </c>
      <c r="K115" s="65">
        <v>11896</v>
      </c>
      <c r="L115" s="65">
        <v>1310</v>
      </c>
      <c r="M115" s="65">
        <v>15001</v>
      </c>
      <c r="N115" s="65">
        <v>4770</v>
      </c>
      <c r="O115" s="65">
        <v>4750</v>
      </c>
      <c r="P115" s="65">
        <v>3398</v>
      </c>
      <c r="Q115" s="65">
        <v>3300</v>
      </c>
      <c r="R115" s="65">
        <v>5878</v>
      </c>
      <c r="S115" s="65">
        <v>6600</v>
      </c>
      <c r="T115" s="65">
        <v>4452.24</v>
      </c>
      <c r="U115" s="65">
        <v>4452.24</v>
      </c>
      <c r="V115" s="65">
        <f t="shared" ref="V115:V150" si="77">SUM(J115:U115)</f>
        <v>65807.48</v>
      </c>
      <c r="W115" s="73">
        <f t="shared" si="26"/>
        <v>4.395136651567392E-4</v>
      </c>
      <c r="X115" s="89"/>
      <c r="Y115" s="65">
        <f>VLOOKUP($E$1,[18]Resumen!$V$8:$AI$14,Y1,0)+VLOOKUP($E$1,[6]Resumen!$C$32:$O$39,Y1,0)</f>
        <v>5483.0180999999993</v>
      </c>
      <c r="Z115" s="65">
        <f>VLOOKUP($E$1,[18]Resumen!$V$8:$AI$14,Z1,0)+VLOOKUP($E$1,[6]Resumen!$C$32:$O$39,Z1,0)</f>
        <v>5483.0180999999993</v>
      </c>
      <c r="AA115" s="65">
        <f>VLOOKUP($E$1,[18]Resumen!$V$8:$AI$14,AA1,0)+VLOOKUP($E$1,[6]Resumen!$C$32:$O$39,AA1,0)</f>
        <v>5483.0180999999993</v>
      </c>
      <c r="AB115" s="65">
        <f>VLOOKUP($E$1,[18]Resumen!$V$8:$AI$14,AB1,0)+VLOOKUP($E$1,[6]Resumen!$C$32:$O$39,AB1,0)</f>
        <v>5483.0180999999993</v>
      </c>
      <c r="AC115" s="65">
        <f>VLOOKUP($E$1,[18]Resumen!$V$8:$AI$14,AC1,0)+VLOOKUP($E$1,[6]Resumen!$C$32:$O$39,AC1,0)</f>
        <v>5483.0180999999993</v>
      </c>
      <c r="AD115" s="65">
        <f>VLOOKUP($E$1,[18]Resumen!$V$8:$AI$14,AD1,0)+VLOOKUP($E$1,[6]Resumen!$C$32:$O$39,AD1,0)</f>
        <v>5483.0180999999993</v>
      </c>
      <c r="AE115" s="65">
        <f>VLOOKUP($E$1,[18]Resumen!$V$8:$AI$14,AE1,0)+VLOOKUP($E$1,[6]Resumen!$C$32:$O$39,AE1,0)</f>
        <v>5483.0180999999993</v>
      </c>
      <c r="AF115" s="65">
        <f>VLOOKUP($E$1,[18]Resumen!$V$8:$AI$14,AF1,0)+VLOOKUP($E$1,[6]Resumen!$C$32:$O$39,AF1,0)</f>
        <v>5483.0180999999993</v>
      </c>
      <c r="AG115" s="65">
        <f>VLOOKUP($E$1,[18]Resumen!$V$8:$AI$14,AG1,0)+VLOOKUP($E$1,[6]Resumen!$C$32:$O$39,AG1,0)</f>
        <v>5483.0180999999993</v>
      </c>
      <c r="AH115" s="65">
        <f>VLOOKUP($E$1,[18]Resumen!$V$8:$AI$14,AH1,0)+VLOOKUP($E$1,[6]Resumen!$C$32:$O$39,AH1,0)</f>
        <v>5483.0180999999993</v>
      </c>
      <c r="AI115" s="65">
        <f>VLOOKUP($E$1,[18]Resumen!$V$8:$AI$14,AI1,0)+VLOOKUP($E$1,[6]Resumen!$C$32:$O$39,AI1,0)</f>
        <v>5483.0180999999993</v>
      </c>
      <c r="AJ115" s="65">
        <f>VLOOKUP($E$1,[18]Resumen!$V$8:$AI$14,AJ1,0)+VLOOKUP($E$1,[6]Resumen!$C$32:$O$39,AJ1,0)</f>
        <v>5483.0180999999993</v>
      </c>
      <c r="AK115" s="65">
        <f t="shared" si="63"/>
        <v>65796.217199999999</v>
      </c>
      <c r="AL115" s="73">
        <f t="shared" si="28"/>
        <v>4.1312890173263482E-4</v>
      </c>
      <c r="AM115" s="14">
        <f t="shared" si="29"/>
        <v>-1.7114771755422087E-4</v>
      </c>
      <c r="AN115" s="9"/>
    </row>
    <row r="116" spans="1:40" ht="14.45" customHeight="1" outlineLevel="1">
      <c r="A116" s="12"/>
      <c r="I116" s="246" t="s">
        <v>227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/>
      <c r="U116" s="65"/>
      <c r="V116" s="65">
        <f t="shared" si="77"/>
        <v>0</v>
      </c>
      <c r="W116" s="73">
        <f t="shared" si="26"/>
        <v>0</v>
      </c>
      <c r="X116" s="89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>
        <f t="shared" si="63"/>
        <v>0</v>
      </c>
      <c r="AL116" s="73">
        <f t="shared" si="28"/>
        <v>0</v>
      </c>
      <c r="AM116" s="14">
        <f t="shared" si="29"/>
        <v>0</v>
      </c>
      <c r="AN116" s="9"/>
    </row>
    <row r="117" spans="1:40" ht="14.45" customHeight="1" outlineLevel="1">
      <c r="A117" s="12"/>
      <c r="I117" s="246" t="s">
        <v>228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/>
      <c r="U117" s="65"/>
      <c r="V117" s="65">
        <f t="shared" si="77"/>
        <v>0</v>
      </c>
      <c r="W117" s="73">
        <f t="shared" si="26"/>
        <v>0</v>
      </c>
      <c r="X117" s="89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>
        <f t="shared" si="63"/>
        <v>0</v>
      </c>
      <c r="AL117" s="73">
        <f t="shared" si="28"/>
        <v>0</v>
      </c>
      <c r="AM117" s="14">
        <f t="shared" si="29"/>
        <v>0</v>
      </c>
      <c r="AN117" s="9"/>
    </row>
    <row r="118" spans="1:40" ht="14.45" customHeight="1" outlineLevel="1">
      <c r="A118" s="12"/>
      <c r="I118" s="246" t="s">
        <v>229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15080</v>
      </c>
      <c r="S118" s="65">
        <v>0</v>
      </c>
      <c r="T118" s="65">
        <v>0</v>
      </c>
      <c r="U118" s="65">
        <v>0</v>
      </c>
      <c r="V118" s="65">
        <f t="shared" si="77"/>
        <v>15080</v>
      </c>
      <c r="W118" s="73">
        <f t="shared" si="26"/>
        <v>1.0071599870658515E-4</v>
      </c>
      <c r="X118" s="89"/>
      <c r="Y118" s="65">
        <f>VLOOKUP($E$1,[9]Resumen!$V$22:$AH$28,Y1,0)</f>
        <v>0</v>
      </c>
      <c r="Z118" s="65">
        <f>VLOOKUP($E$1,[9]Resumen!$V$22:$AH$28,Z1,0)</f>
        <v>36228.5</v>
      </c>
      <c r="AA118" s="65">
        <f>VLOOKUP($E$1,[9]Resumen!$V$22:$AH$28,AA1,0)</f>
        <v>0</v>
      </c>
      <c r="AB118" s="65">
        <f>VLOOKUP($E$1,[9]Resumen!$V$22:$AH$28,AB1,0)</f>
        <v>0</v>
      </c>
      <c r="AC118" s="65">
        <f>VLOOKUP($E$1,[9]Resumen!$V$22:$AH$28,AC1,0)</f>
        <v>0</v>
      </c>
      <c r="AD118" s="65">
        <f>VLOOKUP($E$1,[9]Resumen!$V$22:$AH$28,AD1,0)</f>
        <v>0</v>
      </c>
      <c r="AE118" s="65">
        <f>VLOOKUP($E$1,[9]Resumen!$V$22:$AH$28,AE1,0)</f>
        <v>0</v>
      </c>
      <c r="AF118" s="65">
        <f>VLOOKUP($E$1,[9]Resumen!$V$22:$AH$28,AF1,0)</f>
        <v>0</v>
      </c>
      <c r="AG118" s="65">
        <f>VLOOKUP($E$1,[9]Resumen!$V$22:$AH$28,AG1,0)</f>
        <v>0</v>
      </c>
      <c r="AH118" s="65">
        <f>VLOOKUP($E$1,[9]Resumen!$V$22:$AH$28,AH1,0)</f>
        <v>0</v>
      </c>
      <c r="AI118" s="65">
        <f>VLOOKUP($E$1,[9]Resumen!$V$22:$AH$28,AI1,0)</f>
        <v>0</v>
      </c>
      <c r="AJ118" s="65">
        <f>VLOOKUP($E$1,[9]Resumen!$V$22:$AH$28,AJ1,0)</f>
        <v>0</v>
      </c>
      <c r="AK118" s="65">
        <f t="shared" si="63"/>
        <v>36228.5</v>
      </c>
      <c r="AL118" s="73">
        <f t="shared" si="28"/>
        <v>2.274756977430119E-4</v>
      </c>
      <c r="AM118" s="14">
        <f t="shared" si="29"/>
        <v>1.402420424403183</v>
      </c>
      <c r="AN118" s="9"/>
    </row>
    <row r="119" spans="1:40" ht="14.45" customHeight="1" outlineLevel="1">
      <c r="A119" s="12"/>
      <c r="I119" s="246" t="s">
        <v>231</v>
      </c>
      <c r="J119" s="65">
        <v>0</v>
      </c>
      <c r="K119" s="65">
        <v>3611</v>
      </c>
      <c r="L119" s="65">
        <v>0</v>
      </c>
      <c r="M119" s="65">
        <v>2200</v>
      </c>
      <c r="N119" s="65">
        <v>0</v>
      </c>
      <c r="O119" s="65">
        <v>0</v>
      </c>
      <c r="P119" s="65">
        <v>11314</v>
      </c>
      <c r="Q119" s="65">
        <v>6900</v>
      </c>
      <c r="R119" s="65">
        <v>0</v>
      </c>
      <c r="S119" s="65">
        <v>0</v>
      </c>
      <c r="T119" s="65">
        <v>0</v>
      </c>
      <c r="U119" s="65">
        <v>0</v>
      </c>
      <c r="V119" s="65">
        <f t="shared" si="77"/>
        <v>24025</v>
      </c>
      <c r="W119" s="73">
        <f t="shared" si="26"/>
        <v>1.6045768361576314E-4</v>
      </c>
      <c r="X119" s="89"/>
      <c r="Y119" s="65">
        <f>VLOOKUP($E$1,[9]Resumen!$V$34:$AH$40,Y1,0)</f>
        <v>0</v>
      </c>
      <c r="Z119" s="65">
        <f>VLOOKUP($E$1,[9]Resumen!$V$34:$AH$40,Z1,0)</f>
        <v>0</v>
      </c>
      <c r="AA119" s="65">
        <f>VLOOKUP($E$1,[9]Resumen!$V$34:$AH$40,AA1,0)</f>
        <v>0</v>
      </c>
      <c r="AB119" s="65">
        <f>VLOOKUP($E$1,[9]Resumen!$V$34:$AH$40,AB1,0)</f>
        <v>0</v>
      </c>
      <c r="AC119" s="65">
        <f>VLOOKUP($E$1,[9]Resumen!$V$34:$AH$40,AC1,0)</f>
        <v>0</v>
      </c>
      <c r="AD119" s="65">
        <f>VLOOKUP($E$1,[9]Resumen!$V$34:$AH$40,AD1,0)</f>
        <v>0</v>
      </c>
      <c r="AE119" s="65">
        <f>VLOOKUP($E$1,[9]Resumen!$V$34:$AH$40,AE1,0)</f>
        <v>22169.771799999999</v>
      </c>
      <c r="AF119" s="65">
        <f>VLOOKUP($E$1,[9]Resumen!$V$34:$AH$40,AF1,0)</f>
        <v>0</v>
      </c>
      <c r="AG119" s="65">
        <f>VLOOKUP($E$1,[9]Resumen!$V$34:$AH$40,AG1,0)</f>
        <v>0</v>
      </c>
      <c r="AH119" s="65">
        <f>VLOOKUP($E$1,[9]Resumen!$V$34:$AH$40,AH1,0)</f>
        <v>0</v>
      </c>
      <c r="AI119" s="65">
        <f>VLOOKUP($E$1,[9]Resumen!$V$34:$AH$40,AI1,0)</f>
        <v>0</v>
      </c>
      <c r="AJ119" s="65">
        <f>VLOOKUP($E$1,[9]Resumen!$V$34:$AH$40,AJ1,0)</f>
        <v>0</v>
      </c>
      <c r="AK119" s="65">
        <f t="shared" si="63"/>
        <v>22169.771799999999</v>
      </c>
      <c r="AL119" s="73">
        <f t="shared" si="28"/>
        <v>1.3920212840742369E-4</v>
      </c>
      <c r="AM119" s="14">
        <f t="shared" si="29"/>
        <v>-7.722073673257035E-2</v>
      </c>
      <c r="AN119" s="9"/>
    </row>
    <row r="120" spans="1:40" ht="14.45" customHeight="1" outlineLevel="1">
      <c r="A120" s="12"/>
      <c r="I120" s="246" t="s">
        <v>232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/>
      <c r="U120" s="65"/>
      <c r="V120" s="65">
        <f t="shared" si="77"/>
        <v>0</v>
      </c>
      <c r="W120" s="73">
        <f t="shared" si="26"/>
        <v>0</v>
      </c>
      <c r="X120" s="89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>
        <f t="shared" si="63"/>
        <v>0</v>
      </c>
      <c r="AL120" s="73">
        <f t="shared" si="28"/>
        <v>0</v>
      </c>
      <c r="AM120" s="14">
        <f t="shared" si="29"/>
        <v>0</v>
      </c>
      <c r="AN120" s="9"/>
    </row>
    <row r="121" spans="1:40" ht="14.45" customHeight="1" outlineLevel="1">
      <c r="A121" s="12"/>
      <c r="E121" s="7" t="s">
        <v>254</v>
      </c>
      <c r="I121" s="246" t="s">
        <v>233</v>
      </c>
      <c r="J121" s="65">
        <v>37688</v>
      </c>
      <c r="K121" s="65">
        <v>0</v>
      </c>
      <c r="L121" s="65">
        <v>0</v>
      </c>
      <c r="M121" s="65">
        <v>2496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f t="shared" si="77"/>
        <v>40184</v>
      </c>
      <c r="W121" s="73">
        <f>V121/V$6</f>
        <v>2.6838008567807811E-4</v>
      </c>
      <c r="X121" s="89"/>
      <c r="Y121" s="65">
        <f>VLOOKUP($E$1,[8]Resumen!$V$68:$AH$74,Y1,0)</f>
        <v>39010.8488</v>
      </c>
      <c r="Z121" s="65">
        <f>VLOOKUP($E$1,[8]Resumen!$V$68:$AH$74,Z1,0)</f>
        <v>0</v>
      </c>
      <c r="AA121" s="65">
        <f>VLOOKUP($E$1,[8]Resumen!$V$68:$AH$74,AA1,0)</f>
        <v>0</v>
      </c>
      <c r="AB121" s="65">
        <f>VLOOKUP($E$1,[8]Resumen!$V$68:$AH$74,AB1,0)</f>
        <v>0</v>
      </c>
      <c r="AC121" s="65">
        <f>VLOOKUP($E$1,[8]Resumen!$V$68:$AH$74,AC1,0)</f>
        <v>0</v>
      </c>
      <c r="AD121" s="65">
        <f>VLOOKUP($E$1,[8]Resumen!$V$68:$AH$74,AD1,0)</f>
        <v>0</v>
      </c>
      <c r="AE121" s="65">
        <f>VLOOKUP($E$1,[8]Resumen!$V$68:$AH$74,AE1,0)</f>
        <v>0</v>
      </c>
      <c r="AF121" s="65">
        <f>VLOOKUP($E$1,[8]Resumen!$V$68:$AH$74,AF1,0)</f>
        <v>0</v>
      </c>
      <c r="AG121" s="65">
        <f>VLOOKUP($E$1,[8]Resumen!$V$68:$AH$74,AG1,0)</f>
        <v>0</v>
      </c>
      <c r="AH121" s="65">
        <f>VLOOKUP($E$1,[8]Resumen!$V$68:$AH$74,AH1,0)</f>
        <v>0</v>
      </c>
      <c r="AI121" s="65">
        <f>VLOOKUP($E$1,[8]Resumen!$V$68:$AH$74,AI1,0)</f>
        <v>0</v>
      </c>
      <c r="AJ121" s="65">
        <f>VLOOKUP($E$1,[8]Resumen!$V$68:$AH$74,AJ1,0)</f>
        <v>0</v>
      </c>
      <c r="AK121" s="65">
        <f t="shared" si="63"/>
        <v>39010.8488</v>
      </c>
      <c r="AL121" s="73">
        <f>AK121/AK$6</f>
        <v>2.4494583132967523E-4</v>
      </c>
      <c r="AM121" s="14">
        <f>IFERROR(AK121/V121-1,0)</f>
        <v>-2.9194485367310397E-2</v>
      </c>
      <c r="AN121" s="9"/>
    </row>
    <row r="122" spans="1:40" ht="14.45" customHeight="1" outlineLevel="1">
      <c r="A122" s="12"/>
      <c r="I122" s="246" t="s">
        <v>234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/>
      <c r="U122" s="65"/>
      <c r="V122" s="65">
        <f t="shared" si="77"/>
        <v>0</v>
      </c>
      <c r="W122" s="73">
        <f>V122/V$6</f>
        <v>0</v>
      </c>
      <c r="X122" s="89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>
        <f t="shared" si="63"/>
        <v>0</v>
      </c>
      <c r="AL122" s="73">
        <f>AK122/AK$6</f>
        <v>0</v>
      </c>
      <c r="AM122" s="14">
        <f>IFERROR(AK122/V122-1,0)</f>
        <v>0</v>
      </c>
      <c r="AN122" s="9"/>
    </row>
    <row r="123" spans="1:40" ht="14.45" customHeight="1" outlineLevel="1">
      <c r="A123" s="12"/>
      <c r="I123" s="246" t="s">
        <v>235</v>
      </c>
      <c r="J123" s="65">
        <v>6100</v>
      </c>
      <c r="K123" s="65">
        <v>0</v>
      </c>
      <c r="L123" s="65"/>
      <c r="M123" s="65">
        <v>0</v>
      </c>
      <c r="N123" s="65"/>
      <c r="O123" s="65"/>
      <c r="P123" s="65"/>
      <c r="Q123" s="65"/>
      <c r="R123" s="65"/>
      <c r="S123" s="65"/>
      <c r="T123" s="65">
        <v>0</v>
      </c>
      <c r="U123" s="65">
        <v>0</v>
      </c>
      <c r="V123" s="65">
        <f t="shared" si="77"/>
        <v>6100</v>
      </c>
      <c r="W123" s="73">
        <f>V123/V$6</f>
        <v>4.0740556505979401E-5</v>
      </c>
      <c r="X123" s="89"/>
      <c r="Y123" s="65">
        <f>VLOOKUP($E$1,[9]Resumen!$V$46:$AH$52,Y1,0)</f>
        <v>0</v>
      </c>
      <c r="Z123" s="65">
        <f>VLOOKUP($E$1,[9]Resumen!$V$46:$AH$52,Z1,0)</f>
        <v>6314.11</v>
      </c>
      <c r="AA123" s="65">
        <f>VLOOKUP($E$1,[9]Resumen!$V$46:$AH$52,AA1,0)</f>
        <v>0</v>
      </c>
      <c r="AB123" s="65">
        <f>VLOOKUP($E$1,[9]Resumen!$V$46:$AH$52,AB1,0)</f>
        <v>0</v>
      </c>
      <c r="AC123" s="65">
        <f>VLOOKUP($E$1,[9]Resumen!$V$46:$AH$52,AC1,0)</f>
        <v>0</v>
      </c>
      <c r="AD123" s="65">
        <f>VLOOKUP($E$1,[9]Resumen!$V$46:$AH$52,AD1,0)</f>
        <v>0</v>
      </c>
      <c r="AE123" s="65">
        <f>VLOOKUP($E$1,[9]Resumen!$V$46:$AH$52,AE1,0)</f>
        <v>0</v>
      </c>
      <c r="AF123" s="65">
        <f>VLOOKUP($E$1,[9]Resumen!$V$46:$AH$52,AF1,0)</f>
        <v>0</v>
      </c>
      <c r="AG123" s="65">
        <f>VLOOKUP($E$1,[9]Resumen!$V$46:$AH$52,AG1,0)</f>
        <v>0</v>
      </c>
      <c r="AH123" s="65">
        <f>VLOOKUP($E$1,[9]Resumen!$V$46:$AH$52,AH1,0)</f>
        <v>0</v>
      </c>
      <c r="AI123" s="65">
        <f>VLOOKUP($E$1,[9]Resumen!$V$46:$AH$52,AI1,0)</f>
        <v>0</v>
      </c>
      <c r="AJ123" s="65">
        <f>VLOOKUP($E$1,[9]Resumen!$V$46:$AH$52,AJ1,0)</f>
        <v>0</v>
      </c>
      <c r="AK123" s="65">
        <f t="shared" si="63"/>
        <v>6314.11</v>
      </c>
      <c r="AL123" s="73">
        <f>AK123/AK$6</f>
        <v>3.9645764463782076E-5</v>
      </c>
      <c r="AM123" s="14">
        <f>IFERROR(AK123/V123-1,0)</f>
        <v>3.5099999999999909E-2</v>
      </c>
      <c r="AN123" s="9"/>
    </row>
    <row r="124" spans="1:40" ht="14.45" customHeight="1" outlineLevel="1">
      <c r="A124" s="12"/>
      <c r="I124" s="246" t="s">
        <v>236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/>
      <c r="U124" s="65"/>
      <c r="V124" s="65">
        <f t="shared" si="77"/>
        <v>0</v>
      </c>
      <c r="W124" s="73">
        <f>V124/V$6</f>
        <v>0</v>
      </c>
      <c r="X124" s="89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>
        <f t="shared" si="63"/>
        <v>0</v>
      </c>
      <c r="AL124" s="73">
        <f>AK124/AK$6</f>
        <v>0</v>
      </c>
      <c r="AM124" s="14">
        <f>IFERROR(AK124/V124-1,0)</f>
        <v>0</v>
      </c>
      <c r="AN124" s="9"/>
    </row>
    <row r="125" spans="1:40" ht="14.45" customHeight="1" outlineLevel="1">
      <c r="A125" s="12"/>
      <c r="I125" s="246" t="s">
        <v>237</v>
      </c>
      <c r="J125" s="65">
        <v>17519</v>
      </c>
      <c r="K125" s="65">
        <v>2652</v>
      </c>
      <c r="L125" s="65">
        <v>88935</v>
      </c>
      <c r="M125" s="65">
        <v>35550</v>
      </c>
      <c r="N125" s="65">
        <v>36215</v>
      </c>
      <c r="O125" s="65">
        <v>266562</v>
      </c>
      <c r="P125" s="65">
        <v>9651</v>
      </c>
      <c r="Q125" s="65">
        <v>45689</v>
      </c>
      <c r="R125" s="65">
        <v>11949</v>
      </c>
      <c r="S125" s="65">
        <v>76286</v>
      </c>
      <c r="T125" s="65">
        <v>16514.898399999998</v>
      </c>
      <c r="U125" s="65">
        <v>16977.542399999998</v>
      </c>
      <c r="V125" s="65">
        <f t="shared" ref="V125:V135" si="78">SUM(J125:U125)</f>
        <v>624500.44079999998</v>
      </c>
      <c r="W125" s="73">
        <f t="shared" ref="W125:W135" si="79">V125/V$6</f>
        <v>4.170900901052696E-3</v>
      </c>
      <c r="X125" s="89"/>
      <c r="Y125" s="65">
        <f>VLOOKUP($E$1,[9]Resumen!$V$58:$AH$64,Y1,0)</f>
        <v>33229.259730776997</v>
      </c>
      <c r="Z125" s="65">
        <f>VLOOKUP($E$1,[9]Resumen!$V$58:$AH$64,Z1,0)</f>
        <v>23262.476450278999</v>
      </c>
      <c r="AA125" s="65">
        <f>VLOOKUP($E$1,[9]Resumen!$V$58:$AH$64,AA1,0)</f>
        <v>31120.904992484997</v>
      </c>
      <c r="AB125" s="65">
        <f>VLOOKUP($E$1,[9]Resumen!$V$58:$AH$64,AB1,0)</f>
        <v>25447.502411902999</v>
      </c>
      <c r="AC125" s="65">
        <f>VLOOKUP($E$1,[9]Resumen!$V$58:$AH$64,AC1,0)</f>
        <v>28629.208722091997</v>
      </c>
      <c r="AD125" s="65">
        <f>VLOOKUP($E$1,[9]Resumen!$V$58:$AH$64,AD1,0)</f>
        <v>24872.493752127997</v>
      </c>
      <c r="AE125" s="65">
        <f>VLOOKUP($E$1,[9]Resumen!$V$58:$AH$64,AE1,0)</f>
        <v>33995.937340001998</v>
      </c>
      <c r="AF125" s="65">
        <f>VLOOKUP($E$1,[9]Resumen!$V$58:$AH$64,AF1,0)</f>
        <v>23914.149035930997</v>
      </c>
      <c r="AG125" s="65">
        <f>VLOOKUP($E$1,[9]Resumen!$V$58:$AH$64,AG1,0)</f>
        <v>37350.145694344996</v>
      </c>
      <c r="AH125" s="65">
        <f>VLOOKUP($E$1,[9]Resumen!$V$58:$AH$64,AH1,0)</f>
        <v>24936.248179930997</v>
      </c>
      <c r="AI125" s="65">
        <f>VLOOKUP($E$1,[9]Resumen!$V$58:$AH$64,AI1,0)</f>
        <v>23432.423049903999</v>
      </c>
      <c r="AJ125" s="65">
        <f>VLOOKUP($E$1,[9]Resumen!$V$58:$AH$64,AJ1,0)</f>
        <v>23914.149035930997</v>
      </c>
      <c r="AK125" s="65">
        <f t="shared" si="63"/>
        <v>334104.89839570801</v>
      </c>
      <c r="AL125" s="73">
        <f t="shared" ref="AL125:AL135" si="80">AK125/AK$6</f>
        <v>2.0978164948016556E-3</v>
      </c>
      <c r="AM125" s="14">
        <f t="shared" ref="AM125:AM135" si="81">IFERROR(AK125/V125-1,0)</f>
        <v>-0.46500454352328136</v>
      </c>
      <c r="AN125" s="9"/>
    </row>
    <row r="126" spans="1:40" ht="14.45" customHeight="1" outlineLevel="1">
      <c r="A126" s="12"/>
      <c r="I126" s="246" t="s">
        <v>238</v>
      </c>
      <c r="J126" s="65">
        <v>0</v>
      </c>
      <c r="K126" s="65">
        <v>0</v>
      </c>
      <c r="L126" s="65">
        <v>431</v>
      </c>
      <c r="M126" s="65">
        <v>0</v>
      </c>
      <c r="N126" s="65">
        <v>431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844.48</v>
      </c>
      <c r="V126" s="65">
        <f t="shared" si="78"/>
        <v>1706.48</v>
      </c>
      <c r="W126" s="73">
        <f t="shared" si="79"/>
        <v>1.1397204076446513E-5</v>
      </c>
      <c r="X126" s="89"/>
      <c r="Y126" s="65">
        <f>VLOOKUP($E$1,[9]Resumen!$V$70:$AH$76,Y1,0)</f>
        <v>0</v>
      </c>
      <c r="Z126" s="65">
        <f>VLOOKUP($E$1,[9]Resumen!$V$70:$AH$76,Z1,0)</f>
        <v>455.44399999999996</v>
      </c>
      <c r="AA126" s="65">
        <f>VLOOKUP($E$1,[9]Resumen!$V$70:$AH$76,AA1,0)</f>
        <v>0</v>
      </c>
      <c r="AB126" s="65">
        <f>VLOOKUP($E$1,[9]Resumen!$V$70:$AH$76,AB1,0)</f>
        <v>455.44399999999996</v>
      </c>
      <c r="AC126" s="65">
        <f>VLOOKUP($E$1,[9]Resumen!$V$70:$AH$76,AC1,0)</f>
        <v>455.44399999999996</v>
      </c>
      <c r="AD126" s="65">
        <f>VLOOKUP($E$1,[9]Resumen!$V$70:$AH$76,AD1,0)</f>
        <v>0</v>
      </c>
      <c r="AE126" s="65">
        <f>VLOOKUP($E$1,[9]Resumen!$V$70:$AH$76,AE1,0)</f>
        <v>910.88799999999992</v>
      </c>
      <c r="AF126" s="65">
        <f>VLOOKUP($E$1,[9]Resumen!$V$70:$AH$76,AF1,0)</f>
        <v>2732.6639999999998</v>
      </c>
      <c r="AG126" s="65">
        <f>VLOOKUP($E$1,[9]Resumen!$V$70:$AH$76,AG1,0)</f>
        <v>0</v>
      </c>
      <c r="AH126" s="65">
        <f>VLOOKUP($E$1,[9]Resumen!$V$70:$AH$76,AH1,0)</f>
        <v>0</v>
      </c>
      <c r="AI126" s="65">
        <f>VLOOKUP($E$1,[9]Resumen!$V$70:$AH$76,AI1,0)</f>
        <v>910.88799999999992</v>
      </c>
      <c r="AJ126" s="65">
        <f>VLOOKUP($E$1,[9]Resumen!$V$70:$AH$76,AJ1,0)</f>
        <v>0</v>
      </c>
      <c r="AK126" s="65">
        <f t="shared" si="63"/>
        <v>5920.7719999999999</v>
      </c>
      <c r="AL126" s="73">
        <f t="shared" si="80"/>
        <v>3.7176028316857944E-5</v>
      </c>
      <c r="AM126" s="14">
        <f t="shared" si="81"/>
        <v>2.4695818292625753</v>
      </c>
      <c r="AN126" s="9"/>
    </row>
    <row r="127" spans="1:40" ht="14.45" customHeight="1" outlineLevel="1">
      <c r="A127" s="12"/>
      <c r="I127" s="250" t="s">
        <v>239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3499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f t="shared" si="78"/>
        <v>3499</v>
      </c>
      <c r="W127" s="73">
        <f t="shared" si="79"/>
        <v>2.3369050363019987E-5</v>
      </c>
      <c r="X127" s="89"/>
      <c r="Y127" s="65">
        <f>VLOOKUP($E$1,[8]Resumen!$V$80:$AH$86,Y1,0)</f>
        <v>0</v>
      </c>
      <c r="Z127" s="65">
        <f>VLOOKUP($E$1,[8]Resumen!$V$80:$AH$86,Z1,0)</f>
        <v>0</v>
      </c>
      <c r="AA127" s="65">
        <f>VLOOKUP($E$1,[8]Resumen!$V$80:$AH$86,AA1,0)</f>
        <v>0</v>
      </c>
      <c r="AB127" s="65">
        <f>VLOOKUP($E$1,[8]Resumen!$V$80:$AH$86,AB1,0)</f>
        <v>0</v>
      </c>
      <c r="AC127" s="65">
        <f>VLOOKUP($E$1,[8]Resumen!$V$80:$AH$86,AC1,0)</f>
        <v>0</v>
      </c>
      <c r="AD127" s="65">
        <f>VLOOKUP($E$1,[8]Resumen!$V$80:$AH$86,AD1,0)</f>
        <v>0</v>
      </c>
      <c r="AE127" s="65">
        <f>VLOOKUP($E$1,[8]Resumen!$V$80:$AH$86,AE1,0)</f>
        <v>4201.305284</v>
      </c>
      <c r="AF127" s="65">
        <f>VLOOKUP($E$1,[8]Resumen!$V$80:$AH$86,AF1,0)</f>
        <v>0</v>
      </c>
      <c r="AG127" s="65">
        <f>VLOOKUP($E$1,[8]Resumen!$V$80:$AH$86,AG1,0)</f>
        <v>0</v>
      </c>
      <c r="AH127" s="65">
        <f>VLOOKUP($E$1,[8]Resumen!$V$80:$AH$86,AH1,0)</f>
        <v>0</v>
      </c>
      <c r="AI127" s="65">
        <f>VLOOKUP($E$1,[8]Resumen!$V$80:$AH$86,AI1,0)</f>
        <v>0</v>
      </c>
      <c r="AJ127" s="65">
        <f>VLOOKUP($E$1,[8]Resumen!$V$80:$AH$86,AJ1,0)</f>
        <v>0</v>
      </c>
      <c r="AK127" s="65">
        <f t="shared" si="63"/>
        <v>4201.305284</v>
      </c>
      <c r="AL127" s="73">
        <f t="shared" si="80"/>
        <v>2.6379641743635615E-5</v>
      </c>
      <c r="AM127" s="14">
        <f t="shared" si="81"/>
        <v>0.20071600000000012</v>
      </c>
      <c r="AN127" s="9"/>
    </row>
    <row r="128" spans="1:40" ht="14.45" customHeight="1" outlineLevel="1">
      <c r="A128" s="12"/>
      <c r="I128" s="246" t="s">
        <v>240</v>
      </c>
      <c r="J128" s="65">
        <v>0</v>
      </c>
      <c r="K128" s="65">
        <v>0</v>
      </c>
      <c r="L128" s="65">
        <v>0</v>
      </c>
      <c r="M128" s="65">
        <v>4800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f t="shared" si="78"/>
        <v>4800</v>
      </c>
      <c r="W128" s="73">
        <f t="shared" si="79"/>
        <v>3.2058142824377234E-5</v>
      </c>
      <c r="X128" s="89"/>
      <c r="Y128" s="65">
        <f>VLOOKUP($E$1,[6]Resumen!$C$45:$O$51,Y1,0)+VLOOKUP($E$1,[9]Resumen!$V$82:$AH$88,Y1,0)</f>
        <v>0</v>
      </c>
      <c r="Z128" s="65">
        <f>VLOOKUP($E$1,[6]Resumen!$C$45:$O$51,Z1,0)+VLOOKUP($E$1,[9]Resumen!$V$82:$AH$88,Z1,0)</f>
        <v>7763.2499999999991</v>
      </c>
      <c r="AA128" s="65">
        <f>VLOOKUP($E$1,[6]Resumen!$C$45:$O$51,AA1,0)+VLOOKUP($E$1,[9]Resumen!$V$82:$AH$88,AA1,0)</f>
        <v>0</v>
      </c>
      <c r="AB128" s="65">
        <f>VLOOKUP($E$1,[6]Resumen!$C$45:$O$51,AB1,0)+VLOOKUP($E$1,[9]Resumen!$V$82:$AH$88,AB1,0)</f>
        <v>0</v>
      </c>
      <c r="AC128" s="65">
        <f>VLOOKUP($E$1,[6]Resumen!$C$45:$O$51,AC1,0)+VLOOKUP($E$1,[9]Resumen!$V$82:$AH$88,AC1,0)</f>
        <v>0</v>
      </c>
      <c r="AD128" s="65">
        <f>VLOOKUP($E$1,[6]Resumen!$C$45:$O$51,AD1,0)+VLOOKUP($E$1,[9]Resumen!$V$82:$AH$88,AD1,0)</f>
        <v>0</v>
      </c>
      <c r="AE128" s="65">
        <f>VLOOKUP($E$1,[6]Resumen!$C$45:$O$51,AE1,0)+VLOOKUP($E$1,[9]Resumen!$V$82:$AH$88,AE1,0)</f>
        <v>0</v>
      </c>
      <c r="AF128" s="65">
        <f>VLOOKUP($E$1,[6]Resumen!$C$45:$O$51,AF1,0)+VLOOKUP($E$1,[9]Resumen!$V$82:$AH$88,AF1,0)</f>
        <v>7763.2499999999991</v>
      </c>
      <c r="AG128" s="65">
        <f>VLOOKUP($E$1,[6]Resumen!$C$45:$O$51,AG1,0)+VLOOKUP($E$1,[9]Resumen!$V$82:$AH$88,AG1,0)</f>
        <v>0</v>
      </c>
      <c r="AH128" s="65">
        <f>VLOOKUP($E$1,[6]Resumen!$C$45:$O$51,AH1,0)+VLOOKUP($E$1,[9]Resumen!$V$82:$AH$88,AH1,0)</f>
        <v>0</v>
      </c>
      <c r="AI128" s="65">
        <f>VLOOKUP($E$1,[6]Resumen!$C$45:$O$51,AI1,0)+VLOOKUP($E$1,[9]Resumen!$V$82:$AH$88,AI1,0)</f>
        <v>0</v>
      </c>
      <c r="AJ128" s="65">
        <f>VLOOKUP($E$1,[6]Resumen!$C$45:$O$51,AJ1,0)+VLOOKUP($E$1,[9]Resumen!$V$82:$AH$88,AJ1,0)</f>
        <v>0</v>
      </c>
      <c r="AK128" s="65">
        <f t="shared" si="63"/>
        <v>15526.499999999998</v>
      </c>
      <c r="AL128" s="73">
        <f t="shared" si="80"/>
        <v>9.748958474700509E-5</v>
      </c>
      <c r="AM128" s="14">
        <f t="shared" si="81"/>
        <v>2.2346874999999997</v>
      </c>
      <c r="AN128" s="9"/>
    </row>
    <row r="129" spans="1:40" ht="14.45" customHeight="1" outlineLevel="1">
      <c r="A129" s="12"/>
      <c r="I129" s="246" t="s">
        <v>241</v>
      </c>
      <c r="J129" s="65">
        <v>0</v>
      </c>
      <c r="K129" s="65">
        <v>0</v>
      </c>
      <c r="L129" s="65">
        <v>0</v>
      </c>
      <c r="M129" s="65">
        <v>7400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f t="shared" si="78"/>
        <v>7400</v>
      </c>
      <c r="W129" s="73">
        <f t="shared" si="79"/>
        <v>4.9422970187581567E-5</v>
      </c>
      <c r="X129" s="89"/>
      <c r="Y129" s="65">
        <f>VLOOKUP($E$1,[9]Resumen!$V$94:$AH$100,Y1,0)</f>
        <v>0</v>
      </c>
      <c r="Z129" s="65">
        <f>VLOOKUP($E$1,[9]Resumen!$V$94:$AH$100,Z1,0)</f>
        <v>0</v>
      </c>
      <c r="AA129" s="65">
        <f>VLOOKUP($E$1,[9]Resumen!$V$94:$AH$100,AA1,0)</f>
        <v>0</v>
      </c>
      <c r="AB129" s="65">
        <f>VLOOKUP($E$1,[9]Resumen!$V$94:$AH$100,AB1,0)</f>
        <v>0</v>
      </c>
      <c r="AC129" s="65">
        <f>VLOOKUP($E$1,[9]Resumen!$V$94:$AH$100,AC1,0)</f>
        <v>0</v>
      </c>
      <c r="AD129" s="65">
        <f>VLOOKUP($E$1,[9]Resumen!$V$94:$AH$100,AD1,0)</f>
        <v>0</v>
      </c>
      <c r="AE129" s="65">
        <f>VLOOKUP($E$1,[9]Resumen!$V$94:$AH$100,AE1,0)</f>
        <v>0</v>
      </c>
      <c r="AF129" s="65">
        <f>VLOOKUP($E$1,[9]Resumen!$V$94:$AH$100,AF1,0)</f>
        <v>0</v>
      </c>
      <c r="AG129" s="65">
        <f>VLOOKUP($E$1,[9]Resumen!$V$94:$AH$100,AG1,0)</f>
        <v>0</v>
      </c>
      <c r="AH129" s="65">
        <f>VLOOKUP($E$1,[9]Resumen!$V$94:$AH$100,AH1,0)</f>
        <v>0</v>
      </c>
      <c r="AI129" s="65">
        <f>VLOOKUP($E$1,[9]Resumen!$V$94:$AH$100,AI1,0)</f>
        <v>0</v>
      </c>
      <c r="AJ129" s="65">
        <f>VLOOKUP($E$1,[9]Resumen!$V$94:$AH$100,AJ1,0)</f>
        <v>0</v>
      </c>
      <c r="AK129" s="65">
        <f t="shared" si="63"/>
        <v>0</v>
      </c>
      <c r="AL129" s="73">
        <f t="shared" si="80"/>
        <v>0</v>
      </c>
      <c r="AM129" s="14">
        <f t="shared" si="81"/>
        <v>-1</v>
      </c>
      <c r="AN129" s="9"/>
    </row>
    <row r="130" spans="1:40" ht="14.45" customHeight="1" outlineLevel="1">
      <c r="A130" s="12" t="s">
        <v>263</v>
      </c>
      <c r="B130" s="8" t="s">
        <v>88</v>
      </c>
      <c r="I130" s="246" t="s">
        <v>242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/>
      <c r="U130" s="65"/>
      <c r="V130" s="65">
        <f t="shared" si="78"/>
        <v>0</v>
      </c>
      <c r="W130" s="73">
        <f t="shared" si="79"/>
        <v>0</v>
      </c>
      <c r="X130" s="89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>
        <f t="shared" si="63"/>
        <v>0</v>
      </c>
      <c r="AL130" s="73">
        <f t="shared" si="80"/>
        <v>0</v>
      </c>
      <c r="AM130" s="14">
        <f t="shared" si="81"/>
        <v>0</v>
      </c>
      <c r="AN130" s="9"/>
    </row>
    <row r="131" spans="1:40" ht="14.45" customHeight="1" outlineLevel="1">
      <c r="A131" s="12" t="s">
        <v>263</v>
      </c>
      <c r="B131" s="8" t="s">
        <v>88</v>
      </c>
      <c r="I131" s="246" t="s">
        <v>243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f t="shared" si="78"/>
        <v>0</v>
      </c>
      <c r="W131" s="73">
        <f t="shared" si="79"/>
        <v>0</v>
      </c>
      <c r="X131" s="89"/>
      <c r="Y131" s="65">
        <f>VLOOKUP($E$1,[9]Resumen!$V$106:$AH$112,Y1,0)</f>
        <v>0</v>
      </c>
      <c r="Z131" s="65">
        <f>VLOOKUP($E$1,[9]Resumen!$V$106:$AH$112,Z1,0)</f>
        <v>0</v>
      </c>
      <c r="AA131" s="65">
        <f>VLOOKUP($E$1,[9]Resumen!$V$106:$AH$112,AA1,0)</f>
        <v>0</v>
      </c>
      <c r="AB131" s="65">
        <f>VLOOKUP($E$1,[9]Resumen!$V$106:$AH$112,AB1,0)</f>
        <v>0</v>
      </c>
      <c r="AC131" s="65">
        <f>VLOOKUP($E$1,[9]Resumen!$V$106:$AH$112,AC1,0)</f>
        <v>0</v>
      </c>
      <c r="AD131" s="65">
        <f>VLOOKUP($E$1,[9]Resumen!$V$106:$AH$112,AD1,0)</f>
        <v>0</v>
      </c>
      <c r="AE131" s="65">
        <f>VLOOKUP($E$1,[9]Resumen!$V$106:$AH$112,AE1,0)</f>
        <v>0</v>
      </c>
      <c r="AF131" s="65">
        <f>VLOOKUP($E$1,[9]Resumen!$V$106:$AH$112,AF1,0)</f>
        <v>0</v>
      </c>
      <c r="AG131" s="65">
        <f>VLOOKUP($E$1,[9]Resumen!$V$106:$AH$112,AG1,0)</f>
        <v>0</v>
      </c>
      <c r="AH131" s="65">
        <f>VLOOKUP($E$1,[9]Resumen!$V$106:$AH$112,AH1,0)</f>
        <v>0</v>
      </c>
      <c r="AI131" s="65">
        <f>VLOOKUP($E$1,[9]Resumen!$V$106:$AH$112,AI1,0)</f>
        <v>0</v>
      </c>
      <c r="AJ131" s="65">
        <f>VLOOKUP($E$1,[9]Resumen!$V$106:$AH$112,AJ1,0)</f>
        <v>0</v>
      </c>
      <c r="AK131" s="65">
        <f t="shared" si="63"/>
        <v>0</v>
      </c>
      <c r="AL131" s="73">
        <f t="shared" si="80"/>
        <v>0</v>
      </c>
      <c r="AM131" s="14">
        <f t="shared" si="81"/>
        <v>0</v>
      </c>
      <c r="AN131" s="9"/>
    </row>
    <row r="132" spans="1:40" ht="14.45" customHeight="1" outlineLevel="1">
      <c r="A132" s="12" t="s">
        <v>263</v>
      </c>
      <c r="B132" s="8" t="s">
        <v>88</v>
      </c>
      <c r="I132" s="246" t="s">
        <v>244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/>
      <c r="U132" s="65"/>
      <c r="V132" s="65">
        <f t="shared" si="78"/>
        <v>0</v>
      </c>
      <c r="W132" s="73">
        <f t="shared" si="79"/>
        <v>0</v>
      </c>
      <c r="X132" s="89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>
        <f t="shared" si="63"/>
        <v>0</v>
      </c>
      <c r="AL132" s="73">
        <f t="shared" si="80"/>
        <v>0</v>
      </c>
      <c r="AM132" s="14">
        <f t="shared" si="81"/>
        <v>0</v>
      </c>
      <c r="AN132" s="9"/>
    </row>
    <row r="133" spans="1:40" ht="14.45" customHeight="1" outlineLevel="1">
      <c r="A133" s="12" t="s">
        <v>263</v>
      </c>
      <c r="B133" s="8" t="s">
        <v>88</v>
      </c>
      <c r="I133" s="246" t="s">
        <v>245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/>
      <c r="U133" s="65"/>
      <c r="V133" s="65">
        <f t="shared" si="78"/>
        <v>0</v>
      </c>
      <c r="W133" s="73">
        <f t="shared" si="79"/>
        <v>0</v>
      </c>
      <c r="X133" s="89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>
        <f t="shared" si="63"/>
        <v>0</v>
      </c>
      <c r="AL133" s="73">
        <f t="shared" si="80"/>
        <v>0</v>
      </c>
      <c r="AM133" s="14">
        <f t="shared" si="81"/>
        <v>0</v>
      </c>
      <c r="AN133" s="9"/>
    </row>
    <row r="134" spans="1:40" ht="14.45" customHeight="1" outlineLevel="1">
      <c r="A134" s="12" t="s">
        <v>263</v>
      </c>
      <c r="B134" s="8" t="s">
        <v>88</v>
      </c>
      <c r="I134" s="246" t="s">
        <v>246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/>
      <c r="U134" s="65"/>
      <c r="V134" s="65">
        <f t="shared" si="78"/>
        <v>0</v>
      </c>
      <c r="W134" s="73">
        <f t="shared" si="79"/>
        <v>0</v>
      </c>
      <c r="X134" s="89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>
        <f t="shared" si="63"/>
        <v>0</v>
      </c>
      <c r="AL134" s="73">
        <f t="shared" si="80"/>
        <v>0</v>
      </c>
      <c r="AM134" s="14">
        <f t="shared" si="81"/>
        <v>0</v>
      </c>
      <c r="AN134" s="9"/>
    </row>
    <row r="135" spans="1:40" ht="14.45" customHeight="1" outlineLevel="1">
      <c r="A135" s="12" t="s">
        <v>263</v>
      </c>
      <c r="B135" s="8" t="s">
        <v>88</v>
      </c>
      <c r="C135" s="19" t="s">
        <v>268</v>
      </c>
      <c r="D135" s="12"/>
      <c r="E135" s="20"/>
      <c r="F135" s="12"/>
      <c r="G135" s="12"/>
      <c r="H135" s="12"/>
      <c r="I135" s="246" t="s">
        <v>247</v>
      </c>
      <c r="J135" s="65">
        <v>0</v>
      </c>
      <c r="K135" s="65">
        <v>5471</v>
      </c>
      <c r="L135" s="65">
        <v>0</v>
      </c>
      <c r="M135" s="65">
        <v>0</v>
      </c>
      <c r="N135" s="65">
        <v>0</v>
      </c>
      <c r="O135" s="65">
        <v>0</v>
      </c>
      <c r="P135" s="65">
        <v>8282</v>
      </c>
      <c r="Q135" s="65">
        <v>0</v>
      </c>
      <c r="R135" s="65">
        <v>0</v>
      </c>
      <c r="S135" s="65">
        <v>0</v>
      </c>
      <c r="T135" s="65">
        <v>1539.2</v>
      </c>
      <c r="U135" s="65">
        <v>0</v>
      </c>
      <c r="V135" s="65">
        <f t="shared" si="78"/>
        <v>15292.2</v>
      </c>
      <c r="W135" s="73">
        <f t="shared" si="79"/>
        <v>1.0213323577061282E-4</v>
      </c>
      <c r="X135" s="89"/>
      <c r="Y135" s="65">
        <f>VLOOKUP($E$1,[6]Resumen!$C$21:$O$27,Y1,0)+VLOOKUP($E$1,[9]Resumen!$V$118:$AH$124,Y1,0)</f>
        <v>5600</v>
      </c>
      <c r="Z135" s="65">
        <f>VLOOKUP($E$1,[6]Resumen!$C$21:$O$27,Z1,0)+VLOOKUP($E$1,[9]Resumen!$V$118:$AH$124,Z1,0)</f>
        <v>5600</v>
      </c>
      <c r="AA135" s="65">
        <f>VLOOKUP($E$1,[6]Resumen!$C$21:$O$27,AA1,0)+VLOOKUP($E$1,[9]Resumen!$V$118:$AH$124,AA1,0)</f>
        <v>0</v>
      </c>
      <c r="AB135" s="65">
        <f>VLOOKUP($E$1,[6]Resumen!$C$21:$O$27,AB1,0)+VLOOKUP($E$1,[9]Resumen!$V$118:$AH$124,AB1,0)</f>
        <v>0</v>
      </c>
      <c r="AC135" s="65">
        <f>VLOOKUP($E$1,[6]Resumen!$C$21:$O$27,AC1,0)+VLOOKUP($E$1,[9]Resumen!$V$118:$AH$124,AC1,0)</f>
        <v>1600</v>
      </c>
      <c r="AD135" s="65">
        <f>VLOOKUP($E$1,[6]Resumen!$C$21:$O$27,AD1,0)+VLOOKUP($E$1,[9]Resumen!$V$118:$AH$124,AD1,0)</f>
        <v>0</v>
      </c>
      <c r="AE135" s="65">
        <f>VLOOKUP($E$1,[6]Resumen!$C$21:$O$27,AE1,0)+VLOOKUP($E$1,[9]Resumen!$V$118:$AH$124,AE1,0)</f>
        <v>5600</v>
      </c>
      <c r="AF135" s="65">
        <f>VLOOKUP($E$1,[6]Resumen!$C$21:$O$27,AF1,0)+VLOOKUP($E$1,[9]Resumen!$V$118:$AH$124,AF1,0)</f>
        <v>5600</v>
      </c>
      <c r="AG135" s="65">
        <f>VLOOKUP($E$1,[6]Resumen!$C$21:$O$27,AG1,0)+VLOOKUP($E$1,[9]Resumen!$V$118:$AH$124,AG1,0)</f>
        <v>0</v>
      </c>
      <c r="AH135" s="65">
        <f>VLOOKUP($E$1,[6]Resumen!$C$21:$O$27,AH1,0)+VLOOKUP($E$1,[9]Resumen!$V$118:$AH$124,AH1,0)</f>
        <v>0</v>
      </c>
      <c r="AI135" s="65">
        <f>VLOOKUP($E$1,[6]Resumen!$C$21:$O$27,AI1,0)+VLOOKUP($E$1,[9]Resumen!$V$118:$AH$124,AI1,0)</f>
        <v>1600</v>
      </c>
      <c r="AJ135" s="65">
        <f>VLOOKUP($E$1,[6]Resumen!$C$21:$O$27,AJ1,0)+VLOOKUP($E$1,[9]Resumen!$V$118:$AH$124,AJ1,0)</f>
        <v>0</v>
      </c>
      <c r="AK135" s="65">
        <f t="shared" si="63"/>
        <v>25600</v>
      </c>
      <c r="AL135" s="73">
        <f t="shared" si="80"/>
        <v>1.6074024213591799E-4</v>
      </c>
      <c r="AM135" s="14">
        <f t="shared" si="81"/>
        <v>0.67405605472070729</v>
      </c>
      <c r="AN135" s="9"/>
    </row>
    <row r="136" spans="1:40" ht="14.45" customHeight="1" outlineLevel="1">
      <c r="A136" s="12" t="s">
        <v>263</v>
      </c>
      <c r="B136" s="8" t="s">
        <v>88</v>
      </c>
      <c r="I136" s="246" t="s">
        <v>249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/>
      <c r="U136" s="65"/>
      <c r="V136" s="65">
        <f t="shared" si="77"/>
        <v>0</v>
      </c>
      <c r="W136" s="73">
        <f t="shared" si="26"/>
        <v>0</v>
      </c>
      <c r="X136" s="89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>
        <f t="shared" si="63"/>
        <v>0</v>
      </c>
      <c r="AL136" s="73">
        <f t="shared" si="28"/>
        <v>0</v>
      </c>
      <c r="AM136" s="14">
        <f t="shared" si="29"/>
        <v>0</v>
      </c>
      <c r="AN136" s="9"/>
    </row>
    <row r="137" spans="1:40" ht="14.45" customHeight="1" outlineLevel="1">
      <c r="A137" s="12"/>
      <c r="I137" s="246" t="s">
        <v>250</v>
      </c>
      <c r="J137" s="65">
        <v>0</v>
      </c>
      <c r="K137" s="65">
        <v>764</v>
      </c>
      <c r="L137" s="65">
        <v>0</v>
      </c>
      <c r="M137" s="65">
        <v>704</v>
      </c>
      <c r="N137" s="65">
        <v>246</v>
      </c>
      <c r="O137" s="65">
        <v>0</v>
      </c>
      <c r="P137" s="65">
        <v>0</v>
      </c>
      <c r="Q137" s="65">
        <v>427</v>
      </c>
      <c r="R137" s="65">
        <v>0</v>
      </c>
      <c r="S137" s="65">
        <v>0</v>
      </c>
      <c r="T137" s="65">
        <v>0</v>
      </c>
      <c r="U137" s="65">
        <v>0</v>
      </c>
      <c r="V137" s="65">
        <f t="shared" si="77"/>
        <v>2141</v>
      </c>
      <c r="W137" s="73">
        <f t="shared" si="26"/>
        <v>1.4299267455623263E-5</v>
      </c>
      <c r="X137" s="89"/>
      <c r="Y137" s="65">
        <f>VLOOKUP($E$1,[9]Resumen!$V$130:$AH$136,Y1,0)</f>
        <v>0</v>
      </c>
      <c r="Z137" s="65">
        <f>VLOOKUP($E$1,[9]Resumen!$V$130:$AH$136,Z1,0)</f>
        <v>0</v>
      </c>
      <c r="AA137" s="65">
        <f>VLOOKUP($E$1,[9]Resumen!$V$130:$AH$136,AA1,0)</f>
        <v>15402.774496999999</v>
      </c>
      <c r="AB137" s="65">
        <f>VLOOKUP($E$1,[9]Resumen!$V$130:$AH$136,AB1,0)</f>
        <v>0</v>
      </c>
      <c r="AC137" s="65">
        <f>VLOOKUP($E$1,[9]Resumen!$V$130:$AH$136,AC1,0)</f>
        <v>0</v>
      </c>
      <c r="AD137" s="65">
        <f>VLOOKUP($E$1,[9]Resumen!$V$130:$AH$136,AD1,0)</f>
        <v>0</v>
      </c>
      <c r="AE137" s="65">
        <f>VLOOKUP($E$1,[9]Resumen!$V$130:$AH$136,AE1,0)</f>
        <v>0</v>
      </c>
      <c r="AF137" s="65">
        <f>VLOOKUP($E$1,[9]Resumen!$V$130:$AH$136,AF1,0)</f>
        <v>15402.774496999999</v>
      </c>
      <c r="AG137" s="65">
        <f>VLOOKUP($E$1,[9]Resumen!$V$130:$AH$136,AG1,0)</f>
        <v>0</v>
      </c>
      <c r="AH137" s="65">
        <f>VLOOKUP($E$1,[9]Resumen!$V$130:$AH$136,AH1,0)</f>
        <v>0</v>
      </c>
      <c r="AI137" s="65">
        <f>VLOOKUP($E$1,[9]Resumen!$V$130:$AH$136,AI1,0)</f>
        <v>0</v>
      </c>
      <c r="AJ137" s="65">
        <f>VLOOKUP($E$1,[9]Resumen!$V$130:$AH$136,AJ1,0)</f>
        <v>0</v>
      </c>
      <c r="AK137" s="65">
        <f t="shared" si="63"/>
        <v>30805.548993999997</v>
      </c>
      <c r="AL137" s="73">
        <f t="shared" si="28"/>
        <v>1.9342544548536892E-4</v>
      </c>
      <c r="AM137" s="14">
        <f t="shared" si="29"/>
        <v>13.388392804297055</v>
      </c>
      <c r="AN137" s="9"/>
    </row>
    <row r="138" spans="1:40" ht="14.45" customHeight="1" outlineLevel="1">
      <c r="I138" s="246" t="s">
        <v>251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/>
      <c r="U138" s="65"/>
      <c r="V138" s="65">
        <f t="shared" si="77"/>
        <v>0</v>
      </c>
      <c r="W138" s="73">
        <f t="shared" si="26"/>
        <v>0</v>
      </c>
      <c r="X138" s="89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>
        <f t="shared" si="63"/>
        <v>0</v>
      </c>
      <c r="AL138" s="73">
        <f t="shared" si="28"/>
        <v>0</v>
      </c>
      <c r="AM138" s="14">
        <f t="shared" si="29"/>
        <v>0</v>
      </c>
      <c r="AN138" s="9"/>
    </row>
    <row r="139" spans="1:40" ht="14.45" customHeight="1" outlineLevel="1">
      <c r="I139" s="246" t="s">
        <v>252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/>
      <c r="U139" s="65"/>
      <c r="V139" s="65">
        <f t="shared" si="77"/>
        <v>0</v>
      </c>
      <c r="W139" s="73">
        <f t="shared" si="26"/>
        <v>0</v>
      </c>
      <c r="X139" s="89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>
        <f t="shared" si="63"/>
        <v>0</v>
      </c>
      <c r="AL139" s="73">
        <f t="shared" si="28"/>
        <v>0</v>
      </c>
      <c r="AM139" s="14">
        <f t="shared" si="29"/>
        <v>0</v>
      </c>
      <c r="AN139" s="9"/>
    </row>
    <row r="140" spans="1:40" ht="14.45" customHeight="1" outlineLevel="1">
      <c r="I140" s="246" t="s">
        <v>253</v>
      </c>
      <c r="J140" s="65">
        <v>0</v>
      </c>
      <c r="K140" s="65">
        <v>0</v>
      </c>
      <c r="L140" s="65">
        <v>3900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f t="shared" si="77"/>
        <v>3900</v>
      </c>
      <c r="W140" s="73">
        <f t="shared" si="26"/>
        <v>2.6047241044806504E-5</v>
      </c>
      <c r="X140" s="89"/>
      <c r="Y140" s="65">
        <f>VLOOKUP($E$1,[9]Resumen!$V$142:$AH$148,Y1,0)</f>
        <v>0</v>
      </c>
      <c r="Z140" s="65">
        <f>VLOOKUP($E$1,[9]Resumen!$V$142:$AH$148,Z1,0)</f>
        <v>0</v>
      </c>
      <c r="AA140" s="65">
        <f>VLOOKUP($E$1,[9]Resumen!$V$142:$AH$148,AA1,0)</f>
        <v>6055.3349999999991</v>
      </c>
      <c r="AB140" s="65">
        <f>VLOOKUP($E$1,[9]Resumen!$V$142:$AH$148,AB1,0)</f>
        <v>0</v>
      </c>
      <c r="AC140" s="65">
        <f>VLOOKUP($E$1,[9]Resumen!$V$142:$AH$148,AC1,0)</f>
        <v>0</v>
      </c>
      <c r="AD140" s="65">
        <f>VLOOKUP($E$1,[9]Resumen!$V$142:$AH$148,AD1,0)</f>
        <v>0</v>
      </c>
      <c r="AE140" s="65">
        <f>VLOOKUP($E$1,[9]Resumen!$V$142:$AH$148,AE1,0)</f>
        <v>0</v>
      </c>
      <c r="AF140" s="65">
        <f>VLOOKUP($E$1,[9]Resumen!$V$142:$AH$148,AF1,0)</f>
        <v>0</v>
      </c>
      <c r="AG140" s="65">
        <f>VLOOKUP($E$1,[9]Resumen!$V$142:$AH$148,AG1,0)</f>
        <v>0</v>
      </c>
      <c r="AH140" s="65">
        <f>VLOOKUP($E$1,[9]Resumen!$V$142:$AH$148,AH1,0)</f>
        <v>0</v>
      </c>
      <c r="AI140" s="65">
        <f>VLOOKUP($E$1,[9]Resumen!$V$142:$AH$148,AI1,0)</f>
        <v>0</v>
      </c>
      <c r="AJ140" s="65">
        <f>VLOOKUP($E$1,[9]Resumen!$V$142:$AH$148,AJ1,0)</f>
        <v>0</v>
      </c>
      <c r="AK140" s="65">
        <f t="shared" si="63"/>
        <v>6055.3349999999991</v>
      </c>
      <c r="AL140" s="73">
        <f t="shared" si="28"/>
        <v>3.8020938051331983E-5</v>
      </c>
      <c r="AM140" s="14">
        <f t="shared" si="29"/>
        <v>0.55264999999999986</v>
      </c>
      <c r="AN140" s="9"/>
    </row>
    <row r="141" spans="1:40" ht="15.6" customHeight="1" outlineLevel="1">
      <c r="I141" s="246" t="s">
        <v>254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f t="shared" si="77"/>
        <v>0</v>
      </c>
      <c r="W141" s="73">
        <f t="shared" si="26"/>
        <v>0</v>
      </c>
      <c r="X141" s="89"/>
      <c r="Y141" s="65">
        <f>VLOOKUP($E$1,[9]Resumen!$V$154:$AH$160,Y1,0)</f>
        <v>0</v>
      </c>
      <c r="Z141" s="65">
        <f>VLOOKUP($E$1,[9]Resumen!$V$154:$AH$160,Z1,0)</f>
        <v>0</v>
      </c>
      <c r="AA141" s="65">
        <f>VLOOKUP($E$1,[9]Resumen!$V$154:$AH$160,AA1,0)</f>
        <v>0</v>
      </c>
      <c r="AB141" s="65">
        <f>VLOOKUP($E$1,[9]Resumen!$V$154:$AH$160,AB1,0)</f>
        <v>0</v>
      </c>
      <c r="AC141" s="65">
        <f>VLOOKUP($E$1,[9]Resumen!$V$154:$AH$160,AC1,0)</f>
        <v>0</v>
      </c>
      <c r="AD141" s="65">
        <f>VLOOKUP($E$1,[9]Resumen!$V$154:$AH$160,AD1,0)</f>
        <v>0</v>
      </c>
      <c r="AE141" s="65">
        <f>VLOOKUP($E$1,[9]Resumen!$V$154:$AH$160,AE1,0)</f>
        <v>0</v>
      </c>
      <c r="AF141" s="65">
        <f>VLOOKUP($E$1,[9]Resumen!$V$154:$AH$160,AF1,0)</f>
        <v>0</v>
      </c>
      <c r="AG141" s="65">
        <f>VLOOKUP($E$1,[9]Resumen!$V$154:$AH$160,AG1,0)</f>
        <v>0</v>
      </c>
      <c r="AH141" s="65">
        <f>VLOOKUP($E$1,[9]Resumen!$V$154:$AH$160,AH1,0)</f>
        <v>0</v>
      </c>
      <c r="AI141" s="65">
        <f>VLOOKUP($E$1,[9]Resumen!$V$154:$AH$160,AI1,0)</f>
        <v>0</v>
      </c>
      <c r="AJ141" s="65">
        <f>VLOOKUP($E$1,[9]Resumen!$V$154:$AH$160,AJ1,0)</f>
        <v>0</v>
      </c>
      <c r="AK141" s="65">
        <f t="shared" si="63"/>
        <v>0</v>
      </c>
      <c r="AL141" s="73">
        <f t="shared" si="28"/>
        <v>0</v>
      </c>
      <c r="AM141" s="14">
        <f t="shared" si="29"/>
        <v>0</v>
      </c>
      <c r="AN141" s="9"/>
    </row>
    <row r="142" spans="1:40" ht="14.45" customHeight="1" outlineLevel="1">
      <c r="I142" s="246" t="s">
        <v>255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14500</v>
      </c>
      <c r="R142" s="65">
        <v>0</v>
      </c>
      <c r="S142" s="65">
        <v>0</v>
      </c>
      <c r="T142" s="292">
        <v>10000</v>
      </c>
      <c r="U142" s="65">
        <v>0</v>
      </c>
      <c r="V142" s="65">
        <f t="shared" si="77"/>
        <v>24500</v>
      </c>
      <c r="W142" s="73">
        <f t="shared" si="26"/>
        <v>1.6363010399942548E-4</v>
      </c>
      <c r="X142" s="89"/>
      <c r="Y142" s="65">
        <f>VLOOKUP($E$1,[9]Resumen!$V$166:$AH$172,Y1,0)</f>
        <v>0</v>
      </c>
      <c r="Z142" s="65">
        <f>VLOOKUP($E$1,[9]Resumen!$V$166:$AH$172,Z1,0)</f>
        <v>0</v>
      </c>
      <c r="AA142" s="65">
        <f>VLOOKUP($E$1,[9]Resumen!$V$166:$AH$172,AA1,0)</f>
        <v>3622.8499999999995</v>
      </c>
      <c r="AB142" s="65">
        <f>VLOOKUP($E$1,[9]Resumen!$V$166:$AH$172,AB1,0)</f>
        <v>0</v>
      </c>
      <c r="AC142" s="65">
        <f>VLOOKUP($E$1,[9]Resumen!$V$166:$AH$172,AC1,0)</f>
        <v>0</v>
      </c>
      <c r="AD142" s="65">
        <f>VLOOKUP($E$1,[9]Resumen!$V$166:$AH$172,AD1,0)</f>
        <v>3622.8499999999995</v>
      </c>
      <c r="AE142" s="65">
        <f>VLOOKUP($E$1,[9]Resumen!$V$166:$AH$172,AE1,0)</f>
        <v>0</v>
      </c>
      <c r="AF142" s="65">
        <f>VLOOKUP($E$1,[9]Resumen!$V$166:$AH$172,AF1,0)</f>
        <v>0</v>
      </c>
      <c r="AG142" s="65">
        <f>VLOOKUP($E$1,[9]Resumen!$V$166:$AH$172,AG1,0)</f>
        <v>3622.8499999999995</v>
      </c>
      <c r="AH142" s="65">
        <f>VLOOKUP($E$1,[9]Resumen!$V$166:$AH$172,AH1,0)</f>
        <v>0</v>
      </c>
      <c r="AI142" s="65">
        <f>VLOOKUP($E$1,[9]Resumen!$V$166:$AH$172,AI1,0)</f>
        <v>0</v>
      </c>
      <c r="AJ142" s="65">
        <f>VLOOKUP($E$1,[9]Resumen!$V$166:$AH$172,AJ1,0)</f>
        <v>0</v>
      </c>
      <c r="AK142" s="65">
        <f t="shared" si="63"/>
        <v>10868.55</v>
      </c>
      <c r="AL142" s="73">
        <f t="shared" si="28"/>
        <v>6.824270932290357E-5</v>
      </c>
      <c r="AM142" s="14">
        <f t="shared" si="29"/>
        <v>-0.55638571428571426</v>
      </c>
      <c r="AN142" s="9"/>
    </row>
    <row r="143" spans="1:40" ht="15" outlineLevel="1">
      <c r="I143" s="246" t="s">
        <v>256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/>
      <c r="U143" s="65"/>
      <c r="V143" s="65">
        <f t="shared" si="77"/>
        <v>0</v>
      </c>
      <c r="W143" s="73">
        <f t="shared" si="26"/>
        <v>0</v>
      </c>
      <c r="X143" s="89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>
        <f t="shared" si="63"/>
        <v>0</v>
      </c>
      <c r="AL143" s="73">
        <f t="shared" si="28"/>
        <v>0</v>
      </c>
      <c r="AM143" s="14">
        <f t="shared" si="29"/>
        <v>0</v>
      </c>
    </row>
    <row r="144" spans="1:40" ht="15" outlineLevel="1">
      <c r="I144" s="246" t="s">
        <v>257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4930</v>
      </c>
      <c r="R144" s="65">
        <v>0</v>
      </c>
      <c r="S144" s="65">
        <v>4080</v>
      </c>
      <c r="T144" s="65">
        <v>0</v>
      </c>
      <c r="U144" s="65">
        <v>3754.4</v>
      </c>
      <c r="V144" s="65">
        <f t="shared" si="77"/>
        <v>12764.4</v>
      </c>
      <c r="W144" s="73">
        <f t="shared" si="26"/>
        <v>8.5250616305725162E-5</v>
      </c>
      <c r="X144" s="89"/>
      <c r="Y144" s="65">
        <f>VLOOKUP($E$1,[9]Resumen!$V$178:$AH$184,Y1,0)</f>
        <v>0</v>
      </c>
      <c r="Z144" s="65">
        <f>VLOOKUP($E$1,[9]Resumen!$V$178:$AH$184,Z1,0)</f>
        <v>10816.794999999998</v>
      </c>
      <c r="AA144" s="65">
        <f>VLOOKUP($E$1,[9]Resumen!$V$178:$AH$184,AA1,0)</f>
        <v>0</v>
      </c>
      <c r="AB144" s="65">
        <f>VLOOKUP($E$1,[9]Resumen!$V$178:$AH$184,AB1,0)</f>
        <v>0</v>
      </c>
      <c r="AC144" s="65">
        <f>VLOOKUP($E$1,[9]Resumen!$V$178:$AH$184,AC1,0)</f>
        <v>10816.794999999998</v>
      </c>
      <c r="AD144" s="65">
        <f>VLOOKUP($E$1,[9]Resumen!$V$178:$AH$184,AD1,0)</f>
        <v>0</v>
      </c>
      <c r="AE144" s="65">
        <f>VLOOKUP($E$1,[9]Resumen!$V$178:$AH$184,AE1,0)</f>
        <v>0</v>
      </c>
      <c r="AF144" s="65">
        <f>VLOOKUP($E$1,[9]Resumen!$V$178:$AH$184,AF1,0)</f>
        <v>10816.794999999998</v>
      </c>
      <c r="AG144" s="65">
        <f>VLOOKUP($E$1,[9]Resumen!$V$178:$AH$184,AG1,0)</f>
        <v>0</v>
      </c>
      <c r="AH144" s="65">
        <f>VLOOKUP($E$1,[9]Resumen!$V$178:$AH$184,AH1,0)</f>
        <v>0</v>
      </c>
      <c r="AI144" s="65">
        <f>VLOOKUP($E$1,[9]Resumen!$V$178:$AH$184,AI1,0)</f>
        <v>10816.794999999998</v>
      </c>
      <c r="AJ144" s="65">
        <f>VLOOKUP($E$1,[9]Resumen!$V$178:$AH$184,AJ1,0)</f>
        <v>0</v>
      </c>
      <c r="AK144" s="65">
        <f t="shared" si="63"/>
        <v>43267.179999999993</v>
      </c>
      <c r="AL144" s="73">
        <f t="shared" si="28"/>
        <v>2.7167097616165417E-4</v>
      </c>
      <c r="AM144" s="14">
        <f t="shared" si="29"/>
        <v>2.3896759738021367</v>
      </c>
    </row>
    <row r="145" spans="9:39" ht="15" outlineLevel="1">
      <c r="I145" s="246" t="s">
        <v>258</v>
      </c>
      <c r="J145" s="65">
        <v>0</v>
      </c>
      <c r="K145" s="65">
        <v>0</v>
      </c>
      <c r="L145" s="65">
        <v>0</v>
      </c>
      <c r="M145" s="65">
        <v>900</v>
      </c>
      <c r="N145" s="65">
        <v>3610</v>
      </c>
      <c r="O145" s="65">
        <v>0</v>
      </c>
      <c r="P145" s="65">
        <v>0</v>
      </c>
      <c r="Q145" s="65">
        <v>900</v>
      </c>
      <c r="R145" s="65">
        <v>0</v>
      </c>
      <c r="S145" s="65">
        <v>900</v>
      </c>
      <c r="T145" s="65">
        <v>0</v>
      </c>
      <c r="U145" s="65">
        <v>1040</v>
      </c>
      <c r="V145" s="65">
        <f t="shared" si="77"/>
        <v>7350</v>
      </c>
      <c r="W145" s="73">
        <f t="shared" si="26"/>
        <v>4.9089031199827644E-5</v>
      </c>
      <c r="X145" s="89"/>
      <c r="Y145" s="65">
        <f>VLOOKUP($E$1,[9]Resumen!$V$190:$AH$196,Y1,0)</f>
        <v>0</v>
      </c>
      <c r="Z145" s="65">
        <f>VLOOKUP($E$1,[9]Resumen!$V$190:$AH$196,Z1,0)</f>
        <v>1469.8419999999999</v>
      </c>
      <c r="AA145" s="65">
        <f>VLOOKUP($E$1,[9]Resumen!$V$190:$AH$196,AA1,0)</f>
        <v>0</v>
      </c>
      <c r="AB145" s="65">
        <f>VLOOKUP($E$1,[9]Resumen!$V$190:$AH$196,AB1,0)</f>
        <v>0</v>
      </c>
      <c r="AC145" s="65">
        <f>VLOOKUP($E$1,[9]Resumen!$V$190:$AH$196,AC1,0)</f>
        <v>1469.8419999999999</v>
      </c>
      <c r="AD145" s="65">
        <f>VLOOKUP($E$1,[9]Resumen!$V$190:$AH$196,AD1,0)</f>
        <v>0</v>
      </c>
      <c r="AE145" s="65">
        <f>VLOOKUP($E$1,[9]Resumen!$V$190:$AH$196,AE1,0)</f>
        <v>0</v>
      </c>
      <c r="AF145" s="65">
        <f>VLOOKUP($E$1,[9]Resumen!$V$190:$AH$196,AF1,0)</f>
        <v>1469.8419999999999</v>
      </c>
      <c r="AG145" s="65">
        <f>VLOOKUP($E$1,[9]Resumen!$V$190:$AH$196,AG1,0)</f>
        <v>0</v>
      </c>
      <c r="AH145" s="65">
        <f>VLOOKUP($E$1,[9]Resumen!$V$190:$AH$196,AH1,0)</f>
        <v>0</v>
      </c>
      <c r="AI145" s="65">
        <f>VLOOKUP($E$1,[9]Resumen!$V$190:$AH$196,AI1,0)</f>
        <v>1469.8419999999999</v>
      </c>
      <c r="AJ145" s="65">
        <f>VLOOKUP($E$1,[9]Resumen!$V$190:$AH$196,AJ1,0)</f>
        <v>0</v>
      </c>
      <c r="AK145" s="65">
        <f t="shared" si="63"/>
        <v>5879.3679999999995</v>
      </c>
      <c r="AL145" s="73">
        <f t="shared" si="28"/>
        <v>3.691605609086593E-5</v>
      </c>
      <c r="AM145" s="14">
        <f t="shared" ref="AM145:AM165" si="82">IFERROR(AK145/V145-1,0)</f>
        <v>-0.20008598639455788</v>
      </c>
    </row>
    <row r="146" spans="9:39" ht="15" outlineLevel="1">
      <c r="I146" s="246" t="s">
        <v>259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/>
      <c r="U146" s="65"/>
      <c r="V146" s="65">
        <f t="shared" si="77"/>
        <v>0</v>
      </c>
      <c r="W146" s="73">
        <f t="shared" si="26"/>
        <v>0</v>
      </c>
      <c r="X146" s="89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>
        <f t="shared" si="63"/>
        <v>0</v>
      </c>
      <c r="AL146" s="73">
        <f t="shared" si="28"/>
        <v>0</v>
      </c>
      <c r="AM146" s="14">
        <f t="shared" si="82"/>
        <v>0</v>
      </c>
    </row>
    <row r="147" spans="9:39" ht="15" outlineLevel="1">
      <c r="I147" s="251" t="s">
        <v>260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/>
      <c r="U147" s="65"/>
      <c r="V147" s="65">
        <f t="shared" si="77"/>
        <v>0</v>
      </c>
      <c r="W147" s="73">
        <f t="shared" si="26"/>
        <v>0</v>
      </c>
      <c r="X147" s="89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>
        <f t="shared" si="63"/>
        <v>0</v>
      </c>
      <c r="AL147" s="73">
        <f t="shared" si="28"/>
        <v>0</v>
      </c>
      <c r="AM147" s="14">
        <f t="shared" si="82"/>
        <v>0</v>
      </c>
    </row>
    <row r="148" spans="9:39" ht="15" outlineLevel="1">
      <c r="I148" s="251" t="s">
        <v>261</v>
      </c>
      <c r="J148" s="65"/>
      <c r="K148" s="65">
        <v>0</v>
      </c>
      <c r="L148" s="65"/>
      <c r="M148" s="65"/>
      <c r="N148" s="65"/>
      <c r="O148" s="65">
        <v>0</v>
      </c>
      <c r="P148" s="65"/>
      <c r="Q148" s="65"/>
      <c r="R148" s="65"/>
      <c r="S148" s="65"/>
      <c r="T148" s="65">
        <v>0</v>
      </c>
      <c r="U148" s="65">
        <v>3640</v>
      </c>
      <c r="V148" s="65">
        <f t="shared" si="77"/>
        <v>3640</v>
      </c>
      <c r="W148" s="73">
        <f t="shared" si="26"/>
        <v>2.4310758308486068E-5</v>
      </c>
      <c r="X148" s="89"/>
      <c r="Y148" s="65">
        <f>VLOOKUP($E$1,[9]Resumen!$V$214:$AH$220,Y1,0)</f>
        <v>0</v>
      </c>
      <c r="Z148" s="65">
        <f>VLOOKUP($E$1,[9]Resumen!$V$214:$AH$220,Z1,0)</f>
        <v>0</v>
      </c>
      <c r="AA148" s="65">
        <f>VLOOKUP($E$1,[9]Resumen!$V$214:$AH$220,AA1,0)</f>
        <v>0</v>
      </c>
      <c r="AB148" s="65">
        <f>VLOOKUP($E$1,[9]Resumen!$V$214:$AH$220,AB1,0)</f>
        <v>0</v>
      </c>
      <c r="AC148" s="65">
        <f>VLOOKUP($E$1,[9]Resumen!$V$214:$AH$220,AC1,0)</f>
        <v>0</v>
      </c>
      <c r="AD148" s="65">
        <f>VLOOKUP($E$1,[9]Resumen!$V$214:$AH$220,AD1,0)</f>
        <v>0</v>
      </c>
      <c r="AE148" s="65">
        <f>VLOOKUP($E$1,[9]Resumen!$V$214:$AH$220,AE1,0)</f>
        <v>0</v>
      </c>
      <c r="AF148" s="65">
        <f>VLOOKUP($E$1,[9]Resumen!$V$214:$AH$220,AF1,0)</f>
        <v>0</v>
      </c>
      <c r="AG148" s="65">
        <f>VLOOKUP($E$1,[9]Resumen!$V$214:$AH$220,AG1,0)</f>
        <v>0</v>
      </c>
      <c r="AH148" s="65">
        <f>VLOOKUP($E$1,[9]Resumen!$V$214:$AH$220,AH1,0)</f>
        <v>0</v>
      </c>
      <c r="AI148" s="65">
        <f>VLOOKUP($E$1,[9]Resumen!$V$214:$AH$220,AI1,0)</f>
        <v>0</v>
      </c>
      <c r="AJ148" s="65">
        <f>VLOOKUP($E$1,[9]Resumen!$V$214:$AH$220,AJ1,0)</f>
        <v>3208.8099999999995</v>
      </c>
      <c r="AK148" s="65">
        <f t="shared" si="63"/>
        <v>3208.8099999999995</v>
      </c>
      <c r="AL148" s="73">
        <f t="shared" si="28"/>
        <v>2.0147847514381051E-5</v>
      </c>
      <c r="AM148" s="14">
        <f t="shared" si="82"/>
        <v>-0.11845879120879133</v>
      </c>
    </row>
    <row r="149" spans="9:39" ht="15" outlineLevel="1">
      <c r="I149" s="290" t="s">
        <v>464</v>
      </c>
      <c r="J149" s="65"/>
      <c r="K149" s="65"/>
      <c r="L149" s="65"/>
      <c r="M149" s="65"/>
      <c r="N149" s="65"/>
      <c r="O149" s="65">
        <v>0</v>
      </c>
      <c r="P149" s="65"/>
      <c r="Q149" s="65"/>
      <c r="R149" s="65"/>
      <c r="S149" s="65"/>
      <c r="T149" s="65"/>
      <c r="U149" s="65"/>
      <c r="V149" s="65">
        <f t="shared" ref="V149" si="83">SUM(J149:U149)</f>
        <v>0</v>
      </c>
      <c r="W149" s="73">
        <f t="shared" si="26"/>
        <v>0</v>
      </c>
      <c r="X149" s="89"/>
      <c r="Y149" s="65">
        <f>VLOOKUP($E$1,[9]Detalle!$C$150:$O$156,Y1,0)</f>
        <v>0</v>
      </c>
      <c r="Z149" s="65">
        <f>VLOOKUP($E$1,[9]Detalle!$C$150:$O$156,Z1,0)</f>
        <v>0</v>
      </c>
      <c r="AA149" s="65">
        <f>VLOOKUP($E$1,[9]Detalle!$C$150:$O$156,AA1,0)</f>
        <v>0</v>
      </c>
      <c r="AB149" s="65">
        <f>VLOOKUP($E$1,[9]Detalle!$C$150:$O$156,AB1,0)</f>
        <v>0</v>
      </c>
      <c r="AC149" s="65">
        <f>VLOOKUP($E$1,[9]Detalle!$C$150:$O$156,AC1,0)</f>
        <v>0</v>
      </c>
      <c r="AD149" s="65">
        <f>VLOOKUP($E$1,[9]Detalle!$C$150:$O$156,AD1,0)</f>
        <v>0</v>
      </c>
      <c r="AE149" s="65">
        <f>VLOOKUP($E$1,[9]Detalle!$C$150:$O$156,AE1,0)</f>
        <v>0</v>
      </c>
      <c r="AF149" s="65">
        <f>VLOOKUP($E$1,[9]Detalle!$C$150:$O$156,AF1,0)</f>
        <v>0</v>
      </c>
      <c r="AG149" s="65">
        <f>VLOOKUP($E$1,[9]Detalle!$C$150:$O$156,AG1,0)</f>
        <v>0</v>
      </c>
      <c r="AH149" s="65">
        <f>VLOOKUP($E$1,[9]Detalle!$C$150:$O$156,AH1,0)</f>
        <v>0</v>
      </c>
      <c r="AI149" s="65">
        <f>VLOOKUP($E$1,[9]Detalle!$C$150:$O$156,AI1,0)</f>
        <v>0</v>
      </c>
      <c r="AJ149" s="65">
        <f>VLOOKUP($E$1,[9]Detalle!$C$150:$O$156,AJ1,0)</f>
        <v>0</v>
      </c>
      <c r="AK149" s="65">
        <f t="shared" ref="AK149" si="84">SUM(Y149:AJ149)</f>
        <v>0</v>
      </c>
      <c r="AL149" s="73">
        <f t="shared" ref="AL149" si="85">AK149/AK$6</f>
        <v>0</v>
      </c>
      <c r="AM149" s="14">
        <f t="shared" ref="AM149" si="86">IFERROR(AK149/V149-1,0)</f>
        <v>0</v>
      </c>
    </row>
    <row r="150" spans="9:39" ht="15" outlineLevel="1">
      <c r="I150" s="246" t="s">
        <v>262</v>
      </c>
      <c r="J150" s="65">
        <v>203548</v>
      </c>
      <c r="K150" s="65">
        <v>15927</v>
      </c>
      <c r="L150" s="65">
        <v>103683</v>
      </c>
      <c r="M150" s="65">
        <v>131205</v>
      </c>
      <c r="N150" s="65">
        <v>135487</v>
      </c>
      <c r="O150" s="65">
        <v>100925</v>
      </c>
      <c r="P150" s="65">
        <v>125315</v>
      </c>
      <c r="Q150" s="65">
        <v>148579</v>
      </c>
      <c r="R150" s="65">
        <v>38607</v>
      </c>
      <c r="S150" s="65">
        <v>28014</v>
      </c>
      <c r="T150" s="65">
        <v>137256.90586317284</v>
      </c>
      <c r="U150" s="65">
        <v>134452.67953309772</v>
      </c>
      <c r="V150" s="65">
        <f t="shared" si="77"/>
        <v>1302999.5853962705</v>
      </c>
      <c r="W150" s="73">
        <f t="shared" si="26"/>
        <v>8.7024472518204086E-3</v>
      </c>
      <c r="X150" s="89"/>
      <c r="Y150" s="65">
        <f>+Z150</f>
        <v>113107.4915561784</v>
      </c>
      <c r="Z150" s="65">
        <f>((Y40*3.41*4.5%)+(Y41*2.89*4.5%))+((Z7+Z8)*0.03*5.5%)</f>
        <v>113107.4915561784</v>
      </c>
      <c r="AA150" s="65">
        <f t="shared" ref="AA150:AJ150" si="87">((Z40*3.41*4.5%)+(Z41*2.89*4.5%))+((AA7+AA8)*0.03*5.5%)</f>
        <v>112096.35720788623</v>
      </c>
      <c r="AB150" s="65">
        <f t="shared" si="87"/>
        <v>119752.88857785093</v>
      </c>
      <c r="AC150" s="65">
        <f t="shared" si="87"/>
        <v>118364.03459395777</v>
      </c>
      <c r="AD150" s="65">
        <f t="shared" si="87"/>
        <v>131127.15110458917</v>
      </c>
      <c r="AE150" s="65">
        <f t="shared" si="87"/>
        <v>131258.26736917702</v>
      </c>
      <c r="AF150" s="65">
        <f t="shared" si="87"/>
        <v>130279.1308570633</v>
      </c>
      <c r="AG150" s="65">
        <f t="shared" si="87"/>
        <v>131158.58507274857</v>
      </c>
      <c r="AH150" s="65">
        <f t="shared" si="87"/>
        <v>127555.89972313933</v>
      </c>
      <c r="AI150" s="65">
        <f t="shared" si="87"/>
        <v>127094.94464076855</v>
      </c>
      <c r="AJ150" s="65">
        <f t="shared" si="87"/>
        <v>122195.43444133714</v>
      </c>
      <c r="AK150" s="65">
        <f t="shared" si="63"/>
        <v>1477097.6767008747</v>
      </c>
      <c r="AL150" s="73">
        <f t="shared" si="28"/>
        <v>9.2745718051289259E-3</v>
      </c>
      <c r="AM150" s="14">
        <f t="shared" si="82"/>
        <v>0.13361331289423029</v>
      </c>
    </row>
    <row r="151" spans="9:39" ht="15">
      <c r="I151" s="121" t="s">
        <v>264</v>
      </c>
      <c r="J151" s="15">
        <v>16855</v>
      </c>
      <c r="K151" s="15">
        <v>19472</v>
      </c>
      <c r="L151" s="15">
        <v>17541</v>
      </c>
      <c r="M151" s="15">
        <v>12189</v>
      </c>
      <c r="N151" s="15">
        <v>16584</v>
      </c>
      <c r="O151" s="15">
        <v>15825</v>
      </c>
      <c r="P151" s="15">
        <v>17739</v>
      </c>
      <c r="Q151" s="15">
        <v>16360</v>
      </c>
      <c r="R151" s="15">
        <v>23424</v>
      </c>
      <c r="S151" s="15">
        <v>20948</v>
      </c>
      <c r="T151" s="15">
        <f t="shared" ref="R151:U151" si="88">SUM(T152:T158)</f>
        <v>20852.888888888891</v>
      </c>
      <c r="U151" s="15">
        <f t="shared" si="88"/>
        <v>22350.518518518518</v>
      </c>
      <c r="V151" s="15">
        <f t="shared" ref="V151" si="89">SUM(V152:V158)</f>
        <v>221967.07407407407</v>
      </c>
      <c r="W151" s="72">
        <f t="shared" si="26"/>
        <v>1.4824692006199559E-3</v>
      </c>
      <c r="X151" s="89"/>
      <c r="Y151" s="15">
        <f>SUM(Y152:Y158)</f>
        <v>17445.5746</v>
      </c>
      <c r="Z151" s="15">
        <f t="shared" ref="Z151:AJ151" si="90">SUM(Z152:Z158)</f>
        <v>19912.538699999997</v>
      </c>
      <c r="AA151" s="15">
        <f t="shared" si="90"/>
        <v>17823.184099999999</v>
      </c>
      <c r="AB151" s="15">
        <f t="shared" si="90"/>
        <v>14785.276099999999</v>
      </c>
      <c r="AC151" s="15">
        <f t="shared" si="90"/>
        <v>17160.968099999998</v>
      </c>
      <c r="AD151" s="15">
        <f t="shared" si="90"/>
        <v>16059.316899999998</v>
      </c>
      <c r="AE151" s="15">
        <f t="shared" si="90"/>
        <v>18018.552399999997</v>
      </c>
      <c r="AF151" s="15">
        <f t="shared" si="90"/>
        <v>16591.015099999997</v>
      </c>
      <c r="AG151" s="15">
        <f t="shared" si="90"/>
        <v>23905.366299999998</v>
      </c>
      <c r="AH151" s="15">
        <f t="shared" si="90"/>
        <v>19504.977933333335</v>
      </c>
      <c r="AI151" s="15">
        <f t="shared" si="90"/>
        <v>20000.453111111106</v>
      </c>
      <c r="AJ151" s="15">
        <f t="shared" si="90"/>
        <v>21136.932448148138</v>
      </c>
      <c r="AK151" s="15">
        <f t="shared" ref="AK151" si="91">SUM(AK152:AK158)</f>
        <v>222344.15579259259</v>
      </c>
      <c r="AL151" s="72">
        <f t="shared" si="28"/>
        <v>1.3960802124846721E-3</v>
      </c>
      <c r="AM151" s="10">
        <f t="shared" si="82"/>
        <v>1.6988182598320911E-3</v>
      </c>
    </row>
    <row r="152" spans="9:39" ht="15" outlineLevel="1">
      <c r="I152" s="213" t="s">
        <v>265</v>
      </c>
      <c r="J152" s="67">
        <v>0</v>
      </c>
      <c r="K152" s="67">
        <v>0</v>
      </c>
      <c r="L152" s="67">
        <v>0</v>
      </c>
      <c r="M152" s="67">
        <v>0</v>
      </c>
      <c r="N152" s="67">
        <v>0</v>
      </c>
      <c r="O152" s="67">
        <v>0</v>
      </c>
      <c r="P152" s="67">
        <v>0</v>
      </c>
      <c r="Q152" s="67">
        <v>0</v>
      </c>
      <c r="R152" s="67">
        <v>0</v>
      </c>
      <c r="S152" s="67">
        <v>0</v>
      </c>
      <c r="T152" s="67"/>
      <c r="U152" s="67"/>
      <c r="V152" s="65">
        <f t="shared" ref="V152:V158" si="92">SUM(J152:U152)</f>
        <v>0</v>
      </c>
      <c r="W152" s="73">
        <f t="shared" si="26"/>
        <v>0</v>
      </c>
      <c r="X152" s="89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5">
        <f t="shared" si="63"/>
        <v>0</v>
      </c>
      <c r="AL152" s="73">
        <f t="shared" si="28"/>
        <v>0</v>
      </c>
      <c r="AM152" s="14">
        <f t="shared" si="82"/>
        <v>0</v>
      </c>
    </row>
    <row r="153" spans="9:39" ht="15" outlineLevel="1">
      <c r="I153" s="137" t="s">
        <v>292</v>
      </c>
      <c r="J153" s="67">
        <v>0</v>
      </c>
      <c r="K153" s="67">
        <v>0</v>
      </c>
      <c r="L153" s="67">
        <v>0</v>
      </c>
      <c r="M153" s="67">
        <v>0</v>
      </c>
      <c r="N153" s="67">
        <v>0</v>
      </c>
      <c r="O153" s="67">
        <v>0</v>
      </c>
      <c r="P153" s="67">
        <v>0</v>
      </c>
      <c r="Q153" s="67">
        <v>0</v>
      </c>
      <c r="R153" s="67">
        <v>0</v>
      </c>
      <c r="S153" s="67">
        <v>0</v>
      </c>
      <c r="T153" s="67"/>
      <c r="U153" s="67"/>
      <c r="V153" s="65">
        <f t="shared" si="92"/>
        <v>0</v>
      </c>
      <c r="W153" s="73">
        <f t="shared" si="26"/>
        <v>0</v>
      </c>
      <c r="X153" s="89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5">
        <f t="shared" si="63"/>
        <v>0</v>
      </c>
      <c r="AL153" s="73">
        <f t="shared" si="28"/>
        <v>0</v>
      </c>
      <c r="AM153" s="14">
        <f t="shared" si="82"/>
        <v>0</v>
      </c>
    </row>
    <row r="154" spans="9:39" ht="15" outlineLevel="1">
      <c r="I154" s="213" t="s">
        <v>266</v>
      </c>
      <c r="J154" s="65">
        <v>11029</v>
      </c>
      <c r="K154" s="65">
        <v>9820</v>
      </c>
      <c r="L154" s="65">
        <v>9749</v>
      </c>
      <c r="M154" s="65">
        <v>9794</v>
      </c>
      <c r="N154" s="65">
        <v>12464</v>
      </c>
      <c r="O154" s="65">
        <v>11527</v>
      </c>
      <c r="P154" s="65">
        <v>13507</v>
      </c>
      <c r="Q154" s="65">
        <v>12184</v>
      </c>
      <c r="R154" s="225">
        <v>18246</v>
      </c>
      <c r="S154" s="225">
        <v>18246</v>
      </c>
      <c r="T154" s="225">
        <f t="shared" ref="T154" si="93">+AVERAGE(Q154:S154)</f>
        <v>16225.333333333334</v>
      </c>
      <c r="U154" s="225">
        <f t="shared" ref="U154" si="94">+AVERAGE(R154:T154)</f>
        <v>17572.444444444445</v>
      </c>
      <c r="V154" s="65">
        <f t="shared" si="92"/>
        <v>160363.77777777778</v>
      </c>
      <c r="W154" s="73">
        <f t="shared" si="26"/>
        <v>1.0710343524701442E-3</v>
      </c>
      <c r="X154" s="89"/>
      <c r="Y154" s="65">
        <f>VLOOKUP($E$1,[8]Resumen!$V$104:$AH$110,Y1,0)</f>
        <v>11416.117899999999</v>
      </c>
      <c r="Z154" s="65">
        <f>VLOOKUP($E$1,[8]Resumen!$V$104:$AH$110,Z1,0)</f>
        <v>10164.681999999999</v>
      </c>
      <c r="AA154" s="65">
        <f>VLOOKUP($E$1,[8]Resumen!$V$104:$AH$110,AA1,0)</f>
        <v>10091.189899999999</v>
      </c>
      <c r="AB154" s="65">
        <f>VLOOKUP($E$1,[8]Resumen!$V$104:$AH$110,AB1,0)</f>
        <v>10137.769399999999</v>
      </c>
      <c r="AC154" s="65">
        <f>VLOOKUP($E$1,[8]Resumen!$V$104:$AH$110,AC1,0)</f>
        <v>12901.486399999998</v>
      </c>
      <c r="AD154" s="65">
        <f>VLOOKUP($E$1,[8]Resumen!$V$104:$AH$110,AD1,0)</f>
        <v>11931.597699999998</v>
      </c>
      <c r="AE154" s="65">
        <f>VLOOKUP($E$1,[8]Resumen!$V$104:$AH$110,AE1,0)</f>
        <v>13981.095699999998</v>
      </c>
      <c r="AF154" s="65">
        <f>VLOOKUP($E$1,[8]Resumen!$V$104:$AH$110,AF1,0)</f>
        <v>12611.658399999998</v>
      </c>
      <c r="AG154" s="65">
        <f>VLOOKUP($E$1,[8]Resumen!$V$104:$AH$110,AG1,0)</f>
        <v>18886.434599999997</v>
      </c>
      <c r="AH154" s="65">
        <f>VLOOKUP($E$1,[8]Resumen!$V$104:$AH$110,AH1,0)</f>
        <v>15159.729566666669</v>
      </c>
      <c r="AI154" s="65">
        <f>VLOOKUP($E$1,[8]Resumen!$V$104:$AH$110,AI1,0)</f>
        <v>15552.607522222219</v>
      </c>
      <c r="AJ154" s="65">
        <f>VLOOKUP($E$1,[8]Resumen!$V$104:$AH$110,AJ1,0)</f>
        <v>16532.923896296288</v>
      </c>
      <c r="AK154" s="65">
        <f t="shared" si="63"/>
        <v>159367.29298518517</v>
      </c>
      <c r="AL154" s="73">
        <f t="shared" si="28"/>
        <v>1.0006537993353299E-3</v>
      </c>
      <c r="AM154" s="14">
        <f t="shared" si="82"/>
        <v>-6.2139019571706422E-3</v>
      </c>
    </row>
    <row r="155" spans="9:39" ht="15" outlineLevel="1">
      <c r="I155" s="213" t="s">
        <v>267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f t="shared" si="92"/>
        <v>0</v>
      </c>
      <c r="W155" s="73">
        <f t="shared" si="26"/>
        <v>0</v>
      </c>
      <c r="X155" s="89"/>
      <c r="Y155" s="65">
        <f>VLOOKUP($E$1,[5]Resumen!$V$32:$AH$38,Y1,0)</f>
        <v>0</v>
      </c>
      <c r="Z155" s="65">
        <f>VLOOKUP($E$1,[5]Resumen!$V$32:$AH$38,Z1,0)</f>
        <v>0</v>
      </c>
      <c r="AA155" s="65">
        <f>VLOOKUP($E$1,[5]Resumen!$V$32:$AH$38,AA1,0)</f>
        <v>0</v>
      </c>
      <c r="AB155" s="65">
        <f>VLOOKUP($E$1,[5]Resumen!$V$32:$AH$38,AB1,0)</f>
        <v>0</v>
      </c>
      <c r="AC155" s="65">
        <f>VLOOKUP($E$1,[5]Resumen!$V$32:$AH$38,AC1,0)</f>
        <v>0</v>
      </c>
      <c r="AD155" s="65">
        <f>VLOOKUP($E$1,[5]Resumen!$V$32:$AH$38,AD1,0)</f>
        <v>0</v>
      </c>
      <c r="AE155" s="65">
        <f>VLOOKUP($E$1,[5]Resumen!$V$32:$AH$38,AE1,0)</f>
        <v>0</v>
      </c>
      <c r="AF155" s="65">
        <f>VLOOKUP($E$1,[5]Resumen!$V$32:$AH$38,AF1,0)</f>
        <v>0</v>
      </c>
      <c r="AG155" s="65">
        <f>VLOOKUP($E$1,[5]Resumen!$V$32:$AH$38,AG1,0)</f>
        <v>0</v>
      </c>
      <c r="AH155" s="65">
        <f>VLOOKUP($E$1,[5]Resumen!$V$32:$AH$38,AH1,0)</f>
        <v>0</v>
      </c>
      <c r="AI155" s="65">
        <f>VLOOKUP($E$1,[5]Resumen!$V$32:$AH$38,AI1,0)</f>
        <v>0</v>
      </c>
      <c r="AJ155" s="65">
        <f>VLOOKUP($E$1,[5]Resumen!$V$32:$AH$38,AJ1,0)</f>
        <v>0</v>
      </c>
      <c r="AK155" s="65">
        <f t="shared" si="63"/>
        <v>0</v>
      </c>
      <c r="AL155" s="73">
        <f t="shared" si="28"/>
        <v>0</v>
      </c>
      <c r="AM155" s="14">
        <f t="shared" si="82"/>
        <v>0</v>
      </c>
    </row>
    <row r="156" spans="9:39" ht="15" outlineLevel="1">
      <c r="I156" s="213" t="s">
        <v>269</v>
      </c>
      <c r="J156" s="65">
        <v>3450</v>
      </c>
      <c r="K156" s="65">
        <v>7034</v>
      </c>
      <c r="L156" s="65">
        <v>5091</v>
      </c>
      <c r="M156" s="65">
        <v>2118</v>
      </c>
      <c r="N156" s="65">
        <v>1744</v>
      </c>
      <c r="O156" s="65">
        <v>1617</v>
      </c>
      <c r="P156" s="65">
        <v>1530</v>
      </c>
      <c r="Q156" s="65">
        <v>1474</v>
      </c>
      <c r="R156" s="225">
        <v>2476</v>
      </c>
      <c r="S156" s="225">
        <f t="shared" ref="S156:T156" si="95">+AVERAGE(P156:R156)</f>
        <v>1826.6666666666667</v>
      </c>
      <c r="T156" s="225">
        <f t="shared" si="95"/>
        <v>1925.5555555555557</v>
      </c>
      <c r="U156" s="225">
        <f t="shared" ref="U156" si="96">+AVERAGE(R156:T156)</f>
        <v>2076.0740740740744</v>
      </c>
      <c r="V156" s="65">
        <f t="shared" si="92"/>
        <v>32362.296296296296</v>
      </c>
      <c r="W156" s="73">
        <f t="shared" si="26"/>
        <v>2.1614064933155855E-4</v>
      </c>
      <c r="X156" s="89"/>
      <c r="Y156" s="65">
        <f>J156*1.0375</f>
        <v>3579.3750000000005</v>
      </c>
      <c r="Z156" s="65">
        <f t="shared" ref="Z156:AJ156" si="97">K156*1.0375</f>
        <v>7297.7750000000005</v>
      </c>
      <c r="AA156" s="65">
        <f t="shared" si="97"/>
        <v>5281.9125000000004</v>
      </c>
      <c r="AB156" s="65">
        <f t="shared" si="97"/>
        <v>2197.4250000000002</v>
      </c>
      <c r="AC156" s="65">
        <f t="shared" si="97"/>
        <v>1809.4</v>
      </c>
      <c r="AD156" s="65">
        <f t="shared" si="97"/>
        <v>1677.6375</v>
      </c>
      <c r="AE156" s="65">
        <f t="shared" si="97"/>
        <v>1587.3750000000002</v>
      </c>
      <c r="AF156" s="65">
        <f t="shared" si="97"/>
        <v>1529.2750000000001</v>
      </c>
      <c r="AG156" s="65">
        <f t="shared" si="97"/>
        <v>2568.8500000000004</v>
      </c>
      <c r="AH156" s="65">
        <f t="shared" si="97"/>
        <v>1895.166666666667</v>
      </c>
      <c r="AI156" s="65">
        <f t="shared" si="97"/>
        <v>1997.7638888888891</v>
      </c>
      <c r="AJ156" s="65">
        <f t="shared" si="97"/>
        <v>2153.9268518518525</v>
      </c>
      <c r="AK156" s="65">
        <f t="shared" si="63"/>
        <v>33575.882407407422</v>
      </c>
      <c r="AL156" s="73">
        <f t="shared" si="28"/>
        <v>2.108201354724132E-4</v>
      </c>
      <c r="AM156" s="14">
        <f t="shared" si="82"/>
        <v>3.7500000000000533E-2</v>
      </c>
    </row>
    <row r="157" spans="9:39" ht="15" outlineLevel="1">
      <c r="I157" s="213"/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/>
      <c r="Q157" s="65">
        <v>0</v>
      </c>
      <c r="R157" s="65">
        <v>0</v>
      </c>
      <c r="S157" s="65">
        <v>0</v>
      </c>
      <c r="T157" s="65"/>
      <c r="U157" s="65"/>
      <c r="V157" s="65">
        <f t="shared" si="92"/>
        <v>0</v>
      </c>
      <c r="W157" s="73">
        <f t="shared" si="26"/>
        <v>0</v>
      </c>
      <c r="X157" s="89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>
        <f t="shared" si="63"/>
        <v>0</v>
      </c>
      <c r="AL157" s="73">
        <f t="shared" si="28"/>
        <v>0</v>
      </c>
      <c r="AM157" s="14">
        <f t="shared" si="82"/>
        <v>0</v>
      </c>
    </row>
    <row r="158" spans="9:39" ht="15" outlineLevel="1">
      <c r="I158" s="213" t="s">
        <v>270</v>
      </c>
      <c r="J158" s="67">
        <v>2376</v>
      </c>
      <c r="K158" s="67">
        <v>2618</v>
      </c>
      <c r="L158" s="67">
        <v>2702</v>
      </c>
      <c r="M158" s="67">
        <v>276</v>
      </c>
      <c r="N158" s="67">
        <v>2376</v>
      </c>
      <c r="O158" s="67">
        <v>2681</v>
      </c>
      <c r="P158" s="67">
        <v>2702</v>
      </c>
      <c r="Q158" s="67">
        <v>2702</v>
      </c>
      <c r="R158" s="225">
        <v>2702</v>
      </c>
      <c r="S158" s="225">
        <v>2702</v>
      </c>
      <c r="T158" s="225">
        <f t="shared" ref="T158" si="98">+AVERAGE(Q158:S158)</f>
        <v>2702</v>
      </c>
      <c r="U158" s="225">
        <f t="shared" ref="U158" si="99">+AVERAGE(R158:T158)</f>
        <v>2702</v>
      </c>
      <c r="V158" s="65">
        <f t="shared" si="92"/>
        <v>29241</v>
      </c>
      <c r="W158" s="73">
        <f>V158/V$6</f>
        <v>1.9529419881825306E-4</v>
      </c>
      <c r="X158" s="89"/>
      <c r="Y158" s="67">
        <f>VLOOKUP($E$1,[19]Resumen!$V$8:$AH$14,Y1,0)</f>
        <v>2450.0816999999997</v>
      </c>
      <c r="Z158" s="67">
        <f>VLOOKUP($E$1,[19]Resumen!$V$8:$AH$14,Z1,0)</f>
        <v>2450.0816999999997</v>
      </c>
      <c r="AA158" s="67">
        <f>VLOOKUP($E$1,[19]Resumen!$V$8:$AH$14,AA1,0)</f>
        <v>2450.0816999999997</v>
      </c>
      <c r="AB158" s="67">
        <f>VLOOKUP($E$1,[19]Resumen!$V$8:$AH$14,AB1,0)</f>
        <v>2450.0816999999997</v>
      </c>
      <c r="AC158" s="67">
        <f>VLOOKUP($E$1,[19]Resumen!$V$8:$AH$14,AC1,0)</f>
        <v>2450.0816999999997</v>
      </c>
      <c r="AD158" s="67">
        <f>VLOOKUP($E$1,[19]Resumen!$V$8:$AH$14,AD1,0)</f>
        <v>2450.0816999999997</v>
      </c>
      <c r="AE158" s="67">
        <f>VLOOKUP($E$1,[19]Resumen!$V$8:$AH$14,AE1,0)</f>
        <v>2450.0816999999997</v>
      </c>
      <c r="AF158" s="67">
        <f>VLOOKUP($E$1,[19]Resumen!$V$8:$AH$14,AF1,0)</f>
        <v>2450.0816999999997</v>
      </c>
      <c r="AG158" s="67">
        <f>VLOOKUP($E$1,[19]Resumen!$V$8:$AH$14,AG1,0)</f>
        <v>2450.0816999999997</v>
      </c>
      <c r="AH158" s="67">
        <f>VLOOKUP($E$1,[19]Resumen!$V$8:$AH$14,AH1,0)</f>
        <v>2450.0816999999997</v>
      </c>
      <c r="AI158" s="67">
        <f>VLOOKUP($E$1,[19]Resumen!$V$8:$AH$14,AI1,0)</f>
        <v>2450.0816999999997</v>
      </c>
      <c r="AJ158" s="67">
        <f>VLOOKUP($E$1,[19]Resumen!$V$8:$AH$14,AJ1,0)</f>
        <v>2450.0816999999997</v>
      </c>
      <c r="AK158" s="65">
        <f t="shared" si="63"/>
        <v>29400.980399999989</v>
      </c>
      <c r="AL158" s="73">
        <f>AK158/AK$6</f>
        <v>1.8460627767692879E-4</v>
      </c>
      <c r="AM158" s="14">
        <f>IFERROR(AK158/V158-1,0)</f>
        <v>5.4710987996302585E-3</v>
      </c>
    </row>
    <row r="159" spans="9:39" ht="15">
      <c r="I159" s="121" t="s">
        <v>466</v>
      </c>
      <c r="J159" s="15">
        <f t="shared" ref="J159:V159" si="100">SUM(J160)</f>
        <v>58151.938003677205</v>
      </c>
      <c r="K159" s="15">
        <f t="shared" si="100"/>
        <v>61791.200494089098</v>
      </c>
      <c r="L159" s="15">
        <f t="shared" si="100"/>
        <v>70868.388940692617</v>
      </c>
      <c r="M159" s="15">
        <f t="shared" si="100"/>
        <v>65164.98384176581</v>
      </c>
      <c r="N159" s="15">
        <f t="shared" si="100"/>
        <v>73754.840511705115</v>
      </c>
      <c r="O159" s="15">
        <f t="shared" si="100"/>
        <v>72965.674168300582</v>
      </c>
      <c r="P159" s="15">
        <f t="shared" si="100"/>
        <v>79470.082260308016</v>
      </c>
      <c r="Q159" s="15">
        <f t="shared" si="100"/>
        <v>66164.335264418638</v>
      </c>
      <c r="R159" s="15">
        <f t="shared" si="100"/>
        <v>78727.755230621726</v>
      </c>
      <c r="S159" s="15">
        <f t="shared" si="100"/>
        <v>79872.528349295113</v>
      </c>
      <c r="T159" s="15">
        <f t="shared" si="100"/>
        <v>74921.539614778492</v>
      </c>
      <c r="U159" s="15">
        <f t="shared" si="100"/>
        <v>77840.60773156512</v>
      </c>
      <c r="V159" s="15">
        <f t="shared" si="100"/>
        <v>859693.87441121752</v>
      </c>
      <c r="W159" s="72">
        <f t="shared" ref="W159:W160" si="101">V159/V$6</f>
        <v>5.741706043982716E-3</v>
      </c>
      <c r="X159" s="89"/>
      <c r="Y159" s="15">
        <f t="shared" ref="Y159" si="102">SUM(Y160)</f>
        <v>60332.635678815102</v>
      </c>
      <c r="Z159" s="15">
        <f t="shared" ref="Z159" si="103">SUM(Z160)</f>
        <v>64108.370512617446</v>
      </c>
      <c r="AA159" s="15">
        <f t="shared" ref="AA159" si="104">SUM(AA160)</f>
        <v>73525.953525968594</v>
      </c>
      <c r="AB159" s="15">
        <f t="shared" ref="AB159" si="105">SUM(AB160)</f>
        <v>67608.670735832027</v>
      </c>
      <c r="AC159" s="15">
        <f t="shared" ref="AC159" si="106">SUM(AC160)</f>
        <v>76520.647030894062</v>
      </c>
      <c r="AD159" s="15">
        <f t="shared" ref="AD159" si="107">SUM(AD160)</f>
        <v>75701.886949611857</v>
      </c>
      <c r="AE159" s="15">
        <f t="shared" ref="AE159" si="108">SUM(AE160)</f>
        <v>82450.210345069572</v>
      </c>
      <c r="AF159" s="15">
        <f t="shared" ref="AF159" si="109">SUM(AF160)</f>
        <v>68645.497836834344</v>
      </c>
      <c r="AG159" s="15">
        <f t="shared" ref="AG159" si="110">SUM(AG160)</f>
        <v>81680.046051770041</v>
      </c>
      <c r="AH159" s="15">
        <f t="shared" ref="AH159" si="111">SUM(AH160)</f>
        <v>82867.748162393691</v>
      </c>
      <c r="AI159" s="15">
        <f t="shared" ref="AI159" si="112">SUM(AI160)</f>
        <v>77731.097350332697</v>
      </c>
      <c r="AJ159" s="15">
        <f t="shared" ref="AJ159" si="113">SUM(AJ160)</f>
        <v>80759.630521498824</v>
      </c>
      <c r="AK159" s="15">
        <f t="shared" ref="AK159" si="114">SUM(AK160)</f>
        <v>891932.39470163826</v>
      </c>
      <c r="AL159" s="72">
        <f t="shared" ref="AL159:AL160" si="115">AK159/AK$6</f>
        <v>5.6003683239535355E-3</v>
      </c>
      <c r="AM159" s="10">
        <f t="shared" ref="AM159:AM160" si="116">IFERROR(AK159/V159-1,0)</f>
        <v>3.7500000000000089E-2</v>
      </c>
    </row>
    <row r="160" spans="9:39" ht="15" outlineLevel="1">
      <c r="I160" s="251" t="s">
        <v>328</v>
      </c>
      <c r="J160" s="65">
        <v>58151.938003677205</v>
      </c>
      <c r="K160" s="65">
        <v>61791.200494089098</v>
      </c>
      <c r="L160" s="65">
        <v>70868.388940692617</v>
      </c>
      <c r="M160" s="65">
        <v>65164.98384176581</v>
      </c>
      <c r="N160" s="65">
        <v>73754.840511705115</v>
      </c>
      <c r="O160" s="65">
        <v>72965.674168300582</v>
      </c>
      <c r="P160" s="65">
        <v>79470.082260308016</v>
      </c>
      <c r="Q160" s="65">
        <v>66164.335264418638</v>
      </c>
      <c r="R160" s="65">
        <v>78727.755230621726</v>
      </c>
      <c r="S160" s="65">
        <v>79872.528349295113</v>
      </c>
      <c r="T160" s="65">
        <v>74921.539614778492</v>
      </c>
      <c r="U160" s="65">
        <v>77840.60773156512</v>
      </c>
      <c r="V160" s="65">
        <f t="shared" ref="V160" si="117">SUM(J160:U160)</f>
        <v>859693.87441121752</v>
      </c>
      <c r="W160" s="73">
        <f t="shared" si="101"/>
        <v>5.741706043982716E-3</v>
      </c>
      <c r="X160" s="89"/>
      <c r="Y160" s="65">
        <f>VLOOKUP($E$1,[8]Resumen!$V$8:$AH$14,Y1,0)</f>
        <v>60332.635678815102</v>
      </c>
      <c r="Z160" s="65">
        <f>VLOOKUP($E$1,[8]Resumen!$V$8:$AH$14,Z1,0)</f>
        <v>64108.370512617446</v>
      </c>
      <c r="AA160" s="65">
        <f>VLOOKUP($E$1,[8]Resumen!$V$8:$AH$14,AA1,0)</f>
        <v>73525.953525968594</v>
      </c>
      <c r="AB160" s="65">
        <f>VLOOKUP($E$1,[8]Resumen!$V$8:$AH$14,AB1,0)</f>
        <v>67608.670735832027</v>
      </c>
      <c r="AC160" s="65">
        <f>VLOOKUP($E$1,[8]Resumen!$V$8:$AH$14,AC1,0)</f>
        <v>76520.647030894062</v>
      </c>
      <c r="AD160" s="65">
        <f>VLOOKUP($E$1,[8]Resumen!$V$8:$AH$14,AD1,0)</f>
        <v>75701.886949611857</v>
      </c>
      <c r="AE160" s="65">
        <f>VLOOKUP($E$1,[8]Resumen!$V$8:$AH$14,AE1,0)</f>
        <v>82450.210345069572</v>
      </c>
      <c r="AF160" s="65">
        <f>VLOOKUP($E$1,[8]Resumen!$V$8:$AH$14,AF1,0)</f>
        <v>68645.497836834344</v>
      </c>
      <c r="AG160" s="65">
        <f>VLOOKUP($E$1,[8]Resumen!$V$8:$AH$14,AG1,0)</f>
        <v>81680.046051770041</v>
      </c>
      <c r="AH160" s="65">
        <f>VLOOKUP($E$1,[8]Resumen!$V$8:$AH$14,AH1,0)</f>
        <v>82867.748162393691</v>
      </c>
      <c r="AI160" s="65">
        <f>VLOOKUP($E$1,[8]Resumen!$V$8:$AH$14,AI1,0)</f>
        <v>77731.097350332697</v>
      </c>
      <c r="AJ160" s="65">
        <f>VLOOKUP($E$1,[8]Resumen!$V$8:$AH$14,AJ1,0)</f>
        <v>80759.630521498824</v>
      </c>
      <c r="AK160" s="65">
        <f t="shared" ref="AK159:AK160" si="118">SUM(Y160:AJ160)</f>
        <v>891932.39470163826</v>
      </c>
      <c r="AL160" s="73">
        <f t="shared" si="115"/>
        <v>5.6003683239535355E-3</v>
      </c>
      <c r="AM160" s="14">
        <f t="shared" si="116"/>
        <v>3.7500000000000089E-2</v>
      </c>
    </row>
    <row r="161" spans="9:39" ht="15">
      <c r="I161" s="28" t="s">
        <v>271</v>
      </c>
      <c r="J161" s="27">
        <v>940012</v>
      </c>
      <c r="K161" s="27">
        <v>625505</v>
      </c>
      <c r="L161" s="27">
        <v>831866</v>
      </c>
      <c r="M161" s="27">
        <v>780109</v>
      </c>
      <c r="N161" s="27">
        <v>739574</v>
      </c>
      <c r="O161" s="27">
        <v>961944</v>
      </c>
      <c r="P161" s="27">
        <v>746182</v>
      </c>
      <c r="Q161" s="27">
        <v>867796</v>
      </c>
      <c r="R161" s="27">
        <v>659686</v>
      </c>
      <c r="S161" s="27">
        <v>772035</v>
      </c>
      <c r="T161" s="27">
        <f t="shared" ref="R161:U161" si="119">T50+T92+T109+T114+T151</f>
        <v>831621.58455206163</v>
      </c>
      <c r="U161" s="27">
        <f t="shared" si="119"/>
        <v>769192.11574050516</v>
      </c>
      <c r="V161" s="27">
        <f>V50+V92+V109+V114+V151</f>
        <v>9535818.3669592328</v>
      </c>
      <c r="W161" s="76">
        <f t="shared" si="26"/>
        <v>6.3687630657353916E-2</v>
      </c>
      <c r="X161" s="89"/>
      <c r="Y161" s="27">
        <f t="shared" ref="Y161:AJ161" si="120">Y50+Y92+Y109+Y114+Y151+Y159</f>
        <v>960881.07572509442</v>
      </c>
      <c r="Z161" s="27">
        <f t="shared" si="120"/>
        <v>909207.88947962679</v>
      </c>
      <c r="AA161" s="27">
        <f t="shared" si="120"/>
        <v>927563.19523753983</v>
      </c>
      <c r="AB161" s="27">
        <f t="shared" si="120"/>
        <v>860659.34635483776</v>
      </c>
      <c r="AC161" s="27">
        <f t="shared" si="120"/>
        <v>909515.87297657889</v>
      </c>
      <c r="AD161" s="27">
        <f t="shared" si="120"/>
        <v>901124.96750021644</v>
      </c>
      <c r="AE161" s="27">
        <f t="shared" si="120"/>
        <v>951777.80168068362</v>
      </c>
      <c r="AF161" s="27">
        <f t="shared" si="120"/>
        <v>954056.18723848742</v>
      </c>
      <c r="AG161" s="27">
        <f t="shared" si="120"/>
        <v>942931.90841274546</v>
      </c>
      <c r="AH161" s="27">
        <f t="shared" si="120"/>
        <v>956090.59772311558</v>
      </c>
      <c r="AI161" s="27">
        <f t="shared" si="120"/>
        <v>939855.5346488267</v>
      </c>
      <c r="AJ161" s="27">
        <f>AJ50+AJ92+AJ109+AJ114+AJ151+AJ159</f>
        <v>920602.4606759625</v>
      </c>
      <c r="AK161" s="27">
        <f>AK50+AK92+AK109+AK114+AK151+AK159</f>
        <v>11134266.837653715</v>
      </c>
      <c r="AL161" s="76">
        <f t="shared" si="28"/>
        <v>6.9911122948842969E-2</v>
      </c>
      <c r="AM161" s="10">
        <f t="shared" si="82"/>
        <v>0.16762572536332754</v>
      </c>
    </row>
    <row r="162" spans="9:39" ht="15">
      <c r="I162" s="26" t="s">
        <v>272</v>
      </c>
      <c r="J162" s="17">
        <v>1.51</v>
      </c>
      <c r="K162" s="17">
        <v>1.03</v>
      </c>
      <c r="L162" s="17">
        <v>1.26</v>
      </c>
      <c r="M162" s="17">
        <v>1.23</v>
      </c>
      <c r="N162" s="17">
        <v>1.02</v>
      </c>
      <c r="O162" s="17">
        <v>1.31</v>
      </c>
      <c r="P162" s="17">
        <v>1.03</v>
      </c>
      <c r="Q162" s="17">
        <v>1.27</v>
      </c>
      <c r="R162" s="17">
        <v>0.99</v>
      </c>
      <c r="S162" s="17">
        <v>1.0900000000000001</v>
      </c>
      <c r="T162" s="17">
        <v>1.0268141241152697</v>
      </c>
      <c r="U162" s="17">
        <v>0.98050070332483463</v>
      </c>
      <c r="V162" s="17">
        <f>IFERROR(V161/V39,0)</f>
        <v>1.1820063336912598</v>
      </c>
      <c r="W162" s="73">
        <f t="shared" si="26"/>
        <v>7.8943599718318548E-9</v>
      </c>
      <c r="X162" s="89"/>
      <c r="Y162" s="17">
        <f t="shared" ref="Y162:AK162" si="121">IFERROR(Y161/Y39,0)</f>
        <v>1.4771968154476021</v>
      </c>
      <c r="Z162" s="17">
        <f t="shared" si="121"/>
        <v>1.4399027764917589</v>
      </c>
      <c r="AA162" s="17">
        <f t="shared" si="121"/>
        <v>1.3480103055633643</v>
      </c>
      <c r="AB162" s="17">
        <f t="shared" si="121"/>
        <v>1.3048319820296088</v>
      </c>
      <c r="AC162" s="17">
        <f t="shared" si="121"/>
        <v>1.2229409677087084</v>
      </c>
      <c r="AD162" s="17">
        <f t="shared" si="121"/>
        <v>1.1987125504163869</v>
      </c>
      <c r="AE162" s="17">
        <f t="shared" si="121"/>
        <v>1.284551019756855</v>
      </c>
      <c r="AF162" s="17">
        <f t="shared" si="121"/>
        <v>1.2731171749118444</v>
      </c>
      <c r="AG162" s="17">
        <f t="shared" si="121"/>
        <v>1.3106415774602651</v>
      </c>
      <c r="AH162" s="17">
        <f t="shared" si="121"/>
        <v>1.339463925774834</v>
      </c>
      <c r="AI162" s="17">
        <f t="shared" si="121"/>
        <v>1.3631466473024065</v>
      </c>
      <c r="AJ162" s="17">
        <f t="shared" si="121"/>
        <v>1.4368406145590342</v>
      </c>
      <c r="AK162" s="17">
        <f t="shared" si="121"/>
        <v>1.3288607992181363</v>
      </c>
      <c r="AL162" s="73">
        <f t="shared" si="28"/>
        <v>8.3438049465333092E-9</v>
      </c>
      <c r="AM162" s="16">
        <f t="shared" si="82"/>
        <v>0.12424169087848114</v>
      </c>
    </row>
    <row r="163" spans="9:39" ht="15">
      <c r="I163" s="26" t="s">
        <v>273</v>
      </c>
      <c r="J163" s="17">
        <v>1.51</v>
      </c>
      <c r="K163" s="17">
        <v>1.03</v>
      </c>
      <c r="L163" s="17">
        <v>1.26</v>
      </c>
      <c r="M163" s="17">
        <v>1.23</v>
      </c>
      <c r="N163" s="17">
        <v>1.02</v>
      </c>
      <c r="O163" s="17">
        <v>1.31</v>
      </c>
      <c r="P163" s="17">
        <v>1.03</v>
      </c>
      <c r="Q163" s="17">
        <v>1.27</v>
      </c>
      <c r="R163" s="17">
        <v>0.99</v>
      </c>
      <c r="S163" s="17">
        <v>1.0900000000000001</v>
      </c>
      <c r="T163" s="17">
        <v>1.5899927285548573E-6</v>
      </c>
      <c r="U163" s="17">
        <v>1.5547511501262744E-6</v>
      </c>
      <c r="V163" s="17">
        <f>IFERROR((V161-V152)/V39,0)</f>
        <v>1.1820063336912598</v>
      </c>
      <c r="W163" s="73">
        <f t="shared" si="26"/>
        <v>7.8943599718318548E-9</v>
      </c>
      <c r="X163" s="89"/>
      <c r="Y163" s="17">
        <f t="shared" ref="Y163:AJ163" si="122">IFERROR(Y162/Y40,0)</f>
        <v>2.7141730324823236E-6</v>
      </c>
      <c r="Z163" s="17">
        <f t="shared" si="122"/>
        <v>2.7510193338869347E-6</v>
      </c>
      <c r="AA163" s="17">
        <f t="shared" si="122"/>
        <v>2.3686537180609596E-6</v>
      </c>
      <c r="AB163" s="17">
        <f t="shared" si="122"/>
        <v>2.3768989988953901E-6</v>
      </c>
      <c r="AC163" s="17">
        <f t="shared" si="122"/>
        <v>1.9867967776088865E-6</v>
      </c>
      <c r="AD163" s="17">
        <f t="shared" si="122"/>
        <v>1.9458734836994209E-6</v>
      </c>
      <c r="AE163" s="17">
        <f t="shared" si="122"/>
        <v>2.111459980434398E-6</v>
      </c>
      <c r="AF163" s="17">
        <f t="shared" si="122"/>
        <v>2.0672923316064361E-6</v>
      </c>
      <c r="AG163" s="17">
        <f t="shared" si="122"/>
        <v>2.2177727158990022E-6</v>
      </c>
      <c r="AH163" s="17">
        <f t="shared" si="122"/>
        <v>2.2507724176330109E-6</v>
      </c>
      <c r="AI163" s="17">
        <f t="shared" si="122"/>
        <v>2.3719603671225744E-6</v>
      </c>
      <c r="AJ163" s="17">
        <f t="shared" si="122"/>
        <v>2.6893177407207016E-6</v>
      </c>
      <c r="AK163" s="17">
        <f>IFERROR((AK161-AK152)/AK39,0)</f>
        <v>1.3288607992181363</v>
      </c>
      <c r="AL163" s="73">
        <f t="shared" si="28"/>
        <v>8.3438049465333092E-9</v>
      </c>
      <c r="AM163" s="16">
        <f t="shared" si="82"/>
        <v>0.12424169087848114</v>
      </c>
    </row>
    <row r="164" spans="9:39" ht="15.75">
      <c r="I164" s="25" t="s">
        <v>274</v>
      </c>
      <c r="J164" s="24">
        <v>552659</v>
      </c>
      <c r="K164" s="24">
        <v>1164911</v>
      </c>
      <c r="L164" s="24">
        <v>964307</v>
      </c>
      <c r="M164" s="24">
        <v>1012309</v>
      </c>
      <c r="N164" s="24">
        <v>1534215</v>
      </c>
      <c r="O164" s="24">
        <v>1095703</v>
      </c>
      <c r="P164" s="24">
        <v>1040476</v>
      </c>
      <c r="Q164" s="24">
        <v>739131</v>
      </c>
      <c r="R164" s="24">
        <v>1069126</v>
      </c>
      <c r="S164" s="24">
        <v>1253512</v>
      </c>
      <c r="T164" s="24">
        <f t="shared" ref="R164:U164" si="123">T34-T161</f>
        <v>990576.41544793837</v>
      </c>
      <c r="U164" s="24">
        <f t="shared" si="123"/>
        <v>1089659.884259495</v>
      </c>
      <c r="V164" s="24">
        <f>V34-V161</f>
        <v>12496286.633040767</v>
      </c>
      <c r="W164" s="77">
        <f t="shared" si="26"/>
        <v>8.3459946178411876E-2</v>
      </c>
      <c r="X164" s="89"/>
      <c r="Y164" s="24">
        <f t="shared" ref="Y164:AK164" si="124">Y34-Y161</f>
        <v>673843.73427490611</v>
      </c>
      <c r="Z164" s="24">
        <f t="shared" si="124"/>
        <v>656519.38052037091</v>
      </c>
      <c r="AA164" s="24">
        <f t="shared" si="124"/>
        <v>858494.4747624601</v>
      </c>
      <c r="AB164" s="24">
        <f t="shared" si="124"/>
        <v>775298.07364516216</v>
      </c>
      <c r="AC164" s="24">
        <f t="shared" si="124"/>
        <v>1027869.0570234208</v>
      </c>
      <c r="AD164" s="24">
        <f t="shared" si="124"/>
        <v>988563.45249978348</v>
      </c>
      <c r="AE164" s="24">
        <f t="shared" si="124"/>
        <v>900149.95831931615</v>
      </c>
      <c r="AF164" s="24">
        <f t="shared" si="124"/>
        <v>937079.46276151296</v>
      </c>
      <c r="AG164" s="24">
        <f t="shared" si="124"/>
        <v>841672.31158725522</v>
      </c>
      <c r="AH164" s="24">
        <f t="shared" si="124"/>
        <v>844476.39227688464</v>
      </c>
      <c r="AI164" s="24">
        <f t="shared" si="124"/>
        <v>767643.24535117263</v>
      </c>
      <c r="AJ164" s="24">
        <f t="shared" si="124"/>
        <v>647475.38932403713</v>
      </c>
      <c r="AK164" s="24">
        <f t="shared" si="124"/>
        <v>9919084.932346236</v>
      </c>
      <c r="AL164" s="77">
        <f t="shared" si="28"/>
        <v>6.2281098195002722E-2</v>
      </c>
      <c r="AM164" s="23">
        <f t="shared" si="82"/>
        <v>-0.20623740286816794</v>
      </c>
    </row>
    <row r="165" spans="9:39">
      <c r="I165" s="26" t="s">
        <v>309</v>
      </c>
      <c r="J165" s="17">
        <f>+J164/J39</f>
        <v>0.88624384017241908</v>
      </c>
      <c r="K165" s="17">
        <f>+K164/K39</f>
        <v>1.9163092846931944</v>
      </c>
      <c r="L165" s="17">
        <f>+L164/L39</f>
        <v>1.4663166265990917</v>
      </c>
      <c r="M165" s="17">
        <f>+M164/M39</f>
        <v>1.594511325922904</v>
      </c>
      <c r="N165" s="17">
        <f>+N164/N39</f>
        <v>2.1261353274260739</v>
      </c>
      <c r="O165" s="17">
        <f>+O164/O39</f>
        <v>1.4931454766959835</v>
      </c>
      <c r="P165" s="17">
        <f>+P164/P39</f>
        <v>1.4323181375167258</v>
      </c>
      <c r="Q165" s="17">
        <f>+Q164/Q39</f>
        <v>1.082008754080602</v>
      </c>
      <c r="R165" s="17">
        <f>+R164/R39</f>
        <v>1.6090608496465451</v>
      </c>
      <c r="S165" s="17">
        <f>+S164/S39</f>
        <v>1.7664104797093729</v>
      </c>
      <c r="T165" s="17">
        <f>+T164/T39</f>
        <v>1.4681404970216141</v>
      </c>
      <c r="U165" s="17">
        <f>+U164/U39</f>
        <v>1.7303522036474108</v>
      </c>
      <c r="V165" s="17">
        <f>+V164/V39</f>
        <v>1.5489693049371356</v>
      </c>
      <c r="W165" s="73">
        <f t="shared" ref="W165" si="125">V165/V$6</f>
        <v>1.0345224835052298E-8</v>
      </c>
      <c r="X165" s="89"/>
      <c r="Y165" s="17">
        <f>+Y164/Y39</f>
        <v>1.035924052962609</v>
      </c>
      <c r="Z165" s="17">
        <f>+Z164/Z39</f>
        <v>1.0397226968333673</v>
      </c>
      <c r="AA165" s="17">
        <f>+AA164/AA39</f>
        <v>1.247634021262175</v>
      </c>
      <c r="AB165" s="17">
        <f>+AB164/AB39</f>
        <v>1.1754171105940354</v>
      </c>
      <c r="AC165" s="17">
        <f>+AC164/AC39</f>
        <v>1.382079429972114</v>
      </c>
      <c r="AD165" s="17">
        <f>+AD164/AD39</f>
        <v>1.3150267278485541</v>
      </c>
      <c r="AE165" s="17">
        <f>+AE164/AE39</f>
        <v>1.2148723629100742</v>
      </c>
      <c r="AF165" s="17">
        <f>+AF164/AF39</f>
        <v>1.2504629960547875</v>
      </c>
      <c r="AG165" s="17">
        <f>+AG164/AG39</f>
        <v>1.1698943649285005</v>
      </c>
      <c r="AH165" s="17">
        <f>+AH164/AH39</f>
        <v>1.1830946421993211</v>
      </c>
      <c r="AI165" s="17">
        <f>+AI164/AI39</f>
        <v>1.113373574605566</v>
      </c>
      <c r="AJ165" s="17">
        <f>+AJ164/AJ39</f>
        <v>1.0105544749740323</v>
      </c>
      <c r="AK165" s="17">
        <f>+AK164/AK39</f>
        <v>1.1838303610736705</v>
      </c>
      <c r="AL165" s="73">
        <f t="shared" ref="AL165" si="126">AK165/AK$6</f>
        <v>7.4331710502669149E-9</v>
      </c>
      <c r="AM165" s="16">
        <f t="shared" si="82"/>
        <v>-0.23573026444076906</v>
      </c>
    </row>
  </sheetData>
  <mergeCells count="4">
    <mergeCell ref="J2:U2"/>
    <mergeCell ref="V2:W2"/>
    <mergeCell ref="Y2:AJ2"/>
    <mergeCell ref="AK2:AL2"/>
  </mergeCells>
  <conditionalFormatting sqref="AM1:AM158 AM161:AM165">
    <cfRule type="cellIs" dxfId="19" priority="4" operator="lessThan">
      <formula>0</formula>
    </cfRule>
  </conditionalFormatting>
  <conditionalFormatting sqref="AO43:AO46">
    <cfRule type="cellIs" dxfId="18" priority="3" operator="lessThan">
      <formula>0</formula>
    </cfRule>
  </conditionalFormatting>
  <conditionalFormatting sqref="AM159">
    <cfRule type="cellIs" dxfId="17" priority="2" operator="lessThan">
      <formula>0</formula>
    </cfRule>
  </conditionalFormatting>
  <conditionalFormatting sqref="AM160">
    <cfRule type="cellIs" dxfId="16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58">
    <outlinePr summaryBelow="0" summaryRight="0"/>
  </sheetPr>
  <dimension ref="A1:AO165"/>
  <sheetViews>
    <sheetView showGridLines="0" zoomScale="80" zoomScaleNormal="80" workbookViewId="0">
      <pane xSplit="9" ySplit="3" topLeftCell="AK50" activePane="bottomRight" state="frozen"/>
      <selection pane="bottomRight" activeCell="AK50" sqref="AK50"/>
      <selection pane="bottomLeft" activeCell="AB112" sqref="AB112"/>
      <selection pane="topRight" activeCell="AB112" sqref="AB112"/>
    </sheetView>
  </sheetViews>
  <sheetFormatPr defaultColWidth="11.42578125" defaultRowHeight="14.45" outlineLevelRow="1" outlineLevelCol="1"/>
  <cols>
    <col min="1" max="1" width="2.5703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0.28515625" style="7" customWidth="1"/>
    <col min="6" max="8" width="10.28515625" style="6" hidden="1" customWidth="1"/>
    <col min="9" max="9" width="36" style="5" customWidth="1" collapsed="1"/>
    <col min="10" max="10" width="16" style="4" hidden="1" customWidth="1" outlineLevel="1"/>
    <col min="11" max="12" width="16.42578125" style="4" hidden="1" customWidth="1" outlineLevel="1"/>
    <col min="13" max="14" width="16.42578125" style="3" hidden="1" customWidth="1" outlineLevel="1"/>
    <col min="15" max="15" width="16" style="3" hidden="1" customWidth="1" outlineLevel="1"/>
    <col min="16" max="16" width="16.42578125" style="3" hidden="1" customWidth="1" outlineLevel="1"/>
    <col min="17" max="17" width="17.42578125" style="4" hidden="1" customWidth="1" outlineLevel="1"/>
    <col min="18" max="18" width="16" style="3" hidden="1" customWidth="1" outlineLevel="1"/>
    <col min="19" max="19" width="17.42578125" style="3" hidden="1" customWidth="1" outlineLevel="1"/>
    <col min="20" max="20" width="18.28515625" style="3" hidden="1" customWidth="1" outlineLevel="1"/>
    <col min="21" max="21" width="17.42578125" style="4" hidden="1" customWidth="1" outlineLevel="1"/>
    <col min="22" max="22" width="18" style="4" bestFit="1" customWidth="1"/>
    <col min="23" max="23" width="6.7109375" style="83" bestFit="1" customWidth="1"/>
    <col min="24" max="24" width="1.140625" style="93" customWidth="1"/>
    <col min="25" max="25" width="16" style="4" customWidth="1" outlineLevel="1"/>
    <col min="26" max="27" width="16.42578125" style="4" customWidth="1" outlineLevel="1"/>
    <col min="28" max="28" width="16.42578125" style="3" customWidth="1" outlineLevel="1"/>
    <col min="29" max="29" width="16" style="3" customWidth="1" outlineLevel="1"/>
    <col min="30" max="31" width="16.42578125" style="3" customWidth="1" outlineLevel="1"/>
    <col min="32" max="32" width="16.42578125" style="4" customWidth="1" outlineLevel="1"/>
    <col min="33" max="35" width="16.42578125" style="3" customWidth="1" outlineLevel="1"/>
    <col min="36" max="36" width="16.42578125" style="4" customWidth="1" outlineLevel="1"/>
    <col min="37" max="37" width="18" style="4" bestFit="1" customWidth="1"/>
    <col min="38" max="38" width="6.7109375" style="83" bestFit="1" customWidth="1"/>
    <col min="39" max="39" width="9.140625" style="2" bestFit="1" customWidth="1"/>
    <col min="40" max="40" width="12.5703125" style="1" bestFit="1" customWidth="1"/>
    <col min="41" max="16384" width="11.42578125" style="1"/>
  </cols>
  <sheetData>
    <row r="1" spans="1:40" s="57" customFormat="1" ht="6.75" customHeight="1">
      <c r="A1" s="6"/>
      <c r="B1" s="8"/>
      <c r="C1" s="8"/>
      <c r="D1" s="6"/>
      <c r="E1" s="7" t="s">
        <v>478</v>
      </c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0" s="52" customFormat="1" ht="18" customHeight="1">
      <c r="A2" s="55"/>
      <c r="B2" s="55"/>
      <c r="C2" s="55"/>
      <c r="D2" s="55"/>
      <c r="E2" s="56"/>
      <c r="F2" s="55"/>
      <c r="G2" s="55"/>
      <c r="H2" s="55"/>
      <c r="I2" s="54"/>
      <c r="J2" s="309">
        <v>2025</v>
      </c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1"/>
      <c r="V2" s="312" t="s">
        <v>81</v>
      </c>
      <c r="W2" s="313"/>
      <c r="X2" s="85"/>
      <c r="Y2" s="309">
        <v>2026</v>
      </c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1"/>
      <c r="AK2" s="312" t="s">
        <v>81</v>
      </c>
      <c r="AL2" s="314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2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82</v>
      </c>
      <c r="X3" s="86"/>
      <c r="Y3" s="132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82</v>
      </c>
      <c r="AM3" s="45" t="s">
        <v>83</v>
      </c>
    </row>
    <row r="4" spans="1:40" ht="14.45" customHeight="1">
      <c r="I4" s="43" t="s">
        <v>84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 ht="14.45" customHeight="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0" ht="14.45" customHeight="1" collapsed="1">
      <c r="A6" s="12" t="s">
        <v>85</v>
      </c>
      <c r="B6" s="19"/>
      <c r="C6" s="19"/>
      <c r="D6" s="12"/>
      <c r="E6" s="7" t="s">
        <v>86</v>
      </c>
      <c r="I6" s="167" t="s">
        <v>87</v>
      </c>
      <c r="J6" s="15">
        <v>8894123</v>
      </c>
      <c r="K6" s="15">
        <v>9221579</v>
      </c>
      <c r="L6" s="15">
        <v>9785019</v>
      </c>
      <c r="M6" s="15">
        <v>9298754</v>
      </c>
      <c r="N6" s="15">
        <v>10458323</v>
      </c>
      <c r="O6" s="15">
        <v>10447793</v>
      </c>
      <c r="P6" s="15">
        <v>9695354</v>
      </c>
      <c r="Q6" s="15">
        <v>8766710</v>
      </c>
      <c r="R6" s="15">
        <v>8620505</v>
      </c>
      <c r="S6" s="15">
        <v>10533809.137388017</v>
      </c>
      <c r="T6" s="15">
        <v>10567228.929501675</v>
      </c>
      <c r="U6" s="15">
        <v>10566183.556178106</v>
      </c>
      <c r="V6" s="15">
        <f t="shared" ref="V6" si="1">SUM(V7:V12)</f>
        <v>116855379.6230678</v>
      </c>
      <c r="W6" s="72">
        <f t="shared" ref="W6:W34" si="2">V6/V$6</f>
        <v>1</v>
      </c>
      <c r="X6" s="89"/>
      <c r="Y6" s="15">
        <f t="shared" ref="Y6:AJ6" si="3">SUM(Y7:Y12)</f>
        <v>8769587.5199999996</v>
      </c>
      <c r="Z6" s="15">
        <f t="shared" si="3"/>
        <v>9080248.9353119992</v>
      </c>
      <c r="AA6" s="15">
        <f t="shared" si="3"/>
        <v>10113722.637443502</v>
      </c>
      <c r="AB6" s="15">
        <f t="shared" si="3"/>
        <v>9757174.3081729896</v>
      </c>
      <c r="AC6" s="15">
        <f t="shared" si="3"/>
        <v>11341877.440129288</v>
      </c>
      <c r="AD6" s="15">
        <f t="shared" si="3"/>
        <v>11430189.905697543</v>
      </c>
      <c r="AE6" s="15">
        <f t="shared" si="3"/>
        <v>10711567.020851817</v>
      </c>
      <c r="AF6" s="15">
        <f t="shared" si="3"/>
        <v>10939833.049937507</v>
      </c>
      <c r="AG6" s="15">
        <f t="shared" si="3"/>
        <v>10729622.000405366</v>
      </c>
      <c r="AH6" s="15">
        <f t="shared" si="3"/>
        <v>10652944.011207158</v>
      </c>
      <c r="AI6" s="15">
        <f t="shared" si="3"/>
        <v>10821807.154983256</v>
      </c>
      <c r="AJ6" s="15">
        <f t="shared" si="3"/>
        <v>10608928.576930776</v>
      </c>
      <c r="AK6" s="15">
        <f>SUM(AK7:AK12)</f>
        <v>124957502.56107119</v>
      </c>
      <c r="AL6" s="72">
        <f t="shared" ref="AL6:AL34" si="4">AK6/AK$6</f>
        <v>1</v>
      </c>
      <c r="AM6" s="10">
        <f>IFERROR(AK6/V6-1,0)</f>
        <v>6.9334616550285055E-2</v>
      </c>
      <c r="AN6" s="9"/>
    </row>
    <row r="7" spans="1:40" ht="15" hidden="1" customHeight="1" outlineLevel="1">
      <c r="A7" s="12" t="s">
        <v>85</v>
      </c>
      <c r="B7" s="19" t="s">
        <v>88</v>
      </c>
      <c r="C7" s="19" t="s">
        <v>89</v>
      </c>
      <c r="D7" s="12" t="s">
        <v>90</v>
      </c>
      <c r="E7" s="20"/>
      <c r="F7" s="12"/>
      <c r="G7" s="12"/>
      <c r="H7" s="12"/>
      <c r="I7" s="117" t="s">
        <v>22</v>
      </c>
      <c r="J7" s="65">
        <v>8601991</v>
      </c>
      <c r="K7" s="65">
        <v>8882732</v>
      </c>
      <c r="L7" s="65">
        <v>9547411</v>
      </c>
      <c r="M7" s="65">
        <v>9123283</v>
      </c>
      <c r="N7" s="65">
        <v>10051449</v>
      </c>
      <c r="O7" s="65">
        <v>9915191</v>
      </c>
      <c r="P7" s="65">
        <v>9213745</v>
      </c>
      <c r="Q7" s="65">
        <v>8444021</v>
      </c>
      <c r="R7" s="65">
        <v>8290313</v>
      </c>
      <c r="S7" s="65">
        <v>9978613.7371994723</v>
      </c>
      <c r="T7" s="65">
        <v>9988991.0592593532</v>
      </c>
      <c r="U7" s="65">
        <v>9965413.1081228647</v>
      </c>
      <c r="V7" s="11">
        <f t="shared" ref="V7:V33" si="5">SUM(J7:U7)</f>
        <v>112003153.9045817</v>
      </c>
      <c r="W7" s="73">
        <f t="shared" si="2"/>
        <v>0.95847665949023841</v>
      </c>
      <c r="X7" s="89"/>
      <c r="Y7" s="65">
        <f>IFERROR(Y40*'[3]Margen ctvs-lit'!W$13,0)</f>
        <v>8472964.7999999989</v>
      </c>
      <c r="Z7" s="65">
        <f>IFERROR(Z40*'[3]Margen ctvs-lit'!X$13,0)</f>
        <v>8743203.5666399989</v>
      </c>
      <c r="AA7" s="65">
        <f>IFERROR(AA40*'[3]Margen ctvs-lit'!Y$13,0)</f>
        <v>9772710.1725049932</v>
      </c>
      <c r="AB7" s="65">
        <f>IFERROR(AB40*'[3]Margen ctvs-lit'!Z$13,0)</f>
        <v>9431454.3262015022</v>
      </c>
      <c r="AC7" s="65">
        <f>IFERROR(AC40*'[3]Margen ctvs-lit'!AA$13,0)</f>
        <v>10906197.466500185</v>
      </c>
      <c r="AD7" s="65">
        <f>IFERROR(AD40*'[3]Margen ctvs-lit'!AB$13,0)</f>
        <v>10862057.692831632</v>
      </c>
      <c r="AE7" s="65">
        <f>IFERROR(AE40*'[3]Margen ctvs-lit'!AC$13,0)</f>
        <v>10200700.31256512</v>
      </c>
      <c r="AF7" s="65">
        <f>IFERROR(AF40*'[3]Margen ctvs-lit'!AD$13,0)</f>
        <v>10586449.327734586</v>
      </c>
      <c r="AG7" s="65">
        <f>IFERROR(AG40*'[3]Margen ctvs-lit'!AE$13,0)</f>
        <v>10363775.77383635</v>
      </c>
      <c r="AH7" s="65">
        <f>IFERROR(AH40*'[3]Margen ctvs-lit'!AF$13,0)</f>
        <v>10249211.116709681</v>
      </c>
      <c r="AI7" s="65">
        <f>IFERROR(AI40*'[3]Margen ctvs-lit'!AG$13,0)</f>
        <v>10427034.713389091</v>
      </c>
      <c r="AJ7" s="65">
        <f>IFERROR(AJ40*'[3]Margen ctvs-lit'!AH$13,0)</f>
        <v>10237698.752695242</v>
      </c>
      <c r="AK7" s="65">
        <f t="shared" ref="AK7:AK33" si="6">SUM(Y7:AJ7)</f>
        <v>120253458.02160837</v>
      </c>
      <c r="AL7" s="73">
        <f t="shared" si="4"/>
        <v>0.96235484510292779</v>
      </c>
      <c r="AM7" s="14">
        <f t="shared" ref="AM7:AM46" si="7">IFERROR(AK7/V7-1,0)</f>
        <v>7.3661355322684141E-2</v>
      </c>
      <c r="AN7" s="9"/>
    </row>
    <row r="8" spans="1:40" ht="15" hidden="1" customHeight="1" outlineLevel="1">
      <c r="A8" s="12" t="s">
        <v>85</v>
      </c>
      <c r="B8" s="19" t="s">
        <v>88</v>
      </c>
      <c r="C8" s="19" t="s">
        <v>91</v>
      </c>
      <c r="D8" s="12" t="s">
        <v>92</v>
      </c>
      <c r="E8" s="20"/>
      <c r="F8" s="12"/>
      <c r="G8" s="12"/>
      <c r="H8" s="12"/>
      <c r="I8" s="117" t="s">
        <v>23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11">
        <f t="shared" si="5"/>
        <v>0</v>
      </c>
      <c r="W8" s="73">
        <f t="shared" si="2"/>
        <v>0</v>
      </c>
      <c r="X8" s="89"/>
      <c r="Y8" s="65">
        <f>IFERROR(Y41*'[3]Margen ctvs-lit'!W$14,0)</f>
        <v>0</v>
      </c>
      <c r="Z8" s="65">
        <f>IFERROR(Z41*'[3]Margen ctvs-lit'!X$14,0)</f>
        <v>0</v>
      </c>
      <c r="AA8" s="65">
        <f>IFERROR(AA41*'[3]Margen ctvs-lit'!Y$14,0)</f>
        <v>0</v>
      </c>
      <c r="AB8" s="65">
        <f>IFERROR(AB41*'[3]Margen ctvs-lit'!Z$14,0)</f>
        <v>0</v>
      </c>
      <c r="AC8" s="65">
        <f>IFERROR(AC41*'[3]Margen ctvs-lit'!AA$14,0)</f>
        <v>0</v>
      </c>
      <c r="AD8" s="65">
        <f>IFERROR(AD41*'[3]Margen ctvs-lit'!AB$14,0)</f>
        <v>0</v>
      </c>
      <c r="AE8" s="65">
        <f>IFERROR(AE41*'[3]Margen ctvs-lit'!AC$14,0)</f>
        <v>0</v>
      </c>
      <c r="AF8" s="65">
        <f>IFERROR(AF41*'[3]Margen ctvs-lit'!AD$14,0)</f>
        <v>0</v>
      </c>
      <c r="AG8" s="65">
        <f>IFERROR(AG41*'[3]Margen ctvs-lit'!AE$14,0)</f>
        <v>0</v>
      </c>
      <c r="AH8" s="65">
        <f>IFERROR(AH41*'[3]Margen ctvs-lit'!AF$14,0)</f>
        <v>0</v>
      </c>
      <c r="AI8" s="65">
        <f>IFERROR(AI41*'[3]Margen ctvs-lit'!AG$14,0)</f>
        <v>0</v>
      </c>
      <c r="AJ8" s="65">
        <f>IFERROR(AJ41*'[3]Margen ctvs-lit'!AH$14,0)</f>
        <v>0</v>
      </c>
      <c r="AK8" s="65">
        <f t="shared" si="6"/>
        <v>0</v>
      </c>
      <c r="AL8" s="73">
        <f t="shared" si="4"/>
        <v>0</v>
      </c>
      <c r="AM8" s="14">
        <f t="shared" si="7"/>
        <v>0</v>
      </c>
      <c r="AN8" s="9"/>
    </row>
    <row r="9" spans="1:40" ht="15" hidden="1" customHeight="1" outlineLevel="1">
      <c r="A9" s="12" t="s">
        <v>85</v>
      </c>
      <c r="B9" s="19" t="s">
        <v>88</v>
      </c>
      <c r="C9" s="19" t="s">
        <v>93</v>
      </c>
      <c r="D9" s="12" t="s">
        <v>94</v>
      </c>
      <c r="E9" s="20"/>
      <c r="F9" s="12"/>
      <c r="G9" s="12"/>
      <c r="H9" s="12"/>
      <c r="I9" s="117" t="s">
        <v>5</v>
      </c>
      <c r="J9" s="65">
        <v>278247</v>
      </c>
      <c r="K9" s="65">
        <v>327202</v>
      </c>
      <c r="L9" s="65">
        <v>225592</v>
      </c>
      <c r="M9" s="65">
        <v>161870</v>
      </c>
      <c r="N9" s="65">
        <v>394043</v>
      </c>
      <c r="O9" s="65">
        <v>522552</v>
      </c>
      <c r="P9" s="65">
        <v>475749</v>
      </c>
      <c r="Q9" s="65">
        <v>313758</v>
      </c>
      <c r="R9" s="65">
        <v>321898</v>
      </c>
      <c r="S9" s="65">
        <v>544363.00018854463</v>
      </c>
      <c r="T9" s="65">
        <v>564896.27024232235</v>
      </c>
      <c r="U9" s="65">
        <v>586204.8480552407</v>
      </c>
      <c r="V9" s="11">
        <f t="shared" si="5"/>
        <v>4716375.1184861073</v>
      </c>
      <c r="W9" s="73">
        <f t="shared" si="2"/>
        <v>4.0360787271406656E-2</v>
      </c>
      <c r="X9" s="89"/>
      <c r="Y9" s="65">
        <f>IFERROR(Y42*'[3]Margen ctvs-lit'!W$15,0)</f>
        <v>277542.71999999997</v>
      </c>
      <c r="Z9" s="65">
        <f>IFERROR(Z42*'[3]Margen ctvs-lit'!X$15,0)</f>
        <v>321745.36867200001</v>
      </c>
      <c r="AA9" s="65">
        <f>IFERROR(AA42*'[3]Margen ctvs-lit'!Y$15,0)</f>
        <v>328472.46493850881</v>
      </c>
      <c r="AB9" s="65">
        <f>IFERROR(AB42*'[3]Margen ctvs-lit'!Z$15,0)</f>
        <v>313539.98197148676</v>
      </c>
      <c r="AC9" s="65">
        <f>IFERROR(AC42*'[3]Margen ctvs-lit'!AA$15,0)</f>
        <v>419959.97362910165</v>
      </c>
      <c r="AD9" s="65">
        <f>IFERROR(AD42*'[3]Margen ctvs-lit'!AB$15,0)</f>
        <v>551272.21286591154</v>
      </c>
      <c r="AE9" s="65">
        <f>IFERROR(AE42*'[3]Margen ctvs-lit'!AC$15,0)</f>
        <v>495386.7082866964</v>
      </c>
      <c r="AF9" s="65">
        <f>IFERROR(AF42*'[3]Margen ctvs-lit'!AD$15,0)</f>
        <v>338263.7222029207</v>
      </c>
      <c r="AG9" s="65">
        <f>IFERROR(AG42*'[3]Margen ctvs-lit'!AE$15,0)</f>
        <v>350666.22656901582</v>
      </c>
      <c r="AH9" s="65">
        <f>IFERROR(AH42*'[3]Margen ctvs-lit'!AF$15,0)</f>
        <v>386812.89449747698</v>
      </c>
      <c r="AI9" s="65">
        <f>IFERROR(AI42*'[3]Margen ctvs-lit'!AG$15,0)</f>
        <v>377672.44159416459</v>
      </c>
      <c r="AJ9" s="65">
        <f>IFERROR(AJ42*'[3]Margen ctvs-lit'!AH$15,0)</f>
        <v>356589.82423553511</v>
      </c>
      <c r="AK9" s="65">
        <f t="shared" si="6"/>
        <v>4517924.5394628188</v>
      </c>
      <c r="AL9" s="73">
        <f t="shared" si="4"/>
        <v>3.6155688509017278E-2</v>
      </c>
      <c r="AM9" s="14">
        <f t="shared" si="7"/>
        <v>-4.2076928581327167E-2</v>
      </c>
      <c r="AN9" s="9"/>
    </row>
    <row r="10" spans="1:40" ht="15" hidden="1" customHeight="1" outlineLevel="1">
      <c r="A10" s="12"/>
      <c r="B10" s="19"/>
      <c r="C10" s="19"/>
      <c r="D10" s="12"/>
      <c r="E10" s="20"/>
      <c r="F10" s="12"/>
      <c r="G10" s="12"/>
      <c r="H10" s="12"/>
      <c r="I10" s="117" t="s">
        <v>95</v>
      </c>
      <c r="J10" s="65">
        <v>13884</v>
      </c>
      <c r="K10" s="65">
        <v>11645</v>
      </c>
      <c r="L10" s="65">
        <v>12016</v>
      </c>
      <c r="M10" s="65">
        <v>13601</v>
      </c>
      <c r="N10" s="65">
        <v>12831</v>
      </c>
      <c r="O10" s="65">
        <v>10049</v>
      </c>
      <c r="P10" s="65">
        <v>5860</v>
      </c>
      <c r="Q10" s="65">
        <v>8931</v>
      </c>
      <c r="R10" s="65">
        <v>8294</v>
      </c>
      <c r="S10" s="65">
        <v>10832.4</v>
      </c>
      <c r="T10" s="65">
        <v>13341.6</v>
      </c>
      <c r="U10" s="65">
        <v>14565.599999999999</v>
      </c>
      <c r="V10" s="11">
        <f t="shared" si="5"/>
        <v>135850.6</v>
      </c>
      <c r="W10" s="73">
        <f t="shared" si="2"/>
        <v>1.1625532383549972E-3</v>
      </c>
      <c r="X10" s="89"/>
      <c r="Y10" s="65">
        <f>VLOOKUP($E$1,'[3]Resumen x Tipo Combustible'!$C$60:$O$66,Y1,0)</f>
        <v>19080</v>
      </c>
      <c r="Z10" s="65">
        <f>VLOOKUP($E$1,'[3]Resumen x Tipo Combustible'!$C$60:$O$66,Z1,0)</f>
        <v>15300</v>
      </c>
      <c r="AA10" s="65">
        <f>VLOOKUP($E$1,'[3]Resumen x Tipo Combustible'!$C$60:$O$66,AA1,0)</f>
        <v>12540</v>
      </c>
      <c r="AB10" s="65">
        <f>VLOOKUP($E$1,'[3]Resumen x Tipo Combustible'!$C$60:$O$66,AB1,0)</f>
        <v>12180</v>
      </c>
      <c r="AC10" s="65">
        <f>VLOOKUP($E$1,'[3]Resumen x Tipo Combustible'!$C$60:$O$66,AC1,0)</f>
        <v>15720</v>
      </c>
      <c r="AD10" s="65">
        <f>VLOOKUP($E$1,'[3]Resumen x Tipo Combustible'!$C$60:$O$66,AD1,0)</f>
        <v>16860</v>
      </c>
      <c r="AE10" s="65">
        <f>VLOOKUP($E$1,'[3]Resumen x Tipo Combustible'!$C$60:$O$66,AE1,0)</f>
        <v>15480</v>
      </c>
      <c r="AF10" s="65">
        <f>VLOOKUP($E$1,'[3]Resumen x Tipo Combustible'!$C$60:$O$66,AF1,0)</f>
        <v>15120</v>
      </c>
      <c r="AG10" s="65">
        <f>VLOOKUP($E$1,'[3]Resumen x Tipo Combustible'!$C$60:$O$66,AG1,0)</f>
        <v>15180</v>
      </c>
      <c r="AH10" s="65">
        <f>VLOOKUP($E$1,'[3]Resumen x Tipo Combustible'!$C$60:$O$66,AH1,0)</f>
        <v>16920</v>
      </c>
      <c r="AI10" s="65">
        <f>VLOOKUP($E$1,'[3]Resumen x Tipo Combustible'!$C$60:$O$66,AI1,0)</f>
        <v>17100</v>
      </c>
      <c r="AJ10" s="65">
        <f>VLOOKUP($E$1,'[3]Resumen x Tipo Combustible'!$C$60:$O$66,AJ1,0)</f>
        <v>14640</v>
      </c>
      <c r="AK10" s="65">
        <f t="shared" si="6"/>
        <v>186120</v>
      </c>
      <c r="AL10" s="73">
        <f t="shared" si="4"/>
        <v>1.4894663880549032E-3</v>
      </c>
      <c r="AM10" s="14">
        <f t="shared" si="7"/>
        <v>0.37003443488655918</v>
      </c>
      <c r="AN10" s="9"/>
    </row>
    <row r="11" spans="1:40" ht="15" hidden="1" customHeight="1" outlineLevel="1">
      <c r="A11" s="12"/>
      <c r="B11" s="19"/>
      <c r="C11" s="19"/>
      <c r="D11" s="12"/>
      <c r="E11" s="20"/>
      <c r="F11" s="12"/>
      <c r="G11" s="12"/>
      <c r="H11" s="12"/>
      <c r="I11" s="117" t="s">
        <v>473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11">
        <f t="shared" si="5"/>
        <v>0</v>
      </c>
      <c r="W11" s="73">
        <f t="shared" si="2"/>
        <v>0</v>
      </c>
      <c r="X11" s="89"/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f t="shared" si="6"/>
        <v>0</v>
      </c>
      <c r="AL11" s="73">
        <f t="shared" si="4"/>
        <v>0</v>
      </c>
      <c r="AM11" s="14">
        <f t="shared" si="7"/>
        <v>0</v>
      </c>
      <c r="AN11" s="9"/>
    </row>
    <row r="12" spans="1:40" ht="15" hidden="1" customHeight="1" outlineLevel="1">
      <c r="A12" s="12"/>
      <c r="B12" s="19"/>
      <c r="C12" s="19"/>
      <c r="D12" s="12"/>
      <c r="E12" s="20"/>
      <c r="F12" s="12"/>
      <c r="G12" s="12"/>
      <c r="H12" s="12"/>
      <c r="I12" s="117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11">
        <f t="shared" si="5"/>
        <v>0</v>
      </c>
      <c r="W12" s="73">
        <f t="shared" si="2"/>
        <v>0</v>
      </c>
      <c r="X12" s="89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>
        <f t="shared" si="6"/>
        <v>0</v>
      </c>
      <c r="AL12" s="73">
        <f t="shared" si="4"/>
        <v>0</v>
      </c>
      <c r="AM12" s="14">
        <f t="shared" si="7"/>
        <v>0</v>
      </c>
      <c r="AN12" s="9"/>
    </row>
    <row r="13" spans="1:40" ht="14.45" customHeight="1" collapsed="1">
      <c r="A13" s="12" t="s">
        <v>97</v>
      </c>
      <c r="B13" s="19"/>
      <c r="E13" s="7" t="s">
        <v>98</v>
      </c>
      <c r="I13" s="167" t="s">
        <v>99</v>
      </c>
      <c r="J13" s="15">
        <v>7650852</v>
      </c>
      <c r="K13" s="15">
        <v>7765600</v>
      </c>
      <c r="L13" s="15">
        <v>8363798</v>
      </c>
      <c r="M13" s="15">
        <v>7892057</v>
      </c>
      <c r="N13" s="15">
        <v>8863472</v>
      </c>
      <c r="O13" s="15">
        <v>9052236</v>
      </c>
      <c r="P13" s="15">
        <v>8394100</v>
      </c>
      <c r="Q13" s="15">
        <v>7623063</v>
      </c>
      <c r="R13" s="15">
        <v>7426543</v>
      </c>
      <c r="S13" s="15">
        <v>8984960.4173880145</v>
      </c>
      <c r="T13" s="15">
        <v>9025427.719501676</v>
      </c>
      <c r="U13" s="15">
        <v>9042488.9261781052</v>
      </c>
      <c r="V13" s="15">
        <f t="shared" ref="V13" si="8">SUM(V14:V33)</f>
        <v>100084598.06306781</v>
      </c>
      <c r="W13" s="72">
        <f t="shared" si="2"/>
        <v>0.85648258887099316</v>
      </c>
      <c r="X13" s="89"/>
      <c r="Y13" s="15">
        <f>SUM(Y14:Y33)</f>
        <v>7513468.4799999995</v>
      </c>
      <c r="Z13" s="15">
        <f t="shared" ref="Z13:AK13" si="9">SUM(Z14:Z33)</f>
        <v>7783822.8953119991</v>
      </c>
      <c r="AA13" s="15">
        <f t="shared" si="9"/>
        <v>8648842.1874435022</v>
      </c>
      <c r="AB13" s="15">
        <f t="shared" si="9"/>
        <v>8434275.6281729899</v>
      </c>
      <c r="AC13" s="15">
        <f t="shared" si="9"/>
        <v>9713851.920129288</v>
      </c>
      <c r="AD13" s="15">
        <f t="shared" si="9"/>
        <v>9901272.7056975439</v>
      </c>
      <c r="AE13" s="15">
        <f t="shared" si="9"/>
        <v>9331017.6308518164</v>
      </c>
      <c r="AF13" s="15">
        <f t="shared" si="9"/>
        <v>9477185.6499375049</v>
      </c>
      <c r="AG13" s="15">
        <f t="shared" si="9"/>
        <v>9344383.1004053652</v>
      </c>
      <c r="AH13" s="15">
        <f t="shared" si="9"/>
        <v>9288722.4112071581</v>
      </c>
      <c r="AI13" s="15">
        <f t="shared" si="9"/>
        <v>9436019.6349832546</v>
      </c>
      <c r="AJ13" s="15">
        <f t="shared" si="9"/>
        <v>9287337.6369307768</v>
      </c>
      <c r="AK13" s="15">
        <f t="shared" si="9"/>
        <v>108160199.8810712</v>
      </c>
      <c r="AL13" s="72">
        <f t="shared" si="4"/>
        <v>0.86557587711237627</v>
      </c>
      <c r="AM13" s="10">
        <f t="shared" si="7"/>
        <v>8.0687757899717827E-2</v>
      </c>
      <c r="AN13" s="9"/>
    </row>
    <row r="14" spans="1:40" ht="14.45" hidden="1" customHeight="1" outlineLevel="1">
      <c r="A14" s="37" t="s">
        <v>97</v>
      </c>
      <c r="B14" s="39"/>
      <c r="C14" s="39" t="s">
        <v>100</v>
      </c>
      <c r="D14" s="37" t="s">
        <v>101</v>
      </c>
      <c r="E14" s="38"/>
      <c r="F14" s="37"/>
      <c r="G14" s="37"/>
      <c r="H14" s="37"/>
      <c r="I14" s="171" t="s">
        <v>102</v>
      </c>
      <c r="J14" s="65">
        <v>8868020</v>
      </c>
      <c r="K14" s="65">
        <v>9031732</v>
      </c>
      <c r="L14" s="65">
        <v>9915279</v>
      </c>
      <c r="M14" s="65">
        <v>9377342</v>
      </c>
      <c r="N14" s="65">
        <v>10568991</v>
      </c>
      <c r="O14" s="65">
        <v>10612794</v>
      </c>
      <c r="P14" s="65">
        <v>9845529</v>
      </c>
      <c r="Q14" s="65">
        <v>9036497</v>
      </c>
      <c r="R14" s="65">
        <v>8777265</v>
      </c>
      <c r="S14" s="65">
        <v>8493378.5171994716</v>
      </c>
      <c r="T14" s="65">
        <v>8513279.0992593542</v>
      </c>
      <c r="U14" s="65">
        <v>8509419.2681228649</v>
      </c>
      <c r="V14" s="11">
        <f t="shared" si="5"/>
        <v>111549525.8845817</v>
      </c>
      <c r="W14" s="73">
        <f t="shared" si="2"/>
        <v>0.95459469854446743</v>
      </c>
      <c r="X14" s="89"/>
      <c r="Y14" s="65">
        <f>Y7-Y28-Y35</f>
        <v>7250715.2799999993</v>
      </c>
      <c r="Z14" s="65">
        <f>Z7-Z28-Z35</f>
        <v>7486499.436639999</v>
      </c>
      <c r="AA14" s="65">
        <f>AA7-AA28-AA35</f>
        <v>8345718.3725049933</v>
      </c>
      <c r="AB14" s="65">
        <f>AB7-AB28-AB35</f>
        <v>8143388.4862015024</v>
      </c>
      <c r="AC14" s="65">
        <f>AC7-AC28-AC35</f>
        <v>9326067.7065001857</v>
      </c>
      <c r="AD14" s="65">
        <f>AD7-AD28-AD35</f>
        <v>9394760.4528316315</v>
      </c>
      <c r="AE14" s="65">
        <f>AE7-AE28-AE35</f>
        <v>8871366.3825651202</v>
      </c>
      <c r="AF14" s="65">
        <f>AF7-AF28-AF35</f>
        <v>9160930.2077345848</v>
      </c>
      <c r="AG14" s="65">
        <f>AG7-AG28-AG35</f>
        <v>9016830.7338363491</v>
      </c>
      <c r="AH14" s="65">
        <f>AH7-AH28-AH35</f>
        <v>8927120.7167096809</v>
      </c>
      <c r="AI14" s="65">
        <f>AI7-AI28-AI35</f>
        <v>9081410.1533890907</v>
      </c>
      <c r="AJ14" s="65">
        <f>AJ7-AJ28-AJ35</f>
        <v>8952389.1526952423</v>
      </c>
      <c r="AK14" s="65">
        <f t="shared" si="6"/>
        <v>103957197.08160838</v>
      </c>
      <c r="AL14" s="73">
        <f t="shared" si="4"/>
        <v>0.83194041935017704</v>
      </c>
      <c r="AM14" s="14">
        <f t="shared" si="7"/>
        <v>-6.8062403159193763E-2</v>
      </c>
      <c r="AN14" s="9"/>
    </row>
    <row r="15" spans="1:40" ht="14.45" hidden="1" customHeight="1" outlineLevel="1">
      <c r="A15" s="37" t="s">
        <v>97</v>
      </c>
      <c r="B15" s="39"/>
      <c r="C15" s="39" t="s">
        <v>103</v>
      </c>
      <c r="D15" s="37" t="s">
        <v>104</v>
      </c>
      <c r="E15" s="38"/>
      <c r="F15" s="37"/>
      <c r="G15" s="37"/>
      <c r="H15" s="37"/>
      <c r="I15" s="172" t="s">
        <v>105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11">
        <f t="shared" si="5"/>
        <v>0</v>
      </c>
      <c r="W15" s="73">
        <f t="shared" si="2"/>
        <v>0</v>
      </c>
      <c r="X15" s="89"/>
      <c r="Y15" s="65">
        <f>Y8-Y29-Y36</f>
        <v>0</v>
      </c>
      <c r="Z15" s="65">
        <f>Z8-Z29-Z36</f>
        <v>0</v>
      </c>
      <c r="AA15" s="65">
        <f>AA8-AA29-AA36</f>
        <v>0</v>
      </c>
      <c r="AB15" s="65">
        <f>AB8-AB29-AB36</f>
        <v>0</v>
      </c>
      <c r="AC15" s="65">
        <f>AC8-AC29-AC36</f>
        <v>0</v>
      </c>
      <c r="AD15" s="65">
        <f>AD8-AD29-AD36</f>
        <v>0</v>
      </c>
      <c r="AE15" s="65">
        <f>AE8-AE29-AE36</f>
        <v>0</v>
      </c>
      <c r="AF15" s="65">
        <f>AF8-AF29-AF36</f>
        <v>0</v>
      </c>
      <c r="AG15" s="65">
        <f>AG8-AG29-AG36</f>
        <v>0</v>
      </c>
      <c r="AH15" s="65">
        <f>AH8-AH29-AH36</f>
        <v>0</v>
      </c>
      <c r="AI15" s="65">
        <f>AI8-AI29-AI36</f>
        <v>0</v>
      </c>
      <c r="AJ15" s="65">
        <f>AJ8-AJ29-AJ36</f>
        <v>0</v>
      </c>
      <c r="AK15" s="65">
        <f t="shared" si="6"/>
        <v>0</v>
      </c>
      <c r="AL15" s="73">
        <f t="shared" si="4"/>
        <v>0</v>
      </c>
      <c r="AM15" s="14">
        <f t="shared" si="7"/>
        <v>0</v>
      </c>
      <c r="AN15" s="9"/>
    </row>
    <row r="16" spans="1:40" ht="14.45" hidden="1" customHeight="1" outlineLevel="1">
      <c r="A16" s="37" t="s">
        <v>97</v>
      </c>
      <c r="B16" s="39"/>
      <c r="C16" s="39" t="s">
        <v>106</v>
      </c>
      <c r="D16" s="37" t="s">
        <v>107</v>
      </c>
      <c r="E16" s="38"/>
      <c r="F16" s="37"/>
      <c r="G16" s="37"/>
      <c r="H16" s="37"/>
      <c r="I16" s="167" t="s">
        <v>5</v>
      </c>
      <c r="J16" s="65">
        <v>244058</v>
      </c>
      <c r="K16" s="65">
        <v>288612</v>
      </c>
      <c r="L16" s="65">
        <v>199695</v>
      </c>
      <c r="M16" s="65">
        <v>144208</v>
      </c>
      <c r="N16" s="65">
        <v>349567</v>
      </c>
      <c r="O16" s="65">
        <v>469326</v>
      </c>
      <c r="P16" s="65">
        <v>420473</v>
      </c>
      <c r="Q16" s="65">
        <v>283699</v>
      </c>
      <c r="R16" s="65">
        <v>294198</v>
      </c>
      <c r="S16" s="65">
        <v>482374.36018854461</v>
      </c>
      <c r="T16" s="65">
        <v>500808.26024232234</v>
      </c>
      <c r="U16" s="65">
        <v>520688.89805524069</v>
      </c>
      <c r="V16" s="11">
        <f t="shared" si="5"/>
        <v>4197707.5184861077</v>
      </c>
      <c r="W16" s="73">
        <f t="shared" si="2"/>
        <v>3.592224450450085E-2</v>
      </c>
      <c r="X16" s="89"/>
      <c r="Y16" s="65">
        <f>Y9-Y37</f>
        <v>246535.19999999998</v>
      </c>
      <c r="Z16" s="65">
        <f>Z9-Z37</f>
        <v>284318.45867200004</v>
      </c>
      <c r="AA16" s="65">
        <f>AA9-AA37</f>
        <v>292464.81493850879</v>
      </c>
      <c r="AB16" s="65">
        <f>AB9-AB37</f>
        <v>280534.14197148674</v>
      </c>
      <c r="AC16" s="65">
        <f>AC9-AC37</f>
        <v>374422.21362910164</v>
      </c>
      <c r="AD16" s="65">
        <f>AD9-AD37</f>
        <v>492181.25286591152</v>
      </c>
      <c r="AE16" s="65">
        <f>AE9-AE37</f>
        <v>446493.24828669638</v>
      </c>
      <c r="AF16" s="65">
        <f>AF9-AF37</f>
        <v>303403.44220292068</v>
      </c>
      <c r="AG16" s="65">
        <f>AG9-AG37</f>
        <v>314649.36656901584</v>
      </c>
      <c r="AH16" s="65">
        <f>AH9-AH37</f>
        <v>347219.69449747697</v>
      </c>
      <c r="AI16" s="65">
        <f>AI9-AI37</f>
        <v>340074.48159416456</v>
      </c>
      <c r="AJ16" s="65">
        <f>AJ9-AJ37</f>
        <v>322504.48423553508</v>
      </c>
      <c r="AK16" s="65">
        <f t="shared" si="6"/>
        <v>4044800.7994628171</v>
      </c>
      <c r="AL16" s="73">
        <f t="shared" si="4"/>
        <v>3.2369411332352604E-2</v>
      </c>
      <c r="AM16" s="14">
        <f t="shared" si="7"/>
        <v>-3.6426244170159827E-2</v>
      </c>
      <c r="AN16" s="9"/>
    </row>
    <row r="17" spans="1:40" ht="14.45" hidden="1" customHeight="1" outlineLevel="1">
      <c r="A17" s="37" t="s">
        <v>97</v>
      </c>
      <c r="B17" s="39"/>
      <c r="C17" s="39" t="s">
        <v>108</v>
      </c>
      <c r="D17" s="37"/>
      <c r="E17" s="38"/>
      <c r="F17" s="37"/>
      <c r="G17" s="37"/>
      <c r="H17" s="37"/>
      <c r="I17" s="171" t="s">
        <v>109</v>
      </c>
      <c r="J17" s="65">
        <v>143952</v>
      </c>
      <c r="K17" s="65">
        <v>91778</v>
      </c>
      <c r="L17" s="65">
        <v>60609</v>
      </c>
      <c r="M17" s="65">
        <v>32472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11">
        <f t="shared" si="5"/>
        <v>328811</v>
      </c>
      <c r="W17" s="73">
        <f t="shared" si="2"/>
        <v>2.8138285208658994E-3</v>
      </c>
      <c r="X17" s="89"/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5">
        <f t="shared" si="6"/>
        <v>0</v>
      </c>
      <c r="AL17" s="73">
        <f t="shared" si="4"/>
        <v>0</v>
      </c>
      <c r="AM17" s="14">
        <f t="shared" si="7"/>
        <v>-1</v>
      </c>
      <c r="AN17" s="9"/>
    </row>
    <row r="18" spans="1:40" ht="14.45" hidden="1" customHeight="1" outlineLevel="1">
      <c r="A18" s="37" t="s">
        <v>97</v>
      </c>
      <c r="B18" s="39"/>
      <c r="C18" s="39" t="s">
        <v>110</v>
      </c>
      <c r="D18" s="37"/>
      <c r="E18" s="38"/>
      <c r="F18" s="37"/>
      <c r="G18" s="37"/>
      <c r="H18" s="37"/>
      <c r="I18" s="172" t="s">
        <v>111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11">
        <f t="shared" si="5"/>
        <v>0</v>
      </c>
      <c r="W18" s="73">
        <f t="shared" si="2"/>
        <v>0</v>
      </c>
      <c r="X18" s="89"/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5">
        <f t="shared" si="6"/>
        <v>0</v>
      </c>
      <c r="AL18" s="73">
        <f t="shared" si="4"/>
        <v>0</v>
      </c>
      <c r="AM18" s="14">
        <f t="shared" si="7"/>
        <v>0</v>
      </c>
      <c r="AN18" s="9"/>
    </row>
    <row r="19" spans="1:40" ht="14.45" hidden="1" customHeight="1" outlineLevel="1">
      <c r="A19" s="37" t="s">
        <v>97</v>
      </c>
      <c r="B19" s="39"/>
      <c r="C19" s="39" t="s">
        <v>112</v>
      </c>
      <c r="D19" s="37"/>
      <c r="E19" s="38"/>
      <c r="F19" s="37"/>
      <c r="G19" s="37"/>
      <c r="H19" s="37"/>
      <c r="I19" s="167" t="s">
        <v>113</v>
      </c>
      <c r="J19" s="65">
        <v>718</v>
      </c>
      <c r="K19" s="65">
        <v>0</v>
      </c>
      <c r="L19" s="65">
        <v>302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11">
        <f t="shared" si="5"/>
        <v>1020</v>
      </c>
      <c r="W19" s="73">
        <f t="shared" si="2"/>
        <v>8.728738063152441E-6</v>
      </c>
      <c r="X19" s="89"/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5">
        <f t="shared" si="6"/>
        <v>0</v>
      </c>
      <c r="AL19" s="73">
        <f t="shared" si="4"/>
        <v>0</v>
      </c>
      <c r="AM19" s="14">
        <f t="shared" si="7"/>
        <v>-1</v>
      </c>
      <c r="AN19" s="9"/>
    </row>
    <row r="20" spans="1:40" ht="14.45" hidden="1" customHeight="1" outlineLevel="1">
      <c r="A20" s="37" t="s">
        <v>97</v>
      </c>
      <c r="B20" s="39"/>
      <c r="C20" s="39" t="s">
        <v>117</v>
      </c>
      <c r="D20" s="37" t="s">
        <v>118</v>
      </c>
      <c r="E20" s="38"/>
      <c r="F20" s="37"/>
      <c r="G20" s="37"/>
      <c r="H20" s="37"/>
      <c r="I20" s="167" t="s">
        <v>114</v>
      </c>
      <c r="J20" s="65">
        <v>0</v>
      </c>
      <c r="K20" s="65">
        <v>0</v>
      </c>
      <c r="L20" s="65">
        <v>0</v>
      </c>
      <c r="M20" s="65">
        <v>0</v>
      </c>
      <c r="N20" s="65">
        <v>-11613</v>
      </c>
      <c r="O20" s="65">
        <v>-81891</v>
      </c>
      <c r="P20" s="65">
        <v>-59232</v>
      </c>
      <c r="Q20" s="65">
        <v>-43412</v>
      </c>
      <c r="R20" s="65">
        <v>-58348</v>
      </c>
      <c r="S20" s="65"/>
      <c r="T20" s="65"/>
      <c r="U20" s="65"/>
      <c r="V20" s="11">
        <f t="shared" si="5"/>
        <v>-254496</v>
      </c>
      <c r="W20" s="73">
        <f t="shared" si="2"/>
        <v>-2.1778714922745523E-3</v>
      </c>
      <c r="X20" s="89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5">
        <f t="shared" si="6"/>
        <v>0</v>
      </c>
      <c r="AL20" s="73">
        <f t="shared" si="4"/>
        <v>0</v>
      </c>
      <c r="AM20" s="14">
        <f t="shared" si="7"/>
        <v>-1</v>
      </c>
      <c r="AN20" s="9"/>
    </row>
    <row r="21" spans="1:40" ht="14.45" hidden="1" customHeight="1" outlineLevel="1">
      <c r="A21" s="37" t="s">
        <v>97</v>
      </c>
      <c r="B21" s="39"/>
      <c r="C21" s="39" t="s">
        <v>120</v>
      </c>
      <c r="D21" s="37"/>
      <c r="E21" s="38"/>
      <c r="F21" s="37"/>
      <c r="G21" s="37"/>
      <c r="H21" s="37"/>
      <c r="I21" s="167" t="s">
        <v>115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/>
      <c r="T21" s="65"/>
      <c r="U21" s="65"/>
      <c r="V21" s="11">
        <f t="shared" si="5"/>
        <v>0</v>
      </c>
      <c r="W21" s="73">
        <f t="shared" si="2"/>
        <v>0</v>
      </c>
      <c r="X21" s="89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5">
        <f t="shared" si="6"/>
        <v>0</v>
      </c>
      <c r="AL21" s="73">
        <f t="shared" si="4"/>
        <v>0</v>
      </c>
      <c r="AM21" s="14">
        <f t="shared" si="7"/>
        <v>0</v>
      </c>
      <c r="AN21" s="9"/>
    </row>
    <row r="22" spans="1:40" ht="14.45" hidden="1" customHeight="1" outlineLevel="1">
      <c r="A22" s="37" t="s">
        <v>97</v>
      </c>
      <c r="B22" s="39"/>
      <c r="C22" s="39" t="s">
        <v>122</v>
      </c>
      <c r="D22" s="37"/>
      <c r="E22" s="38"/>
      <c r="F22" s="37"/>
      <c r="G22" s="37"/>
      <c r="H22" s="37"/>
      <c r="I22" s="167" t="s">
        <v>116</v>
      </c>
      <c r="J22" s="65">
        <v>0</v>
      </c>
      <c r="K22" s="65">
        <v>-4246</v>
      </c>
      <c r="L22" s="65">
        <v>0</v>
      </c>
      <c r="M22" s="65">
        <v>-1490</v>
      </c>
      <c r="N22" s="65">
        <v>-7403</v>
      </c>
      <c r="O22" s="65">
        <v>-8122</v>
      </c>
      <c r="P22" s="65">
        <v>-7561</v>
      </c>
      <c r="Q22" s="65">
        <v>-2663</v>
      </c>
      <c r="R22" s="65">
        <v>-1135</v>
      </c>
      <c r="S22" s="65"/>
      <c r="T22" s="65"/>
      <c r="U22" s="65"/>
      <c r="V22" s="11">
        <f t="shared" si="5"/>
        <v>-32620</v>
      </c>
      <c r="W22" s="73">
        <f t="shared" si="2"/>
        <v>-2.7914846629414962E-4</v>
      </c>
      <c r="X22" s="89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5">
        <f t="shared" si="6"/>
        <v>0</v>
      </c>
      <c r="AL22" s="73">
        <f t="shared" si="4"/>
        <v>0</v>
      </c>
      <c r="AM22" s="14">
        <f t="shared" si="7"/>
        <v>-1</v>
      </c>
      <c r="AN22" s="9"/>
    </row>
    <row r="23" spans="1:40" ht="14.45" hidden="1" customHeight="1" outlineLevel="1">
      <c r="A23" s="37" t="s">
        <v>97</v>
      </c>
      <c r="B23" s="39"/>
      <c r="C23" s="39" t="s">
        <v>124</v>
      </c>
      <c r="D23" s="37"/>
      <c r="E23" s="38"/>
      <c r="F23" s="37"/>
      <c r="G23" s="37"/>
      <c r="H23" s="37"/>
      <c r="I23" s="171" t="s">
        <v>119</v>
      </c>
      <c r="J23" s="65">
        <v>19401</v>
      </c>
      <c r="K23" s="65">
        <v>24151</v>
      </c>
      <c r="L23" s="65">
        <v>20739</v>
      </c>
      <c r="M23" s="65">
        <v>95043</v>
      </c>
      <c r="N23" s="65">
        <v>-50759</v>
      </c>
      <c r="O23" s="65">
        <v>22490</v>
      </c>
      <c r="P23" s="65">
        <v>20957</v>
      </c>
      <c r="Q23" s="65">
        <v>18981</v>
      </c>
      <c r="R23" s="65">
        <v>19435</v>
      </c>
      <c r="S23" s="65">
        <v>0</v>
      </c>
      <c r="T23" s="65">
        <v>0</v>
      </c>
      <c r="U23" s="65">
        <v>0</v>
      </c>
      <c r="V23" s="11">
        <f t="shared" si="5"/>
        <v>190438</v>
      </c>
      <c r="W23" s="73">
        <f t="shared" si="2"/>
        <v>1.6296896267359064E-3</v>
      </c>
      <c r="X23" s="89"/>
      <c r="Y23" s="65">
        <f>0*Y40</f>
        <v>0</v>
      </c>
      <c r="Z23" s="65">
        <f t="shared" ref="Z23:AJ24" si="10">0*Z40</f>
        <v>0</v>
      </c>
      <c r="AA23" s="65">
        <f t="shared" si="10"/>
        <v>0</v>
      </c>
      <c r="AB23" s="65">
        <f t="shared" si="10"/>
        <v>0</v>
      </c>
      <c r="AC23" s="65">
        <f t="shared" si="10"/>
        <v>0</v>
      </c>
      <c r="AD23" s="65">
        <f t="shared" si="10"/>
        <v>0</v>
      </c>
      <c r="AE23" s="65">
        <f t="shared" si="10"/>
        <v>0</v>
      </c>
      <c r="AF23" s="65">
        <f t="shared" si="10"/>
        <v>0</v>
      </c>
      <c r="AG23" s="65">
        <f t="shared" si="10"/>
        <v>0</v>
      </c>
      <c r="AH23" s="65">
        <f t="shared" si="10"/>
        <v>0</v>
      </c>
      <c r="AI23" s="65">
        <f t="shared" si="10"/>
        <v>0</v>
      </c>
      <c r="AJ23" s="65">
        <f t="shared" si="10"/>
        <v>0</v>
      </c>
      <c r="AK23" s="65">
        <f t="shared" si="6"/>
        <v>0</v>
      </c>
      <c r="AL23" s="73">
        <f t="shared" si="4"/>
        <v>0</v>
      </c>
      <c r="AM23" s="14">
        <f t="shared" si="7"/>
        <v>-1</v>
      </c>
      <c r="AN23" s="9"/>
    </row>
    <row r="24" spans="1:40" ht="14.45" hidden="1" customHeight="1" outlineLevel="1">
      <c r="A24" s="37" t="s">
        <v>97</v>
      </c>
      <c r="B24" s="39"/>
      <c r="C24" s="39" t="s">
        <v>126</v>
      </c>
      <c r="D24" s="37"/>
      <c r="E24" s="38"/>
      <c r="F24" s="37"/>
      <c r="G24" s="37"/>
      <c r="H24" s="37"/>
      <c r="I24" s="172" t="s">
        <v>121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11">
        <f t="shared" si="5"/>
        <v>0</v>
      </c>
      <c r="W24" s="73">
        <f t="shared" si="2"/>
        <v>0</v>
      </c>
      <c r="X24" s="89"/>
      <c r="Y24" s="65">
        <f>0*Y41</f>
        <v>0</v>
      </c>
      <c r="Z24" s="65">
        <f t="shared" si="10"/>
        <v>0</v>
      </c>
      <c r="AA24" s="65">
        <f t="shared" si="10"/>
        <v>0</v>
      </c>
      <c r="AB24" s="65">
        <f t="shared" si="10"/>
        <v>0</v>
      </c>
      <c r="AC24" s="65">
        <f t="shared" si="10"/>
        <v>0</v>
      </c>
      <c r="AD24" s="65">
        <f t="shared" si="10"/>
        <v>0</v>
      </c>
      <c r="AE24" s="65">
        <f t="shared" si="10"/>
        <v>0</v>
      </c>
      <c r="AF24" s="65">
        <f t="shared" si="10"/>
        <v>0</v>
      </c>
      <c r="AG24" s="65">
        <f t="shared" si="10"/>
        <v>0</v>
      </c>
      <c r="AH24" s="65">
        <f t="shared" si="10"/>
        <v>0</v>
      </c>
      <c r="AI24" s="65">
        <f t="shared" si="10"/>
        <v>0</v>
      </c>
      <c r="AJ24" s="65">
        <f t="shared" si="10"/>
        <v>0</v>
      </c>
      <c r="AK24" s="65">
        <f t="shared" si="6"/>
        <v>0</v>
      </c>
      <c r="AL24" s="73">
        <f t="shared" si="4"/>
        <v>0</v>
      </c>
      <c r="AM24" s="14">
        <f t="shared" si="7"/>
        <v>0</v>
      </c>
      <c r="AN24" s="9"/>
    </row>
    <row r="25" spans="1:40" ht="14.45" hidden="1" customHeight="1" outlineLevel="1">
      <c r="A25" s="37" t="s">
        <v>97</v>
      </c>
      <c r="B25" s="39"/>
      <c r="C25" s="39" t="s">
        <v>127</v>
      </c>
      <c r="D25" s="37" t="s">
        <v>90</v>
      </c>
      <c r="E25" s="38"/>
      <c r="F25" s="37"/>
      <c r="G25" s="37"/>
      <c r="H25" s="37"/>
      <c r="I25" s="171" t="s">
        <v>123</v>
      </c>
      <c r="J25" s="65">
        <v>0</v>
      </c>
      <c r="K25" s="65">
        <v>0</v>
      </c>
      <c r="L25" s="65">
        <v>0</v>
      </c>
      <c r="M25" s="65">
        <v>0</v>
      </c>
      <c r="N25" s="65">
        <v>1841</v>
      </c>
      <c r="O25" s="65">
        <v>0</v>
      </c>
      <c r="P25" s="65">
        <v>0</v>
      </c>
      <c r="Q25" s="65">
        <v>916</v>
      </c>
      <c r="R25" s="65">
        <v>0</v>
      </c>
      <c r="S25" s="65">
        <v>0</v>
      </c>
      <c r="T25" s="65">
        <v>0</v>
      </c>
      <c r="U25" s="65">
        <v>0</v>
      </c>
      <c r="V25" s="11">
        <f t="shared" si="5"/>
        <v>2757</v>
      </c>
      <c r="W25" s="73">
        <f t="shared" si="2"/>
        <v>2.3593265529520862E-5</v>
      </c>
      <c r="X25" s="89"/>
      <c r="Y25" s="65">
        <f>(Y40*'Parametros JRZ'!$N$48)*'Parametros JRZ'!$B$59</f>
        <v>0</v>
      </c>
      <c r="Z25" s="65">
        <f>(Z40*'Parametros JRZ'!$N$48)*'Parametros JRZ'!$B$59</f>
        <v>0</v>
      </c>
      <c r="AA25" s="65">
        <f>(AA40*'Parametros JRZ'!$N$48)*'Parametros JRZ'!$B$59</f>
        <v>0</v>
      </c>
      <c r="AB25" s="65">
        <f>(AB40*'Parametros JRZ'!$N$48)*'Parametros JRZ'!$B$59</f>
        <v>0</v>
      </c>
      <c r="AC25" s="65">
        <f>(AC40*'Parametros JRZ'!$N$48)*'Parametros JRZ'!$B$59</f>
        <v>0</v>
      </c>
      <c r="AD25" s="65">
        <f>(AD40*'Parametros JRZ'!$N$48)*'Parametros JRZ'!$B$59</f>
        <v>0</v>
      </c>
      <c r="AE25" s="65">
        <f>(AE40*'Parametros JRZ'!$N$48)*'Parametros JRZ'!$B$59</f>
        <v>0</v>
      </c>
      <c r="AF25" s="65">
        <f>(AF40*'Parametros JRZ'!$N$48)*'Parametros JRZ'!$B$59</f>
        <v>0</v>
      </c>
      <c r="AG25" s="65">
        <f>(AG40*'Parametros JRZ'!$N$48)*'Parametros JRZ'!$B$59</f>
        <v>0</v>
      </c>
      <c r="AH25" s="65">
        <f>(AH40*'Parametros JRZ'!$N$48)*'Parametros JRZ'!$B$59</f>
        <v>0</v>
      </c>
      <c r="AI25" s="65">
        <f>(AI40*'Parametros JRZ'!$N$48)*'Parametros JRZ'!$B$59</f>
        <v>0</v>
      </c>
      <c r="AJ25" s="65">
        <f>(AJ40*'Parametros JRZ'!$N$48)*'Parametros JRZ'!$B$59</f>
        <v>0</v>
      </c>
      <c r="AK25" s="65">
        <f t="shared" si="6"/>
        <v>0</v>
      </c>
      <c r="AL25" s="73">
        <f t="shared" si="4"/>
        <v>0</v>
      </c>
      <c r="AM25" s="14">
        <f t="shared" si="7"/>
        <v>-1</v>
      </c>
      <c r="AN25" s="9"/>
    </row>
    <row r="26" spans="1:40" ht="14.45" hidden="1" customHeight="1" outlineLevel="1">
      <c r="A26" s="37" t="s">
        <v>97</v>
      </c>
      <c r="B26" s="39"/>
      <c r="C26" s="39" t="s">
        <v>129</v>
      </c>
      <c r="D26" s="37" t="s">
        <v>90</v>
      </c>
      <c r="E26" s="38"/>
      <c r="F26" s="37"/>
      <c r="G26" s="37"/>
      <c r="H26" s="37"/>
      <c r="I26" s="172" t="s">
        <v>125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11">
        <f t="shared" si="5"/>
        <v>0</v>
      </c>
      <c r="W26" s="73">
        <f t="shared" si="2"/>
        <v>0</v>
      </c>
      <c r="X26" s="89"/>
      <c r="Y26" s="65">
        <f>(Y41*'Parametros JRZ'!$N$49)*'Parametros JRZ'!$B$60</f>
        <v>0</v>
      </c>
      <c r="Z26" s="65">
        <f>(Z41*'Parametros JRZ'!$N$49)*'Parametros JRZ'!$B$60</f>
        <v>0</v>
      </c>
      <c r="AA26" s="65">
        <f>(AA41*'Parametros JRZ'!$N$49)*'Parametros JRZ'!$B$60</f>
        <v>0</v>
      </c>
      <c r="AB26" s="65">
        <f>(AB41*'Parametros JRZ'!$N$49)*'Parametros JRZ'!$B$60</f>
        <v>0</v>
      </c>
      <c r="AC26" s="65">
        <f>(AC41*'Parametros JRZ'!$N$49)*'Parametros JRZ'!$B$60</f>
        <v>0</v>
      </c>
      <c r="AD26" s="65">
        <f>(AD41*'Parametros JRZ'!$N$49)*'Parametros JRZ'!$B$60</f>
        <v>0</v>
      </c>
      <c r="AE26" s="65">
        <f>(AE41*'Parametros JRZ'!$N$49)*'Parametros JRZ'!$B$60</f>
        <v>0</v>
      </c>
      <c r="AF26" s="65">
        <f>(AF41*'Parametros JRZ'!$N$49)*'Parametros JRZ'!$B$60</f>
        <v>0</v>
      </c>
      <c r="AG26" s="65">
        <f>(AG41*'Parametros JRZ'!$N$49)*'Parametros JRZ'!$B$60</f>
        <v>0</v>
      </c>
      <c r="AH26" s="65">
        <f>(AH41*'Parametros JRZ'!$N$49)*'Parametros JRZ'!$B$60</f>
        <v>0</v>
      </c>
      <c r="AI26" s="65">
        <f>(AI41*'Parametros JRZ'!$N$49)*'Parametros JRZ'!$B$60</f>
        <v>0</v>
      </c>
      <c r="AJ26" s="65">
        <f>(AJ41*'Parametros JRZ'!$N$49)*'Parametros JRZ'!$B$60</f>
        <v>0</v>
      </c>
      <c r="AK26" s="65">
        <f t="shared" si="6"/>
        <v>0</v>
      </c>
      <c r="AL26" s="73">
        <f t="shared" si="4"/>
        <v>0</v>
      </c>
      <c r="AM26" s="14">
        <f t="shared" si="7"/>
        <v>0</v>
      </c>
      <c r="AN26" s="9"/>
    </row>
    <row r="27" spans="1:40" ht="14.45" hidden="1" customHeight="1" outlineLevel="1">
      <c r="A27" s="37"/>
      <c r="B27" s="39"/>
      <c r="C27" s="39"/>
      <c r="D27" s="37"/>
      <c r="E27" s="38"/>
      <c r="F27" s="37"/>
      <c r="G27" s="37"/>
      <c r="H27" s="37"/>
      <c r="I27" s="167" t="s">
        <v>126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11">
        <f t="shared" si="5"/>
        <v>0</v>
      </c>
      <c r="W27" s="73">
        <f t="shared" si="2"/>
        <v>0</v>
      </c>
      <c r="X27" s="89"/>
      <c r="Y27" s="65">
        <f>(Y42*'Parametros JRZ'!$N$50)*'Parametros JRZ'!$B$61</f>
        <v>0</v>
      </c>
      <c r="Z27" s="65">
        <f>(Z42*'Parametros JRZ'!$N$50)*'Parametros JRZ'!$B$61</f>
        <v>0</v>
      </c>
      <c r="AA27" s="65">
        <f>(AA42*'Parametros JRZ'!$N$50)*'Parametros JRZ'!$B$61</f>
        <v>0</v>
      </c>
      <c r="AB27" s="65">
        <f>(AB42*'Parametros JRZ'!$N$50)*'Parametros JRZ'!$B$61</f>
        <v>0</v>
      </c>
      <c r="AC27" s="65">
        <f>(AC42*'Parametros JRZ'!$N$50)*'Parametros JRZ'!$B$61</f>
        <v>0</v>
      </c>
      <c r="AD27" s="65">
        <f>(AD42*'Parametros JRZ'!$N$50)*'Parametros JRZ'!$B$61</f>
        <v>0</v>
      </c>
      <c r="AE27" s="65">
        <f>(AE42*'Parametros JRZ'!$N$50)*'Parametros JRZ'!$B$61</f>
        <v>0</v>
      </c>
      <c r="AF27" s="65">
        <f>(AF42*'Parametros JRZ'!$N$50)*'Parametros JRZ'!$B$61</f>
        <v>0</v>
      </c>
      <c r="AG27" s="65">
        <f>(AG42*'Parametros JRZ'!$N$50)*'Parametros JRZ'!$B$61</f>
        <v>0</v>
      </c>
      <c r="AH27" s="65">
        <f>(AH42*'Parametros JRZ'!$N$50)*'Parametros JRZ'!$B$61</f>
        <v>0</v>
      </c>
      <c r="AI27" s="65">
        <f>(AI42*'Parametros JRZ'!$N$50)*'Parametros JRZ'!$B$61</f>
        <v>0</v>
      </c>
      <c r="AJ27" s="65">
        <f>(AJ42*'Parametros JRZ'!$N$50)*'Parametros JRZ'!$B$61</f>
        <v>0</v>
      </c>
      <c r="AK27" s="65">
        <f t="shared" si="6"/>
        <v>0</v>
      </c>
      <c r="AL27" s="73">
        <f t="shared" si="4"/>
        <v>0</v>
      </c>
      <c r="AM27" s="14">
        <f t="shared" si="7"/>
        <v>0</v>
      </c>
      <c r="AN27" s="9"/>
    </row>
    <row r="28" spans="1:40" ht="15.6" hidden="1" customHeight="1" outlineLevel="1">
      <c r="I28" s="171" t="s">
        <v>128</v>
      </c>
      <c r="J28" s="65">
        <v>-1637579</v>
      </c>
      <c r="K28" s="65">
        <v>-1675367</v>
      </c>
      <c r="L28" s="65">
        <v>-1842086</v>
      </c>
      <c r="M28" s="65">
        <v>-1765994</v>
      </c>
      <c r="N28" s="65">
        <v>-1997030</v>
      </c>
      <c r="O28" s="65">
        <v>-1970030</v>
      </c>
      <c r="P28" s="65">
        <v>-1830643</v>
      </c>
      <c r="Q28" s="65">
        <v>-1677724</v>
      </c>
      <c r="R28" s="65">
        <v>-1617259</v>
      </c>
      <c r="S28" s="65">
        <v>0</v>
      </c>
      <c r="T28" s="65">
        <v>0</v>
      </c>
      <c r="U28" s="65">
        <v>0</v>
      </c>
      <c r="V28" s="11">
        <f t="shared" si="5"/>
        <v>-16013712</v>
      </c>
      <c r="W28" s="73">
        <f t="shared" si="2"/>
        <v>-0.13703872300662842</v>
      </c>
      <c r="X28" s="89"/>
      <c r="Y28" s="66">
        <f>+-Y40*'[3]Margen ctvs-lit'!$T$2</f>
        <v>0</v>
      </c>
      <c r="Z28" s="66">
        <f>+-Z40*'[3]Margen ctvs-lit'!$T$2</f>
        <v>0</v>
      </c>
      <c r="AA28" s="66">
        <f>+-AA40*'[3]Margen ctvs-lit'!$T$2</f>
        <v>0</v>
      </c>
      <c r="AB28" s="66">
        <f>+-AB40*'[3]Margen ctvs-lit'!$T$2</f>
        <v>0</v>
      </c>
      <c r="AC28" s="66">
        <f>+-AC40*'[3]Margen ctvs-lit'!$T$2</f>
        <v>0</v>
      </c>
      <c r="AD28" s="66">
        <f>+-AD40*'[3]Margen ctvs-lit'!$T$2</f>
        <v>0</v>
      </c>
      <c r="AE28" s="66">
        <f>+-AE40*'[3]Margen ctvs-lit'!$T$2</f>
        <v>0</v>
      </c>
      <c r="AF28" s="66">
        <f>+-AF40*'[3]Margen ctvs-lit'!$T$2</f>
        <v>0</v>
      </c>
      <c r="AG28" s="66">
        <f>+-AG40*'[3]Margen ctvs-lit'!$T$2</f>
        <v>0</v>
      </c>
      <c r="AH28" s="66">
        <f>+-AH40*'[3]Margen ctvs-lit'!$T$2</f>
        <v>0</v>
      </c>
      <c r="AI28" s="66">
        <f>+-AI40*'[3]Margen ctvs-lit'!$T$2</f>
        <v>0</v>
      </c>
      <c r="AJ28" s="66">
        <f>+-AJ40*'[3]Margen ctvs-lit'!$T$2</f>
        <v>0</v>
      </c>
      <c r="AK28" s="65">
        <f t="shared" si="6"/>
        <v>0</v>
      </c>
      <c r="AL28" s="73">
        <f t="shared" si="4"/>
        <v>0</v>
      </c>
      <c r="AM28" s="14">
        <f t="shared" si="7"/>
        <v>-1</v>
      </c>
      <c r="AN28" s="9"/>
    </row>
    <row r="29" spans="1:40" ht="14.45" hidden="1" customHeight="1" outlineLevel="1">
      <c r="I29" s="172" t="s">
        <v>130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11">
        <f t="shared" si="5"/>
        <v>0</v>
      </c>
      <c r="W29" s="73">
        <f t="shared" si="2"/>
        <v>0</v>
      </c>
      <c r="X29" s="89"/>
      <c r="Y29" s="66">
        <f>+-Y41*'[3]Margen ctvs-lit'!$T$3</f>
        <v>0</v>
      </c>
      <c r="Z29" s="66">
        <f>+-Z41*'[3]Margen ctvs-lit'!$T$3</f>
        <v>0</v>
      </c>
      <c r="AA29" s="66">
        <f>+-AA41*'[3]Margen ctvs-lit'!$T$3</f>
        <v>0</v>
      </c>
      <c r="AB29" s="66">
        <f>+-AB41*'[3]Margen ctvs-lit'!$T$3</f>
        <v>0</v>
      </c>
      <c r="AC29" s="66">
        <f>+-AC41*'[3]Margen ctvs-lit'!$T$3</f>
        <v>0</v>
      </c>
      <c r="AD29" s="66">
        <f>+-AD41*'[3]Margen ctvs-lit'!$T$3</f>
        <v>0</v>
      </c>
      <c r="AE29" s="66">
        <f>+-AE41*'[3]Margen ctvs-lit'!$T$3</f>
        <v>0</v>
      </c>
      <c r="AF29" s="66">
        <f>+-AF41*'[3]Margen ctvs-lit'!$T$3</f>
        <v>0</v>
      </c>
      <c r="AG29" s="66">
        <f>+-AG41*'[3]Margen ctvs-lit'!$T$3</f>
        <v>0</v>
      </c>
      <c r="AH29" s="66">
        <f>+-AH41*'[3]Margen ctvs-lit'!$T$3</f>
        <v>0</v>
      </c>
      <c r="AI29" s="66">
        <f>+-AI41*'[3]Margen ctvs-lit'!$T$3</f>
        <v>0</v>
      </c>
      <c r="AJ29" s="66">
        <f>+-AJ41*'[3]Margen ctvs-lit'!$T$3</f>
        <v>0</v>
      </c>
      <c r="AK29" s="65">
        <f t="shared" si="6"/>
        <v>0</v>
      </c>
      <c r="AL29" s="73">
        <f t="shared" si="4"/>
        <v>0</v>
      </c>
      <c r="AM29" s="14">
        <f t="shared" si="7"/>
        <v>0</v>
      </c>
      <c r="AN29" s="9"/>
    </row>
    <row r="30" spans="1:40" ht="14.45" hidden="1" customHeight="1" outlineLevel="1">
      <c r="I30" s="172" t="s">
        <v>131</v>
      </c>
      <c r="J30" s="65">
        <v>12282</v>
      </c>
      <c r="K30" s="65">
        <v>8940</v>
      </c>
      <c r="L30" s="65">
        <v>9261</v>
      </c>
      <c r="M30" s="65">
        <v>10475</v>
      </c>
      <c r="N30" s="65">
        <v>9878</v>
      </c>
      <c r="O30" s="65">
        <v>7669</v>
      </c>
      <c r="P30" s="65">
        <v>4577</v>
      </c>
      <c r="Q30" s="65">
        <v>6769</v>
      </c>
      <c r="R30" s="65">
        <v>12387</v>
      </c>
      <c r="S30" s="65">
        <v>9207.5399999999991</v>
      </c>
      <c r="T30" s="65">
        <v>11340.36</v>
      </c>
      <c r="U30" s="65">
        <v>12380.759999999998</v>
      </c>
      <c r="V30" s="11">
        <f t="shared" si="5"/>
        <v>115166.65999999999</v>
      </c>
      <c r="W30" s="73">
        <f t="shared" si="2"/>
        <v>9.8554863602758383E-4</v>
      </c>
      <c r="X30" s="89"/>
      <c r="Y30" s="65">
        <f t="shared" ref="Y30:AJ30" si="11">+Y10*0.85</f>
        <v>16218</v>
      </c>
      <c r="Z30" s="65">
        <f t="shared" si="11"/>
        <v>13005</v>
      </c>
      <c r="AA30" s="65">
        <f t="shared" si="11"/>
        <v>10659</v>
      </c>
      <c r="AB30" s="65">
        <f t="shared" si="11"/>
        <v>10353</v>
      </c>
      <c r="AC30" s="65">
        <f t="shared" si="11"/>
        <v>13362</v>
      </c>
      <c r="AD30" s="65">
        <f t="shared" si="11"/>
        <v>14331</v>
      </c>
      <c r="AE30" s="65">
        <f t="shared" si="11"/>
        <v>13158</v>
      </c>
      <c r="AF30" s="65">
        <f t="shared" si="11"/>
        <v>12852</v>
      </c>
      <c r="AG30" s="65">
        <f t="shared" si="11"/>
        <v>12903</v>
      </c>
      <c r="AH30" s="65">
        <f t="shared" si="11"/>
        <v>14382</v>
      </c>
      <c r="AI30" s="65">
        <f t="shared" si="11"/>
        <v>14535</v>
      </c>
      <c r="AJ30" s="65">
        <f t="shared" si="11"/>
        <v>12444</v>
      </c>
      <c r="AK30" s="65">
        <f t="shared" si="6"/>
        <v>158202</v>
      </c>
      <c r="AL30" s="73">
        <f t="shared" si="4"/>
        <v>1.2660464298466676E-3</v>
      </c>
      <c r="AM30" s="14">
        <f t="shared" si="7"/>
        <v>0.37367880600166758</v>
      </c>
      <c r="AN30" s="9"/>
    </row>
    <row r="31" spans="1:40" ht="14.45" hidden="1" customHeight="1" outlineLevel="1">
      <c r="I31" s="172" t="s">
        <v>132</v>
      </c>
      <c r="J31" s="65">
        <v>0</v>
      </c>
      <c r="K31" s="65">
        <v>0</v>
      </c>
      <c r="L31" s="65"/>
      <c r="M31" s="65"/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/>
      <c r="T31" s="65"/>
      <c r="U31" s="65"/>
      <c r="V31" s="11">
        <f t="shared" si="5"/>
        <v>0</v>
      </c>
      <c r="W31" s="73">
        <f t="shared" si="2"/>
        <v>0</v>
      </c>
      <c r="X31" s="89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>
        <f t="shared" si="6"/>
        <v>0</v>
      </c>
      <c r="AL31" s="73">
        <f t="shared" si="4"/>
        <v>0</v>
      </c>
      <c r="AM31" s="14">
        <f t="shared" si="7"/>
        <v>0</v>
      </c>
      <c r="AN31" s="9"/>
    </row>
    <row r="32" spans="1:40" ht="14.25" hidden="1" customHeight="1" outlineLevel="1">
      <c r="I32" s="172" t="s">
        <v>133</v>
      </c>
      <c r="J32" s="65">
        <v>0</v>
      </c>
      <c r="K32" s="65">
        <v>0</v>
      </c>
      <c r="L32" s="65"/>
      <c r="M32" s="65"/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/>
      <c r="T32" s="65"/>
      <c r="U32" s="65"/>
      <c r="V32" s="11">
        <f t="shared" si="5"/>
        <v>0</v>
      </c>
      <c r="W32" s="73">
        <f t="shared" si="2"/>
        <v>0</v>
      </c>
      <c r="X32" s="89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f t="shared" si="6"/>
        <v>0</v>
      </c>
      <c r="AL32" s="73">
        <f t="shared" si="4"/>
        <v>0</v>
      </c>
      <c r="AM32" s="14">
        <f t="shared" si="7"/>
        <v>0</v>
      </c>
      <c r="AN32" s="9"/>
    </row>
    <row r="33" spans="1:41" ht="14.45" hidden="1" customHeight="1" outlineLevel="1">
      <c r="I33" s="172" t="s">
        <v>134</v>
      </c>
      <c r="J33" s="65">
        <v>0</v>
      </c>
      <c r="K33" s="65">
        <v>0</v>
      </c>
      <c r="L33" s="65"/>
      <c r="M33" s="65"/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/>
      <c r="T33" s="65"/>
      <c r="U33" s="65"/>
      <c r="V33" s="11">
        <f t="shared" si="5"/>
        <v>0</v>
      </c>
      <c r="W33" s="73">
        <f t="shared" si="2"/>
        <v>0</v>
      </c>
      <c r="X33" s="89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>
        <f t="shared" si="6"/>
        <v>0</v>
      </c>
      <c r="AL33" s="73">
        <f t="shared" si="4"/>
        <v>0</v>
      </c>
      <c r="AM33" s="14">
        <f t="shared" si="7"/>
        <v>0</v>
      </c>
      <c r="AN33" s="9"/>
    </row>
    <row r="34" spans="1:41" ht="14.45" customHeight="1" collapsed="1">
      <c r="E34" s="127"/>
      <c r="I34" s="36" t="s">
        <v>135</v>
      </c>
      <c r="J34" s="35">
        <v>1243270</v>
      </c>
      <c r="K34" s="35">
        <v>1455979</v>
      </c>
      <c r="L34" s="35">
        <v>1421221</v>
      </c>
      <c r="M34" s="35">
        <v>1406697</v>
      </c>
      <c r="N34" s="35">
        <v>1594851</v>
      </c>
      <c r="O34" s="35">
        <v>1395557</v>
      </c>
      <c r="P34" s="35">
        <v>1301254</v>
      </c>
      <c r="Q34" s="35">
        <v>1143647</v>
      </c>
      <c r="R34" s="228">
        <v>1193962</v>
      </c>
      <c r="S34" s="228">
        <f>SUM(S35:S38)</f>
        <v>1296924.3333333333</v>
      </c>
      <c r="T34" s="228">
        <f t="shared" ref="T34:V34" si="12">SUM(T35:T38)</f>
        <v>1264046.7777777775</v>
      </c>
      <c r="U34" s="228">
        <f t="shared" si="12"/>
        <v>1251644.3703703701</v>
      </c>
      <c r="V34" s="228">
        <f t="shared" si="12"/>
        <v>15969055.481481481</v>
      </c>
      <c r="W34" s="73">
        <f t="shared" si="2"/>
        <v>0.13665657099392209</v>
      </c>
      <c r="X34" s="89"/>
      <c r="Y34" s="35">
        <f t="shared" ref="Y34:AJ34" si="13">Y6-Y13</f>
        <v>1256119.04</v>
      </c>
      <c r="Z34" s="35">
        <f t="shared" si="13"/>
        <v>1296426.04</v>
      </c>
      <c r="AA34" s="35">
        <f t="shared" si="13"/>
        <v>1464880.4499999993</v>
      </c>
      <c r="AB34" s="35">
        <f t="shared" si="13"/>
        <v>1322898.6799999997</v>
      </c>
      <c r="AC34" s="35">
        <f t="shared" si="13"/>
        <v>1628025.5199999996</v>
      </c>
      <c r="AD34" s="35">
        <f t="shared" si="13"/>
        <v>1528917.1999999993</v>
      </c>
      <c r="AE34" s="35">
        <f t="shared" si="13"/>
        <v>1380549.3900000006</v>
      </c>
      <c r="AF34" s="35">
        <f t="shared" si="13"/>
        <v>1462647.4000000022</v>
      </c>
      <c r="AG34" s="35">
        <f t="shared" si="13"/>
        <v>1385238.9000000004</v>
      </c>
      <c r="AH34" s="35">
        <f t="shared" si="13"/>
        <v>1364221.5999999996</v>
      </c>
      <c r="AI34" s="35">
        <f t="shared" si="13"/>
        <v>1385787.5200000014</v>
      </c>
      <c r="AJ34" s="35">
        <f t="shared" si="13"/>
        <v>1321590.9399999995</v>
      </c>
      <c r="AK34" s="35">
        <f>AK6-AK13</f>
        <v>16797302.679999992</v>
      </c>
      <c r="AL34" s="73">
        <f t="shared" si="4"/>
        <v>0.13442412288762376</v>
      </c>
      <c r="AM34" s="34">
        <f t="shared" si="7"/>
        <v>5.1865759968019898E-2</v>
      </c>
      <c r="AN34" s="9"/>
    </row>
    <row r="35" spans="1:41" ht="14.45" hidden="1" customHeight="1" outlineLevel="1">
      <c r="E35" s="127"/>
      <c r="I35" s="212" t="s">
        <v>136</v>
      </c>
      <c r="J35" s="30">
        <v>1208197</v>
      </c>
      <c r="K35" s="30">
        <v>1410438</v>
      </c>
      <c r="L35" s="30">
        <v>1392871</v>
      </c>
      <c r="M35" s="30">
        <v>1384420</v>
      </c>
      <c r="N35" s="30">
        <v>1540020</v>
      </c>
      <c r="O35" s="30">
        <v>1331829</v>
      </c>
      <c r="P35" s="30">
        <v>1237135</v>
      </c>
      <c r="Q35" s="30">
        <v>1108764</v>
      </c>
      <c r="R35" s="229">
        <v>1169220</v>
      </c>
      <c r="S35" s="229">
        <f>IFERROR(AVERAGE(R35,O35:P35),0)</f>
        <v>1246061.3333333333</v>
      </c>
      <c r="T35" s="229">
        <f>IFERROR(AVERAGE(R35:S35,P35),0)</f>
        <v>1217472.111111111</v>
      </c>
      <c r="U35" s="229">
        <f>IFERROR(AVERAGE(R35:T35),0)</f>
        <v>1210917.8148148146</v>
      </c>
      <c r="V35" s="229">
        <f t="shared" ref="V35:V38" si="14">SUM(J35:U35)</f>
        <v>15457345.259259259</v>
      </c>
      <c r="W35" s="74">
        <f t="shared" ref="W35:W46" si="15">V35/V$39</f>
        <v>2.4047214780001385</v>
      </c>
      <c r="X35" s="90"/>
      <c r="Y35" s="30">
        <f>+Y40*Y44</f>
        <v>1222249.5199999998</v>
      </c>
      <c r="Z35" s="30">
        <f t="shared" ref="Z35:AJ35" si="16">+Z40*Z44</f>
        <v>1256704.1299999999</v>
      </c>
      <c r="AA35" s="30">
        <f t="shared" si="16"/>
        <v>1426991.8</v>
      </c>
      <c r="AB35" s="30">
        <f t="shared" si="16"/>
        <v>1288065.8400000001</v>
      </c>
      <c r="AC35" s="30">
        <f t="shared" si="16"/>
        <v>1580129.76</v>
      </c>
      <c r="AD35" s="30">
        <f t="shared" si="16"/>
        <v>1467297.2400000002</v>
      </c>
      <c r="AE35" s="30">
        <f t="shared" si="16"/>
        <v>1329333.9300000002</v>
      </c>
      <c r="AF35" s="30">
        <f t="shared" si="16"/>
        <v>1425519.12</v>
      </c>
      <c r="AG35" s="30">
        <f t="shared" si="16"/>
        <v>1346945.04</v>
      </c>
      <c r="AH35" s="30">
        <f t="shared" si="16"/>
        <v>1322090.4000000001</v>
      </c>
      <c r="AI35" s="30">
        <f t="shared" si="16"/>
        <v>1345624.56</v>
      </c>
      <c r="AJ35" s="30">
        <f t="shared" si="16"/>
        <v>1285309.6000000001</v>
      </c>
      <c r="AK35" s="30">
        <f t="shared" ref="AK35:AK42" si="17">SUM(Y35:AJ35)</f>
        <v>16296260.939999999</v>
      </c>
      <c r="AL35" s="74">
        <f t="shared" ref="AL35:AL46" si="18">AK35/AK$39</f>
        <v>2.4423332391645305</v>
      </c>
      <c r="AM35" s="29">
        <f>IFERROR(AK35/V35-1,0)</f>
        <v>5.427294704685548E-2</v>
      </c>
      <c r="AN35" s="9"/>
    </row>
    <row r="36" spans="1:41" ht="14.45" hidden="1" customHeight="1" outlineLevel="1">
      <c r="E36" s="127"/>
      <c r="I36" s="212" t="s">
        <v>137</v>
      </c>
      <c r="J36" s="30" t="s">
        <v>477</v>
      </c>
      <c r="K36" s="30" t="s">
        <v>477</v>
      </c>
      <c r="L36" s="30" t="s">
        <v>477</v>
      </c>
      <c r="M36" s="30" t="s">
        <v>477</v>
      </c>
      <c r="N36" s="30" t="s">
        <v>477</v>
      </c>
      <c r="O36" s="30" t="s">
        <v>477</v>
      </c>
      <c r="P36" s="30" t="s">
        <v>477</v>
      </c>
      <c r="Q36" s="30" t="s">
        <v>477</v>
      </c>
      <c r="R36" s="229" t="s">
        <v>477</v>
      </c>
      <c r="S36" s="229">
        <f t="shared" ref="S36:S38" si="19">IFERROR(AVERAGE(R36,O36:P36),0)</f>
        <v>0</v>
      </c>
      <c r="T36" s="229">
        <f t="shared" ref="T36:T38" si="20">IFERROR(AVERAGE(R36:S36,P36),0)</f>
        <v>0</v>
      </c>
      <c r="U36" s="229">
        <f t="shared" ref="U36:U38" si="21">IFERROR(AVERAGE(R36:T36),0)</f>
        <v>0</v>
      </c>
      <c r="V36" s="229">
        <f t="shared" si="14"/>
        <v>0</v>
      </c>
      <c r="W36" s="74">
        <f t="shared" si="15"/>
        <v>0</v>
      </c>
      <c r="X36" s="90"/>
      <c r="Y36" s="30">
        <f t="shared" ref="Y36:AJ37" si="22">+Y41*Y45</f>
        <v>0</v>
      </c>
      <c r="Z36" s="30">
        <f t="shared" si="22"/>
        <v>0</v>
      </c>
      <c r="AA36" s="30">
        <f t="shared" si="22"/>
        <v>0</v>
      </c>
      <c r="AB36" s="30">
        <f t="shared" si="22"/>
        <v>0</v>
      </c>
      <c r="AC36" s="30">
        <f t="shared" si="22"/>
        <v>0</v>
      </c>
      <c r="AD36" s="30">
        <f t="shared" si="22"/>
        <v>0</v>
      </c>
      <c r="AE36" s="30">
        <f t="shared" si="22"/>
        <v>0</v>
      </c>
      <c r="AF36" s="30">
        <f t="shared" si="22"/>
        <v>0</v>
      </c>
      <c r="AG36" s="30">
        <f t="shared" si="22"/>
        <v>0</v>
      </c>
      <c r="AH36" s="30">
        <f t="shared" si="22"/>
        <v>0</v>
      </c>
      <c r="AI36" s="30">
        <f t="shared" si="22"/>
        <v>0</v>
      </c>
      <c r="AJ36" s="30">
        <f t="shared" si="22"/>
        <v>0</v>
      </c>
      <c r="AK36" s="30">
        <f t="shared" si="17"/>
        <v>0</v>
      </c>
      <c r="AL36" s="74">
        <f t="shared" si="18"/>
        <v>0</v>
      </c>
      <c r="AM36" s="29">
        <f>IFERROR(AK36/V36-1,0)</f>
        <v>0</v>
      </c>
      <c r="AN36" s="9"/>
    </row>
    <row r="37" spans="1:41" ht="14.45" hidden="1" customHeight="1" outlineLevel="1">
      <c r="I37" s="212" t="s">
        <v>138</v>
      </c>
      <c r="J37" s="30">
        <v>33470</v>
      </c>
      <c r="K37" s="30">
        <v>42836</v>
      </c>
      <c r="L37" s="30">
        <v>25595</v>
      </c>
      <c r="M37" s="30">
        <v>19152</v>
      </c>
      <c r="N37" s="30">
        <v>51879</v>
      </c>
      <c r="O37" s="30">
        <v>61348</v>
      </c>
      <c r="P37" s="30">
        <v>62836</v>
      </c>
      <c r="Q37" s="30">
        <v>32721</v>
      </c>
      <c r="R37" s="229">
        <v>28835</v>
      </c>
      <c r="S37" s="229">
        <f t="shared" si="19"/>
        <v>51006.333333333336</v>
      </c>
      <c r="T37" s="229">
        <f t="shared" si="20"/>
        <v>47559.111111111117</v>
      </c>
      <c r="U37" s="229">
        <f t="shared" si="21"/>
        <v>42466.814814814825</v>
      </c>
      <c r="V37" s="229">
        <f t="shared" si="14"/>
        <v>499704.25925925927</v>
      </c>
      <c r="W37" s="74">
        <f t="shared" si="15"/>
        <v>7.7739711750895779E-2</v>
      </c>
      <c r="X37" s="90"/>
      <c r="Y37" s="30">
        <f t="shared" si="22"/>
        <v>31007.52</v>
      </c>
      <c r="Z37" s="30">
        <f t="shared" si="22"/>
        <v>37426.909999999996</v>
      </c>
      <c r="AA37" s="30">
        <f t="shared" si="22"/>
        <v>36007.65</v>
      </c>
      <c r="AB37" s="30">
        <f t="shared" si="22"/>
        <v>33005.839999999997</v>
      </c>
      <c r="AC37" s="30">
        <f t="shared" si="22"/>
        <v>45537.760000000002</v>
      </c>
      <c r="AD37" s="30">
        <f t="shared" si="22"/>
        <v>59090.96</v>
      </c>
      <c r="AE37" s="30">
        <f t="shared" si="22"/>
        <v>48893.46</v>
      </c>
      <c r="AF37" s="30">
        <f t="shared" si="22"/>
        <v>34860.28</v>
      </c>
      <c r="AG37" s="30">
        <f t="shared" si="22"/>
        <v>36016.86</v>
      </c>
      <c r="AH37" s="30">
        <f t="shared" si="22"/>
        <v>39593.199999999997</v>
      </c>
      <c r="AI37" s="30">
        <f t="shared" si="22"/>
        <v>37597.96</v>
      </c>
      <c r="AJ37" s="30">
        <f t="shared" si="22"/>
        <v>34085.340000000004</v>
      </c>
      <c r="AK37" s="30">
        <f t="shared" si="17"/>
        <v>473123.74000000005</v>
      </c>
      <c r="AL37" s="74">
        <f t="shared" si="18"/>
        <v>7.0907421076177077E-2</v>
      </c>
      <c r="AM37" s="29">
        <f>IFERROR(AK37/V37-1,0)</f>
        <v>-5.3192500897753181E-2</v>
      </c>
      <c r="AN37" s="9"/>
    </row>
    <row r="38" spans="1:41" ht="14.45" hidden="1" customHeight="1" outlineLevel="1">
      <c r="I38" s="212" t="s">
        <v>139</v>
      </c>
      <c r="J38" s="32">
        <v>1603</v>
      </c>
      <c r="K38" s="32">
        <v>2706</v>
      </c>
      <c r="L38" s="32">
        <v>2755</v>
      </c>
      <c r="M38" s="32">
        <v>3126</v>
      </c>
      <c r="N38" s="32">
        <v>2952</v>
      </c>
      <c r="O38" s="32">
        <v>2380</v>
      </c>
      <c r="P38" s="32">
        <v>1283</v>
      </c>
      <c r="Q38" s="32">
        <v>2162</v>
      </c>
      <c r="R38" s="229">
        <v>-4093</v>
      </c>
      <c r="S38" s="229">
        <f t="shared" si="19"/>
        <v>-143.33333333333334</v>
      </c>
      <c r="T38" s="229">
        <f t="shared" si="20"/>
        <v>-984.44444444444434</v>
      </c>
      <c r="U38" s="229">
        <f t="shared" si="21"/>
        <v>-1740.2592592592591</v>
      </c>
      <c r="V38" s="229">
        <f t="shared" si="14"/>
        <v>12005.962962962964</v>
      </c>
      <c r="W38" s="74">
        <f t="shared" si="15"/>
        <v>1.8677849602807385E-3</v>
      </c>
      <c r="X38" s="90"/>
      <c r="Y38" s="32">
        <f>Y10-Y30</f>
        <v>2862</v>
      </c>
      <c r="Z38" s="32">
        <f t="shared" ref="Z38:AJ38" si="23">Z10-Z30</f>
        <v>2295</v>
      </c>
      <c r="AA38" s="32">
        <f t="shared" si="23"/>
        <v>1881</v>
      </c>
      <c r="AB38" s="32">
        <f t="shared" si="23"/>
        <v>1827</v>
      </c>
      <c r="AC38" s="32">
        <f t="shared" si="23"/>
        <v>2358</v>
      </c>
      <c r="AD38" s="32">
        <f t="shared" si="23"/>
        <v>2529</v>
      </c>
      <c r="AE38" s="32">
        <f t="shared" si="23"/>
        <v>2322</v>
      </c>
      <c r="AF38" s="32">
        <f t="shared" si="23"/>
        <v>2268</v>
      </c>
      <c r="AG38" s="32">
        <f t="shared" si="23"/>
        <v>2277</v>
      </c>
      <c r="AH38" s="32">
        <f t="shared" si="23"/>
        <v>2538</v>
      </c>
      <c r="AI38" s="32">
        <f t="shared" si="23"/>
        <v>2565</v>
      </c>
      <c r="AJ38" s="32">
        <f t="shared" si="23"/>
        <v>2196</v>
      </c>
      <c r="AK38" s="30">
        <f t="shared" si="17"/>
        <v>27918</v>
      </c>
      <c r="AL38" s="74">
        <f t="shared" si="18"/>
        <v>4.1840922664432593E-3</v>
      </c>
      <c r="AM38" s="29">
        <f>IFERROR(AK38/V38-1,0)</f>
        <v>1.3253445047368437</v>
      </c>
      <c r="AN38" s="9"/>
    </row>
    <row r="39" spans="1:41" ht="14.45" customHeight="1" collapsed="1">
      <c r="I39" s="18" t="s">
        <v>140</v>
      </c>
      <c r="J39" s="33">
        <v>492547</v>
      </c>
      <c r="K39" s="33">
        <v>505664</v>
      </c>
      <c r="L39" s="33">
        <v>550128</v>
      </c>
      <c r="M39" s="33">
        <v>525047</v>
      </c>
      <c r="N39" s="33">
        <v>603565</v>
      </c>
      <c r="O39" s="33">
        <v>601548</v>
      </c>
      <c r="P39" s="33">
        <v>558017</v>
      </c>
      <c r="Q39" s="33">
        <f t="shared" ref="Q39:T39" si="24">SUM(Q40:Q42)</f>
        <v>505942</v>
      </c>
      <c r="R39" s="33">
        <v>488614</v>
      </c>
      <c r="S39" s="33">
        <f t="shared" si="24"/>
        <v>535606</v>
      </c>
      <c r="T39" s="33">
        <f t="shared" si="24"/>
        <v>538571</v>
      </c>
      <c r="U39" s="33">
        <f>SUM(U40:U42)</f>
        <v>522666</v>
      </c>
      <c r="V39" s="33">
        <f>SUM(J39:U39)</f>
        <v>6427915</v>
      </c>
      <c r="W39" s="74">
        <f t="shared" si="15"/>
        <v>1</v>
      </c>
      <c r="X39" s="90"/>
      <c r="Y39" s="33">
        <f t="shared" ref="Y39:AJ39" si="25">SUM(Y40:Y42)</f>
        <v>499660</v>
      </c>
      <c r="Z39" s="33">
        <f t="shared" si="25"/>
        <v>511284</v>
      </c>
      <c r="AA39" s="33">
        <f t="shared" si="25"/>
        <v>563540</v>
      </c>
      <c r="AB39" s="33">
        <f t="shared" si="25"/>
        <v>537472</v>
      </c>
      <c r="AC39" s="33">
        <f t="shared" si="25"/>
        <v>616896</v>
      </c>
      <c r="AD39" s="33">
        <f t="shared" si="25"/>
        <v>613103</v>
      </c>
      <c r="AE39" s="33">
        <f t="shared" si="25"/>
        <v>568217</v>
      </c>
      <c r="AF39" s="33">
        <f t="shared" si="25"/>
        <v>575515</v>
      </c>
      <c r="AG39" s="33">
        <f t="shared" si="25"/>
        <v>557764</v>
      </c>
      <c r="AH39" s="33">
        <f t="shared" si="25"/>
        <v>546925</v>
      </c>
      <c r="AI39" s="33">
        <f t="shared" si="25"/>
        <v>549387</v>
      </c>
      <c r="AJ39" s="33">
        <f t="shared" si="25"/>
        <v>532652</v>
      </c>
      <c r="AK39" s="33">
        <f t="shared" si="17"/>
        <v>6672415</v>
      </c>
      <c r="AL39" s="74">
        <f t="shared" si="18"/>
        <v>1</v>
      </c>
      <c r="AM39" s="16">
        <f>IFERROR(AK39/V39-1,0)</f>
        <v>3.8037217355861186E-2</v>
      </c>
      <c r="AN39" s="9" t="s">
        <v>447</v>
      </c>
    </row>
    <row r="40" spans="1:41" ht="14.45" hidden="1" customHeight="1" outlineLevel="1">
      <c r="I40" s="31" t="s">
        <v>141</v>
      </c>
      <c r="J40" s="32">
        <v>480229</v>
      </c>
      <c r="K40" s="32">
        <v>491317</v>
      </c>
      <c r="L40" s="32">
        <v>540200</v>
      </c>
      <c r="M40" s="32">
        <v>517887</v>
      </c>
      <c r="N40" s="32">
        <v>585650</v>
      </c>
      <c r="O40" s="32">
        <v>577722</v>
      </c>
      <c r="P40" s="32">
        <v>536851</v>
      </c>
      <c r="Q40" s="32">
        <v>492002</v>
      </c>
      <c r="R40" s="32">
        <v>474274</v>
      </c>
      <c r="S40" s="32">
        <v>520040</v>
      </c>
      <c r="T40" s="32">
        <v>523508</v>
      </c>
      <c r="U40" s="32">
        <v>508607</v>
      </c>
      <c r="V40" s="32">
        <f>SUM(J40:U40)</f>
        <v>6248287</v>
      </c>
      <c r="W40" s="74">
        <f t="shared" si="15"/>
        <v>0.97205501317301179</v>
      </c>
      <c r="X40" s="90"/>
      <c r="Y40" s="32">
        <f>VLOOKUP($E$1,'[3]Resumen x Tipo Combustible'!$C$4:$O$10,Y$1,0)</f>
        <v>486952</v>
      </c>
      <c r="Z40" s="32">
        <f>VLOOKUP($E$1,'[3]Resumen x Tipo Combustible'!$C$4:$O$10,Z$1,0)</f>
        <v>496721</v>
      </c>
      <c r="AA40" s="32">
        <f>VLOOKUP($E$1,'[3]Resumen x Tipo Combustible'!$C$4:$O$10,AA$1,0)</f>
        <v>548843</v>
      </c>
      <c r="AB40" s="32">
        <f>VLOOKUP($E$1,'[3]Resumen x Tipo Combustible'!$C$4:$O$10,AB$1,0)</f>
        <v>523604</v>
      </c>
      <c r="AC40" s="32">
        <f>VLOOKUP($E$1,'[3]Resumen x Tipo Combustible'!$C$4:$O$10,AC$1,0)</f>
        <v>598534</v>
      </c>
      <c r="AD40" s="32">
        <f>VLOOKUP($E$1,'[3]Resumen x Tipo Combustible'!$C$4:$O$10,AD$1,0)</f>
        <v>589276</v>
      </c>
      <c r="AE40" s="32">
        <f>VLOOKUP($E$1,'[3]Resumen x Tipo Combustible'!$C$4:$O$10,AE$1,0)</f>
        <v>547051</v>
      </c>
      <c r="AF40" s="32">
        <f>VLOOKUP($E$1,'[3]Resumen x Tipo Combustible'!$C$4:$O$10,AF$1,0)</f>
        <v>561228</v>
      </c>
      <c r="AG40" s="32">
        <f>VLOOKUP($E$1,'[3]Resumen x Tipo Combustible'!$C$4:$O$10,AG$1,0)</f>
        <v>543123</v>
      </c>
      <c r="AH40" s="32">
        <f>VLOOKUP($E$1,'[3]Resumen x Tipo Combustible'!$C$4:$O$10,AH$1,0)</f>
        <v>530960</v>
      </c>
      <c r="AI40" s="32">
        <f>VLOOKUP($E$1,'[3]Resumen x Tipo Combustible'!$C$4:$O$10,AI$1,0)</f>
        <v>533978</v>
      </c>
      <c r="AJ40" s="32">
        <f>VLOOKUP($E$1,'[3]Resumen x Tipo Combustible'!$C$4:$O$10,AJ$1,0)</f>
        <v>518270</v>
      </c>
      <c r="AK40" s="32">
        <f t="shared" si="17"/>
        <v>6478540</v>
      </c>
      <c r="AL40" s="74">
        <f t="shared" si="18"/>
        <v>0.97094380370525513</v>
      </c>
      <c r="AM40" s="29">
        <f t="shared" si="7"/>
        <v>3.6850580006968281E-2</v>
      </c>
      <c r="AN40" s="9"/>
    </row>
    <row r="41" spans="1:41" ht="14.45" hidden="1" customHeight="1" outlineLevel="1">
      <c r="I41" s="31" t="s">
        <v>142</v>
      </c>
      <c r="J41" s="32" t="s">
        <v>477</v>
      </c>
      <c r="K41" s="32" t="s">
        <v>477</v>
      </c>
      <c r="L41" s="32" t="s">
        <v>477</v>
      </c>
      <c r="M41" s="32" t="s">
        <v>477</v>
      </c>
      <c r="N41" s="32" t="s">
        <v>477</v>
      </c>
      <c r="O41" s="32" t="s">
        <v>477</v>
      </c>
      <c r="P41" s="32" t="s">
        <v>477</v>
      </c>
      <c r="Q41" s="32" t="s">
        <v>477</v>
      </c>
      <c r="R41" s="32" t="s">
        <v>477</v>
      </c>
      <c r="S41" s="32" t="s">
        <v>479</v>
      </c>
      <c r="T41" s="32" t="s">
        <v>479</v>
      </c>
      <c r="U41" s="32" t="s">
        <v>479</v>
      </c>
      <c r="V41" s="32">
        <f>SUM(J41:U41)</f>
        <v>0</v>
      </c>
      <c r="W41" s="74">
        <f t="shared" si="15"/>
        <v>0</v>
      </c>
      <c r="X41" s="90"/>
      <c r="Y41" s="32">
        <f>VLOOKUP($E$1,'[3]Resumen x Tipo Combustible'!$C$15:$O$21,Y$1,0)</f>
        <v>0</v>
      </c>
      <c r="Z41" s="32">
        <f>VLOOKUP($E$1,'[3]Resumen x Tipo Combustible'!$C$15:$O$21,Z$1,0)</f>
        <v>0</v>
      </c>
      <c r="AA41" s="32">
        <f>VLOOKUP($E$1,'[3]Resumen x Tipo Combustible'!$C$15:$O$21,AA$1,0)</f>
        <v>0</v>
      </c>
      <c r="AB41" s="32">
        <f>VLOOKUP($E$1,'[3]Resumen x Tipo Combustible'!$C$15:$O$21,AB$1,0)</f>
        <v>0</v>
      </c>
      <c r="AC41" s="32">
        <f>VLOOKUP($E$1,'[3]Resumen x Tipo Combustible'!$C$15:$O$21,AC$1,0)</f>
        <v>0</v>
      </c>
      <c r="AD41" s="32">
        <f>VLOOKUP($E$1,'[3]Resumen x Tipo Combustible'!$C$15:$O$21,AD$1,0)</f>
        <v>0</v>
      </c>
      <c r="AE41" s="32">
        <f>VLOOKUP($E$1,'[3]Resumen x Tipo Combustible'!$C$15:$O$21,AE$1,0)</f>
        <v>0</v>
      </c>
      <c r="AF41" s="32">
        <f>VLOOKUP($E$1,'[3]Resumen x Tipo Combustible'!$C$15:$O$21,AF$1,0)</f>
        <v>0</v>
      </c>
      <c r="AG41" s="32">
        <f>VLOOKUP($E$1,'[3]Resumen x Tipo Combustible'!$C$15:$O$21,AG$1,0)</f>
        <v>0</v>
      </c>
      <c r="AH41" s="32">
        <f>VLOOKUP($E$1,'[3]Resumen x Tipo Combustible'!$C$15:$O$21,AH$1,0)</f>
        <v>0</v>
      </c>
      <c r="AI41" s="32">
        <f>VLOOKUP($E$1,'[3]Resumen x Tipo Combustible'!$C$15:$O$21,AI$1,0)</f>
        <v>0</v>
      </c>
      <c r="AJ41" s="32">
        <f>VLOOKUP($E$1,'[3]Resumen x Tipo Combustible'!$C$15:$O$21,AJ$1,0)</f>
        <v>0</v>
      </c>
      <c r="AK41" s="32">
        <f t="shared" si="17"/>
        <v>0</v>
      </c>
      <c r="AL41" s="74">
        <f t="shared" si="18"/>
        <v>0</v>
      </c>
      <c r="AM41" s="29">
        <f t="shared" si="7"/>
        <v>0</v>
      </c>
      <c r="AN41" s="9"/>
    </row>
    <row r="42" spans="1:41" ht="14.45" hidden="1" customHeight="1" outlineLevel="1">
      <c r="A42" s="21"/>
      <c r="B42" s="21"/>
      <c r="C42" s="21"/>
      <c r="D42" s="21"/>
      <c r="E42" s="7" t="s">
        <v>98</v>
      </c>
      <c r="I42" s="31" t="s">
        <v>143</v>
      </c>
      <c r="J42" s="32">
        <v>12318</v>
      </c>
      <c r="K42" s="32">
        <v>14348</v>
      </c>
      <c r="L42" s="32">
        <v>9928</v>
      </c>
      <c r="M42" s="32">
        <v>7160</v>
      </c>
      <c r="N42" s="32">
        <v>17915</v>
      </c>
      <c r="O42" s="32">
        <v>23827</v>
      </c>
      <c r="P42" s="32">
        <v>21166</v>
      </c>
      <c r="Q42" s="32">
        <v>13940</v>
      </c>
      <c r="R42" s="32">
        <v>14340</v>
      </c>
      <c r="S42" s="32">
        <v>15566</v>
      </c>
      <c r="T42" s="32">
        <v>15063</v>
      </c>
      <c r="U42" s="32">
        <v>14059</v>
      </c>
      <c r="V42" s="32">
        <f>SUM(J42:U42)</f>
        <v>179630</v>
      </c>
      <c r="W42" s="74">
        <f t="shared" si="15"/>
        <v>2.794529796987048E-2</v>
      </c>
      <c r="X42" s="90"/>
      <c r="Y42" s="32">
        <f>VLOOKUP($E$1,'[3]Resumen x Tipo Combustible'!$C$26:$O$32,Y$1,0)</f>
        <v>12708</v>
      </c>
      <c r="Z42" s="32">
        <f>VLOOKUP($E$1,'[3]Resumen x Tipo Combustible'!$C$26:$O$32,Z$1,0)</f>
        <v>14563</v>
      </c>
      <c r="AA42" s="32">
        <f>VLOOKUP($E$1,'[3]Resumen x Tipo Combustible'!$C$26:$O$32,AA$1,0)</f>
        <v>14697</v>
      </c>
      <c r="AB42" s="32">
        <f>VLOOKUP($E$1,'[3]Resumen x Tipo Combustible'!$C$26:$O$32,AB$1,0)</f>
        <v>13868</v>
      </c>
      <c r="AC42" s="32">
        <f>VLOOKUP($E$1,'[3]Resumen x Tipo Combustible'!$C$26:$O$32,AC$1,0)</f>
        <v>18362</v>
      </c>
      <c r="AD42" s="32">
        <f>VLOOKUP($E$1,'[3]Resumen x Tipo Combustible'!$C$26:$O$32,AD$1,0)</f>
        <v>23827</v>
      </c>
      <c r="AE42" s="32">
        <f>VLOOKUP($E$1,'[3]Resumen x Tipo Combustible'!$C$26:$O$32,AE$1,0)</f>
        <v>21166</v>
      </c>
      <c r="AF42" s="32">
        <f>VLOOKUP($E$1,'[3]Resumen x Tipo Combustible'!$C$26:$O$32,AF$1,0)</f>
        <v>14287</v>
      </c>
      <c r="AG42" s="32">
        <f>VLOOKUP($E$1,'[3]Resumen x Tipo Combustible'!$C$26:$O$32,AG$1,0)</f>
        <v>14641</v>
      </c>
      <c r="AH42" s="32">
        <f>VLOOKUP($E$1,'[3]Resumen x Tipo Combustible'!$C$26:$O$32,AH$1,0)</f>
        <v>15965</v>
      </c>
      <c r="AI42" s="32">
        <f>VLOOKUP($E$1,'[3]Resumen x Tipo Combustible'!$C$26:$O$32,AI$1,0)</f>
        <v>15409</v>
      </c>
      <c r="AJ42" s="32">
        <f>VLOOKUP($E$1,'[3]Resumen x Tipo Combustible'!$C$26:$O$32,AJ$1,0)</f>
        <v>14382</v>
      </c>
      <c r="AK42" s="32">
        <f t="shared" si="17"/>
        <v>193875</v>
      </c>
      <c r="AL42" s="74">
        <f t="shared" si="18"/>
        <v>2.9056196294744856E-2</v>
      </c>
      <c r="AM42" s="29">
        <f t="shared" si="7"/>
        <v>7.9301898346601396E-2</v>
      </c>
      <c r="AN42" s="9"/>
    </row>
    <row r="43" spans="1:41" ht="14.25" customHeight="1" collapsed="1">
      <c r="A43" s="21"/>
      <c r="B43" s="21"/>
      <c r="C43" s="21"/>
      <c r="D43" s="21"/>
      <c r="E43" s="22"/>
      <c r="F43" s="21"/>
      <c r="G43" s="21"/>
      <c r="H43" s="21"/>
      <c r="I43" s="18" t="s">
        <v>359</v>
      </c>
      <c r="J43" s="17">
        <v>2.52</v>
      </c>
      <c r="K43" s="17">
        <v>2.88</v>
      </c>
      <c r="L43" s="17">
        <v>2.58</v>
      </c>
      <c r="M43" s="17">
        <v>2.68</v>
      </c>
      <c r="N43" s="17">
        <v>2.64</v>
      </c>
      <c r="O43" s="17">
        <v>2.3199999999999998</v>
      </c>
      <c r="P43" s="17">
        <v>2.33</v>
      </c>
      <c r="Q43" s="17">
        <v>2.2599999999999998</v>
      </c>
      <c r="R43" s="17">
        <v>2.44</v>
      </c>
      <c r="S43" s="17">
        <f t="shared" ref="R43:U46" si="26">+S34/S39</f>
        <v>2.4214148708814562</v>
      </c>
      <c r="T43" s="17">
        <f t="shared" si="26"/>
        <v>2.3470383250820737</v>
      </c>
      <c r="U43" s="17">
        <f t="shared" si="26"/>
        <v>2.3947308039366826</v>
      </c>
      <c r="V43" s="17">
        <f>+V34/V39</f>
        <v>2.4843289747113149</v>
      </c>
      <c r="W43" s="74">
        <f t="shared" si="15"/>
        <v>3.8649063883254757E-7</v>
      </c>
      <c r="X43" s="90"/>
      <c r="Y43" s="17">
        <f>+Y34/Y39</f>
        <v>2.5139475643437539</v>
      </c>
      <c r="Z43" s="17">
        <f t="shared" ref="Z43:AK43" si="27">+Z34/Z39</f>
        <v>2.5356280266935793</v>
      </c>
      <c r="AA43" s="17">
        <f t="shared" si="27"/>
        <v>2.5994258615182582</v>
      </c>
      <c r="AB43" s="17">
        <f t="shared" si="27"/>
        <v>2.4613350648964034</v>
      </c>
      <c r="AC43" s="17">
        <f t="shared" si="27"/>
        <v>2.6390599387903304</v>
      </c>
      <c r="AD43" s="17">
        <f t="shared" si="27"/>
        <v>2.4937362890085342</v>
      </c>
      <c r="AE43" s="17">
        <f t="shared" si="27"/>
        <v>2.4296164845472781</v>
      </c>
      <c r="AF43" s="17">
        <f t="shared" si="27"/>
        <v>2.5414583460031488</v>
      </c>
      <c r="AG43" s="17">
        <f t="shared" si="27"/>
        <v>2.4835573826923221</v>
      </c>
      <c r="AH43" s="17">
        <f t="shared" si="27"/>
        <v>2.4943485852722032</v>
      </c>
      <c r="AI43" s="17">
        <f t="shared" si="27"/>
        <v>2.5224250300789817</v>
      </c>
      <c r="AJ43" s="17">
        <f t="shared" si="27"/>
        <v>2.4811526850551568</v>
      </c>
      <c r="AK43" s="17">
        <f>+AK34/AK39</f>
        <v>2.5174247525071496</v>
      </c>
      <c r="AL43" s="74">
        <f t="shared" si="18"/>
        <v>3.7728839595665882E-7</v>
      </c>
      <c r="AM43" s="16">
        <f t="shared" si="7"/>
        <v>1.3321817735382879E-2</v>
      </c>
      <c r="AN43" s="173" t="s">
        <v>447</v>
      </c>
      <c r="AO43" s="291">
        <f>+AK43-V43</f>
        <v>3.3095777795834724E-2</v>
      </c>
    </row>
    <row r="44" spans="1:41" ht="14.45" hidden="1" customHeight="1" outlineLevel="1">
      <c r="A44" s="12" t="s">
        <v>146</v>
      </c>
      <c r="B44" s="19" t="s">
        <v>88</v>
      </c>
      <c r="I44" s="31" t="s">
        <v>141</v>
      </c>
      <c r="J44" s="30">
        <v>2.52</v>
      </c>
      <c r="K44" s="30">
        <v>2.87</v>
      </c>
      <c r="L44" s="30">
        <v>2.58</v>
      </c>
      <c r="M44" s="30">
        <v>2.67</v>
      </c>
      <c r="N44" s="30">
        <v>2.63</v>
      </c>
      <c r="O44" s="30">
        <v>2.31</v>
      </c>
      <c r="P44" s="30">
        <v>2.2999999999999998</v>
      </c>
      <c r="Q44" s="30">
        <v>2.25</v>
      </c>
      <c r="R44" s="30">
        <v>2.4700000000000002</v>
      </c>
      <c r="S44" s="30">
        <f t="shared" si="26"/>
        <v>2.3960874804502215</v>
      </c>
      <c r="T44" s="30">
        <f t="shared" si="26"/>
        <v>2.3256036414173442</v>
      </c>
      <c r="U44" s="30">
        <f t="shared" si="26"/>
        <v>2.3808516493379259</v>
      </c>
      <c r="V44" s="30">
        <f t="shared" ref="V44:V46" si="28">+V35/V40</f>
        <v>2.4738532751871447</v>
      </c>
      <c r="W44" s="74">
        <f t="shared" si="15"/>
        <v>3.848609191607457E-7</v>
      </c>
      <c r="X44" s="90"/>
      <c r="Y44" s="30">
        <f>VLOOKUP(Y3,'[3]Margen ctvs-lit'!$J$100:$O$111,$Y$1,0)</f>
        <v>2.5099999999999998</v>
      </c>
      <c r="Z44" s="30">
        <f>VLOOKUP(Z3,'[3]Margen ctvs-lit'!$J$100:$O$111,$Y$1,0)</f>
        <v>2.5299999999999998</v>
      </c>
      <c r="AA44" s="30">
        <f>VLOOKUP(AA3,'[3]Margen ctvs-lit'!$J$100:$O$111,$Y$1,0)</f>
        <v>2.6</v>
      </c>
      <c r="AB44" s="30">
        <f>VLOOKUP(AB3,'[3]Margen ctvs-lit'!$J$100:$O$111,$Y$1,0)</f>
        <v>2.46</v>
      </c>
      <c r="AC44" s="30">
        <f>VLOOKUP(AC3,'[3]Margen ctvs-lit'!$J$100:$O$111,$Y$1,0)</f>
        <v>2.64</v>
      </c>
      <c r="AD44" s="30">
        <f>VLOOKUP(AD3,'[3]Margen ctvs-lit'!$J$100:$O$111,$Y$1,0)</f>
        <v>2.4900000000000002</v>
      </c>
      <c r="AE44" s="30">
        <f>VLOOKUP(AE3,'[3]Margen ctvs-lit'!$J$100:$O$111,$Y$1,0)</f>
        <v>2.4300000000000002</v>
      </c>
      <c r="AF44" s="30">
        <f>VLOOKUP(AF3,'[3]Margen ctvs-lit'!$J$100:$O$111,$Y$1,0)</f>
        <v>2.54</v>
      </c>
      <c r="AG44" s="30">
        <f>VLOOKUP(AG3,'[3]Margen ctvs-lit'!$J$100:$O$111,$Y$1,0)</f>
        <v>2.48</v>
      </c>
      <c r="AH44" s="30">
        <f>VLOOKUP(AH3,'[3]Margen ctvs-lit'!$J$100:$O$111,$Y$1,0)</f>
        <v>2.4900000000000002</v>
      </c>
      <c r="AI44" s="30">
        <f>VLOOKUP(AI3,'[3]Margen ctvs-lit'!$J$100:$O$111,$Y$1,0)</f>
        <v>2.52</v>
      </c>
      <c r="AJ44" s="30">
        <f>VLOOKUP(AJ3,'[3]Margen ctvs-lit'!$J$100:$O$111,$Y$1,0)</f>
        <v>2.48</v>
      </c>
      <c r="AK44" s="30">
        <f>+AK35/AK40</f>
        <v>2.5154218296097577</v>
      </c>
      <c r="AL44" s="74">
        <f t="shared" si="18"/>
        <v>3.7698821635191421E-7</v>
      </c>
      <c r="AM44" s="29">
        <f t="shared" si="7"/>
        <v>1.6803160817800977E-2</v>
      </c>
      <c r="AN44" s="9"/>
      <c r="AO44" s="291">
        <f>+AK44-V44</f>
        <v>4.156855442261298E-2</v>
      </c>
    </row>
    <row r="45" spans="1:41" ht="14.45" hidden="1" customHeight="1" outlineLevel="1">
      <c r="A45" s="12" t="s">
        <v>146</v>
      </c>
      <c r="B45" s="8" t="s">
        <v>88</v>
      </c>
      <c r="C45" s="19" t="s">
        <v>148</v>
      </c>
      <c r="D45" s="12"/>
      <c r="E45" s="20"/>
      <c r="F45" s="12"/>
      <c r="G45" s="12"/>
      <c r="H45" s="12"/>
      <c r="I45" s="31" t="s">
        <v>142</v>
      </c>
      <c r="J45" s="30" t="s">
        <v>477</v>
      </c>
      <c r="K45" s="30" t="s">
        <v>477</v>
      </c>
      <c r="L45" s="30" t="s">
        <v>477</v>
      </c>
      <c r="M45" s="30" t="s">
        <v>477</v>
      </c>
      <c r="N45" s="30" t="s">
        <v>477</v>
      </c>
      <c r="O45" s="30" t="s">
        <v>477</v>
      </c>
      <c r="P45" s="30" t="s">
        <v>477</v>
      </c>
      <c r="Q45" s="30" t="s">
        <v>477</v>
      </c>
      <c r="R45" s="30" t="s">
        <v>477</v>
      </c>
      <c r="S45" s="30">
        <v>0</v>
      </c>
      <c r="T45" s="30">
        <v>0</v>
      </c>
      <c r="U45" s="30">
        <v>0</v>
      </c>
      <c r="V45" s="30">
        <v>0</v>
      </c>
      <c r="W45" s="74">
        <f t="shared" si="15"/>
        <v>0</v>
      </c>
      <c r="X45" s="90"/>
      <c r="Y45" s="30">
        <f>VLOOKUP(Y3,'[3]Margen ctvs-lit'!$J$100:$O$111,$AA$1,0)</f>
        <v>0</v>
      </c>
      <c r="Z45" s="30">
        <f>VLOOKUP(Z3,'[3]Margen ctvs-lit'!$J$100:$O$111,$AA$1,0)</f>
        <v>0</v>
      </c>
      <c r="AA45" s="30">
        <f>VLOOKUP(AA3,'[3]Margen ctvs-lit'!$J$100:$O$111,$AA$1,0)</f>
        <v>0</v>
      </c>
      <c r="AB45" s="30">
        <f>VLOOKUP(AB3,'[3]Margen ctvs-lit'!$J$100:$O$111,$AA$1,0)</f>
        <v>0</v>
      </c>
      <c r="AC45" s="30">
        <f>VLOOKUP(AC3,'[3]Margen ctvs-lit'!$J$100:$O$111,$AA$1,0)</f>
        <v>0</v>
      </c>
      <c r="AD45" s="30">
        <f>VLOOKUP(AD3,'[3]Margen ctvs-lit'!$J$100:$O$111,$AA$1,0)</f>
        <v>0</v>
      </c>
      <c r="AE45" s="30">
        <f>VLOOKUP(AE3,'[3]Margen ctvs-lit'!$J$100:$O$111,$AA$1,0)</f>
        <v>0</v>
      </c>
      <c r="AF45" s="30">
        <f>VLOOKUP(AF3,'[3]Margen ctvs-lit'!$J$100:$O$111,$AA$1,0)</f>
        <v>0</v>
      </c>
      <c r="AG45" s="30">
        <f>VLOOKUP(AG3,'[3]Margen ctvs-lit'!$J$100:$O$111,$AA$1,0)</f>
        <v>0</v>
      </c>
      <c r="AH45" s="30">
        <f>VLOOKUP(AH3,'[3]Margen ctvs-lit'!$J$100:$O$111,$AA$1,0)</f>
        <v>0</v>
      </c>
      <c r="AI45" s="30">
        <f>VLOOKUP(AI3,'[3]Margen ctvs-lit'!$J$100:$O$111,$AA$1,0)</f>
        <v>0</v>
      </c>
      <c r="AJ45" s="30">
        <f>VLOOKUP(AJ3,'[3]Margen ctvs-lit'!$J$100:$O$111,$AA$1,0)</f>
        <v>0</v>
      </c>
      <c r="AK45" s="30">
        <v>0</v>
      </c>
      <c r="AL45" s="74">
        <f t="shared" si="18"/>
        <v>0</v>
      </c>
      <c r="AM45" s="29">
        <f t="shared" si="7"/>
        <v>0</v>
      </c>
      <c r="AN45" s="9"/>
      <c r="AO45" s="291">
        <f>+AK45-V45</f>
        <v>0</v>
      </c>
    </row>
    <row r="46" spans="1:41" ht="14.45" hidden="1" customHeight="1" outlineLevel="1">
      <c r="A46" s="12" t="s">
        <v>146</v>
      </c>
      <c r="B46" s="8" t="s">
        <v>88</v>
      </c>
      <c r="I46" s="31" t="s">
        <v>143</v>
      </c>
      <c r="J46" s="30">
        <v>2.72</v>
      </c>
      <c r="K46" s="30">
        <v>2.99</v>
      </c>
      <c r="L46" s="30">
        <v>2.58</v>
      </c>
      <c r="M46" s="30">
        <v>2.67</v>
      </c>
      <c r="N46" s="30">
        <v>2.9</v>
      </c>
      <c r="O46" s="30">
        <v>2.57</v>
      </c>
      <c r="P46" s="30">
        <v>2.97</v>
      </c>
      <c r="Q46" s="30">
        <v>2.35</v>
      </c>
      <c r="R46" s="30">
        <v>2.0099999999999998</v>
      </c>
      <c r="S46" s="30">
        <f t="shared" si="26"/>
        <v>3.2767784487558353</v>
      </c>
      <c r="T46" s="30">
        <f t="shared" si="26"/>
        <v>3.1573465518894719</v>
      </c>
      <c r="U46" s="30">
        <f t="shared" si="26"/>
        <v>3.0206141841393288</v>
      </c>
      <c r="V46" s="30">
        <f t="shared" si="28"/>
        <v>2.7818530271071609</v>
      </c>
      <c r="W46" s="74">
        <f t="shared" si="15"/>
        <v>4.3277688443409111E-7</v>
      </c>
      <c r="X46" s="90"/>
      <c r="Y46" s="30">
        <f>VLOOKUP(Y3,'[3]Margen ctvs-lit'!$J$100:$O$111,$AC$1,0)</f>
        <v>2.44</v>
      </c>
      <c r="Z46" s="30">
        <f>VLOOKUP(Z3,'[3]Margen ctvs-lit'!$J$100:$O$111,$AC$1,0)</f>
        <v>2.57</v>
      </c>
      <c r="AA46" s="30">
        <f>VLOOKUP(AA3,'[3]Margen ctvs-lit'!$J$100:$O$111,$AC$1,0)</f>
        <v>2.4500000000000002</v>
      </c>
      <c r="AB46" s="30">
        <f>VLOOKUP(AB3,'[3]Margen ctvs-lit'!$J$100:$O$111,$AC$1,0)</f>
        <v>2.38</v>
      </c>
      <c r="AC46" s="30">
        <f>VLOOKUP(AC3,'[3]Margen ctvs-lit'!$J$100:$O$111,$AC$1,0)</f>
        <v>2.48</v>
      </c>
      <c r="AD46" s="30">
        <f>VLOOKUP(AD3,'[3]Margen ctvs-lit'!$J$100:$O$111,$AC$1,0)</f>
        <v>2.48</v>
      </c>
      <c r="AE46" s="30">
        <f>VLOOKUP(AE3,'[3]Margen ctvs-lit'!$J$100:$O$111,$AC$1,0)</f>
        <v>2.31</v>
      </c>
      <c r="AF46" s="30">
        <f>VLOOKUP(AF3,'[3]Margen ctvs-lit'!$J$100:$O$111,$AC$1,0)</f>
        <v>2.44</v>
      </c>
      <c r="AG46" s="30">
        <f>VLOOKUP(AG3,'[3]Margen ctvs-lit'!$J$100:$O$111,$AC$1,0)</f>
        <v>2.46</v>
      </c>
      <c r="AH46" s="30">
        <f>VLOOKUP(AH3,'[3]Margen ctvs-lit'!$J$100:$O$111,$AC$1,0)</f>
        <v>2.48</v>
      </c>
      <c r="AI46" s="30">
        <f>VLOOKUP(AI3,'[3]Margen ctvs-lit'!$J$100:$O$111,$AC$1,0)</f>
        <v>2.44</v>
      </c>
      <c r="AJ46" s="30">
        <f>VLOOKUP(AJ3,'[3]Margen ctvs-lit'!$J$100:$O$111,$AC$1,0)</f>
        <v>2.37</v>
      </c>
      <c r="AK46" s="30">
        <f>IFERROR(+AK37/AK42,0)</f>
        <v>2.4403545583494521</v>
      </c>
      <c r="AL46" s="74">
        <f t="shared" si="18"/>
        <v>3.6573782631168059E-7</v>
      </c>
      <c r="AM46" s="29">
        <f t="shared" si="7"/>
        <v>-0.12275934976796088</v>
      </c>
      <c r="AN46" s="9"/>
      <c r="AO46" s="291">
        <f>+AK46-V46</f>
        <v>-0.34149846875770873</v>
      </c>
    </row>
    <row r="47" spans="1:41" ht="14.45" customHeight="1">
      <c r="A47" s="12" t="s">
        <v>146</v>
      </c>
      <c r="B47" s="8" t="s">
        <v>88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1" ht="14.45" customHeight="1">
      <c r="A48" s="12" t="s">
        <v>146</v>
      </c>
      <c r="B48" s="8" t="s">
        <v>88</v>
      </c>
      <c r="I48" s="139" t="s">
        <v>145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14.45" customHeight="1">
      <c r="A49" s="12" t="s">
        <v>146</v>
      </c>
      <c r="B49" s="8" t="s">
        <v>88</v>
      </c>
      <c r="C49" s="8" t="s">
        <v>155</v>
      </c>
      <c r="I49" s="139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ht="14.45" customHeight="1">
      <c r="A50" s="12" t="s">
        <v>146</v>
      </c>
      <c r="B50" s="8" t="s">
        <v>88</v>
      </c>
      <c r="I50" s="166" t="s">
        <v>147</v>
      </c>
      <c r="J50" s="15">
        <v>136384</v>
      </c>
      <c r="K50" s="15">
        <v>161274</v>
      </c>
      <c r="L50" s="15">
        <v>157554</v>
      </c>
      <c r="M50" s="15">
        <v>138583</v>
      </c>
      <c r="N50" s="15">
        <v>161684</v>
      </c>
      <c r="O50" s="15">
        <v>130601</v>
      </c>
      <c r="P50" s="15">
        <v>186097</v>
      </c>
      <c r="Q50" s="15">
        <v>174951</v>
      </c>
      <c r="R50" s="15">
        <v>140034</v>
      </c>
      <c r="S50" s="15">
        <f t="shared" ref="R50:U50" si="29">SUM(S51:S91)</f>
        <v>178930.18293333336</v>
      </c>
      <c r="T50" s="15">
        <f t="shared" si="29"/>
        <v>182019.97237777777</v>
      </c>
      <c r="U50" s="15">
        <f t="shared" si="29"/>
        <v>134247.29108148147</v>
      </c>
      <c r="V50" s="15">
        <f>SUM(V51:V91)</f>
        <v>1882360.446392593</v>
      </c>
      <c r="W50" s="72">
        <f t="shared" ref="W50:W164" si="30">V50/V$6</f>
        <v>1.6108462036274161E-2</v>
      </c>
      <c r="X50" s="89"/>
      <c r="Y50" s="15">
        <f t="shared" ref="Y50:AK50" si="31">SUM(Y51:Y91)</f>
        <v>157431.51453420013</v>
      </c>
      <c r="Z50" s="15">
        <f t="shared" si="31"/>
        <v>146040.08303193829</v>
      </c>
      <c r="AA50" s="15">
        <f t="shared" si="31"/>
        <v>168587.79929715933</v>
      </c>
      <c r="AB50" s="15">
        <f t="shared" si="31"/>
        <v>156257.50445347041</v>
      </c>
      <c r="AC50" s="15">
        <f t="shared" si="31"/>
        <v>147175.76249187338</v>
      </c>
      <c r="AD50" s="15">
        <f t="shared" si="31"/>
        <v>163620.49234469212</v>
      </c>
      <c r="AE50" s="15">
        <f t="shared" si="31"/>
        <v>171935.48261517123</v>
      </c>
      <c r="AF50" s="15">
        <f t="shared" si="31"/>
        <v>167971.99107260653</v>
      </c>
      <c r="AG50" s="15">
        <f t="shared" si="31"/>
        <v>169859.92342680178</v>
      </c>
      <c r="AH50" s="15">
        <f t="shared" si="31"/>
        <v>193737.61896842532</v>
      </c>
      <c r="AI50" s="15">
        <f t="shared" si="31"/>
        <v>181866.46505897763</v>
      </c>
      <c r="AJ50" s="15">
        <f t="shared" si="31"/>
        <v>163873.94993167897</v>
      </c>
      <c r="AK50" s="15">
        <f t="shared" si="31"/>
        <v>1988358.587226995</v>
      </c>
      <c r="AL50" s="72">
        <f t="shared" ref="AL50:AL164" si="32">AK50/AK$6</f>
        <v>1.5912278546501946E-2</v>
      </c>
      <c r="AM50" s="10">
        <f t="shared" ref="AM50:AM144" si="33">IFERROR(AK50/V50-1,0)</f>
        <v>5.6311287796946496E-2</v>
      </c>
      <c r="AN50" s="9"/>
    </row>
    <row r="51" spans="1:40" ht="14.45" customHeight="1" outlineLevel="1">
      <c r="A51" s="12" t="s">
        <v>146</v>
      </c>
      <c r="B51" s="8" t="s">
        <v>88</v>
      </c>
      <c r="I51" s="246" t="s">
        <v>149</v>
      </c>
      <c r="J51" s="65">
        <v>52449</v>
      </c>
      <c r="K51" s="65">
        <v>48953</v>
      </c>
      <c r="L51" s="65">
        <v>73804</v>
      </c>
      <c r="M51" s="65">
        <v>51038</v>
      </c>
      <c r="N51" s="65">
        <v>54560</v>
      </c>
      <c r="O51" s="65">
        <v>35342</v>
      </c>
      <c r="P51" s="65">
        <v>51978</v>
      </c>
      <c r="Q51" s="65">
        <v>61428</v>
      </c>
      <c r="R51" s="225">
        <v>33915</v>
      </c>
      <c r="S51" s="225">
        <f t="shared" ref="S51:U52" si="34">+AVERAGE(P51:R51)</f>
        <v>49107</v>
      </c>
      <c r="T51" s="225">
        <f t="shared" si="34"/>
        <v>48150</v>
      </c>
      <c r="U51" s="225">
        <f t="shared" si="34"/>
        <v>43724</v>
      </c>
      <c r="V51" s="65">
        <f>SUM(J51:U51)</f>
        <v>604448</v>
      </c>
      <c r="W51" s="73">
        <f t="shared" si="30"/>
        <v>5.1726159458787904E-3</v>
      </c>
      <c r="X51" s="89"/>
      <c r="Y51" s="65">
        <f>VLOOKUP($E$1,'[4]PPTO 2025'!$C$1:$P$9,Y1,0)</f>
        <v>48743.859526140164</v>
      </c>
      <c r="Z51" s="65">
        <f>VLOOKUP($E$1,'[4]PPTO 2025'!$C$1:$P$9,Z1,0)</f>
        <v>47689.915462878322</v>
      </c>
      <c r="AA51" s="65">
        <f>VLOOKUP($E$1,'[4]PPTO 2025'!$C$1:$P$9,AA1,0)</f>
        <v>52976.899807099304</v>
      </c>
      <c r="AB51" s="65">
        <f>VLOOKUP($E$1,'[4]PPTO 2025'!$C$1:$P$9,AB1,0)</f>
        <v>51612.957157470388</v>
      </c>
      <c r="AC51" s="65">
        <f>VLOOKUP($E$1,'[4]PPTO 2025'!$C$1:$P$9,AC1,0)</f>
        <v>55915.705293873383</v>
      </c>
      <c r="AD51" s="65">
        <f>VLOOKUP($E$1,'[4]PPTO 2025'!$C$1:$P$9,AD1,0)</f>
        <v>55401.789146692085</v>
      </c>
      <c r="AE51" s="65">
        <f>VLOOKUP($E$1,'[4]PPTO 2025'!$C$1:$P$9,AE1,0)</f>
        <v>53354.887221171193</v>
      </c>
      <c r="AF51" s="65">
        <f>VLOOKUP($E$1,'[4]PPTO 2025'!$C$1:$P$9,AF1,0)</f>
        <v>54334.725776606501</v>
      </c>
      <c r="AG51" s="65">
        <f>VLOOKUP($E$1,'[4]PPTO 2025'!$C$1:$P$9,AG1,0)</f>
        <v>52966.183228801725</v>
      </c>
      <c r="AH51" s="65">
        <f>VLOOKUP($E$1,'[4]PPTO 2025'!$C$1:$P$9,AH1,0)</f>
        <v>52806.037907758626</v>
      </c>
      <c r="AI51" s="65">
        <f>VLOOKUP($E$1,'[4]PPTO 2025'!$C$1:$P$9,AI1,0)</f>
        <v>52968.247496755364</v>
      </c>
      <c r="AJ51" s="65">
        <f>VLOOKUP($E$1,'[4]PPTO 2025'!$C$1:$P$9,AJ1,0)</f>
        <v>52871.24275604936</v>
      </c>
      <c r="AK51" s="65">
        <f>SUM(Y51:AJ51)</f>
        <v>631642.45078129636</v>
      </c>
      <c r="AL51" s="73">
        <f t="shared" si="32"/>
        <v>5.0548581544560735E-3</v>
      </c>
      <c r="AM51" s="14">
        <f t="shared" si="33"/>
        <v>4.4990554656970216E-2</v>
      </c>
      <c r="AN51" s="9"/>
    </row>
    <row r="52" spans="1:40" ht="14.45" customHeight="1" outlineLevel="1">
      <c r="A52" s="12" t="s">
        <v>146</v>
      </c>
      <c r="B52" s="8" t="s">
        <v>88</v>
      </c>
      <c r="I52" s="246" t="s">
        <v>148</v>
      </c>
      <c r="J52" s="65">
        <v>60887</v>
      </c>
      <c r="K52" s="65">
        <v>60887</v>
      </c>
      <c r="L52" s="65">
        <v>60887</v>
      </c>
      <c r="M52" s="65">
        <v>60887</v>
      </c>
      <c r="N52" s="65">
        <v>60887</v>
      </c>
      <c r="O52" s="65">
        <v>60887</v>
      </c>
      <c r="P52" s="65">
        <v>60887</v>
      </c>
      <c r="Q52" s="65">
        <v>60887</v>
      </c>
      <c r="R52" s="225">
        <v>63054</v>
      </c>
      <c r="S52" s="225">
        <v>63054</v>
      </c>
      <c r="T52" s="225">
        <v>63054</v>
      </c>
      <c r="U52" s="225">
        <v>63054</v>
      </c>
      <c r="V52" s="65">
        <f t="shared" ref="V52:V87" si="35">SUM(J52:U52)</f>
        <v>739312</v>
      </c>
      <c r="W52" s="73">
        <f t="shared" si="30"/>
        <v>6.3267262695542717E-3</v>
      </c>
      <c r="X52" s="89"/>
      <c r="Y52" s="65">
        <f>VLOOKUP($E$1,[5]Resumen!$V$8:$AI$14,Y1,0)+VLOOKUP($E$1,[6]Resumen!$C$9:$O$15,Y1,0)</f>
        <v>64434</v>
      </c>
      <c r="Z52" s="65">
        <f>VLOOKUP($E$1,[5]Resumen!$V$8:$AI$14,Z1,0)+VLOOKUP($E$1,[6]Resumen!$C$9:$O$15,Z1,0)</f>
        <v>64434</v>
      </c>
      <c r="AA52" s="65">
        <f>VLOOKUP($E$1,[5]Resumen!$V$8:$AI$14,AA1,0)+VLOOKUP($E$1,[6]Resumen!$C$9:$O$15,AA1,0)</f>
        <v>64434</v>
      </c>
      <c r="AB52" s="65">
        <f>VLOOKUP($E$1,[5]Resumen!$V$8:$AI$14,AB1,0)+VLOOKUP($E$1,[6]Resumen!$C$9:$O$15,AB1,0)</f>
        <v>64434</v>
      </c>
      <c r="AC52" s="65">
        <f>VLOOKUP($E$1,[5]Resumen!$V$8:$AI$14,AC1,0)+VLOOKUP($E$1,[6]Resumen!$C$9:$O$15,AC1,0)</f>
        <v>64434</v>
      </c>
      <c r="AD52" s="65">
        <f>VLOOKUP($E$1,[5]Resumen!$V$8:$AI$14,AD1,0)+VLOOKUP($E$1,[6]Resumen!$C$9:$O$15,AD1,0)</f>
        <v>64434</v>
      </c>
      <c r="AE52" s="65">
        <f>VLOOKUP($E$1,[5]Resumen!$V$8:$AI$14,AE1,0)+VLOOKUP($E$1,[6]Resumen!$C$9:$O$15,AE1,0)</f>
        <v>64434</v>
      </c>
      <c r="AF52" s="65">
        <f>VLOOKUP($E$1,[5]Resumen!$V$8:$AI$14,AF1,0)+VLOOKUP($E$1,[6]Resumen!$C$9:$O$15,AF1,0)</f>
        <v>64434</v>
      </c>
      <c r="AG52" s="65">
        <f>VLOOKUP($E$1,[5]Resumen!$V$8:$AI$14,AG1,0)+VLOOKUP($E$1,[6]Resumen!$C$9:$O$15,AG1,0)</f>
        <v>66956.160000000003</v>
      </c>
      <c r="AH52" s="65">
        <f>VLOOKUP($E$1,[5]Resumen!$V$8:$AI$14,AH1,0)+VLOOKUP($E$1,[6]Resumen!$C$9:$O$15,AH1,0)</f>
        <v>66956.160000000003</v>
      </c>
      <c r="AI52" s="65">
        <f>VLOOKUP($E$1,[5]Resumen!$V$8:$AI$14,AI1,0)+VLOOKUP($E$1,[6]Resumen!$C$9:$O$15,AI1,0)</f>
        <v>66956.160000000003</v>
      </c>
      <c r="AJ52" s="65">
        <f>VLOOKUP($E$1,[5]Resumen!$V$8:$AI$14,AJ1,0)+VLOOKUP($E$1,[6]Resumen!$C$9:$O$15,AJ1,0)</f>
        <v>66956.160000000003</v>
      </c>
      <c r="AK52" s="65">
        <f t="shared" ref="AK52:AK91" si="36">SUM(Y52:AJ52)</f>
        <v>783296.64000000013</v>
      </c>
      <c r="AL52" s="73">
        <f t="shared" si="32"/>
        <v>6.2685042830235432E-3</v>
      </c>
      <c r="AM52" s="14">
        <f t="shared" si="33"/>
        <v>5.9494016058173171E-2</v>
      </c>
      <c r="AN52" s="9"/>
    </row>
    <row r="53" spans="1:40" ht="14.45" customHeight="1" outlineLevel="1">
      <c r="A53" s="12" t="s">
        <v>146</v>
      </c>
      <c r="B53" s="8" t="s">
        <v>88</v>
      </c>
      <c r="I53" s="246" t="s">
        <v>152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/>
      <c r="T53" s="65"/>
      <c r="U53" s="65"/>
      <c r="V53" s="65">
        <f t="shared" si="35"/>
        <v>0</v>
      </c>
      <c r="W53" s="73">
        <f t="shared" si="30"/>
        <v>0</v>
      </c>
      <c r="X53" s="89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>
        <f t="shared" si="36"/>
        <v>0</v>
      </c>
      <c r="AL53" s="73">
        <f t="shared" si="32"/>
        <v>0</v>
      </c>
      <c r="AM53" s="14">
        <f t="shared" si="33"/>
        <v>0</v>
      </c>
      <c r="AN53" s="9"/>
    </row>
    <row r="54" spans="1:40" ht="14.45" customHeight="1" outlineLevel="1">
      <c r="A54" s="12" t="s">
        <v>146</v>
      </c>
      <c r="B54" s="8" t="s">
        <v>88</v>
      </c>
      <c r="I54" s="246" t="s">
        <v>153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225">
        <v>0</v>
      </c>
      <c r="S54" s="225">
        <f t="shared" ref="S54:U54" si="37">+AVERAGE(P54:R54)</f>
        <v>0</v>
      </c>
      <c r="T54" s="225">
        <f t="shared" si="37"/>
        <v>0</v>
      </c>
      <c r="U54" s="225">
        <f t="shared" si="37"/>
        <v>0</v>
      </c>
      <c r="V54" s="65">
        <f t="shared" si="35"/>
        <v>0</v>
      </c>
      <c r="W54" s="73">
        <f t="shared" si="30"/>
        <v>0</v>
      </c>
      <c r="X54" s="89"/>
      <c r="Y54" s="65">
        <f>VLOOKUP($E$1,[7]Resumen!$C$9:$O$15,Y1,0)</f>
        <v>0</v>
      </c>
      <c r="Z54" s="65">
        <f>VLOOKUP($E$1,[7]Resumen!$C$9:$O$15,Z1,0)</f>
        <v>0</v>
      </c>
      <c r="AA54" s="65">
        <f>VLOOKUP($E$1,[7]Resumen!$C$9:$O$15,AA1,0)</f>
        <v>0</v>
      </c>
      <c r="AB54" s="65">
        <f>VLOOKUP($E$1,[7]Resumen!$C$9:$O$15,AB1,0)</f>
        <v>0</v>
      </c>
      <c r="AC54" s="65">
        <f>VLOOKUP($E$1,[7]Resumen!$C$9:$O$15,AC1,0)</f>
        <v>0</v>
      </c>
      <c r="AD54" s="65">
        <f>VLOOKUP($E$1,[7]Resumen!$C$9:$O$15,AD1,0)</f>
        <v>0</v>
      </c>
      <c r="AE54" s="65">
        <f>VLOOKUP($E$1,[7]Resumen!$C$9:$O$15,AE1,0)</f>
        <v>0</v>
      </c>
      <c r="AF54" s="65">
        <f>VLOOKUP($E$1,[7]Resumen!$C$9:$O$15,AF1,0)</f>
        <v>0</v>
      </c>
      <c r="AG54" s="65">
        <f>VLOOKUP($E$1,[7]Resumen!$C$9:$O$15,AG1,0)</f>
        <v>0</v>
      </c>
      <c r="AH54" s="65">
        <f>VLOOKUP($E$1,[7]Resumen!$C$9:$O$15,AH1,0)</f>
        <v>0</v>
      </c>
      <c r="AI54" s="65">
        <f>VLOOKUP($E$1,[7]Resumen!$C$9:$O$15,AI1,0)</f>
        <v>0</v>
      </c>
      <c r="AJ54" s="65">
        <f>VLOOKUP($E$1,[7]Resumen!$C$9:$O$15,AJ1,0)</f>
        <v>1242.1199999999999</v>
      </c>
      <c r="AK54" s="65">
        <f t="shared" si="36"/>
        <v>1242.1199999999999</v>
      </c>
      <c r="AL54" s="73">
        <f t="shared" si="32"/>
        <v>9.9403395117706647E-6</v>
      </c>
      <c r="AM54" s="14">
        <f t="shared" si="33"/>
        <v>0</v>
      </c>
      <c r="AN54" s="9"/>
    </row>
    <row r="55" spans="1:40" ht="14.45" customHeight="1" outlineLevel="1">
      <c r="A55" s="12" t="s">
        <v>146</v>
      </c>
      <c r="B55" s="8" t="s">
        <v>88</v>
      </c>
      <c r="I55" s="246" t="s">
        <v>156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f t="shared" si="35"/>
        <v>0</v>
      </c>
      <c r="W55" s="73">
        <f t="shared" si="30"/>
        <v>0</v>
      </c>
      <c r="X55" s="89"/>
      <c r="Y55" s="65">
        <f>VLOOKUP($E$1,[8]Resumen!$V$140:$AH$146,Y1,0)</f>
        <v>0</v>
      </c>
      <c r="Z55" s="65">
        <f>VLOOKUP($E$1,[8]Resumen!$V$140:$AH$146,Z1,0)</f>
        <v>0</v>
      </c>
      <c r="AA55" s="65">
        <f>VLOOKUP($E$1,[8]Resumen!$V$140:$AH$146,AA1,0)</f>
        <v>9037.4580999999998</v>
      </c>
      <c r="AB55" s="65">
        <f>VLOOKUP($E$1,[8]Resumen!$V$140:$AH$146,AB1,0)</f>
        <v>0</v>
      </c>
      <c r="AC55" s="65">
        <f>VLOOKUP($E$1,[8]Resumen!$V$140:$AH$146,AC1,0)</f>
        <v>0</v>
      </c>
      <c r="AD55" s="65">
        <f>VLOOKUP($E$1,[8]Resumen!$V$140:$AH$146,AD1,0)</f>
        <v>0</v>
      </c>
      <c r="AE55" s="65">
        <f>VLOOKUP($E$1,[8]Resumen!$V$140:$AH$146,AE1,0)</f>
        <v>0</v>
      </c>
      <c r="AF55" s="65">
        <f>VLOOKUP($E$1,[8]Resumen!$V$140:$AH$146,AF1,0)</f>
        <v>0</v>
      </c>
      <c r="AG55" s="65">
        <f>VLOOKUP($E$1,[8]Resumen!$V$140:$AH$146,AG1,0)</f>
        <v>0</v>
      </c>
      <c r="AH55" s="65">
        <f>VLOOKUP($E$1,[8]Resumen!$V$140:$AH$146,AH1,0)</f>
        <v>0</v>
      </c>
      <c r="AI55" s="65">
        <f>VLOOKUP($E$1,[8]Resumen!$V$140:$AH$146,AI1,0)</f>
        <v>0</v>
      </c>
      <c r="AJ55" s="65">
        <f>VLOOKUP($E$1,[8]Resumen!$V$140:$AH$146,AJ1,0)</f>
        <v>0</v>
      </c>
      <c r="AK55" s="65">
        <f t="shared" si="36"/>
        <v>9037.4580999999998</v>
      </c>
      <c r="AL55" s="73">
        <f t="shared" si="32"/>
        <v>7.2324253564391401E-5</v>
      </c>
      <c r="AM55" s="14">
        <f t="shared" si="33"/>
        <v>0</v>
      </c>
      <c r="AN55" s="9"/>
    </row>
    <row r="56" spans="1:40" ht="14.45" customHeight="1" outlineLevel="1">
      <c r="A56" s="12" t="s">
        <v>146</v>
      </c>
      <c r="B56" s="8" t="s">
        <v>88</v>
      </c>
      <c r="I56" s="246" t="s">
        <v>158</v>
      </c>
      <c r="J56" s="65">
        <v>589</v>
      </c>
      <c r="K56" s="65">
        <v>2684</v>
      </c>
      <c r="L56" s="65">
        <v>2259</v>
      </c>
      <c r="M56" s="65">
        <v>2600</v>
      </c>
      <c r="N56" s="65">
        <v>2448</v>
      </c>
      <c r="O56" s="65">
        <v>2310</v>
      </c>
      <c r="P56" s="65">
        <v>1297</v>
      </c>
      <c r="Q56" s="65">
        <v>3079</v>
      </c>
      <c r="R56" s="225">
        <v>2490</v>
      </c>
      <c r="S56" s="225">
        <f t="shared" ref="S56:U56" si="38">+AVERAGE(P56:R56)</f>
        <v>2288.6666666666665</v>
      </c>
      <c r="T56" s="225">
        <f t="shared" si="38"/>
        <v>2619.2222222222222</v>
      </c>
      <c r="U56" s="225">
        <f t="shared" si="38"/>
        <v>2465.962962962963</v>
      </c>
      <c r="V56" s="65">
        <f t="shared" si="35"/>
        <v>27129.851851851854</v>
      </c>
      <c r="W56" s="73">
        <f t="shared" si="30"/>
        <v>2.3216604951661375E-4</v>
      </c>
      <c r="X56" s="89"/>
      <c r="Y56" s="65">
        <f>VLOOKUP($E$1,[9]Resumen!$V$238:$AH$244,Y1,0)</f>
        <v>2555.6618999999996</v>
      </c>
      <c r="Z56" s="65">
        <f>VLOOKUP($E$1,[9]Resumen!$V$238:$AH$244,Z1,0)</f>
        <v>2555.6618999999996</v>
      </c>
      <c r="AA56" s="65">
        <f>VLOOKUP($E$1,[9]Resumen!$V$238:$AH$244,AA1,0)</f>
        <v>2555.6618999999996</v>
      </c>
      <c r="AB56" s="65">
        <f>VLOOKUP($E$1,[9]Resumen!$V$238:$AH$244,AB1,0)</f>
        <v>2555.6618999999996</v>
      </c>
      <c r="AC56" s="65">
        <f>VLOOKUP($E$1,[9]Resumen!$V$238:$AH$244,AC1,0)</f>
        <v>2555.6618999999996</v>
      </c>
      <c r="AD56" s="65">
        <f>VLOOKUP($E$1,[9]Resumen!$V$238:$AH$244,AD1,0)</f>
        <v>2555.6618999999996</v>
      </c>
      <c r="AE56" s="65">
        <f>VLOOKUP($E$1,[9]Resumen!$V$238:$AH$244,AE1,0)</f>
        <v>2555.6618999999996</v>
      </c>
      <c r="AF56" s="65">
        <f>VLOOKUP($E$1,[9]Resumen!$V$238:$AH$244,AF1,0)</f>
        <v>2555.6618999999996</v>
      </c>
      <c r="AG56" s="65">
        <f>VLOOKUP($E$1,[9]Resumen!$V$238:$AH$244,AG1,0)</f>
        <v>2555.6618999999996</v>
      </c>
      <c r="AH56" s="65">
        <f>VLOOKUP($E$1,[9]Resumen!$V$238:$AH$244,AH1,0)</f>
        <v>2555.6618999999996</v>
      </c>
      <c r="AI56" s="65">
        <f>VLOOKUP($E$1,[9]Resumen!$V$238:$AH$244,AI1,0)</f>
        <v>2555.6618999999996</v>
      </c>
      <c r="AJ56" s="65">
        <f>VLOOKUP($E$1,[9]Resumen!$V$238:$AH$244,AJ1,0)</f>
        <v>2555.6618999999996</v>
      </c>
      <c r="AK56" s="65">
        <f t="shared" si="36"/>
        <v>30667.942799999993</v>
      </c>
      <c r="AL56" s="73">
        <f t="shared" si="32"/>
        <v>2.4542698254561765E-4</v>
      </c>
      <c r="AM56" s="14">
        <f t="shared" si="33"/>
        <v>0.13041320562561909</v>
      </c>
      <c r="AN56" s="9"/>
    </row>
    <row r="57" spans="1:40" ht="14.45" customHeight="1" outlineLevel="1">
      <c r="A57" s="12" t="s">
        <v>146</v>
      </c>
      <c r="B57" s="8" t="s">
        <v>88</v>
      </c>
      <c r="I57" s="246" t="s">
        <v>159</v>
      </c>
      <c r="J57" s="65">
        <v>1000</v>
      </c>
      <c r="K57" s="65">
        <v>13899</v>
      </c>
      <c r="L57" s="65">
        <v>2624</v>
      </c>
      <c r="M57" s="65">
        <v>0</v>
      </c>
      <c r="N57" s="65">
        <v>19801</v>
      </c>
      <c r="O57" s="65">
        <v>760</v>
      </c>
      <c r="P57" s="65">
        <v>23024</v>
      </c>
      <c r="Q57" s="65">
        <v>15907</v>
      </c>
      <c r="R57" s="65">
        <v>12000</v>
      </c>
      <c r="S57" s="65">
        <v>561.6</v>
      </c>
      <c r="T57" s="65">
        <v>0</v>
      </c>
      <c r="U57" s="65">
        <v>0</v>
      </c>
      <c r="V57" s="65">
        <f t="shared" si="35"/>
        <v>89576.6</v>
      </c>
      <c r="W57" s="73">
        <f t="shared" si="30"/>
        <v>7.6655948822331474E-4</v>
      </c>
      <c r="X57" s="89"/>
      <c r="Y57" s="65">
        <f>VLOOKUP($E$1,[10]Resumen!$V$8:$AH$14,Y1,0)</f>
        <v>4140.3999999999996</v>
      </c>
      <c r="Z57" s="65">
        <f>VLOOKUP($E$1,[10]Resumen!$V$8:$AH$14,Z1,0)</f>
        <v>1552.6499999999999</v>
      </c>
      <c r="AA57" s="65">
        <f>VLOOKUP($E$1,[10]Resumen!$V$8:$AH$14,AA1,0)</f>
        <v>11675.928</v>
      </c>
      <c r="AB57" s="65">
        <f>VLOOKUP($E$1,[10]Resumen!$V$8:$AH$14,AB1,0)</f>
        <v>8073.7799999999988</v>
      </c>
      <c r="AC57" s="65">
        <f>VLOOKUP($E$1,[10]Resumen!$V$8:$AH$14,AC1,0)</f>
        <v>1863.1799999999998</v>
      </c>
      <c r="AD57" s="65">
        <f>VLOOKUP($E$1,[10]Resumen!$V$8:$AH$14,AD1,0)</f>
        <v>6210.5999999999995</v>
      </c>
      <c r="AE57" s="65">
        <f>VLOOKUP($E$1,[10]Resumen!$V$8:$AH$14,AE1,0)</f>
        <v>4844.268</v>
      </c>
      <c r="AF57" s="65">
        <f>VLOOKUP($E$1,[10]Resumen!$V$8:$AH$14,AF1,0)</f>
        <v>3726.3599999999997</v>
      </c>
      <c r="AG57" s="65">
        <f>VLOOKUP($E$1,[10]Resumen!$V$8:$AH$14,AG1,0)</f>
        <v>2484.2399999999998</v>
      </c>
      <c r="AH57" s="65">
        <f>VLOOKUP($E$1,[10]Resumen!$V$8:$AH$14,AH1,0)</f>
        <v>21219.55</v>
      </c>
      <c r="AI57" s="65">
        <f>VLOOKUP($E$1,[10]Resumen!$V$8:$AH$14,AI1,0)</f>
        <v>4844.268</v>
      </c>
      <c r="AJ57" s="65">
        <f>VLOOKUP($E$1,[10]Resumen!$V$8:$AH$14,AJ1,0)</f>
        <v>8798.3499999999985</v>
      </c>
      <c r="AK57" s="65">
        <f t="shared" si="36"/>
        <v>79433.573999999993</v>
      </c>
      <c r="AL57" s="73">
        <f t="shared" si="32"/>
        <v>6.3568471177773394E-4</v>
      </c>
      <c r="AM57" s="14">
        <f t="shared" si="33"/>
        <v>-0.11323298718638586</v>
      </c>
      <c r="AN57" s="9"/>
    </row>
    <row r="58" spans="1:40" ht="14.45" customHeight="1" outlineLevel="1">
      <c r="A58" s="12" t="s">
        <v>146</v>
      </c>
      <c r="B58" s="8" t="s">
        <v>88</v>
      </c>
      <c r="I58" s="246" t="s">
        <v>160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1232.2916666666667</v>
      </c>
      <c r="U58" s="65">
        <v>0</v>
      </c>
      <c r="V58" s="65">
        <f t="shared" si="35"/>
        <v>1232.2916666666667</v>
      </c>
      <c r="W58" s="73">
        <f t="shared" si="30"/>
        <v>1.0545442329155779E-5</v>
      </c>
      <c r="X58" s="89"/>
      <c r="Y58" s="65">
        <f>VLOOKUP($E$1,[11]Resumen!$V$8:$AH$14,Y1,0)</f>
        <v>808.67187499999989</v>
      </c>
      <c r="Z58" s="65">
        <f>VLOOKUP($E$1,[11]Resumen!$V$8:$AH$14,Z1,0)</f>
        <v>2587.75</v>
      </c>
      <c r="AA58" s="65">
        <f>VLOOKUP($E$1,[11]Resumen!$V$8:$AH$14,AA1,0)</f>
        <v>485.20312499999994</v>
      </c>
      <c r="AB58" s="65">
        <f>VLOOKUP($E$1,[11]Resumen!$V$8:$AH$14,AB1,0)</f>
        <v>0</v>
      </c>
      <c r="AC58" s="65">
        <f>VLOOKUP($E$1,[11]Resumen!$V$8:$AH$14,AC1,0)</f>
        <v>0</v>
      </c>
      <c r="AD58" s="65">
        <f>VLOOKUP($E$1,[11]Resumen!$V$8:$AH$14,AD1,0)</f>
        <v>0</v>
      </c>
      <c r="AE58" s="65">
        <f>VLOOKUP($E$1,[11]Resumen!$V$8:$AH$14,AE1,0)</f>
        <v>0</v>
      </c>
      <c r="AF58" s="65">
        <f>VLOOKUP($E$1,[11]Resumen!$V$8:$AH$14,AF1,0)</f>
        <v>0</v>
      </c>
      <c r="AG58" s="65">
        <f>VLOOKUP($E$1,[11]Resumen!$V$8:$AH$14,AG1,0)</f>
        <v>0</v>
      </c>
      <c r="AH58" s="65">
        <f>VLOOKUP($E$1,[11]Resumen!$V$8:$AH$14,AH1,0)</f>
        <v>0</v>
      </c>
      <c r="AI58" s="65">
        <f>VLOOKUP($E$1,[11]Resumen!$V$8:$AH$14,AI1,0)</f>
        <v>0</v>
      </c>
      <c r="AJ58" s="65">
        <f>VLOOKUP($E$1,[11]Resumen!$V$8:$AH$14,AJ1,0)</f>
        <v>0</v>
      </c>
      <c r="AK58" s="65">
        <f t="shared" si="36"/>
        <v>3881.625</v>
      </c>
      <c r="AL58" s="73">
        <f t="shared" si="32"/>
        <v>3.1063560974283326E-5</v>
      </c>
      <c r="AM58" s="14">
        <f t="shared" si="33"/>
        <v>2.1499239222316144</v>
      </c>
      <c r="AN58" s="9"/>
    </row>
    <row r="59" spans="1:40" ht="14.45" customHeight="1" outlineLevel="1">
      <c r="A59" s="12" t="s">
        <v>146</v>
      </c>
      <c r="B59" s="8" t="s">
        <v>88</v>
      </c>
      <c r="I59" s="246" t="s">
        <v>161</v>
      </c>
      <c r="J59" s="65"/>
      <c r="K59" s="65">
        <v>0</v>
      </c>
      <c r="L59" s="65"/>
      <c r="M59" s="65">
        <v>0</v>
      </c>
      <c r="N59" s="65"/>
      <c r="O59" s="65"/>
      <c r="P59" s="65">
        <v>0</v>
      </c>
      <c r="Q59" s="65">
        <v>0</v>
      </c>
      <c r="R59" s="65">
        <v>0</v>
      </c>
      <c r="S59" s="65"/>
      <c r="T59" s="65"/>
      <c r="U59" s="65"/>
      <c r="V59" s="65">
        <f t="shared" si="35"/>
        <v>0</v>
      </c>
      <c r="W59" s="73">
        <f t="shared" si="30"/>
        <v>0</v>
      </c>
      <c r="X59" s="89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>
        <f t="shared" si="36"/>
        <v>0</v>
      </c>
      <c r="AL59" s="73">
        <f t="shared" si="32"/>
        <v>0</v>
      </c>
      <c r="AM59" s="14">
        <f t="shared" si="33"/>
        <v>0</v>
      </c>
      <c r="AN59" s="9"/>
    </row>
    <row r="60" spans="1:40" ht="14.45" customHeight="1" outlineLevel="1">
      <c r="A60" s="12" t="s">
        <v>146</v>
      </c>
      <c r="B60" s="8" t="s">
        <v>88</v>
      </c>
      <c r="I60" s="246" t="s">
        <v>162</v>
      </c>
      <c r="J60" s="65">
        <v>0</v>
      </c>
      <c r="K60" s="65">
        <v>0</v>
      </c>
      <c r="L60" s="65">
        <v>0</v>
      </c>
      <c r="M60" s="65">
        <v>2850</v>
      </c>
      <c r="N60" s="65">
        <v>0</v>
      </c>
      <c r="O60" s="65">
        <v>11859</v>
      </c>
      <c r="P60" s="65">
        <v>18480</v>
      </c>
      <c r="Q60" s="65">
        <v>14800</v>
      </c>
      <c r="R60" s="65">
        <v>6000</v>
      </c>
      <c r="S60" s="65">
        <v>6000</v>
      </c>
      <c r="T60" s="65">
        <v>6000</v>
      </c>
      <c r="U60" s="65">
        <v>6000</v>
      </c>
      <c r="V60" s="65">
        <f t="shared" si="35"/>
        <v>71989</v>
      </c>
      <c r="W60" s="73">
        <f t="shared" si="30"/>
        <v>6.1605208277282458E-4</v>
      </c>
      <c r="X60" s="89"/>
      <c r="Y60" s="65">
        <f>+J60*1.0375</f>
        <v>0</v>
      </c>
      <c r="Z60" s="65">
        <f>+K60*1.0375</f>
        <v>0</v>
      </c>
      <c r="AA60" s="65">
        <f>+L60*1.0375</f>
        <v>0</v>
      </c>
      <c r="AB60" s="65">
        <f>+M60*1.0375</f>
        <v>2956.8750000000005</v>
      </c>
      <c r="AC60" s="65">
        <f>+N60*1.0375</f>
        <v>0</v>
      </c>
      <c r="AD60" s="65">
        <f>+O60*1.0375</f>
        <v>12303.712500000001</v>
      </c>
      <c r="AE60" s="65">
        <f>+P60*1.0375</f>
        <v>19173</v>
      </c>
      <c r="AF60" s="65">
        <f>+Q60*1.0375</f>
        <v>15355.000000000002</v>
      </c>
      <c r="AG60" s="65">
        <f>+R60*1.0375</f>
        <v>6225.0000000000009</v>
      </c>
      <c r="AH60" s="65">
        <f>+S60*1.0375</f>
        <v>6225.0000000000009</v>
      </c>
      <c r="AI60" s="65">
        <f>+T60*1.0375</f>
        <v>6225.0000000000009</v>
      </c>
      <c r="AJ60" s="65">
        <f>+U60*1.0375</f>
        <v>6225.0000000000009</v>
      </c>
      <c r="AK60" s="65">
        <f t="shared" si="36"/>
        <v>74688.587500000009</v>
      </c>
      <c r="AL60" s="73">
        <f t="shared" si="32"/>
        <v>5.9771190980307111E-4</v>
      </c>
      <c r="AM60" s="14">
        <f t="shared" si="33"/>
        <v>3.7500000000000089E-2</v>
      </c>
      <c r="AN60" s="9"/>
    </row>
    <row r="61" spans="1:40" ht="14.45" customHeight="1" outlineLevel="1">
      <c r="A61" s="12" t="s">
        <v>146</v>
      </c>
      <c r="B61" s="8" t="s">
        <v>88</v>
      </c>
      <c r="I61" s="289" t="s">
        <v>278</v>
      </c>
      <c r="J61" s="65">
        <v>1425</v>
      </c>
      <c r="K61" s="65">
        <v>1425</v>
      </c>
      <c r="L61" s="65"/>
      <c r="M61" s="65"/>
      <c r="N61" s="65"/>
      <c r="O61" s="65"/>
      <c r="P61" s="65">
        <v>1425</v>
      </c>
      <c r="Q61" s="65"/>
      <c r="R61" s="65"/>
      <c r="S61" s="65"/>
      <c r="T61" s="65"/>
      <c r="U61" s="65"/>
      <c r="V61" s="65">
        <f t="shared" ref="V61" si="39">SUM(J61:U61)</f>
        <v>4275</v>
      </c>
      <c r="W61" s="73">
        <f t="shared" ref="W61" si="40">V61/V$6</f>
        <v>3.6583681588212436E-5</v>
      </c>
      <c r="X61" s="89"/>
      <c r="Y61" s="65">
        <f>+J61*1.0375</f>
        <v>1478.4375000000002</v>
      </c>
      <c r="Z61" s="65">
        <f>+K61*1.0375</f>
        <v>1478.4375000000002</v>
      </c>
      <c r="AA61" s="65">
        <f>+L61*1.0375</f>
        <v>0</v>
      </c>
      <c r="AB61" s="65">
        <f>+M61*1.0375</f>
        <v>0</v>
      </c>
      <c r="AC61" s="65">
        <f>+N61*1.0375</f>
        <v>0</v>
      </c>
      <c r="AD61" s="65">
        <f>+O61*1.0375</f>
        <v>0</v>
      </c>
      <c r="AE61" s="65">
        <f>+P61*1.0375</f>
        <v>1478.4375000000002</v>
      </c>
      <c r="AF61" s="65">
        <f>+Q61*1.0375</f>
        <v>0</v>
      </c>
      <c r="AG61" s="65">
        <f>+R61*1.0375</f>
        <v>0</v>
      </c>
      <c r="AH61" s="65">
        <f>+S61*1.0375</f>
        <v>0</v>
      </c>
      <c r="AI61" s="65">
        <f>+T61*1.0375</f>
        <v>0</v>
      </c>
      <c r="AJ61" s="65">
        <f>+U61*1.0375</f>
        <v>0</v>
      </c>
      <c r="AK61" s="65">
        <f t="shared" ref="AK61" si="41">SUM(Y61:AJ61)</f>
        <v>4435.3125000000009</v>
      </c>
      <c r="AL61" s="73">
        <f t="shared" ref="AL61" si="42">AK61/AK$6</f>
        <v>3.5494567425691831E-5</v>
      </c>
      <c r="AM61" s="14">
        <f t="shared" ref="AM61" si="43">IFERROR(AK61/V61-1,0)</f>
        <v>3.7500000000000311E-2</v>
      </c>
      <c r="AN61" s="9"/>
    </row>
    <row r="62" spans="1:40" ht="14.45" customHeight="1" outlineLevel="1">
      <c r="A62" s="12" t="s">
        <v>146</v>
      </c>
      <c r="B62" s="8" t="s">
        <v>88</v>
      </c>
      <c r="I62" s="246" t="s">
        <v>163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/>
      <c r="T62" s="65"/>
      <c r="U62" s="65"/>
      <c r="V62" s="65">
        <f t="shared" si="35"/>
        <v>0</v>
      </c>
      <c r="W62" s="73">
        <f t="shared" si="30"/>
        <v>0</v>
      </c>
      <c r="X62" s="89"/>
      <c r="Y62" s="65">
        <f>+J62*1.0375</f>
        <v>0</v>
      </c>
      <c r="Z62" s="65">
        <f>+K62*1.0375</f>
        <v>0</v>
      </c>
      <c r="AA62" s="65">
        <f>+L62*1.0375</f>
        <v>0</v>
      </c>
      <c r="AB62" s="65">
        <f>+M62*1.0375</f>
        <v>0</v>
      </c>
      <c r="AC62" s="65">
        <f>+N62*1.0375</f>
        <v>0</v>
      </c>
      <c r="AD62" s="65">
        <f>+O62*1.0375</f>
        <v>0</v>
      </c>
      <c r="AE62" s="65">
        <f>+P62*1.0375</f>
        <v>0</v>
      </c>
      <c r="AF62" s="65">
        <f>+Q62*1.0375</f>
        <v>0</v>
      </c>
      <c r="AG62" s="65">
        <f>+R62*1.0375</f>
        <v>0</v>
      </c>
      <c r="AH62" s="65">
        <f>+S62*1.0375</f>
        <v>0</v>
      </c>
      <c r="AI62" s="65">
        <f>+T62*1.0375</f>
        <v>0</v>
      </c>
      <c r="AJ62" s="65">
        <f>+U62*1.0375</f>
        <v>0</v>
      </c>
      <c r="AK62" s="65">
        <f t="shared" si="36"/>
        <v>0</v>
      </c>
      <c r="AL62" s="73">
        <f t="shared" si="32"/>
        <v>0</v>
      </c>
      <c r="AM62" s="14">
        <f t="shared" si="33"/>
        <v>0</v>
      </c>
      <c r="AN62" s="9"/>
    </row>
    <row r="63" spans="1:40" ht="14.45" customHeight="1" outlineLevel="1">
      <c r="A63" s="12" t="s">
        <v>146</v>
      </c>
      <c r="B63" s="8" t="s">
        <v>88</v>
      </c>
      <c r="I63" s="246" t="s">
        <v>164</v>
      </c>
      <c r="J63" s="65">
        <v>3</v>
      </c>
      <c r="K63" s="65">
        <v>0</v>
      </c>
      <c r="L63" s="65">
        <v>20</v>
      </c>
      <c r="M63" s="65">
        <v>0</v>
      </c>
      <c r="N63" s="65">
        <v>40</v>
      </c>
      <c r="O63" s="65">
        <v>0</v>
      </c>
      <c r="P63" s="65">
        <v>0</v>
      </c>
      <c r="Q63" s="65">
        <v>0</v>
      </c>
      <c r="R63" s="65">
        <v>0</v>
      </c>
      <c r="S63" s="65"/>
      <c r="T63" s="65"/>
      <c r="U63" s="65"/>
      <c r="V63" s="65">
        <f t="shared" si="35"/>
        <v>63</v>
      </c>
      <c r="W63" s="73">
        <f t="shared" si="30"/>
        <v>5.3912793919470955E-7</v>
      </c>
      <c r="X63" s="89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>
        <f t="shared" si="36"/>
        <v>0</v>
      </c>
      <c r="AL63" s="73">
        <f t="shared" si="32"/>
        <v>0</v>
      </c>
      <c r="AM63" s="14">
        <f t="shared" si="33"/>
        <v>-1</v>
      </c>
      <c r="AN63" s="9"/>
    </row>
    <row r="64" spans="1:40" ht="14.45" customHeight="1" outlineLevel="1">
      <c r="A64" s="12" t="s">
        <v>146</v>
      </c>
      <c r="B64" s="8" t="s">
        <v>88</v>
      </c>
      <c r="I64" s="246" t="s">
        <v>165</v>
      </c>
      <c r="J64" s="65">
        <v>751</v>
      </c>
      <c r="K64" s="65">
        <v>827</v>
      </c>
      <c r="L64" s="65">
        <v>1081</v>
      </c>
      <c r="M64" s="65">
        <v>1567</v>
      </c>
      <c r="N64" s="65">
        <v>540</v>
      </c>
      <c r="O64" s="65">
        <v>455</v>
      </c>
      <c r="P64" s="65">
        <v>0</v>
      </c>
      <c r="Q64" s="65">
        <v>920</v>
      </c>
      <c r="R64" s="225">
        <v>1275</v>
      </c>
      <c r="S64" s="225">
        <f t="shared" ref="S64:U64" si="44">+AVERAGE(P64:R64)</f>
        <v>731.66666666666663</v>
      </c>
      <c r="T64" s="225">
        <f t="shared" si="44"/>
        <v>975.55555555555554</v>
      </c>
      <c r="U64" s="225">
        <f t="shared" si="44"/>
        <v>994.07407407407402</v>
      </c>
      <c r="V64" s="65">
        <f t="shared" si="35"/>
        <v>10117.296296296297</v>
      </c>
      <c r="W64" s="73">
        <f t="shared" si="30"/>
        <v>8.6579636546737953E-5</v>
      </c>
      <c r="X64" s="89"/>
      <c r="Y64" s="65">
        <f>VLOOKUP($E$1,[9]Resumen!$V$226:$AH$232,Y1,0)</f>
        <v>1063.0476999999998</v>
      </c>
      <c r="Z64" s="65">
        <f>VLOOKUP($E$1,[9]Resumen!$V$226:$AH$232,Z1,0)</f>
        <v>1063.0476999999998</v>
      </c>
      <c r="AA64" s="65">
        <f>VLOOKUP($E$1,[9]Resumen!$V$226:$AH$232,AA1,0)</f>
        <v>1063.0476999999998</v>
      </c>
      <c r="AB64" s="65">
        <f>VLOOKUP($E$1,[9]Resumen!$V$226:$AH$232,AB1,0)</f>
        <v>1063.0476999999998</v>
      </c>
      <c r="AC64" s="65">
        <f>VLOOKUP($E$1,[9]Resumen!$V$226:$AH$232,AC1,0)</f>
        <v>1063.0476999999998</v>
      </c>
      <c r="AD64" s="65">
        <f>VLOOKUP($E$1,[9]Resumen!$V$226:$AH$232,AD1,0)</f>
        <v>1063.0476999999998</v>
      </c>
      <c r="AE64" s="65">
        <f>VLOOKUP($E$1,[9]Resumen!$V$226:$AH$232,AE1,0)</f>
        <v>1063.0476999999998</v>
      </c>
      <c r="AF64" s="65">
        <f>VLOOKUP($E$1,[9]Resumen!$V$226:$AH$232,AF1,0)</f>
        <v>1063.0476999999998</v>
      </c>
      <c r="AG64" s="65">
        <f>VLOOKUP($E$1,[9]Resumen!$V$226:$AH$232,AG1,0)</f>
        <v>1063.0476999999998</v>
      </c>
      <c r="AH64" s="65">
        <f>VLOOKUP($E$1,[9]Resumen!$V$226:$AH$232,AH1,0)</f>
        <v>1063.0476999999998</v>
      </c>
      <c r="AI64" s="65">
        <f>VLOOKUP($E$1,[9]Resumen!$V$226:$AH$232,AI1,0)</f>
        <v>1063.0476999999998</v>
      </c>
      <c r="AJ64" s="65">
        <f>VLOOKUP($E$1,[9]Resumen!$V$226:$AH$232,AJ1,0)</f>
        <v>1063.0476999999998</v>
      </c>
      <c r="AK64" s="65">
        <f t="shared" si="36"/>
        <v>12756.572399999995</v>
      </c>
      <c r="AL64" s="73">
        <f t="shared" si="32"/>
        <v>1.020872867858847E-4</v>
      </c>
      <c r="AM64" s="14">
        <f t="shared" si="33"/>
        <v>0.2608677285323624</v>
      </c>
      <c r="AN64" s="9"/>
    </row>
    <row r="65" spans="1:40" ht="14.45" customHeight="1" outlineLevel="1">
      <c r="A65" s="12" t="s">
        <v>146</v>
      </c>
      <c r="B65" s="8" t="s">
        <v>88</v>
      </c>
      <c r="I65" s="252" t="s">
        <v>167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/>
      <c r="T65" s="65"/>
      <c r="U65" s="65"/>
      <c r="V65" s="65">
        <f t="shared" si="35"/>
        <v>0</v>
      </c>
      <c r="W65" s="73">
        <f t="shared" si="30"/>
        <v>0</v>
      </c>
      <c r="X65" s="89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>
        <f t="shared" si="36"/>
        <v>0</v>
      </c>
      <c r="AL65" s="73">
        <f t="shared" si="32"/>
        <v>0</v>
      </c>
      <c r="AM65" s="14">
        <f t="shared" si="33"/>
        <v>0</v>
      </c>
      <c r="AN65" s="9"/>
    </row>
    <row r="66" spans="1:40" ht="14.45" customHeight="1" outlineLevel="1">
      <c r="A66" s="12" t="s">
        <v>146</v>
      </c>
      <c r="B66" s="8" t="s">
        <v>88</v>
      </c>
      <c r="I66" s="246" t="s">
        <v>168</v>
      </c>
      <c r="J66" s="65">
        <v>0</v>
      </c>
      <c r="K66" s="65">
        <v>0</v>
      </c>
      <c r="L66" s="65">
        <v>0</v>
      </c>
      <c r="M66" s="65">
        <v>5675</v>
      </c>
      <c r="N66" s="65">
        <v>0</v>
      </c>
      <c r="O66" s="65">
        <v>0</v>
      </c>
      <c r="P66" s="65">
        <v>0</v>
      </c>
      <c r="Q66" s="65">
        <v>0</v>
      </c>
      <c r="R66" s="65">
        <v>1510</v>
      </c>
      <c r="S66" s="65">
        <v>1185.6000000000001</v>
      </c>
      <c r="T66" s="65">
        <v>0</v>
      </c>
      <c r="U66" s="65">
        <v>0</v>
      </c>
      <c r="V66" s="65">
        <f t="shared" si="35"/>
        <v>8370.6</v>
      </c>
      <c r="W66" s="73">
        <f t="shared" si="30"/>
        <v>7.1632132187670418E-5</v>
      </c>
      <c r="X66" s="89"/>
      <c r="Y66" s="65">
        <f>VLOOKUP($E$1,[8]Resumen!$V$32:$AH$38,Y1,0)</f>
        <v>0</v>
      </c>
      <c r="Z66" s="65">
        <f>VLOOKUP($E$1,[8]Resumen!$V$32:$AH$38,Z1,0)</f>
        <v>0</v>
      </c>
      <c r="AA66" s="65">
        <f>VLOOKUP($E$1,[8]Resumen!$V$32:$AH$38,AA1,0)</f>
        <v>0</v>
      </c>
      <c r="AB66" s="65">
        <f>VLOOKUP($E$1,[8]Resumen!$V$32:$AH$38,AB1,0)</f>
        <v>3560.7439999999997</v>
      </c>
      <c r="AC66" s="65">
        <f>VLOOKUP($E$1,[8]Resumen!$V$32:$AH$38,AC1,0)</f>
        <v>0</v>
      </c>
      <c r="AD66" s="65">
        <f>VLOOKUP($E$1,[8]Resumen!$V$32:$AH$38,AD1,0)</f>
        <v>0</v>
      </c>
      <c r="AE66" s="65">
        <f>VLOOKUP($E$1,[8]Resumen!$V$32:$AH$38,AE1,0)</f>
        <v>0</v>
      </c>
      <c r="AF66" s="65">
        <f>VLOOKUP($E$1,[8]Resumen!$V$32:$AH$38,AF1,0)</f>
        <v>2184.0609999999997</v>
      </c>
      <c r="AG66" s="65">
        <f>VLOOKUP($E$1,[8]Resumen!$V$32:$AH$38,AG1,0)</f>
        <v>0</v>
      </c>
      <c r="AH66" s="65">
        <f>VLOOKUP($E$1,[8]Resumen!$V$32:$AH$38,AH1,0)</f>
        <v>0</v>
      </c>
      <c r="AI66" s="65">
        <f>VLOOKUP($E$1,[8]Resumen!$V$32:$AH$38,AI1,0)</f>
        <v>0</v>
      </c>
      <c r="AJ66" s="65">
        <f>VLOOKUP($E$1,[8]Resumen!$V$32:$AH$38,AJ1,0)</f>
        <v>0</v>
      </c>
      <c r="AK66" s="65">
        <f t="shared" si="36"/>
        <v>5744.8049999999994</v>
      </c>
      <c r="AL66" s="73">
        <f t="shared" si="32"/>
        <v>4.5974070241939324E-5</v>
      </c>
      <c r="AM66" s="14">
        <f t="shared" si="33"/>
        <v>-0.31369256684108682</v>
      </c>
      <c r="AN66" s="9"/>
    </row>
    <row r="67" spans="1:40" ht="14.45" customHeight="1" outlineLevel="1">
      <c r="A67" s="12"/>
      <c r="I67" s="246" t="s">
        <v>170</v>
      </c>
      <c r="J67" s="65">
        <v>3298</v>
      </c>
      <c r="K67" s="65">
        <v>3298</v>
      </c>
      <c r="L67" s="65">
        <v>3298</v>
      </c>
      <c r="M67" s="65">
        <v>3298</v>
      </c>
      <c r="N67" s="65">
        <v>3298</v>
      </c>
      <c r="O67" s="65">
        <v>3298</v>
      </c>
      <c r="P67" s="65">
        <v>3298</v>
      </c>
      <c r="Q67" s="65">
        <v>3298</v>
      </c>
      <c r="R67" s="225">
        <v>3298</v>
      </c>
      <c r="S67" s="225">
        <f t="shared" ref="S67:U67" si="45">+AVERAGE(P67:R67)</f>
        <v>3298</v>
      </c>
      <c r="T67" s="225">
        <f t="shared" si="45"/>
        <v>3298</v>
      </c>
      <c r="U67" s="225">
        <f t="shared" si="45"/>
        <v>3298</v>
      </c>
      <c r="V67" s="65">
        <f t="shared" si="35"/>
        <v>39576</v>
      </c>
      <c r="W67" s="73">
        <f t="shared" si="30"/>
        <v>3.3867503685031472E-4</v>
      </c>
      <c r="X67" s="89"/>
      <c r="Y67" s="65">
        <f>VLOOKUP($E$1,[12]Resumen!$V$8:$AH$14,Y1,0)</f>
        <v>4942.6025</v>
      </c>
      <c r="Z67" s="65">
        <f>VLOOKUP($E$1,[12]Resumen!$V$8:$AH$14,Z1,0)</f>
        <v>4942.6025</v>
      </c>
      <c r="AA67" s="65">
        <f>VLOOKUP($E$1,[12]Resumen!$V$8:$AH$14,AA1,0)</f>
        <v>4942.6025</v>
      </c>
      <c r="AB67" s="65">
        <f>VLOOKUP($E$1,[12]Resumen!$V$8:$AH$14,AB1,0)</f>
        <v>4942.6025</v>
      </c>
      <c r="AC67" s="65">
        <f>VLOOKUP($E$1,[12]Resumen!$V$8:$AH$14,AC1,0)</f>
        <v>4942.6025</v>
      </c>
      <c r="AD67" s="65">
        <f>VLOOKUP($E$1,[12]Resumen!$V$8:$AH$14,AD1,0)</f>
        <v>4942.6025</v>
      </c>
      <c r="AE67" s="65">
        <f>VLOOKUP($E$1,[12]Resumen!$V$8:$AH$14,AE1,0)</f>
        <v>4942.6025</v>
      </c>
      <c r="AF67" s="65">
        <f>VLOOKUP($E$1,[12]Resumen!$V$8:$AH$14,AF1,0)</f>
        <v>4942.6025</v>
      </c>
      <c r="AG67" s="65">
        <f>VLOOKUP($E$1,[12]Resumen!$V$8:$AH$14,AG1,0)</f>
        <v>4942.6025</v>
      </c>
      <c r="AH67" s="65">
        <f>VLOOKUP($E$1,[12]Resumen!$V$8:$AH$14,AH1,0)</f>
        <v>4942.6025</v>
      </c>
      <c r="AI67" s="65">
        <f>VLOOKUP($E$1,[12]Resumen!$V$8:$AH$14,AI1,0)</f>
        <v>4942.6025</v>
      </c>
      <c r="AJ67" s="65">
        <f>VLOOKUP($E$1,[12]Resumen!$V$8:$AH$14,AJ1,0)</f>
        <v>4942.6025</v>
      </c>
      <c r="AK67" s="65">
        <f t="shared" si="36"/>
        <v>59311.23</v>
      </c>
      <c r="AL67" s="73">
        <f t="shared" si="32"/>
        <v>4.7465121168704927E-4</v>
      </c>
      <c r="AM67" s="14">
        <f t="shared" si="33"/>
        <v>0.4986666161309885</v>
      </c>
      <c r="AN67" s="9"/>
    </row>
    <row r="68" spans="1:40" ht="14.45" customHeight="1" outlineLevel="1">
      <c r="A68" s="12"/>
      <c r="I68" s="246" t="s">
        <v>171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/>
      <c r="T68" s="65"/>
      <c r="U68" s="65"/>
      <c r="V68" s="65">
        <f t="shared" si="35"/>
        <v>0</v>
      </c>
      <c r="W68" s="73">
        <f t="shared" si="30"/>
        <v>0</v>
      </c>
      <c r="X68" s="89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>
        <f t="shared" si="36"/>
        <v>0</v>
      </c>
      <c r="AL68" s="73">
        <f t="shared" si="32"/>
        <v>0</v>
      </c>
      <c r="AM68" s="14">
        <f t="shared" si="33"/>
        <v>0</v>
      </c>
      <c r="AN68" s="9"/>
    </row>
    <row r="69" spans="1:40" ht="14.45" customHeight="1" outlineLevel="1">
      <c r="A69" s="12"/>
      <c r="I69" s="246" t="s">
        <v>172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/>
      <c r="T69" s="65"/>
      <c r="U69" s="65"/>
      <c r="V69" s="65">
        <f t="shared" si="35"/>
        <v>0</v>
      </c>
      <c r="W69" s="73">
        <f t="shared" si="30"/>
        <v>0</v>
      </c>
      <c r="X69" s="89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>
        <f t="shared" si="36"/>
        <v>0</v>
      </c>
      <c r="AL69" s="73">
        <f t="shared" si="32"/>
        <v>0</v>
      </c>
      <c r="AM69" s="14">
        <f t="shared" si="33"/>
        <v>0</v>
      </c>
      <c r="AN69" s="9"/>
    </row>
    <row r="70" spans="1:40" ht="14.45" customHeight="1" outlineLevel="1">
      <c r="A70" s="12"/>
      <c r="I70" s="246" t="s">
        <v>173</v>
      </c>
      <c r="J70" s="65">
        <v>2082</v>
      </c>
      <c r="K70" s="65">
        <v>1800</v>
      </c>
      <c r="L70" s="65">
        <v>1800</v>
      </c>
      <c r="M70" s="65">
        <v>0</v>
      </c>
      <c r="N70" s="65">
        <v>1400</v>
      </c>
      <c r="O70" s="65">
        <v>2570</v>
      </c>
      <c r="P70" s="65">
        <v>1400</v>
      </c>
      <c r="Q70" s="65">
        <v>1400</v>
      </c>
      <c r="R70" s="225">
        <v>1400</v>
      </c>
      <c r="S70" s="225">
        <f t="shared" ref="S70:U70" si="46">+AVERAGE(P70:R70)</f>
        <v>1400</v>
      </c>
      <c r="T70" s="225">
        <f t="shared" si="46"/>
        <v>1400</v>
      </c>
      <c r="U70" s="225">
        <f t="shared" si="46"/>
        <v>1400</v>
      </c>
      <c r="V70" s="65">
        <f t="shared" si="35"/>
        <v>18052</v>
      </c>
      <c r="W70" s="73">
        <f t="shared" si="30"/>
        <v>1.5448154854512535E-4</v>
      </c>
      <c r="X70" s="89"/>
      <c r="Y70" s="65">
        <f>VLOOKUP($E$1,[8]Resumen!$V$44:$AH$50,Y1,0)</f>
        <v>1500</v>
      </c>
      <c r="Z70" s="65">
        <f>VLOOKUP($E$1,[8]Resumen!$V$44:$AH$50,Z1,0)</f>
        <v>1500</v>
      </c>
      <c r="AA70" s="65">
        <f>VLOOKUP($E$1,[8]Resumen!$V$44:$AH$50,AA1,0)</f>
        <v>1500</v>
      </c>
      <c r="AB70" s="65">
        <f>VLOOKUP($E$1,[8]Resumen!$V$44:$AH$50,AB1,0)</f>
        <v>1500</v>
      </c>
      <c r="AC70" s="65">
        <f>VLOOKUP($E$1,[8]Resumen!$V$44:$AH$50,AC1,0)</f>
        <v>1500</v>
      </c>
      <c r="AD70" s="65">
        <f>VLOOKUP($E$1,[8]Resumen!$V$44:$AH$50,AD1,0)</f>
        <v>1500</v>
      </c>
      <c r="AE70" s="65">
        <f>VLOOKUP($E$1,[8]Resumen!$V$44:$AH$50,AE1,0)</f>
        <v>1500</v>
      </c>
      <c r="AF70" s="65">
        <f>VLOOKUP($E$1,[8]Resumen!$V$44:$AH$50,AF1,0)</f>
        <v>1500</v>
      </c>
      <c r="AG70" s="65">
        <f>VLOOKUP($E$1,[8]Resumen!$V$44:$AH$50,AG1,0)</f>
        <v>1500</v>
      </c>
      <c r="AH70" s="65">
        <f>VLOOKUP($E$1,[8]Resumen!$V$44:$AH$50,AH1,0)</f>
        <v>1500</v>
      </c>
      <c r="AI70" s="65">
        <f>VLOOKUP($E$1,[8]Resumen!$V$44:$AH$50,AI1,0)</f>
        <v>1500</v>
      </c>
      <c r="AJ70" s="65">
        <f>VLOOKUP($E$1,[8]Resumen!$V$44:$AH$50,AJ1,0)</f>
        <v>1500</v>
      </c>
      <c r="AK70" s="65">
        <f t="shared" si="36"/>
        <v>18000</v>
      </c>
      <c r="AL70" s="73">
        <f t="shared" si="32"/>
        <v>1.4404897369970049E-4</v>
      </c>
      <c r="AM70" s="14">
        <f t="shared" si="33"/>
        <v>-2.8805672501661661E-3</v>
      </c>
      <c r="AN70" s="9"/>
    </row>
    <row r="71" spans="1:40" ht="14.45" customHeight="1" outlineLevel="1">
      <c r="A71" s="12"/>
      <c r="I71" s="246" t="s">
        <v>174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/>
      <c r="T71" s="65"/>
      <c r="U71" s="65"/>
      <c r="V71" s="65">
        <f t="shared" si="35"/>
        <v>0</v>
      </c>
      <c r="W71" s="73">
        <f t="shared" si="30"/>
        <v>0</v>
      </c>
      <c r="X71" s="89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>
        <f t="shared" si="36"/>
        <v>0</v>
      </c>
      <c r="AL71" s="73">
        <f t="shared" si="32"/>
        <v>0</v>
      </c>
      <c r="AM71" s="14">
        <f t="shared" si="33"/>
        <v>0</v>
      </c>
      <c r="AN71" s="9"/>
    </row>
    <row r="72" spans="1:40" ht="14.45" customHeight="1" outlineLevel="1">
      <c r="A72" s="12"/>
      <c r="I72" s="246" t="s">
        <v>175</v>
      </c>
      <c r="J72" s="65">
        <v>902</v>
      </c>
      <c r="K72" s="65">
        <v>902</v>
      </c>
      <c r="L72" s="65">
        <v>902</v>
      </c>
      <c r="M72" s="65">
        <v>902</v>
      </c>
      <c r="N72" s="65">
        <v>902</v>
      </c>
      <c r="O72" s="65">
        <v>902</v>
      </c>
      <c r="P72" s="65">
        <v>902</v>
      </c>
      <c r="Q72" s="65">
        <v>902</v>
      </c>
      <c r="R72" s="225">
        <v>902</v>
      </c>
      <c r="S72" s="225">
        <f t="shared" ref="S72:U72" si="47">+AVERAGE(P72:R72)</f>
        <v>902</v>
      </c>
      <c r="T72" s="225">
        <f t="shared" si="47"/>
        <v>902</v>
      </c>
      <c r="U72" s="225">
        <f t="shared" si="47"/>
        <v>902</v>
      </c>
      <c r="V72" s="65">
        <f t="shared" si="35"/>
        <v>10824</v>
      </c>
      <c r="W72" s="73">
        <f t="shared" si="30"/>
        <v>9.2627314505452964E-5</v>
      </c>
      <c r="X72" s="89"/>
      <c r="Y72" s="65">
        <f>U72*1.0375</f>
        <v>935.82500000000005</v>
      </c>
      <c r="Z72" s="65">
        <f>+Y72</f>
        <v>935.82500000000005</v>
      </c>
      <c r="AA72" s="65">
        <f>+Z72</f>
        <v>935.82500000000005</v>
      </c>
      <c r="AB72" s="65">
        <f>+AA72</f>
        <v>935.82500000000005</v>
      </c>
      <c r="AC72" s="65">
        <f>+AB72</f>
        <v>935.82500000000005</v>
      </c>
      <c r="AD72" s="65">
        <f>+AC72</f>
        <v>935.82500000000005</v>
      </c>
      <c r="AE72" s="65">
        <f>+AD72</f>
        <v>935.82500000000005</v>
      </c>
      <c r="AF72" s="65">
        <f>+AE72</f>
        <v>935.82500000000005</v>
      </c>
      <c r="AG72" s="65">
        <f>+AF72</f>
        <v>935.82500000000005</v>
      </c>
      <c r="AH72" s="65">
        <f>+AG72</f>
        <v>935.82500000000005</v>
      </c>
      <c r="AI72" s="65">
        <f>+AH72</f>
        <v>935.82500000000005</v>
      </c>
      <c r="AJ72" s="65">
        <f>+AI72</f>
        <v>935.82500000000005</v>
      </c>
      <c r="AK72" s="65">
        <f t="shared" si="36"/>
        <v>11229.900000000001</v>
      </c>
      <c r="AL72" s="73">
        <f t="shared" si="32"/>
        <v>8.9869753875014812E-5</v>
      </c>
      <c r="AM72" s="14">
        <f t="shared" si="33"/>
        <v>3.7500000000000089E-2</v>
      </c>
      <c r="AN72" s="9"/>
    </row>
    <row r="73" spans="1:40" ht="14.45" customHeight="1" outlineLevel="1">
      <c r="A73" s="12" t="s">
        <v>146</v>
      </c>
      <c r="B73" s="8" t="s">
        <v>88</v>
      </c>
      <c r="I73" s="246" t="s">
        <v>176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/>
      <c r="T73" s="65"/>
      <c r="U73" s="65"/>
      <c r="V73" s="65">
        <f t="shared" si="35"/>
        <v>0</v>
      </c>
      <c r="W73" s="73">
        <f t="shared" si="30"/>
        <v>0</v>
      </c>
      <c r="X73" s="89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>
        <f t="shared" si="36"/>
        <v>0</v>
      </c>
      <c r="AL73" s="73">
        <f t="shared" si="32"/>
        <v>0</v>
      </c>
      <c r="AM73" s="14">
        <f t="shared" si="33"/>
        <v>0</v>
      </c>
      <c r="AN73" s="9"/>
    </row>
    <row r="74" spans="1:40" ht="14.45" customHeight="1" outlineLevel="1">
      <c r="A74" s="12" t="s">
        <v>146</v>
      </c>
      <c r="B74" s="8" t="s">
        <v>88</v>
      </c>
      <c r="I74" s="251" t="s">
        <v>177</v>
      </c>
      <c r="J74" s="65">
        <v>1300</v>
      </c>
      <c r="K74" s="65">
        <v>1300</v>
      </c>
      <c r="L74" s="65">
        <v>1300</v>
      </c>
      <c r="M74" s="65">
        <v>1300</v>
      </c>
      <c r="N74" s="65">
        <v>1300</v>
      </c>
      <c r="O74" s="65">
        <v>1300</v>
      </c>
      <c r="P74" s="65">
        <v>1300</v>
      </c>
      <c r="Q74" s="65">
        <v>1300</v>
      </c>
      <c r="R74" s="65">
        <v>1300</v>
      </c>
      <c r="S74" s="65">
        <v>1300</v>
      </c>
      <c r="T74" s="65">
        <v>1300</v>
      </c>
      <c r="U74" s="65">
        <v>1300</v>
      </c>
      <c r="V74" s="65">
        <f t="shared" si="35"/>
        <v>15600</v>
      </c>
      <c r="W74" s="73">
        <f t="shared" si="30"/>
        <v>1.3349834684821379E-4</v>
      </c>
      <c r="X74" s="89"/>
      <c r="Y74" s="65">
        <f>+J74*1.0375</f>
        <v>1348.7500000000002</v>
      </c>
      <c r="Z74" s="65">
        <f>+K74*1.0375</f>
        <v>1348.7500000000002</v>
      </c>
      <c r="AA74" s="65">
        <f>+L74*1.0375</f>
        <v>1348.7500000000002</v>
      </c>
      <c r="AB74" s="65">
        <f>+M74*1.0375</f>
        <v>1348.7500000000002</v>
      </c>
      <c r="AC74" s="65">
        <f>+N74*1.0375</f>
        <v>1348.7500000000002</v>
      </c>
      <c r="AD74" s="65">
        <f>+O74*1.0375</f>
        <v>1348.7500000000002</v>
      </c>
      <c r="AE74" s="65">
        <f>+P74*1.0375</f>
        <v>1348.7500000000002</v>
      </c>
      <c r="AF74" s="65">
        <f>+Q74*1.0375</f>
        <v>1348.7500000000002</v>
      </c>
      <c r="AG74" s="65">
        <f>+R74*1.0375</f>
        <v>1348.7500000000002</v>
      </c>
      <c r="AH74" s="65">
        <f>+S74*1.0375</f>
        <v>1348.7500000000002</v>
      </c>
      <c r="AI74" s="65">
        <f>+T74*1.0375</f>
        <v>1348.7500000000002</v>
      </c>
      <c r="AJ74" s="65">
        <f>+U74*1.0375</f>
        <v>1348.7500000000002</v>
      </c>
      <c r="AK74" s="65">
        <f t="shared" si="36"/>
        <v>16185.000000000002</v>
      </c>
      <c r="AL74" s="73">
        <f t="shared" si="32"/>
        <v>1.2952403551831404E-4</v>
      </c>
      <c r="AM74" s="14">
        <f t="shared" si="33"/>
        <v>3.7500000000000089E-2</v>
      </c>
      <c r="AN74" s="9"/>
    </row>
    <row r="75" spans="1:40" ht="14.45" customHeight="1" outlineLevel="1">
      <c r="A75" s="12"/>
      <c r="I75" s="246" t="s">
        <v>178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/>
      <c r="T75" s="65"/>
      <c r="U75" s="65"/>
      <c r="V75" s="65">
        <f t="shared" si="35"/>
        <v>0</v>
      </c>
      <c r="W75" s="73">
        <f t="shared" si="30"/>
        <v>0</v>
      </c>
      <c r="X75" s="89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>
        <f t="shared" si="36"/>
        <v>0</v>
      </c>
      <c r="AL75" s="73">
        <f t="shared" si="32"/>
        <v>0</v>
      </c>
      <c r="AM75" s="14">
        <f t="shared" si="33"/>
        <v>0</v>
      </c>
      <c r="AN75" s="9"/>
    </row>
    <row r="76" spans="1:40" ht="14.45" customHeight="1" outlineLevel="1">
      <c r="A76" s="12" t="s">
        <v>146</v>
      </c>
      <c r="B76" s="8" t="s">
        <v>88</v>
      </c>
      <c r="I76" s="246" t="s">
        <v>179</v>
      </c>
      <c r="J76" s="65">
        <v>916</v>
      </c>
      <c r="K76" s="65">
        <v>902</v>
      </c>
      <c r="L76" s="65">
        <v>890</v>
      </c>
      <c r="M76" s="65">
        <v>884</v>
      </c>
      <c r="N76" s="65">
        <v>827</v>
      </c>
      <c r="O76" s="65">
        <v>953</v>
      </c>
      <c r="P76" s="65">
        <v>956</v>
      </c>
      <c r="Q76" s="65">
        <v>914</v>
      </c>
      <c r="R76" s="225">
        <v>855</v>
      </c>
      <c r="S76" s="225">
        <f t="shared" ref="S76:U77" si="48">+AVERAGE(P76:R76)</f>
        <v>908.33333333333337</v>
      </c>
      <c r="T76" s="225">
        <f t="shared" si="48"/>
        <v>892.44444444444446</v>
      </c>
      <c r="U76" s="225">
        <f t="shared" si="48"/>
        <v>885.25925925925924</v>
      </c>
      <c r="V76" s="65">
        <f t="shared" si="35"/>
        <v>10783.037037037038</v>
      </c>
      <c r="W76" s="73">
        <f t="shared" si="30"/>
        <v>9.2276770413301685E-5</v>
      </c>
      <c r="X76" s="89"/>
      <c r="Y76" s="65">
        <f>VLOOKUP($E$1,[13]Resumen!$V$10:$AH$16,Y1,0)</f>
        <v>931.58999999999992</v>
      </c>
      <c r="Z76" s="65">
        <f>VLOOKUP($E$1,[13]Resumen!$V$10:$AH$16,Z1,0)</f>
        <v>931.58999999999992</v>
      </c>
      <c r="AA76" s="65">
        <f>VLOOKUP($E$1,[13]Resumen!$V$10:$AH$16,AA1,0)</f>
        <v>931.58999999999992</v>
      </c>
      <c r="AB76" s="65">
        <f>VLOOKUP($E$1,[13]Resumen!$V$10:$AH$16,AB1,0)</f>
        <v>931.58999999999992</v>
      </c>
      <c r="AC76" s="65">
        <f>VLOOKUP($E$1,[13]Resumen!$V$10:$AH$16,AC1,0)</f>
        <v>931.58999999999992</v>
      </c>
      <c r="AD76" s="65">
        <f>VLOOKUP($E$1,[13]Resumen!$V$10:$AH$16,AD1,0)</f>
        <v>931.58999999999992</v>
      </c>
      <c r="AE76" s="65">
        <f>VLOOKUP($E$1,[13]Resumen!$V$10:$AH$16,AE1,0)</f>
        <v>931.58999999999992</v>
      </c>
      <c r="AF76" s="65">
        <f>VLOOKUP($E$1,[13]Resumen!$V$10:$AH$16,AF1,0)</f>
        <v>931.58999999999992</v>
      </c>
      <c r="AG76" s="65">
        <f>VLOOKUP($E$1,[13]Resumen!$V$10:$AH$16,AG1,0)</f>
        <v>931.58999999999992</v>
      </c>
      <c r="AH76" s="65">
        <f>VLOOKUP($E$1,[13]Resumen!$V$10:$AH$16,AH1,0)</f>
        <v>931.58999999999992</v>
      </c>
      <c r="AI76" s="65">
        <f>VLOOKUP($E$1,[13]Resumen!$V$10:$AH$16,AI1,0)</f>
        <v>931.58999999999992</v>
      </c>
      <c r="AJ76" s="65">
        <f>VLOOKUP($E$1,[13]Resumen!$V$10:$AH$16,AJ1,0)</f>
        <v>931.58999999999992</v>
      </c>
      <c r="AK76" s="65">
        <f t="shared" si="36"/>
        <v>11179.08</v>
      </c>
      <c r="AL76" s="73">
        <f t="shared" si="32"/>
        <v>8.9463055605935987E-5</v>
      </c>
      <c r="AM76" s="14">
        <f t="shared" si="33"/>
        <v>3.6728331879289033E-2</v>
      </c>
      <c r="AN76" s="9"/>
    </row>
    <row r="77" spans="1:40" ht="14.45" customHeight="1" outlineLevel="1">
      <c r="A77" s="12"/>
      <c r="I77" s="246" t="s">
        <v>180</v>
      </c>
      <c r="J77" s="65">
        <v>593</v>
      </c>
      <c r="K77" s="65">
        <v>569</v>
      </c>
      <c r="L77" s="65">
        <v>577</v>
      </c>
      <c r="M77" s="65">
        <v>636</v>
      </c>
      <c r="N77" s="65">
        <v>620</v>
      </c>
      <c r="O77" s="65">
        <v>657</v>
      </c>
      <c r="P77" s="65">
        <v>617</v>
      </c>
      <c r="Q77" s="65">
        <v>666</v>
      </c>
      <c r="R77" s="225">
        <v>579</v>
      </c>
      <c r="S77" s="225">
        <f t="shared" si="48"/>
        <v>620.66666666666663</v>
      </c>
      <c r="T77" s="225">
        <f t="shared" si="48"/>
        <v>621.8888888888888</v>
      </c>
      <c r="U77" s="225">
        <f t="shared" si="48"/>
        <v>607.18518518518511</v>
      </c>
      <c r="V77" s="65">
        <f t="shared" si="35"/>
        <v>7363.7407407407409</v>
      </c>
      <c r="W77" s="73">
        <f t="shared" si="30"/>
        <v>6.3015847147931427E-5</v>
      </c>
      <c r="X77" s="89"/>
      <c r="Y77" s="65">
        <f>J77*1.0375</f>
        <v>615.23750000000007</v>
      </c>
      <c r="Z77" s="65">
        <f t="shared" ref="Z77:AJ77" si="49">K77*1.0375</f>
        <v>590.33750000000009</v>
      </c>
      <c r="AA77" s="65">
        <f t="shared" si="49"/>
        <v>598.63750000000005</v>
      </c>
      <c r="AB77" s="65">
        <f t="shared" si="49"/>
        <v>659.85</v>
      </c>
      <c r="AC77" s="65">
        <f t="shared" si="49"/>
        <v>643.25</v>
      </c>
      <c r="AD77" s="65">
        <f t="shared" si="49"/>
        <v>681.63750000000005</v>
      </c>
      <c r="AE77" s="65">
        <f t="shared" si="49"/>
        <v>640.13750000000005</v>
      </c>
      <c r="AF77" s="65">
        <f t="shared" si="49"/>
        <v>690.97500000000002</v>
      </c>
      <c r="AG77" s="65">
        <f t="shared" si="49"/>
        <v>600.71250000000009</v>
      </c>
      <c r="AH77" s="65">
        <f t="shared" si="49"/>
        <v>643.94166666666672</v>
      </c>
      <c r="AI77" s="65">
        <f t="shared" si="49"/>
        <v>645.20972222222224</v>
      </c>
      <c r="AJ77" s="65">
        <f t="shared" si="49"/>
        <v>629.95462962962961</v>
      </c>
      <c r="AK77" s="65">
        <f t="shared" si="36"/>
        <v>7639.8810185185193</v>
      </c>
      <c r="AL77" s="73">
        <f t="shared" si="32"/>
        <v>6.1139834439189727E-5</v>
      </c>
      <c r="AM77" s="14">
        <f t="shared" si="33"/>
        <v>3.7500000000000089E-2</v>
      </c>
      <c r="AN77" s="9"/>
    </row>
    <row r="78" spans="1:40" ht="14.45" customHeight="1" outlineLevel="1">
      <c r="A78" s="12"/>
      <c r="I78" s="246" t="s">
        <v>181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/>
      <c r="T78" s="65"/>
      <c r="U78" s="65"/>
      <c r="V78" s="65">
        <f t="shared" si="35"/>
        <v>0</v>
      </c>
      <c r="W78" s="73">
        <f t="shared" si="30"/>
        <v>0</v>
      </c>
      <c r="X78" s="89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>
        <f t="shared" si="36"/>
        <v>0</v>
      </c>
      <c r="AL78" s="73">
        <f t="shared" si="32"/>
        <v>0</v>
      </c>
      <c r="AM78" s="14">
        <f t="shared" si="33"/>
        <v>0</v>
      </c>
      <c r="AN78" s="9"/>
    </row>
    <row r="79" spans="1:40" ht="14.45" customHeight="1" outlineLevel="1">
      <c r="A79" s="12"/>
      <c r="I79" s="246" t="s">
        <v>182</v>
      </c>
      <c r="J79" s="65">
        <v>7845</v>
      </c>
      <c r="K79" s="65">
        <v>13695</v>
      </c>
      <c r="L79" s="65">
        <v>2662</v>
      </c>
      <c r="M79" s="65">
        <v>3176</v>
      </c>
      <c r="N79" s="65">
        <v>9440</v>
      </c>
      <c r="O79" s="65">
        <v>2641</v>
      </c>
      <c r="P79" s="65">
        <v>15875</v>
      </c>
      <c r="Q79" s="65">
        <v>0</v>
      </c>
      <c r="R79" s="65">
        <v>4185</v>
      </c>
      <c r="S79" s="65">
        <v>21243.809599999997</v>
      </c>
      <c r="T79" s="65">
        <v>26281.569599999999</v>
      </c>
      <c r="U79" s="65">
        <v>3771.8096</v>
      </c>
      <c r="V79" s="65">
        <f t="shared" si="35"/>
        <v>110816.18879999999</v>
      </c>
      <c r="W79" s="73">
        <f t="shared" si="30"/>
        <v>9.4831910312945797E-4</v>
      </c>
      <c r="X79" s="89"/>
      <c r="Y79" s="65">
        <f>VLOOKUP($E$1,[14]Resumen!$V$8:$AH$14,Y1,0)</f>
        <v>12022.086763059997</v>
      </c>
      <c r="Z79" s="65">
        <f>VLOOKUP($E$1,[14]Resumen!$V$8:$AH$14,Z1,0)</f>
        <v>3442.2049690599997</v>
      </c>
      <c r="AA79" s="65">
        <f>VLOOKUP($E$1,[14]Resumen!$V$8:$AH$14,AA1,0)</f>
        <v>9162.126165059999</v>
      </c>
      <c r="AB79" s="65">
        <f>VLOOKUP($E$1,[14]Resumen!$V$8:$AH$14,AB1,0)</f>
        <v>5719.9211959999993</v>
      </c>
      <c r="AC79" s="65">
        <f>VLOOKUP($E$1,[14]Resumen!$V$8:$AH$14,AC1,0)</f>
        <v>2859.9605979999997</v>
      </c>
      <c r="AD79" s="65">
        <f>VLOOKUP($E$1,[14]Resumen!$V$8:$AH$14,AD1,0)</f>
        <v>2859.9605979999997</v>
      </c>
      <c r="AE79" s="65">
        <f>VLOOKUP($E$1,[14]Resumen!$V$8:$AH$14,AE1,0)</f>
        <v>8579.881793999999</v>
      </c>
      <c r="AF79" s="65">
        <f>VLOOKUP($E$1,[14]Resumen!$V$8:$AH$14,AF1,0)</f>
        <v>5719.9211959999993</v>
      </c>
      <c r="AG79" s="65">
        <f>VLOOKUP($E$1,[14]Resumen!$V$8:$AH$14,AG1,0)</f>
        <v>2859.9605979999997</v>
      </c>
      <c r="AH79" s="65">
        <f>VLOOKUP($E$1,[14]Resumen!$V$8:$AH$14,AH1,0)</f>
        <v>25571.048293999997</v>
      </c>
      <c r="AI79" s="65">
        <f>VLOOKUP($E$1,[14]Resumen!$V$8:$AH$14,AI1,0)</f>
        <v>15513.457739999998</v>
      </c>
      <c r="AJ79" s="65">
        <f>VLOOKUP($E$1,[14]Resumen!$V$8:$AH$14,AJ1,0)</f>
        <v>6933.575945999999</v>
      </c>
      <c r="AK79" s="65">
        <f t="shared" si="36"/>
        <v>101244.10585717998</v>
      </c>
      <c r="AL79" s="73">
        <f t="shared" si="32"/>
        <v>8.1022830788170068E-4</v>
      </c>
      <c r="AM79" s="14">
        <f t="shared" si="33"/>
        <v>-8.6378019732257783E-2</v>
      </c>
      <c r="AN79" s="9"/>
    </row>
    <row r="80" spans="1:40" ht="14.45" customHeight="1" outlineLevel="1">
      <c r="A80" s="12"/>
      <c r="I80" s="246" t="s">
        <v>183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292</v>
      </c>
      <c r="P80" s="65">
        <v>0</v>
      </c>
      <c r="Q80" s="65">
        <v>146</v>
      </c>
      <c r="R80" s="65">
        <v>0</v>
      </c>
      <c r="S80" s="65">
        <v>500.24</v>
      </c>
      <c r="T80" s="65">
        <v>0</v>
      </c>
      <c r="U80" s="65">
        <v>0</v>
      </c>
      <c r="V80" s="65">
        <f t="shared" si="35"/>
        <v>938.24</v>
      </c>
      <c r="W80" s="73">
        <f t="shared" si="30"/>
        <v>8.0290698042864175E-6</v>
      </c>
      <c r="X80" s="89"/>
      <c r="Y80" s="65">
        <f>VLOOKUP($E$1,[15]Resumen!$V$8:$AH$14,Y1,0)</f>
        <v>0</v>
      </c>
      <c r="Z80" s="65">
        <f>VLOOKUP($E$1,[15]Resumen!$V$8:$AH$14,Z1,0)</f>
        <v>382.98699999999997</v>
      </c>
      <c r="AA80" s="65">
        <f>VLOOKUP($E$1,[15]Resumen!$V$8:$AH$14,AA1,0)</f>
        <v>978.16949999999997</v>
      </c>
      <c r="AB80" s="65">
        <f>VLOOKUP($E$1,[15]Resumen!$V$8:$AH$14,AB1,0)</f>
        <v>0</v>
      </c>
      <c r="AC80" s="65">
        <f>VLOOKUP($E$1,[15]Resumen!$V$8:$AH$14,AC1,0)</f>
        <v>0</v>
      </c>
      <c r="AD80" s="65">
        <f>VLOOKUP($E$1,[15]Resumen!$V$8:$AH$14,AD1,0)</f>
        <v>0</v>
      </c>
      <c r="AE80" s="65">
        <f>VLOOKUP($E$1,[15]Resumen!$V$8:$AH$14,AE1,0)</f>
        <v>191.49349999999998</v>
      </c>
      <c r="AF80" s="65">
        <f>VLOOKUP($E$1,[15]Resumen!$V$8:$AH$14,AF1,0)</f>
        <v>0</v>
      </c>
      <c r="AG80" s="65">
        <f>VLOOKUP($E$1,[15]Resumen!$V$8:$AH$14,AG1,0)</f>
        <v>0</v>
      </c>
      <c r="AH80" s="65">
        <f>VLOOKUP($E$1,[15]Resumen!$V$8:$AH$14,AH1,0)</f>
        <v>0</v>
      </c>
      <c r="AI80" s="65">
        <f>VLOOKUP($E$1,[15]Resumen!$V$8:$AH$14,AI1,0)</f>
        <v>0</v>
      </c>
      <c r="AJ80" s="65">
        <f>VLOOKUP($E$1,[15]Resumen!$V$8:$AH$14,AJ1,0)</f>
        <v>978.16949999999997</v>
      </c>
      <c r="AK80" s="65">
        <f t="shared" si="36"/>
        <v>2530.8195000000001</v>
      </c>
      <c r="AL80" s="73">
        <f t="shared" si="32"/>
        <v>2.025344175523273E-5</v>
      </c>
      <c r="AM80" s="14">
        <f t="shared" si="33"/>
        <v>1.6974116430763986</v>
      </c>
      <c r="AN80" s="9"/>
    </row>
    <row r="81" spans="1:40" ht="14.45" customHeight="1" outlineLevel="1">
      <c r="A81" s="12"/>
      <c r="I81" s="246" t="s">
        <v>184</v>
      </c>
      <c r="J81" s="65">
        <v>0</v>
      </c>
      <c r="K81" s="65">
        <v>2659</v>
      </c>
      <c r="L81" s="65">
        <v>0</v>
      </c>
      <c r="M81" s="65">
        <v>0</v>
      </c>
      <c r="N81" s="65">
        <v>0</v>
      </c>
      <c r="O81" s="65">
        <v>0</v>
      </c>
      <c r="P81" s="65">
        <v>2312</v>
      </c>
      <c r="Q81" s="65">
        <v>0</v>
      </c>
      <c r="R81" s="65">
        <v>0</v>
      </c>
      <c r="S81" s="65"/>
      <c r="T81" s="65"/>
      <c r="U81" s="65"/>
      <c r="V81" s="65">
        <f t="shared" si="35"/>
        <v>4971</v>
      </c>
      <c r="W81" s="73">
        <f t="shared" si="30"/>
        <v>4.2539761678363516E-5</v>
      </c>
      <c r="X81" s="89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>
        <f t="shared" si="36"/>
        <v>0</v>
      </c>
      <c r="AL81" s="73">
        <f t="shared" si="32"/>
        <v>0</v>
      </c>
      <c r="AM81" s="14">
        <f t="shared" si="33"/>
        <v>-1</v>
      </c>
      <c r="AN81" s="9"/>
    </row>
    <row r="82" spans="1:40" ht="14.45" customHeight="1" outlineLevel="1">
      <c r="A82" s="12"/>
      <c r="I82" s="246" t="s">
        <v>185</v>
      </c>
      <c r="J82" s="65">
        <v>2345</v>
      </c>
      <c r="K82" s="65">
        <v>2345</v>
      </c>
      <c r="L82" s="65">
        <v>2345</v>
      </c>
      <c r="M82" s="65">
        <v>2345</v>
      </c>
      <c r="N82" s="65">
        <v>2345</v>
      </c>
      <c r="O82" s="65">
        <v>2345</v>
      </c>
      <c r="P82" s="65">
        <v>2345</v>
      </c>
      <c r="Q82" s="65">
        <v>5845</v>
      </c>
      <c r="R82" s="65">
        <v>5845</v>
      </c>
      <c r="S82" s="65">
        <f>+R82</f>
        <v>5845</v>
      </c>
      <c r="T82" s="65">
        <f>+S82</f>
        <v>5845</v>
      </c>
      <c r="U82" s="65">
        <f>+T82</f>
        <v>5845</v>
      </c>
      <c r="V82" s="65">
        <f t="shared" si="35"/>
        <v>45640</v>
      </c>
      <c r="W82" s="73">
        <f t="shared" si="30"/>
        <v>3.9056824039438961E-4</v>
      </c>
      <c r="X82" s="89"/>
      <c r="Y82" s="65">
        <f>+U82*1.02</f>
        <v>5961.9000000000005</v>
      </c>
      <c r="Z82" s="65">
        <f>+Y82</f>
        <v>5961.9000000000005</v>
      </c>
      <c r="AA82" s="65">
        <f t="shared" ref="AA82:AJ82" si="50">+Z82</f>
        <v>5961.9000000000005</v>
      </c>
      <c r="AB82" s="65">
        <f t="shared" si="50"/>
        <v>5961.9000000000005</v>
      </c>
      <c r="AC82" s="65">
        <f t="shared" si="50"/>
        <v>5961.9000000000005</v>
      </c>
      <c r="AD82" s="65">
        <f t="shared" si="50"/>
        <v>5961.9000000000005</v>
      </c>
      <c r="AE82" s="65">
        <f t="shared" si="50"/>
        <v>5961.9000000000005</v>
      </c>
      <c r="AF82" s="65">
        <f t="shared" si="50"/>
        <v>5961.9000000000005</v>
      </c>
      <c r="AG82" s="65">
        <f t="shared" si="50"/>
        <v>5961.9000000000005</v>
      </c>
      <c r="AH82" s="65">
        <f t="shared" si="50"/>
        <v>5961.9000000000005</v>
      </c>
      <c r="AI82" s="65">
        <f t="shared" si="50"/>
        <v>5961.9000000000005</v>
      </c>
      <c r="AJ82" s="65">
        <f t="shared" si="50"/>
        <v>5961.9000000000005</v>
      </c>
      <c r="AK82" s="65">
        <f t="shared" si="36"/>
        <v>71542.8</v>
      </c>
      <c r="AL82" s="73">
        <f t="shared" si="32"/>
        <v>5.7253705086682954E-4</v>
      </c>
      <c r="AM82" s="14">
        <f t="shared" si="33"/>
        <v>0.56754601226993873</v>
      </c>
      <c r="AN82" s="9"/>
    </row>
    <row r="83" spans="1:40" ht="14.45" customHeight="1" outlineLevel="1">
      <c r="A83" s="12" t="s">
        <v>195</v>
      </c>
      <c r="B83" s="8" t="s">
        <v>88</v>
      </c>
      <c r="I83" s="246" t="s">
        <v>186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/>
      <c r="T83" s="65"/>
      <c r="U83" s="65"/>
      <c r="V83" s="65">
        <f t="shared" si="35"/>
        <v>0</v>
      </c>
      <c r="W83" s="73">
        <f t="shared" si="30"/>
        <v>0</v>
      </c>
      <c r="X83" s="89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>
        <f t="shared" si="36"/>
        <v>0</v>
      </c>
      <c r="AL83" s="73">
        <f t="shared" si="32"/>
        <v>0</v>
      </c>
      <c r="AM83" s="14">
        <f t="shared" si="33"/>
        <v>0</v>
      </c>
      <c r="AN83" s="9"/>
    </row>
    <row r="84" spans="1:40" ht="14.45" customHeight="1" outlineLevel="1">
      <c r="A84" s="12" t="s">
        <v>195</v>
      </c>
      <c r="B84" s="8" t="s">
        <v>88</v>
      </c>
      <c r="I84" s="246" t="s">
        <v>187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/>
      <c r="T84" s="65"/>
      <c r="U84" s="65"/>
      <c r="V84" s="65">
        <f t="shared" si="35"/>
        <v>0</v>
      </c>
      <c r="W84" s="73">
        <f t="shared" si="30"/>
        <v>0</v>
      </c>
      <c r="X84" s="89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>
        <f t="shared" si="36"/>
        <v>0</v>
      </c>
      <c r="AL84" s="73">
        <f t="shared" si="32"/>
        <v>0</v>
      </c>
      <c r="AM84" s="14">
        <f t="shared" si="33"/>
        <v>0</v>
      </c>
      <c r="AN84" s="9"/>
    </row>
    <row r="85" spans="1:40" ht="14.45" customHeight="1" outlineLevel="1">
      <c r="A85" s="12" t="s">
        <v>195</v>
      </c>
      <c r="B85" s="8" t="s">
        <v>88</v>
      </c>
      <c r="I85" s="246" t="s">
        <v>188</v>
      </c>
      <c r="J85" s="65">
        <v>0</v>
      </c>
      <c r="K85" s="65">
        <v>0</v>
      </c>
      <c r="L85" s="65">
        <v>1425</v>
      </c>
      <c r="M85" s="65">
        <v>1425</v>
      </c>
      <c r="N85" s="65">
        <v>1425</v>
      </c>
      <c r="O85" s="65">
        <v>1425</v>
      </c>
      <c r="P85" s="65">
        <v>0</v>
      </c>
      <c r="Q85" s="65">
        <v>1425</v>
      </c>
      <c r="R85" s="65">
        <v>1425</v>
      </c>
      <c r="S85" s="65"/>
      <c r="T85" s="65"/>
      <c r="U85" s="65"/>
      <c r="V85" s="65">
        <f t="shared" si="35"/>
        <v>8550</v>
      </c>
      <c r="W85" s="73">
        <f t="shared" si="30"/>
        <v>7.3167363176424873E-5</v>
      </c>
      <c r="X85" s="89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>
        <f t="shared" si="36"/>
        <v>0</v>
      </c>
      <c r="AL85" s="73">
        <f t="shared" si="32"/>
        <v>0</v>
      </c>
      <c r="AM85" s="14">
        <f t="shared" si="33"/>
        <v>-1</v>
      </c>
      <c r="AN85" s="9"/>
    </row>
    <row r="86" spans="1:40" ht="14.45" customHeight="1" outlineLevel="1">
      <c r="A86" s="12" t="s">
        <v>195</v>
      </c>
      <c r="B86" s="8" t="s">
        <v>88</v>
      </c>
      <c r="I86" s="253" t="s">
        <v>189</v>
      </c>
      <c r="J86" s="65">
        <v>0</v>
      </c>
      <c r="K86" s="65">
        <v>0</v>
      </c>
      <c r="L86" s="65">
        <v>1680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f t="shared" si="35"/>
        <v>1680</v>
      </c>
      <c r="W86" s="73">
        <f t="shared" si="30"/>
        <v>1.4376745045192256E-5</v>
      </c>
      <c r="X86" s="89"/>
      <c r="Y86" s="65">
        <f>VLOOKUP($E$1,[9]Resumen!$V$202:$AH$208,Y1,0)</f>
        <v>0</v>
      </c>
      <c r="Z86" s="65">
        <f>VLOOKUP($E$1,[9]Resumen!$V$202:$AH$208,Z1,0)</f>
        <v>0</v>
      </c>
      <c r="AA86" s="65">
        <f>VLOOKUP($E$1,[9]Resumen!$V$202:$AH$208,AA1,0)</f>
        <v>0</v>
      </c>
      <c r="AB86" s="65">
        <f>VLOOKUP($E$1,[9]Resumen!$V$202:$AH$208,AB1,0)</f>
        <v>0</v>
      </c>
      <c r="AC86" s="65">
        <f>VLOOKUP($E$1,[9]Resumen!$V$202:$AH$208,AC1,0)</f>
        <v>0</v>
      </c>
      <c r="AD86" s="65">
        <f>VLOOKUP($E$1,[9]Resumen!$V$202:$AH$208,AD1,0)</f>
        <v>0</v>
      </c>
      <c r="AE86" s="65">
        <f>VLOOKUP($E$1,[9]Resumen!$V$202:$AH$208,AE1,0)</f>
        <v>0</v>
      </c>
      <c r="AF86" s="65">
        <f>VLOOKUP($E$1,[9]Resumen!$V$202:$AH$208,AF1,0)</f>
        <v>0</v>
      </c>
      <c r="AG86" s="65">
        <f>VLOOKUP($E$1,[9]Resumen!$V$202:$AH$208,AG1,0)</f>
        <v>0</v>
      </c>
      <c r="AH86" s="65">
        <f>VLOOKUP($E$1,[9]Resumen!$V$202:$AH$208,AH1,0)</f>
        <v>0</v>
      </c>
      <c r="AI86" s="65">
        <f>VLOOKUP($E$1,[9]Resumen!$V$202:$AH$208,AI1,0)</f>
        <v>0</v>
      </c>
      <c r="AJ86" s="65">
        <f>VLOOKUP($E$1,[9]Resumen!$V$202:$AH$208,AJ1,0)</f>
        <v>0</v>
      </c>
      <c r="AK86" s="65">
        <f t="shared" si="36"/>
        <v>0</v>
      </c>
      <c r="AL86" s="73">
        <f t="shared" si="32"/>
        <v>0</v>
      </c>
      <c r="AM86" s="14">
        <f t="shared" si="33"/>
        <v>-1</v>
      </c>
      <c r="AN86" s="9"/>
    </row>
    <row r="87" spans="1:40" ht="14.45" customHeight="1" outlineLevel="1">
      <c r="A87" s="12" t="s">
        <v>195</v>
      </c>
      <c r="B87" s="8" t="s">
        <v>88</v>
      </c>
      <c r="I87" s="246" t="s">
        <v>190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/>
      <c r="T87" s="65"/>
      <c r="U87" s="65"/>
      <c r="V87" s="65">
        <f t="shared" si="35"/>
        <v>0</v>
      </c>
      <c r="W87" s="73">
        <f t="shared" si="30"/>
        <v>0</v>
      </c>
      <c r="X87" s="89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>
        <f t="shared" si="36"/>
        <v>0</v>
      </c>
      <c r="AL87" s="73">
        <f t="shared" si="32"/>
        <v>0</v>
      </c>
      <c r="AM87" s="14">
        <f t="shared" si="33"/>
        <v>0</v>
      </c>
      <c r="AN87" s="9"/>
    </row>
    <row r="88" spans="1:40" ht="14.45" customHeight="1" outlineLevel="1">
      <c r="A88" s="12" t="s">
        <v>195</v>
      </c>
      <c r="B88" s="8" t="s">
        <v>88</v>
      </c>
      <c r="I88" s="251" t="s">
        <v>191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19240</v>
      </c>
      <c r="T88" s="65">
        <v>0</v>
      </c>
      <c r="U88" s="65">
        <v>0</v>
      </c>
      <c r="V88" s="65">
        <f t="shared" ref="V88:V91" si="51">SUM(J88:U88)</f>
        <v>19240</v>
      </c>
      <c r="W88" s="73">
        <f t="shared" ref="W88:W91" si="52">V88/V$6</f>
        <v>1.6464796111279701E-4</v>
      </c>
      <c r="X88" s="89"/>
      <c r="Y88" s="65">
        <f>VLOOKUP($E$1,[9]Resumen!$V$10:$AH$16,Y1,0)</f>
        <v>0</v>
      </c>
      <c r="Z88" s="65">
        <f>VLOOKUP($E$1,[9]Resumen!$V$10:$AH$16,Z1,0)</f>
        <v>0</v>
      </c>
      <c r="AA88" s="65">
        <f>VLOOKUP($E$1,[9]Resumen!$V$10:$AH$16,AA1,0)</f>
        <v>0</v>
      </c>
      <c r="AB88" s="65">
        <f>VLOOKUP($E$1,[9]Resumen!$V$10:$AH$16,AB1,0)</f>
        <v>0</v>
      </c>
      <c r="AC88" s="65">
        <f>VLOOKUP($E$1,[9]Resumen!$V$10:$AH$16,AC1,0)</f>
        <v>0</v>
      </c>
      <c r="AD88" s="65">
        <f>VLOOKUP($E$1,[9]Resumen!$V$10:$AH$16,AD1,0)</f>
        <v>0</v>
      </c>
      <c r="AE88" s="65">
        <f>VLOOKUP($E$1,[9]Resumen!$V$10:$AH$16,AE1,0)</f>
        <v>0</v>
      </c>
      <c r="AF88" s="65">
        <f>VLOOKUP($E$1,[9]Resumen!$V$10:$AH$16,AF1,0)</f>
        <v>0</v>
      </c>
      <c r="AG88" s="65">
        <f>VLOOKUP($E$1,[9]Resumen!$V$10:$AH$16,AG1,0)</f>
        <v>18528.289999999997</v>
      </c>
      <c r="AH88" s="65">
        <f>VLOOKUP($E$1,[9]Resumen!$V$10:$AH$16,AH1,0)</f>
        <v>0</v>
      </c>
      <c r="AI88" s="65">
        <f>VLOOKUP($E$1,[9]Resumen!$V$10:$AH$16,AI1,0)</f>
        <v>0</v>
      </c>
      <c r="AJ88" s="65">
        <f>VLOOKUP($E$1,[9]Resumen!$V$10:$AH$16,AJ1,0)</f>
        <v>0</v>
      </c>
      <c r="AK88" s="65">
        <f t="shared" si="36"/>
        <v>18528.289999999997</v>
      </c>
      <c r="AL88" s="73">
        <f t="shared" si="32"/>
        <v>1.4827673105057907E-4</v>
      </c>
      <c r="AM88" s="14">
        <f t="shared" si="33"/>
        <v>-3.6991164241164332E-2</v>
      </c>
      <c r="AN88" s="9"/>
    </row>
    <row r="89" spans="1:40" ht="14.45" customHeight="1" outlineLevel="1">
      <c r="A89" s="12" t="s">
        <v>195</v>
      </c>
      <c r="B89" s="8" t="s">
        <v>88</v>
      </c>
      <c r="I89" s="246" t="s">
        <v>192</v>
      </c>
      <c r="J89" s="65">
        <v>0</v>
      </c>
      <c r="K89" s="65">
        <v>5129</v>
      </c>
      <c r="L89" s="65">
        <v>0</v>
      </c>
      <c r="M89" s="65">
        <v>0</v>
      </c>
      <c r="N89" s="65">
        <v>1852</v>
      </c>
      <c r="O89" s="65">
        <v>2606</v>
      </c>
      <c r="P89" s="65">
        <v>0</v>
      </c>
      <c r="Q89" s="65">
        <v>2034</v>
      </c>
      <c r="R89" s="65">
        <v>0</v>
      </c>
      <c r="S89" s="65">
        <v>743.6</v>
      </c>
      <c r="T89" s="65">
        <v>19448</v>
      </c>
      <c r="U89" s="65">
        <v>0</v>
      </c>
      <c r="V89" s="65">
        <f t="shared" si="51"/>
        <v>31812.6</v>
      </c>
      <c r="W89" s="73">
        <f t="shared" si="52"/>
        <v>2.722390710861209E-4</v>
      </c>
      <c r="X89" s="89"/>
      <c r="Y89" s="65">
        <f>VLOOKUP($E$1,[16]Resumen!$V$8:$AH$14,Y1,0)</f>
        <v>0</v>
      </c>
      <c r="Z89" s="65">
        <f>VLOOKUP($E$1,[16]Resumen!$V$8:$AH$14,Z1,0)</f>
        <v>4642.4234999999999</v>
      </c>
      <c r="AA89" s="65">
        <f>VLOOKUP($E$1,[16]Resumen!$V$8:$AH$14,AA1,0)</f>
        <v>0</v>
      </c>
      <c r="AB89" s="65">
        <f>VLOOKUP($E$1,[16]Resumen!$V$8:$AH$14,AB1,0)</f>
        <v>0</v>
      </c>
      <c r="AC89" s="65">
        <f>VLOOKUP($E$1,[16]Resumen!$V$8:$AH$14,AC1,0)</f>
        <v>2220.2894999999999</v>
      </c>
      <c r="AD89" s="65">
        <f>VLOOKUP($E$1,[16]Resumen!$V$8:$AH$14,AD1,0)</f>
        <v>2489.4154999999996</v>
      </c>
      <c r="AE89" s="65">
        <f>VLOOKUP($E$1,[16]Resumen!$V$8:$AH$14,AE1,0)</f>
        <v>0</v>
      </c>
      <c r="AF89" s="65">
        <f>VLOOKUP($E$1,[16]Resumen!$V$8:$AH$14,AF1,0)</f>
        <v>2287.5709999999999</v>
      </c>
      <c r="AG89" s="65">
        <f>VLOOKUP($E$1,[16]Resumen!$V$8:$AH$14,AG1,0)</f>
        <v>0</v>
      </c>
      <c r="AH89" s="65">
        <f>VLOOKUP($E$1,[16]Resumen!$V$8:$AH$14,AH1,0)</f>
        <v>1076.5039999999999</v>
      </c>
      <c r="AI89" s="65">
        <f>VLOOKUP($E$1,[16]Resumen!$V$8:$AH$14,AI1,0)</f>
        <v>15474.744999999999</v>
      </c>
      <c r="AJ89" s="65">
        <f>VLOOKUP($E$1,[16]Resumen!$V$8:$AH$14,AJ1,0)</f>
        <v>0</v>
      </c>
      <c r="AK89" s="65">
        <f t="shared" si="36"/>
        <v>28190.948499999999</v>
      </c>
      <c r="AL89" s="73">
        <f t="shared" si="32"/>
        <v>2.2560428883589505E-4</v>
      </c>
      <c r="AM89" s="14">
        <f t="shared" si="33"/>
        <v>-0.11384330422536981</v>
      </c>
      <c r="AN89" s="9"/>
    </row>
    <row r="90" spans="1:40" ht="14.45" customHeight="1" outlineLevel="1">
      <c r="A90" s="12" t="s">
        <v>195</v>
      </c>
      <c r="B90" s="8" t="s">
        <v>88</v>
      </c>
      <c r="I90" s="246" t="s">
        <v>193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f t="shared" si="51"/>
        <v>0</v>
      </c>
      <c r="W90" s="73">
        <f t="shared" si="52"/>
        <v>0</v>
      </c>
      <c r="X90" s="89"/>
      <c r="Y90" s="65">
        <f>+VLOOKUP($E$1,[9]Detalle!$C$246:$O$252,Y1,0)</f>
        <v>0</v>
      </c>
      <c r="Z90" s="65">
        <f>+VLOOKUP($E$1,[9]Detalle!$C$246:$O$252,Z1,0)</f>
        <v>0</v>
      </c>
      <c r="AA90" s="65">
        <f>+VLOOKUP($E$1,[9]Detalle!$C$246:$O$252,AA1,0)</f>
        <v>0</v>
      </c>
      <c r="AB90" s="65">
        <f>+VLOOKUP($E$1,[9]Detalle!$C$246:$O$252,AB1,0)</f>
        <v>0</v>
      </c>
      <c r="AC90" s="65">
        <f>+VLOOKUP($E$1,[9]Detalle!$C$246:$O$252,AC1,0)</f>
        <v>0</v>
      </c>
      <c r="AD90" s="65">
        <f>+VLOOKUP($E$1,[9]Detalle!$C$246:$O$252,AD1,0)</f>
        <v>0</v>
      </c>
      <c r="AE90" s="65">
        <f>+VLOOKUP($E$1,[9]Detalle!$C$246:$O$252,AE1,0)</f>
        <v>0</v>
      </c>
      <c r="AF90" s="65">
        <f>+VLOOKUP($E$1,[9]Detalle!$C$246:$O$252,AF1,0)</f>
        <v>0</v>
      </c>
      <c r="AG90" s="65">
        <f>+VLOOKUP($E$1,[9]Detalle!$C$246:$O$252,AG1,0)</f>
        <v>0</v>
      </c>
      <c r="AH90" s="65">
        <f>+VLOOKUP($E$1,[9]Detalle!$C$246:$O$252,AH1,0)</f>
        <v>0</v>
      </c>
      <c r="AI90" s="65">
        <f>+VLOOKUP($E$1,[9]Detalle!$C$246:$O$252,AI1,0)</f>
        <v>0</v>
      </c>
      <c r="AJ90" s="65">
        <f>+VLOOKUP($E$1,[9]Detalle!$C$246:$O$252,AJ1,0)</f>
        <v>0</v>
      </c>
      <c r="AK90" s="65">
        <f t="shared" si="36"/>
        <v>0</v>
      </c>
      <c r="AL90" s="73">
        <f t="shared" si="32"/>
        <v>0</v>
      </c>
      <c r="AM90" s="14">
        <f t="shared" si="33"/>
        <v>0</v>
      </c>
      <c r="AN90" s="9"/>
    </row>
    <row r="91" spans="1:40" ht="14.45" customHeight="1" outlineLevel="1">
      <c r="A91" s="12" t="s">
        <v>195</v>
      </c>
      <c r="B91" s="8" t="s">
        <v>88</v>
      </c>
      <c r="I91" s="251" t="s">
        <v>194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f t="shared" si="51"/>
        <v>0</v>
      </c>
      <c r="W91" s="73">
        <f t="shared" si="52"/>
        <v>0</v>
      </c>
      <c r="X91" s="89"/>
      <c r="Y91" s="65">
        <f>VLOOKUP($E$1,[8]Resumen!$V$56:$AH$62,Y1,0)</f>
        <v>5949.4442699999991</v>
      </c>
      <c r="Z91" s="65">
        <f>VLOOKUP($E$1,[8]Resumen!$V$56:$AH$62,Z1,0)</f>
        <v>0</v>
      </c>
      <c r="AA91" s="65">
        <f>VLOOKUP($E$1,[8]Resumen!$V$56:$AH$62,AA1,0)</f>
        <v>0</v>
      </c>
      <c r="AB91" s="65">
        <f>VLOOKUP($E$1,[8]Resumen!$V$56:$AH$62,AB1,0)</f>
        <v>0</v>
      </c>
      <c r="AC91" s="65">
        <f>VLOOKUP($E$1,[8]Resumen!$V$56:$AH$62,AC1,0)</f>
        <v>0</v>
      </c>
      <c r="AD91" s="65">
        <f>VLOOKUP($E$1,[8]Resumen!$V$56:$AH$62,AD1,0)</f>
        <v>0</v>
      </c>
      <c r="AE91" s="65">
        <f>VLOOKUP($E$1,[8]Resumen!$V$56:$AH$62,AE1,0)</f>
        <v>0</v>
      </c>
      <c r="AF91" s="65">
        <f>VLOOKUP($E$1,[8]Resumen!$V$56:$AH$62,AF1,0)</f>
        <v>0</v>
      </c>
      <c r="AG91" s="65">
        <f>VLOOKUP($E$1,[8]Resumen!$V$56:$AH$62,AG1,0)</f>
        <v>0</v>
      </c>
      <c r="AH91" s="65">
        <f>VLOOKUP($E$1,[8]Resumen!$V$56:$AH$62,AH1,0)</f>
        <v>0</v>
      </c>
      <c r="AI91" s="65">
        <f>VLOOKUP($E$1,[8]Resumen!$V$56:$AH$62,AI1,0)</f>
        <v>0</v>
      </c>
      <c r="AJ91" s="65">
        <f>VLOOKUP($E$1,[8]Resumen!$V$56:$AH$62,AJ1,0)</f>
        <v>0</v>
      </c>
      <c r="AK91" s="65">
        <f t="shared" si="36"/>
        <v>5949.4442699999991</v>
      </c>
      <c r="AL91" s="73">
        <f t="shared" si="32"/>
        <v>4.7611741176503535E-5</v>
      </c>
      <c r="AM91" s="14">
        <f t="shared" si="33"/>
        <v>0</v>
      </c>
      <c r="AN91" s="9"/>
    </row>
    <row r="92" spans="1:40" ht="14.45" customHeight="1" collapsed="1">
      <c r="A92" s="12" t="s">
        <v>195</v>
      </c>
      <c r="B92" s="8" t="s">
        <v>88</v>
      </c>
      <c r="I92" s="167" t="s">
        <v>196</v>
      </c>
      <c r="J92" s="15">
        <v>206416</v>
      </c>
      <c r="K92" s="15">
        <v>218406</v>
      </c>
      <c r="L92" s="15">
        <v>251870</v>
      </c>
      <c r="M92" s="15">
        <v>218869</v>
      </c>
      <c r="N92" s="15">
        <v>238969</v>
      </c>
      <c r="O92" s="15">
        <v>259680</v>
      </c>
      <c r="P92" s="15">
        <v>243684</v>
      </c>
      <c r="Q92" s="15">
        <v>249401</v>
      </c>
      <c r="R92" s="15">
        <v>243562</v>
      </c>
      <c r="S92" s="15">
        <f t="shared" ref="R92:U92" si="53">SUM(S93:S108)</f>
        <v>245548.66666666666</v>
      </c>
      <c r="T92" s="15">
        <f t="shared" si="53"/>
        <v>246170.55555555556</v>
      </c>
      <c r="U92" s="15">
        <f t="shared" si="53"/>
        <v>245093.74074074073</v>
      </c>
      <c r="V92" s="15">
        <f t="shared" ref="V92" si="54">SUM(V93:V108)</f>
        <v>2867668.9629629627</v>
      </c>
      <c r="W92" s="72">
        <f t="shared" si="30"/>
        <v>2.4540324734838921E-2</v>
      </c>
      <c r="X92" s="89"/>
      <c r="Y92" s="15">
        <f t="shared" ref="Y92:AK92" si="55">SUM(Y93:Y108)</f>
        <v>247772.86955423997</v>
      </c>
      <c r="Z92" s="15">
        <f t="shared" si="55"/>
        <v>226348.23924611998</v>
      </c>
      <c r="AA92" s="15">
        <f t="shared" si="55"/>
        <v>247772.86955423997</v>
      </c>
      <c r="AB92" s="15">
        <f t="shared" si="55"/>
        <v>233717.5030812</v>
      </c>
      <c r="AC92" s="15">
        <f t="shared" si="55"/>
        <v>247772.86955423997</v>
      </c>
      <c r="AD92" s="15">
        <f t="shared" si="55"/>
        <v>233717.5030812</v>
      </c>
      <c r="AE92" s="15">
        <f t="shared" si="55"/>
        <v>240859.04651723997</v>
      </c>
      <c r="AF92" s="15">
        <f t="shared" si="55"/>
        <v>240859.04651723997</v>
      </c>
      <c r="AG92" s="15">
        <f t="shared" si="55"/>
        <v>240631.32611819997</v>
      </c>
      <c r="AH92" s="15">
        <f t="shared" si="55"/>
        <v>240859.04651723997</v>
      </c>
      <c r="AI92" s="15">
        <f t="shared" si="55"/>
        <v>240631.32611819997</v>
      </c>
      <c r="AJ92" s="15">
        <f t="shared" si="55"/>
        <v>247772.86955423997</v>
      </c>
      <c r="AK92" s="15">
        <f t="shared" si="55"/>
        <v>2888714.5154135991</v>
      </c>
      <c r="AL92" s="72">
        <f t="shared" si="32"/>
        <v>2.3117575625375364E-2</v>
      </c>
      <c r="AM92" s="10">
        <f t="shared" si="33"/>
        <v>7.3389058229689219E-3</v>
      </c>
      <c r="AN92" s="9"/>
    </row>
    <row r="93" spans="1:40" ht="14.45" hidden="1" customHeight="1" outlineLevel="1">
      <c r="A93" s="12" t="s">
        <v>195</v>
      </c>
      <c r="B93" s="8" t="s">
        <v>88</v>
      </c>
      <c r="I93" s="246" t="s">
        <v>197</v>
      </c>
      <c r="J93" s="65">
        <v>6284</v>
      </c>
      <c r="K93" s="65">
        <v>6445</v>
      </c>
      <c r="L93" s="65">
        <v>7210</v>
      </c>
      <c r="M93" s="65">
        <v>7128</v>
      </c>
      <c r="N93" s="65">
        <v>7331</v>
      </c>
      <c r="O93" s="65">
        <v>7128</v>
      </c>
      <c r="P93" s="65">
        <v>7210</v>
      </c>
      <c r="Q93" s="65">
        <v>7365</v>
      </c>
      <c r="R93" s="225">
        <v>6743</v>
      </c>
      <c r="S93" s="225">
        <f t="shared" ref="S93:U108" si="56">+AVERAGE(P93:R93)</f>
        <v>7106</v>
      </c>
      <c r="T93" s="225">
        <f t="shared" si="56"/>
        <v>7071.333333333333</v>
      </c>
      <c r="U93" s="225">
        <f t="shared" si="56"/>
        <v>6973.4444444444443</v>
      </c>
      <c r="V93" s="65">
        <f t="shared" ref="V93:V108" si="57">SUM(J93:U93)</f>
        <v>83994.777777777766</v>
      </c>
      <c r="W93" s="73">
        <f t="shared" si="30"/>
        <v>7.18792562642078E-4</v>
      </c>
      <c r="X93" s="89"/>
      <c r="Y93" s="65">
        <f>VLOOKUP($I93,'[17]Resumen OPE'!$A$138:$M$159,Y$1,0)</f>
        <v>7340.0176077739716</v>
      </c>
      <c r="Z93" s="65">
        <f>VLOOKUP($I93,'[17]Resumen OPE'!$A$138:$M$159,Z$1,0)</f>
        <v>6629.6933231506837</v>
      </c>
      <c r="AA93" s="65">
        <f>VLOOKUP($I93,'[17]Resumen OPE'!$A$138:$M$159,AA$1,0)</f>
        <v>7340.0176077739716</v>
      </c>
      <c r="AB93" s="65">
        <f>VLOOKUP($I93,'[17]Resumen OPE'!$A$138:$M$159,AB$1,0)</f>
        <v>7103.2428462328762</v>
      </c>
      <c r="AC93" s="65">
        <f>VLOOKUP($I93,'[17]Resumen OPE'!$A$138:$M$159,AC$1,0)</f>
        <v>7340.0176077739716</v>
      </c>
      <c r="AD93" s="65">
        <f>VLOOKUP($I93,'[17]Resumen OPE'!$A$138:$M$159,AD$1,0)</f>
        <v>7103.2428462328762</v>
      </c>
      <c r="AE93" s="65">
        <f>VLOOKUP($I93,'[17]Resumen OPE'!$A$138:$M$159,AE$1,0)</f>
        <v>7340.0176077739716</v>
      </c>
      <c r="AF93" s="65">
        <f>VLOOKUP($I93,'[17]Resumen OPE'!$A$138:$M$159,AF$1,0)</f>
        <v>7340.0176077739716</v>
      </c>
      <c r="AG93" s="65">
        <f>VLOOKUP($I93,'[17]Resumen OPE'!$A$138:$M$159,AG$1,0)</f>
        <v>7103.2428462328762</v>
      </c>
      <c r="AH93" s="65">
        <f>VLOOKUP($I93,'[17]Resumen OPE'!$A$138:$M$159,AH$1,0)</f>
        <v>7340.0176077739716</v>
      </c>
      <c r="AI93" s="65">
        <f>VLOOKUP($I93,'[17]Resumen OPE'!$A$138:$M$159,AI$1,0)</f>
        <v>7103.2428462328762</v>
      </c>
      <c r="AJ93" s="65">
        <f>VLOOKUP($I93,'[17]Resumen OPE'!$A$138:$M$159,AJ$1,0)</f>
        <v>7340.0176077739716</v>
      </c>
      <c r="AK93" s="65">
        <f t="shared" ref="AK93:AK158" si="58">SUM(Y93:AJ93)</f>
        <v>86422.787962500006</v>
      </c>
      <c r="AL93" s="73">
        <f t="shared" si="32"/>
        <v>6.9161743945916421E-4</v>
      </c>
      <c r="AM93" s="14">
        <f t="shared" si="33"/>
        <v>2.8906680259884077E-2</v>
      </c>
      <c r="AN93" s="9"/>
    </row>
    <row r="94" spans="1:40" ht="14.45" hidden="1" customHeight="1" outlineLevel="1">
      <c r="A94" s="12" t="s">
        <v>195</v>
      </c>
      <c r="B94" s="8" t="s">
        <v>88</v>
      </c>
      <c r="I94" s="246" t="s">
        <v>198</v>
      </c>
      <c r="J94" s="65">
        <v>12088</v>
      </c>
      <c r="K94" s="65">
        <v>11483</v>
      </c>
      <c r="L94" s="65">
        <v>15989</v>
      </c>
      <c r="M94" s="65">
        <v>9688</v>
      </c>
      <c r="N94" s="65">
        <v>18593</v>
      </c>
      <c r="O94" s="65">
        <v>45031</v>
      </c>
      <c r="P94" s="65">
        <v>25123</v>
      </c>
      <c r="Q94" s="65">
        <v>20107</v>
      </c>
      <c r="R94" s="225">
        <v>14956</v>
      </c>
      <c r="S94" s="225">
        <f t="shared" si="56"/>
        <v>20062</v>
      </c>
      <c r="T94" s="225">
        <f t="shared" si="56"/>
        <v>18375</v>
      </c>
      <c r="U94" s="225">
        <f t="shared" si="56"/>
        <v>17797.666666666668</v>
      </c>
      <c r="V94" s="65">
        <f t="shared" si="57"/>
        <v>229292.66666666666</v>
      </c>
      <c r="W94" s="73">
        <f t="shared" si="30"/>
        <v>1.9621917913088807E-3</v>
      </c>
      <c r="X94" s="89"/>
      <c r="Y94" s="65">
        <f>VLOOKUP($I94,'[17]Resumen OPE'!$A$138:$M$159,Y$1,0)</f>
        <v>19471.2</v>
      </c>
      <c r="Z94" s="65">
        <f>VLOOKUP($I94,'[17]Resumen OPE'!$A$138:$M$159,Z$1,0)</f>
        <v>19471.2</v>
      </c>
      <c r="AA94" s="65">
        <f>VLOOKUP($I94,'[17]Resumen OPE'!$A$138:$M$159,AA$1,0)</f>
        <v>19471.2</v>
      </c>
      <c r="AB94" s="65">
        <f>VLOOKUP($I94,'[17]Resumen OPE'!$A$138:$M$159,AB$1,0)</f>
        <v>19471.2</v>
      </c>
      <c r="AC94" s="65">
        <f>VLOOKUP($I94,'[17]Resumen OPE'!$A$138:$M$159,AC$1,0)</f>
        <v>19471.2</v>
      </c>
      <c r="AD94" s="65">
        <f>VLOOKUP($I94,'[17]Resumen OPE'!$A$138:$M$159,AD$1,0)</f>
        <v>19471.2</v>
      </c>
      <c r="AE94" s="65">
        <f>VLOOKUP($I94,'[17]Resumen OPE'!$A$138:$M$159,AE$1,0)</f>
        <v>19471.2</v>
      </c>
      <c r="AF94" s="65">
        <f>VLOOKUP($I94,'[17]Resumen OPE'!$A$138:$M$159,AF$1,0)</f>
        <v>19471.2</v>
      </c>
      <c r="AG94" s="65">
        <f>VLOOKUP($I94,'[17]Resumen OPE'!$A$138:$M$159,AG$1,0)</f>
        <v>19471.2</v>
      </c>
      <c r="AH94" s="65">
        <f>VLOOKUP($I94,'[17]Resumen OPE'!$A$138:$M$159,AH$1,0)</f>
        <v>19471.2</v>
      </c>
      <c r="AI94" s="65">
        <f>VLOOKUP($I94,'[17]Resumen OPE'!$A$138:$M$159,AI$1,0)</f>
        <v>19471.2</v>
      </c>
      <c r="AJ94" s="65">
        <f>VLOOKUP($I94,'[17]Resumen OPE'!$A$138:$M$159,AJ$1,0)</f>
        <v>19471.2</v>
      </c>
      <c r="AK94" s="65">
        <f t="shared" si="58"/>
        <v>233654.40000000005</v>
      </c>
      <c r="AL94" s="73">
        <f t="shared" si="32"/>
        <v>1.8698709178010726E-3</v>
      </c>
      <c r="AM94" s="14">
        <f t="shared" si="33"/>
        <v>1.9022559232887426E-2</v>
      </c>
      <c r="AN94" s="9"/>
    </row>
    <row r="95" spans="1:40" ht="14.45" hidden="1" customHeight="1" outlineLevel="1">
      <c r="A95" s="12" t="s">
        <v>195</v>
      </c>
      <c r="B95" s="8" t="s">
        <v>88</v>
      </c>
      <c r="I95" s="246" t="s">
        <v>199</v>
      </c>
      <c r="J95" s="65">
        <v>7180</v>
      </c>
      <c r="K95" s="65">
        <v>8203</v>
      </c>
      <c r="L95" s="65">
        <v>9883</v>
      </c>
      <c r="M95" s="65">
        <v>0</v>
      </c>
      <c r="N95" s="65">
        <v>10723</v>
      </c>
      <c r="O95" s="65">
        <v>0</v>
      </c>
      <c r="P95" s="65">
        <v>0</v>
      </c>
      <c r="Q95" s="65">
        <v>0</v>
      </c>
      <c r="R95" s="225">
        <v>9683</v>
      </c>
      <c r="S95" s="225">
        <f t="shared" si="56"/>
        <v>3227.6666666666665</v>
      </c>
      <c r="T95" s="225">
        <f t="shared" si="56"/>
        <v>4303.5555555555557</v>
      </c>
      <c r="U95" s="225">
        <f t="shared" si="56"/>
        <v>5738.0740740740739</v>
      </c>
      <c r="V95" s="65">
        <f t="shared" si="57"/>
        <v>58941.296296296292</v>
      </c>
      <c r="W95" s="73">
        <f t="shared" si="30"/>
        <v>5.0439523183630139E-4</v>
      </c>
      <c r="X95" s="89"/>
      <c r="Y95" s="65">
        <f>VLOOKUP($I95,'[17]Resumen OPE'!$A$138:$M$159,Y$1,0)</f>
        <v>6913.8230369999983</v>
      </c>
      <c r="Z95" s="65">
        <f>VLOOKUP($I95,'[17]Resumen OPE'!$A$138:$M$159,Z$1,0)</f>
        <v>6913.8230369999983</v>
      </c>
      <c r="AA95" s="65">
        <f>VLOOKUP($I95,'[17]Resumen OPE'!$A$138:$M$159,AA$1,0)</f>
        <v>6913.8230369999983</v>
      </c>
      <c r="AB95" s="65">
        <f>VLOOKUP($I95,'[17]Resumen OPE'!$A$138:$M$159,AB$1,0)</f>
        <v>0</v>
      </c>
      <c r="AC95" s="65">
        <f>VLOOKUP($I95,'[17]Resumen OPE'!$A$138:$M$159,AC$1,0)</f>
        <v>6913.8230369999983</v>
      </c>
      <c r="AD95" s="65">
        <f>VLOOKUP($I95,'[17]Resumen OPE'!$A$138:$M$159,AD$1,0)</f>
        <v>0</v>
      </c>
      <c r="AE95" s="65">
        <f>VLOOKUP($I95,'[17]Resumen OPE'!$A$138:$M$159,AE$1,0)</f>
        <v>0</v>
      </c>
      <c r="AF95" s="65">
        <f>VLOOKUP($I95,'[17]Resumen OPE'!$A$138:$M$159,AF$1,0)</f>
        <v>0</v>
      </c>
      <c r="AG95" s="65">
        <f>VLOOKUP($I95,'[17]Resumen OPE'!$A$138:$M$159,AG$1,0)</f>
        <v>6913.8230369999983</v>
      </c>
      <c r="AH95" s="65">
        <f>VLOOKUP($I95,'[17]Resumen OPE'!$A$138:$M$159,AH$1,0)</f>
        <v>0</v>
      </c>
      <c r="AI95" s="65">
        <f>VLOOKUP($I95,'[17]Resumen OPE'!$A$138:$M$159,AI$1,0)</f>
        <v>6913.8230369999983</v>
      </c>
      <c r="AJ95" s="65">
        <f>VLOOKUP($I95,'[17]Resumen OPE'!$A$138:$M$159,AJ$1,0)</f>
        <v>6913.8230369999983</v>
      </c>
      <c r="AK95" s="65">
        <f t="shared" si="58"/>
        <v>48396.761258999977</v>
      </c>
      <c r="AL95" s="73">
        <f t="shared" si="32"/>
        <v>3.8730576609713176E-4</v>
      </c>
      <c r="AM95" s="14">
        <f t="shared" si="33"/>
        <v>-0.17889893334359708</v>
      </c>
      <c r="AN95" s="9"/>
    </row>
    <row r="96" spans="1:40" ht="14.45" hidden="1" customHeight="1" outlineLevel="1">
      <c r="A96" s="12" t="s">
        <v>195</v>
      </c>
      <c r="B96" s="8" t="s">
        <v>88</v>
      </c>
      <c r="I96" s="246" t="s">
        <v>200</v>
      </c>
      <c r="J96" s="65">
        <v>8309</v>
      </c>
      <c r="K96" s="65">
        <v>9092</v>
      </c>
      <c r="L96" s="65">
        <v>10012</v>
      </c>
      <c r="M96" s="65">
        <v>9377</v>
      </c>
      <c r="N96" s="65">
        <v>8799</v>
      </c>
      <c r="O96" s="65">
        <v>9549</v>
      </c>
      <c r="P96" s="65">
        <v>9570</v>
      </c>
      <c r="Q96" s="65">
        <v>10256</v>
      </c>
      <c r="R96" s="225">
        <v>9467</v>
      </c>
      <c r="S96" s="225">
        <f t="shared" si="56"/>
        <v>9764.3333333333339</v>
      </c>
      <c r="T96" s="225">
        <f t="shared" si="56"/>
        <v>9829.1111111111113</v>
      </c>
      <c r="U96" s="225">
        <f t="shared" si="56"/>
        <v>9686.8148148148157</v>
      </c>
      <c r="V96" s="65">
        <f t="shared" si="57"/>
        <v>113711.25925925926</v>
      </c>
      <c r="W96" s="73">
        <f t="shared" si="30"/>
        <v>9.7309391853459969E-4</v>
      </c>
      <c r="X96" s="89"/>
      <c r="Y96" s="65">
        <f>VLOOKUP($I96,'[17]Resumen OPE'!$A$138:$M$159,Y$1,0)</f>
        <v>9644.7831366150003</v>
      </c>
      <c r="Z96" s="65">
        <f>VLOOKUP($I96,'[17]Resumen OPE'!$A$138:$M$159,Z$1,0)</f>
        <v>8711.4170266199981</v>
      </c>
      <c r="AA96" s="65">
        <f>VLOOKUP($I96,'[17]Resumen OPE'!$A$138:$M$159,AA$1,0)</f>
        <v>9644.7831366150003</v>
      </c>
      <c r="AB96" s="65">
        <f>VLOOKUP($I96,'[17]Resumen OPE'!$A$138:$M$159,AB$1,0)</f>
        <v>9333.6610999499972</v>
      </c>
      <c r="AC96" s="65">
        <f>VLOOKUP($I96,'[17]Resumen OPE'!$A$138:$M$159,AC$1,0)</f>
        <v>9644.7831366150003</v>
      </c>
      <c r="AD96" s="65">
        <f>VLOOKUP($I96,'[17]Resumen OPE'!$A$138:$M$159,AD$1,0)</f>
        <v>9333.6610999499972</v>
      </c>
      <c r="AE96" s="65">
        <f>VLOOKUP($I96,'[17]Resumen OPE'!$A$138:$M$159,AE$1,0)</f>
        <v>9644.7831366150003</v>
      </c>
      <c r="AF96" s="65">
        <f>VLOOKUP($I96,'[17]Resumen OPE'!$A$138:$M$159,AF$1,0)</f>
        <v>9644.7831366150003</v>
      </c>
      <c r="AG96" s="65">
        <f>VLOOKUP($I96,'[17]Resumen OPE'!$A$138:$M$159,AG$1,0)</f>
        <v>9333.6610999499972</v>
      </c>
      <c r="AH96" s="65">
        <f>VLOOKUP($I96,'[17]Resumen OPE'!$A$138:$M$159,AH$1,0)</f>
        <v>9644.7831366150003</v>
      </c>
      <c r="AI96" s="65">
        <f>VLOOKUP($I96,'[17]Resumen OPE'!$A$138:$M$159,AI$1,0)</f>
        <v>9333.6610999499972</v>
      </c>
      <c r="AJ96" s="65">
        <f>VLOOKUP($I96,'[17]Resumen OPE'!$A$138:$M$159,AJ$1,0)</f>
        <v>9644.7831366150003</v>
      </c>
      <c r="AK96" s="65">
        <f t="shared" si="58"/>
        <v>113559.54338272501</v>
      </c>
      <c r="AL96" s="73">
        <f t="shared" si="32"/>
        <v>9.0878531544934173E-4</v>
      </c>
      <c r="AM96" s="14">
        <f t="shared" si="33"/>
        <v>-1.3342203535741115E-3</v>
      </c>
      <c r="AN96" s="9"/>
    </row>
    <row r="97" spans="1:40" ht="14.45" hidden="1" customHeight="1" outlineLevel="1">
      <c r="A97" s="12" t="s">
        <v>195</v>
      </c>
      <c r="B97" s="8" t="s">
        <v>88</v>
      </c>
      <c r="I97" s="246" t="s">
        <v>201</v>
      </c>
      <c r="J97" s="65"/>
      <c r="K97" s="65"/>
      <c r="L97" s="65">
        <v>0</v>
      </c>
      <c r="M97" s="65"/>
      <c r="N97" s="65">
        <v>0</v>
      </c>
      <c r="O97" s="65"/>
      <c r="P97" s="65">
        <v>0</v>
      </c>
      <c r="Q97" s="65"/>
      <c r="R97" s="225"/>
      <c r="S97" s="225">
        <f t="shared" si="56"/>
        <v>0</v>
      </c>
      <c r="T97" s="225">
        <f t="shared" si="56"/>
        <v>0</v>
      </c>
      <c r="U97" s="225">
        <f t="shared" si="56"/>
        <v>0</v>
      </c>
      <c r="V97" s="65">
        <f t="shared" si="57"/>
        <v>0</v>
      </c>
      <c r="W97" s="73">
        <f t="shared" si="30"/>
        <v>0</v>
      </c>
      <c r="X97" s="89"/>
      <c r="Y97" s="65">
        <f>VLOOKUP($I97,'[17]Resumen OPE'!$A$138:$M$159,Y$1,0)</f>
        <v>0</v>
      </c>
      <c r="Z97" s="65">
        <f>VLOOKUP($I97,'[17]Resumen OPE'!$A$138:$M$159,Z$1,0)</f>
        <v>0</v>
      </c>
      <c r="AA97" s="65">
        <f>VLOOKUP($I97,'[17]Resumen OPE'!$A$138:$M$159,AA$1,0)</f>
        <v>0</v>
      </c>
      <c r="AB97" s="65">
        <f>VLOOKUP($I97,'[17]Resumen OPE'!$A$138:$M$159,AB$1,0)</f>
        <v>0</v>
      </c>
      <c r="AC97" s="65">
        <f>VLOOKUP($I97,'[17]Resumen OPE'!$A$138:$M$159,AC$1,0)</f>
        <v>0</v>
      </c>
      <c r="AD97" s="65">
        <f>VLOOKUP($I97,'[17]Resumen OPE'!$A$138:$M$159,AD$1,0)</f>
        <v>0</v>
      </c>
      <c r="AE97" s="65">
        <f>VLOOKUP($I97,'[17]Resumen OPE'!$A$138:$M$159,AE$1,0)</f>
        <v>0</v>
      </c>
      <c r="AF97" s="65">
        <f>VLOOKUP($I97,'[17]Resumen OPE'!$A$138:$M$159,AF$1,0)</f>
        <v>0</v>
      </c>
      <c r="AG97" s="65">
        <f>VLOOKUP($I97,'[17]Resumen OPE'!$A$138:$M$159,AG$1,0)</f>
        <v>0</v>
      </c>
      <c r="AH97" s="65">
        <f>VLOOKUP($I97,'[17]Resumen OPE'!$A$138:$M$159,AH$1,0)</f>
        <v>0</v>
      </c>
      <c r="AI97" s="65">
        <f>VLOOKUP($I97,'[17]Resumen OPE'!$A$138:$M$159,AI$1,0)</f>
        <v>0</v>
      </c>
      <c r="AJ97" s="65">
        <f>VLOOKUP($I97,'[17]Resumen OPE'!$A$138:$M$159,AJ$1,0)</f>
        <v>0</v>
      </c>
      <c r="AK97" s="65">
        <f t="shared" si="58"/>
        <v>0</v>
      </c>
      <c r="AL97" s="73">
        <f t="shared" si="32"/>
        <v>0</v>
      </c>
      <c r="AM97" s="14">
        <f t="shared" si="33"/>
        <v>0</v>
      </c>
      <c r="AN97" s="9"/>
    </row>
    <row r="98" spans="1:40" ht="14.45" hidden="1" customHeight="1" outlineLevel="1">
      <c r="A98" s="12" t="s">
        <v>195</v>
      </c>
      <c r="B98" s="8" t="s">
        <v>88</v>
      </c>
      <c r="I98" s="246" t="s">
        <v>202</v>
      </c>
      <c r="J98" s="65">
        <v>11144</v>
      </c>
      <c r="K98" s="65">
        <v>8727</v>
      </c>
      <c r="L98" s="65">
        <v>13502</v>
      </c>
      <c r="M98" s="65">
        <v>11034</v>
      </c>
      <c r="N98" s="65">
        <v>13108</v>
      </c>
      <c r="O98" s="65">
        <v>12503</v>
      </c>
      <c r="P98" s="65">
        <v>12335</v>
      </c>
      <c r="Q98" s="65">
        <v>14389</v>
      </c>
      <c r="R98" s="225">
        <v>14519</v>
      </c>
      <c r="S98" s="225">
        <f t="shared" si="56"/>
        <v>13747.666666666666</v>
      </c>
      <c r="T98" s="225">
        <f t="shared" si="56"/>
        <v>14218.555555555555</v>
      </c>
      <c r="U98" s="225">
        <f t="shared" si="56"/>
        <v>14161.740740740739</v>
      </c>
      <c r="V98" s="65">
        <f t="shared" si="57"/>
        <v>153388.96296296295</v>
      </c>
      <c r="W98" s="73">
        <f t="shared" si="30"/>
        <v>1.3126392936100928E-3</v>
      </c>
      <c r="X98" s="89"/>
      <c r="Y98" s="65">
        <f>VLOOKUP($I98,'[17]Resumen OPE'!$A$138:$M$159,Y$1,0)</f>
        <v>12472.192799999999</v>
      </c>
      <c r="Z98" s="65">
        <f>VLOOKUP($I98,'[17]Resumen OPE'!$A$138:$M$159,Z$1,0)</f>
        <v>11265.206399999999</v>
      </c>
      <c r="AA98" s="65">
        <f>VLOOKUP($I98,'[17]Resumen OPE'!$A$138:$M$159,AA$1,0)</f>
        <v>12472.192799999999</v>
      </c>
      <c r="AB98" s="65">
        <f>VLOOKUP($I98,'[17]Resumen OPE'!$A$138:$M$159,AB$1,0)</f>
        <v>12069.863999999998</v>
      </c>
      <c r="AC98" s="65">
        <f>VLOOKUP($I98,'[17]Resumen OPE'!$A$138:$M$159,AC$1,0)</f>
        <v>12472.192799999999</v>
      </c>
      <c r="AD98" s="65">
        <f>VLOOKUP($I98,'[17]Resumen OPE'!$A$138:$M$159,AD$1,0)</f>
        <v>12069.863999999998</v>
      </c>
      <c r="AE98" s="65">
        <f>VLOOKUP($I98,'[17]Resumen OPE'!$A$138:$M$159,AE$1,0)</f>
        <v>12472.192799999999</v>
      </c>
      <c r="AF98" s="65">
        <f>VLOOKUP($I98,'[17]Resumen OPE'!$A$138:$M$159,AF$1,0)</f>
        <v>12472.192799999999</v>
      </c>
      <c r="AG98" s="65">
        <f>VLOOKUP($I98,'[17]Resumen OPE'!$A$138:$M$159,AG$1,0)</f>
        <v>12069.863999999998</v>
      </c>
      <c r="AH98" s="65">
        <f>VLOOKUP($I98,'[17]Resumen OPE'!$A$138:$M$159,AH$1,0)</f>
        <v>12472.192799999999</v>
      </c>
      <c r="AI98" s="65">
        <f>VLOOKUP($I98,'[17]Resumen OPE'!$A$138:$M$159,AI$1,0)</f>
        <v>12069.863999999998</v>
      </c>
      <c r="AJ98" s="65">
        <f>VLOOKUP($I98,'[17]Resumen OPE'!$A$138:$M$159,AJ$1,0)</f>
        <v>12472.192799999999</v>
      </c>
      <c r="AK98" s="65">
        <f t="shared" si="58"/>
        <v>146850.01199999999</v>
      </c>
      <c r="AL98" s="73">
        <f t="shared" si="32"/>
        <v>1.1751996397993722E-3</v>
      </c>
      <c r="AM98" s="14">
        <f t="shared" si="33"/>
        <v>-4.2629866169326958E-2</v>
      </c>
      <c r="AN98" s="9"/>
    </row>
    <row r="99" spans="1:40" ht="14.45" hidden="1" customHeight="1" outlineLevel="1">
      <c r="A99" s="12" t="s">
        <v>215</v>
      </c>
      <c r="B99" s="8" t="s">
        <v>88</v>
      </c>
      <c r="I99" s="246" t="s">
        <v>203</v>
      </c>
      <c r="J99" s="65">
        <v>6737</v>
      </c>
      <c r="K99" s="65">
        <v>8074</v>
      </c>
      <c r="L99" s="65">
        <v>8592</v>
      </c>
      <c r="M99" s="65">
        <v>7177</v>
      </c>
      <c r="N99" s="65">
        <v>8454</v>
      </c>
      <c r="O99" s="65">
        <v>7293</v>
      </c>
      <c r="P99" s="65">
        <v>8323</v>
      </c>
      <c r="Q99" s="65">
        <v>10060</v>
      </c>
      <c r="R99" s="225">
        <v>7819</v>
      </c>
      <c r="S99" s="225">
        <f t="shared" si="56"/>
        <v>8734</v>
      </c>
      <c r="T99" s="225">
        <f t="shared" si="56"/>
        <v>8871</v>
      </c>
      <c r="U99" s="225">
        <f t="shared" si="56"/>
        <v>8474.6666666666661</v>
      </c>
      <c r="V99" s="65">
        <f t="shared" si="57"/>
        <v>98608.666666666672</v>
      </c>
      <c r="W99" s="73">
        <f t="shared" si="30"/>
        <v>8.4385217851965161E-4</v>
      </c>
      <c r="X99" s="89"/>
      <c r="Y99" s="65">
        <f>VLOOKUP($I99,'[17]Resumen OPE'!$A$138:$M$159,Y$1,0)</f>
        <v>6863.3813999999993</v>
      </c>
      <c r="Z99" s="65">
        <f>VLOOKUP($I99,'[17]Resumen OPE'!$A$138:$M$159,Z$1,0)</f>
        <v>6199.1831999999986</v>
      </c>
      <c r="AA99" s="65">
        <f>VLOOKUP($I99,'[17]Resumen OPE'!$A$138:$M$159,AA$1,0)</f>
        <v>6863.3813999999993</v>
      </c>
      <c r="AB99" s="65">
        <f>VLOOKUP($I99,'[17]Resumen OPE'!$A$138:$M$159,AB$1,0)</f>
        <v>6641.982</v>
      </c>
      <c r="AC99" s="65">
        <f>VLOOKUP($I99,'[17]Resumen OPE'!$A$138:$M$159,AC$1,0)</f>
        <v>6863.3813999999993</v>
      </c>
      <c r="AD99" s="65">
        <f>VLOOKUP($I99,'[17]Resumen OPE'!$A$138:$M$159,AD$1,0)</f>
        <v>6641.982</v>
      </c>
      <c r="AE99" s="65">
        <f>VLOOKUP($I99,'[17]Resumen OPE'!$A$138:$M$159,AE$1,0)</f>
        <v>6863.3813999999993</v>
      </c>
      <c r="AF99" s="65">
        <f>VLOOKUP($I99,'[17]Resumen OPE'!$A$138:$M$159,AF$1,0)</f>
        <v>6863.3813999999993</v>
      </c>
      <c r="AG99" s="65">
        <f>VLOOKUP($I99,'[17]Resumen OPE'!$A$138:$M$159,AG$1,0)</f>
        <v>6641.982</v>
      </c>
      <c r="AH99" s="65">
        <f>VLOOKUP($I99,'[17]Resumen OPE'!$A$138:$M$159,AH$1,0)</f>
        <v>6863.3813999999993</v>
      </c>
      <c r="AI99" s="65">
        <f>VLOOKUP($I99,'[17]Resumen OPE'!$A$138:$M$159,AI$1,0)</f>
        <v>6641.982</v>
      </c>
      <c r="AJ99" s="65">
        <f>VLOOKUP($I99,'[17]Resumen OPE'!$A$138:$M$159,AJ$1,0)</f>
        <v>6863.3813999999993</v>
      </c>
      <c r="AK99" s="65">
        <f t="shared" si="58"/>
        <v>80810.781000000003</v>
      </c>
      <c r="AL99" s="73">
        <f t="shared" si="32"/>
        <v>6.4670611482895866E-4</v>
      </c>
      <c r="AM99" s="14">
        <f t="shared" si="33"/>
        <v>-0.18049007524693572</v>
      </c>
      <c r="AN99" s="221"/>
    </row>
    <row r="100" spans="1:40" ht="15" hidden="1" customHeight="1" outlineLevel="1">
      <c r="A100" s="12" t="s">
        <v>215</v>
      </c>
      <c r="B100" s="8" t="s">
        <v>88</v>
      </c>
      <c r="I100" s="246" t="s">
        <v>204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225">
        <v>0</v>
      </c>
      <c r="S100" s="225">
        <f t="shared" si="56"/>
        <v>0</v>
      </c>
      <c r="T100" s="225">
        <f t="shared" si="56"/>
        <v>0</v>
      </c>
      <c r="U100" s="225">
        <f t="shared" si="56"/>
        <v>0</v>
      </c>
      <c r="V100" s="65">
        <f t="shared" si="57"/>
        <v>0</v>
      </c>
      <c r="W100" s="73">
        <f t="shared" si="30"/>
        <v>0</v>
      </c>
      <c r="X100" s="89"/>
      <c r="Y100" s="65">
        <f>VLOOKUP($I100,'[17]Resumen OPE'!$A$138:$M$159,Y$1,0)</f>
        <v>0</v>
      </c>
      <c r="Z100" s="65">
        <f>VLOOKUP($I100,'[17]Resumen OPE'!$A$138:$M$159,Z$1,0)</f>
        <v>0</v>
      </c>
      <c r="AA100" s="65">
        <f>VLOOKUP($I100,'[17]Resumen OPE'!$A$138:$M$159,AA$1,0)</f>
        <v>0</v>
      </c>
      <c r="AB100" s="65">
        <f>VLOOKUP($I100,'[17]Resumen OPE'!$A$138:$M$159,AB$1,0)</f>
        <v>0</v>
      </c>
      <c r="AC100" s="65">
        <f>VLOOKUP($I100,'[17]Resumen OPE'!$A$138:$M$159,AC$1,0)</f>
        <v>0</v>
      </c>
      <c r="AD100" s="65">
        <f>VLOOKUP($I100,'[17]Resumen OPE'!$A$138:$M$159,AD$1,0)</f>
        <v>0</v>
      </c>
      <c r="AE100" s="65">
        <f>VLOOKUP($I100,'[17]Resumen OPE'!$A$138:$M$159,AE$1,0)</f>
        <v>0</v>
      </c>
      <c r="AF100" s="65">
        <f>VLOOKUP($I100,'[17]Resumen OPE'!$A$138:$M$159,AF$1,0)</f>
        <v>0</v>
      </c>
      <c r="AG100" s="65">
        <f>VLOOKUP($I100,'[17]Resumen OPE'!$A$138:$M$159,AG$1,0)</f>
        <v>0</v>
      </c>
      <c r="AH100" s="65">
        <f>VLOOKUP($I100,'[17]Resumen OPE'!$A$138:$M$159,AH$1,0)</f>
        <v>0</v>
      </c>
      <c r="AI100" s="65">
        <f>VLOOKUP($I100,'[17]Resumen OPE'!$A$138:$M$159,AI$1,0)</f>
        <v>0</v>
      </c>
      <c r="AJ100" s="65">
        <f>VLOOKUP($I100,'[17]Resumen OPE'!$A$138:$M$159,AJ$1,0)</f>
        <v>0</v>
      </c>
      <c r="AK100" s="65">
        <f t="shared" si="58"/>
        <v>0</v>
      </c>
      <c r="AL100" s="73">
        <f t="shared" si="32"/>
        <v>0</v>
      </c>
      <c r="AM100" s="14">
        <f t="shared" si="33"/>
        <v>0</v>
      </c>
      <c r="AN100" s="9"/>
    </row>
    <row r="101" spans="1:40" ht="15" hidden="1" customHeight="1" outlineLevel="1">
      <c r="A101" s="12" t="s">
        <v>215</v>
      </c>
      <c r="B101" s="8" t="s">
        <v>88</v>
      </c>
      <c r="I101" s="246" t="s">
        <v>205</v>
      </c>
      <c r="J101" s="65">
        <v>4624</v>
      </c>
      <c r="K101" s="65">
        <v>4132</v>
      </c>
      <c r="L101" s="65">
        <v>4504</v>
      </c>
      <c r="M101" s="65">
        <v>4109</v>
      </c>
      <c r="N101" s="65">
        <v>3966</v>
      </c>
      <c r="O101" s="65">
        <v>4423</v>
      </c>
      <c r="P101" s="65">
        <v>4893</v>
      </c>
      <c r="Q101" s="65">
        <v>4669</v>
      </c>
      <c r="R101" s="225">
        <v>4486</v>
      </c>
      <c r="S101" s="225">
        <f t="shared" si="56"/>
        <v>4682.666666666667</v>
      </c>
      <c r="T101" s="225">
        <f t="shared" si="56"/>
        <v>4612.5555555555557</v>
      </c>
      <c r="U101" s="225">
        <f t="shared" si="56"/>
        <v>4593.7407407407409</v>
      </c>
      <c r="V101" s="65">
        <f t="shared" si="57"/>
        <v>53694.962962962964</v>
      </c>
      <c r="W101" s="73">
        <f t="shared" si="30"/>
        <v>4.5949928138664254E-4</v>
      </c>
      <c r="X101" s="89"/>
      <c r="Y101" s="65">
        <f>VLOOKUP($I101,'[17]Resumen OPE'!$A$138:$M$159,Y$1,0)</f>
        <v>4870.0393019999992</v>
      </c>
      <c r="Z101" s="65">
        <f>VLOOKUP($I101,'[17]Resumen OPE'!$A$138:$M$159,Z$1,0)</f>
        <v>4398.7451759999994</v>
      </c>
      <c r="AA101" s="65">
        <f>VLOOKUP($I101,'[17]Resumen OPE'!$A$138:$M$159,AA$1,0)</f>
        <v>4870.0393019999992</v>
      </c>
      <c r="AB101" s="65">
        <f>VLOOKUP($I101,'[17]Resumen OPE'!$A$138:$M$159,AB$1,0)</f>
        <v>4712.9412599999996</v>
      </c>
      <c r="AC101" s="65">
        <f>VLOOKUP($I101,'[17]Resumen OPE'!$A$138:$M$159,AC$1,0)</f>
        <v>4870.0393019999992</v>
      </c>
      <c r="AD101" s="65">
        <f>VLOOKUP($I101,'[17]Resumen OPE'!$A$138:$M$159,AD$1,0)</f>
        <v>4712.9412599999996</v>
      </c>
      <c r="AE101" s="65">
        <f>VLOOKUP($I101,'[17]Resumen OPE'!$A$138:$M$159,AE$1,0)</f>
        <v>4870.0393019999992</v>
      </c>
      <c r="AF101" s="65">
        <f>VLOOKUP($I101,'[17]Resumen OPE'!$A$138:$M$159,AF$1,0)</f>
        <v>4870.0393019999992</v>
      </c>
      <c r="AG101" s="65">
        <f>VLOOKUP($I101,'[17]Resumen OPE'!$A$138:$M$159,AG$1,0)</f>
        <v>4712.9412599999996</v>
      </c>
      <c r="AH101" s="65">
        <f>VLOOKUP($I101,'[17]Resumen OPE'!$A$138:$M$159,AH$1,0)</f>
        <v>4870.0393019999992</v>
      </c>
      <c r="AI101" s="65">
        <f>VLOOKUP($I101,'[17]Resumen OPE'!$A$138:$M$159,AI$1,0)</f>
        <v>4712.9412599999996</v>
      </c>
      <c r="AJ101" s="65">
        <f>VLOOKUP($I101,'[17]Resumen OPE'!$A$138:$M$159,AJ$1,0)</f>
        <v>4870.0393019999992</v>
      </c>
      <c r="AK101" s="65">
        <f t="shared" si="58"/>
        <v>57340.785329999984</v>
      </c>
      <c r="AL101" s="73">
        <f t="shared" si="32"/>
        <v>4.5888229321785221E-4</v>
      </c>
      <c r="AM101" s="14">
        <f t="shared" si="33"/>
        <v>6.7898777945927469E-2</v>
      </c>
      <c r="AN101" s="9"/>
    </row>
    <row r="102" spans="1:40" ht="15" hidden="1" customHeight="1" outlineLevel="1">
      <c r="A102" s="12"/>
      <c r="I102" s="246" t="s">
        <v>207</v>
      </c>
      <c r="J102" s="65">
        <v>1472</v>
      </c>
      <c r="K102" s="65">
        <v>1491</v>
      </c>
      <c r="L102" s="65">
        <v>1697</v>
      </c>
      <c r="M102" s="65">
        <v>1681</v>
      </c>
      <c r="N102" s="65">
        <v>1811</v>
      </c>
      <c r="O102" s="65">
        <v>1767</v>
      </c>
      <c r="P102" s="65">
        <v>1809</v>
      </c>
      <c r="Q102" s="65">
        <v>1844</v>
      </c>
      <c r="R102" s="225">
        <v>1710</v>
      </c>
      <c r="S102" s="225">
        <f t="shared" si="56"/>
        <v>1787.6666666666667</v>
      </c>
      <c r="T102" s="225">
        <f t="shared" si="56"/>
        <v>1780.5555555555557</v>
      </c>
      <c r="U102" s="225">
        <f t="shared" si="56"/>
        <v>1759.4074074074076</v>
      </c>
      <c r="V102" s="65">
        <f t="shared" ref="V102" si="59">SUM(J102:U102)</f>
        <v>20609.629629629631</v>
      </c>
      <c r="W102" s="73">
        <f t="shared" ref="W102" si="60">V102/V$6</f>
        <v>1.7636868491727696E-4</v>
      </c>
      <c r="X102" s="89"/>
      <c r="Y102" s="65">
        <f>VLOOKUP($I102,'[17]Resumen OPE'!$A$138:$M$159,Y$1,0)</f>
        <v>1590.3371483510275</v>
      </c>
      <c r="Z102" s="65">
        <f>VLOOKUP($I102,'[17]Resumen OPE'!$A$138:$M$159,Z$1,0)</f>
        <v>1436.4335533493152</v>
      </c>
      <c r="AA102" s="65">
        <f>VLOOKUP($I102,'[17]Resumen OPE'!$A$138:$M$159,AA$1,0)</f>
        <v>1590.3371483510275</v>
      </c>
      <c r="AB102" s="65">
        <f>VLOOKUP($I102,'[17]Resumen OPE'!$A$138:$M$159,AB$1,0)</f>
        <v>1539.0359500171232</v>
      </c>
      <c r="AC102" s="65">
        <f>VLOOKUP($I102,'[17]Resumen OPE'!$A$138:$M$159,AC$1,0)</f>
        <v>1590.3371483510275</v>
      </c>
      <c r="AD102" s="65">
        <f>VLOOKUP($I102,'[17]Resumen OPE'!$A$138:$M$159,AD$1,0)</f>
        <v>1539.0359500171232</v>
      </c>
      <c r="AE102" s="65">
        <f>VLOOKUP($I102,'[17]Resumen OPE'!$A$138:$M$159,AE$1,0)</f>
        <v>1590.3371483510275</v>
      </c>
      <c r="AF102" s="65">
        <f>VLOOKUP($I102,'[17]Resumen OPE'!$A$138:$M$159,AF$1,0)</f>
        <v>1590.3371483510275</v>
      </c>
      <c r="AG102" s="65">
        <f>VLOOKUP($I102,'[17]Resumen OPE'!$A$138:$M$159,AG$1,0)</f>
        <v>1539.0359500171232</v>
      </c>
      <c r="AH102" s="65">
        <f>VLOOKUP($I102,'[17]Resumen OPE'!$A$138:$M$159,AH$1,0)</f>
        <v>1590.3371483510275</v>
      </c>
      <c r="AI102" s="65">
        <f>VLOOKUP($I102,'[17]Resumen OPE'!$A$138:$M$159,AI$1,0)</f>
        <v>1539.0359500171232</v>
      </c>
      <c r="AJ102" s="65">
        <f>VLOOKUP($I102,'[17]Resumen OPE'!$A$138:$M$159,AJ$1,0)</f>
        <v>1590.3371483510275</v>
      </c>
      <c r="AK102" s="65">
        <f t="shared" ref="AK102:AK103" si="61">SUM(Y102:AJ102)</f>
        <v>18724.937391874999</v>
      </c>
      <c r="AL102" s="73">
        <f t="shared" ref="AL102:AL103" si="62">AK102/AK$6</f>
        <v>1.4985044521615223E-4</v>
      </c>
      <c r="AM102" s="14">
        <f t="shared" ref="AM102:AM103" si="63">IFERROR(AK102/V102-1,0)</f>
        <v>-9.1447166767377852E-2</v>
      </c>
      <c r="AN102" s="9"/>
    </row>
    <row r="103" spans="1:40" ht="15" hidden="1" customHeight="1" outlineLevel="1">
      <c r="A103" s="12" t="s">
        <v>215</v>
      </c>
      <c r="B103" s="8" t="s">
        <v>88</v>
      </c>
      <c r="I103" s="246" t="s">
        <v>208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225">
        <v>0</v>
      </c>
      <c r="S103" s="225">
        <f t="shared" si="56"/>
        <v>0</v>
      </c>
      <c r="T103" s="225">
        <f t="shared" si="56"/>
        <v>0</v>
      </c>
      <c r="U103" s="225">
        <f t="shared" si="56"/>
        <v>0</v>
      </c>
      <c r="V103" s="65">
        <f t="shared" si="57"/>
        <v>0</v>
      </c>
      <c r="W103" s="73">
        <f t="shared" si="30"/>
        <v>0</v>
      </c>
      <c r="X103" s="89"/>
      <c r="Y103" s="65">
        <f>VLOOKUP($I103,'[17]Resumen OPE'!$A$138:$M$159,Y$1,0)</f>
        <v>0</v>
      </c>
      <c r="Z103" s="65">
        <f>VLOOKUP($I103,'[17]Resumen OPE'!$A$138:$M$159,Z$1,0)</f>
        <v>0</v>
      </c>
      <c r="AA103" s="65">
        <f>VLOOKUP($I103,'[17]Resumen OPE'!$A$138:$M$159,AA$1,0)</f>
        <v>0</v>
      </c>
      <c r="AB103" s="65">
        <f>VLOOKUP($I103,'[17]Resumen OPE'!$A$138:$M$159,AB$1,0)</f>
        <v>0</v>
      </c>
      <c r="AC103" s="65">
        <f>VLOOKUP($I103,'[17]Resumen OPE'!$A$138:$M$159,AC$1,0)</f>
        <v>0</v>
      </c>
      <c r="AD103" s="65">
        <f>VLOOKUP($I103,'[17]Resumen OPE'!$A$138:$M$159,AD$1,0)</f>
        <v>0</v>
      </c>
      <c r="AE103" s="65">
        <f>VLOOKUP($I103,'[17]Resumen OPE'!$A$138:$M$159,AE$1,0)</f>
        <v>0</v>
      </c>
      <c r="AF103" s="65">
        <f>VLOOKUP($I103,'[17]Resumen OPE'!$A$138:$M$159,AF$1,0)</f>
        <v>0</v>
      </c>
      <c r="AG103" s="65">
        <f>VLOOKUP($I103,'[17]Resumen OPE'!$A$138:$M$159,AG$1,0)</f>
        <v>0</v>
      </c>
      <c r="AH103" s="65">
        <f>VLOOKUP($I103,'[17]Resumen OPE'!$A$138:$M$159,AH$1,0)</f>
        <v>0</v>
      </c>
      <c r="AI103" s="65">
        <f>VLOOKUP($I103,'[17]Resumen OPE'!$A$138:$M$159,AI$1,0)</f>
        <v>0</v>
      </c>
      <c r="AJ103" s="65">
        <f>VLOOKUP($I103,'[17]Resumen OPE'!$A$138:$M$159,AJ$1,0)</f>
        <v>0</v>
      </c>
      <c r="AK103" s="65">
        <f t="shared" si="61"/>
        <v>0</v>
      </c>
      <c r="AL103" s="73">
        <f t="shared" si="62"/>
        <v>0</v>
      </c>
      <c r="AM103" s="14">
        <f t="shared" si="63"/>
        <v>0</v>
      </c>
      <c r="AN103" s="9"/>
    </row>
    <row r="104" spans="1:40" ht="15" hidden="1" customHeight="1" outlineLevel="1">
      <c r="A104" s="12" t="s">
        <v>215</v>
      </c>
      <c r="B104" s="8" t="s">
        <v>88</v>
      </c>
      <c r="I104" s="246" t="s">
        <v>209</v>
      </c>
      <c r="J104" s="65"/>
      <c r="K104" s="65"/>
      <c r="L104" s="65">
        <v>0</v>
      </c>
      <c r="M104" s="65"/>
      <c r="N104" s="65"/>
      <c r="O104" s="65"/>
      <c r="P104" s="65"/>
      <c r="Q104" s="65"/>
      <c r="R104" s="225"/>
      <c r="S104" s="225"/>
      <c r="T104" s="225"/>
      <c r="U104" s="225"/>
      <c r="V104" s="65">
        <f t="shared" si="57"/>
        <v>0</v>
      </c>
      <c r="W104" s="73">
        <f t="shared" si="30"/>
        <v>0</v>
      </c>
      <c r="X104" s="89"/>
      <c r="Y104" s="65">
        <f>VLOOKUP($I104,'[17]Resumen OPE'!$A$138:$M$159,Y$1,0)</f>
        <v>0</v>
      </c>
      <c r="Z104" s="65">
        <f>VLOOKUP($I104,'[17]Resumen OPE'!$A$138:$M$159,Z$1,0)</f>
        <v>0</v>
      </c>
      <c r="AA104" s="65">
        <f>VLOOKUP($I104,'[17]Resumen OPE'!$A$138:$M$159,AA$1,0)</f>
        <v>0</v>
      </c>
      <c r="AB104" s="65">
        <f>VLOOKUP($I104,'[17]Resumen OPE'!$A$138:$M$159,AB$1,0)</f>
        <v>0</v>
      </c>
      <c r="AC104" s="65">
        <f>VLOOKUP($I104,'[17]Resumen OPE'!$A$138:$M$159,AC$1,0)</f>
        <v>0</v>
      </c>
      <c r="AD104" s="65">
        <f>VLOOKUP($I104,'[17]Resumen OPE'!$A$138:$M$159,AD$1,0)</f>
        <v>0</v>
      </c>
      <c r="AE104" s="65">
        <f>VLOOKUP($I104,'[17]Resumen OPE'!$A$138:$M$159,AE$1,0)</f>
        <v>0</v>
      </c>
      <c r="AF104" s="65">
        <f>VLOOKUP($I104,'[17]Resumen OPE'!$A$138:$M$159,AF$1,0)</f>
        <v>0</v>
      </c>
      <c r="AG104" s="65">
        <f>VLOOKUP($I104,'[17]Resumen OPE'!$A$138:$M$159,AG$1,0)</f>
        <v>0</v>
      </c>
      <c r="AH104" s="65">
        <f>VLOOKUP($I104,'[17]Resumen OPE'!$A$138:$M$159,AH$1,0)</f>
        <v>0</v>
      </c>
      <c r="AI104" s="65">
        <f>VLOOKUP($I104,'[17]Resumen OPE'!$A$138:$M$159,AI$1,0)</f>
        <v>0</v>
      </c>
      <c r="AJ104" s="65">
        <f>VLOOKUP($I104,'[17]Resumen OPE'!$A$138:$M$159,AJ$1,0)</f>
        <v>0</v>
      </c>
      <c r="AK104" s="65">
        <f t="shared" si="58"/>
        <v>0</v>
      </c>
      <c r="AL104" s="73">
        <f t="shared" si="32"/>
        <v>0</v>
      </c>
      <c r="AM104" s="14">
        <f t="shared" si="33"/>
        <v>0</v>
      </c>
      <c r="AN104" s="9"/>
    </row>
    <row r="105" spans="1:40" ht="14.45" hidden="1" customHeight="1" outlineLevel="1">
      <c r="A105" s="12" t="s">
        <v>221</v>
      </c>
      <c r="B105" s="8" t="s">
        <v>88</v>
      </c>
      <c r="C105" s="8" t="s">
        <v>222</v>
      </c>
      <c r="I105" s="246" t="s">
        <v>210</v>
      </c>
      <c r="J105" s="65">
        <v>0</v>
      </c>
      <c r="K105" s="65"/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225"/>
      <c r="S105" s="225">
        <f t="shared" si="56"/>
        <v>0</v>
      </c>
      <c r="T105" s="225">
        <f t="shared" si="56"/>
        <v>0</v>
      </c>
      <c r="U105" s="225">
        <f t="shared" si="56"/>
        <v>0</v>
      </c>
      <c r="V105" s="65">
        <f t="shared" si="57"/>
        <v>0</v>
      </c>
      <c r="W105" s="73">
        <f t="shared" si="30"/>
        <v>0</v>
      </c>
      <c r="X105" s="89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>
        <f t="shared" si="58"/>
        <v>0</v>
      </c>
      <c r="AL105" s="73">
        <f t="shared" si="32"/>
        <v>0</v>
      </c>
      <c r="AM105" s="14">
        <f t="shared" si="33"/>
        <v>0</v>
      </c>
      <c r="AN105" s="9"/>
    </row>
    <row r="106" spans="1:40" ht="14.45" hidden="1" customHeight="1" outlineLevel="1">
      <c r="A106" s="12" t="s">
        <v>221</v>
      </c>
      <c r="B106" s="8" t="s">
        <v>88</v>
      </c>
      <c r="I106" s="246" t="s">
        <v>211</v>
      </c>
      <c r="J106" s="65">
        <v>138490</v>
      </c>
      <c r="K106" s="65">
        <v>151540</v>
      </c>
      <c r="L106" s="65">
        <v>166866</v>
      </c>
      <c r="M106" s="65">
        <v>156284</v>
      </c>
      <c r="N106" s="65">
        <v>148968</v>
      </c>
      <c r="O106" s="65">
        <v>159562</v>
      </c>
      <c r="P106" s="65">
        <v>160779</v>
      </c>
      <c r="Q106" s="65">
        <v>171866</v>
      </c>
      <c r="R106" s="225">
        <v>158623</v>
      </c>
      <c r="S106" s="225">
        <f t="shared" si="56"/>
        <v>163756</v>
      </c>
      <c r="T106" s="225">
        <f t="shared" si="56"/>
        <v>164748.33333333334</v>
      </c>
      <c r="U106" s="225">
        <f t="shared" si="56"/>
        <v>162375.77777777778</v>
      </c>
      <c r="V106" s="65">
        <f t="shared" si="57"/>
        <v>1903858.111111111</v>
      </c>
      <c r="W106" s="73">
        <f t="shared" si="30"/>
        <v>1.6292430158134377E-2</v>
      </c>
      <c r="X106" s="89"/>
      <c r="Y106" s="65">
        <f>VLOOKUP($I106,'[17]Resumen OPE'!$A$138:$M$159,Y$1,0)</f>
        <v>178607.09512249997</v>
      </c>
      <c r="Z106" s="65">
        <f>VLOOKUP($I106,'[17]Resumen OPE'!$A$138:$M$159,Z$1,0)</f>
        <v>161322.53753</v>
      </c>
      <c r="AA106" s="65">
        <f>VLOOKUP($I106,'[17]Resumen OPE'!$A$138:$M$159,AA$1,0)</f>
        <v>178607.09512249997</v>
      </c>
      <c r="AB106" s="65">
        <f>VLOOKUP($I106,'[17]Resumen OPE'!$A$138:$M$159,AB$1,0)</f>
        <v>172845.57592499998</v>
      </c>
      <c r="AC106" s="65">
        <f>VLOOKUP($I106,'[17]Resumen OPE'!$A$138:$M$159,AC$1,0)</f>
        <v>178607.09512249997</v>
      </c>
      <c r="AD106" s="65">
        <f>VLOOKUP($I106,'[17]Resumen OPE'!$A$138:$M$159,AD$1,0)</f>
        <v>172845.57592499998</v>
      </c>
      <c r="AE106" s="65">
        <f>VLOOKUP($I106,'[17]Resumen OPE'!$A$138:$M$159,AE$1,0)</f>
        <v>178607.09512249997</v>
      </c>
      <c r="AF106" s="65">
        <f>VLOOKUP($I106,'[17]Resumen OPE'!$A$138:$M$159,AF$1,0)</f>
        <v>178607.09512249997</v>
      </c>
      <c r="AG106" s="65">
        <f>VLOOKUP($I106,'[17]Resumen OPE'!$A$138:$M$159,AG$1,0)</f>
        <v>172845.57592499998</v>
      </c>
      <c r="AH106" s="65">
        <f>VLOOKUP($I106,'[17]Resumen OPE'!$A$138:$M$159,AH$1,0)</f>
        <v>178607.09512249997</v>
      </c>
      <c r="AI106" s="65">
        <f>VLOOKUP($I106,'[17]Resumen OPE'!$A$138:$M$159,AI$1,0)</f>
        <v>172845.57592499998</v>
      </c>
      <c r="AJ106" s="65">
        <f>VLOOKUP($I106,'[17]Resumen OPE'!$A$138:$M$159,AJ$1,0)</f>
        <v>178607.09512249997</v>
      </c>
      <c r="AK106" s="65">
        <f t="shared" si="58"/>
        <v>2102954.5070874994</v>
      </c>
      <c r="AL106" s="73">
        <f t="shared" si="32"/>
        <v>1.6829357693506321E-2</v>
      </c>
      <c r="AM106" s="14">
        <f t="shared" si="33"/>
        <v>0.10457522796181151</v>
      </c>
      <c r="AN106" s="9"/>
    </row>
    <row r="107" spans="1:40" ht="14.45" hidden="1" customHeight="1" outlineLevel="1">
      <c r="A107" s="12"/>
      <c r="I107" s="246" t="s">
        <v>213</v>
      </c>
      <c r="J107" s="65">
        <v>4200</v>
      </c>
      <c r="K107" s="65">
        <v>3255</v>
      </c>
      <c r="L107" s="65">
        <v>6825</v>
      </c>
      <c r="M107" s="65">
        <v>5670</v>
      </c>
      <c r="N107" s="65">
        <v>9975</v>
      </c>
      <c r="O107" s="65">
        <v>5355</v>
      </c>
      <c r="P107" s="65">
        <v>6405</v>
      </c>
      <c r="Q107" s="65">
        <v>1470</v>
      </c>
      <c r="R107" s="225">
        <v>8715</v>
      </c>
      <c r="S107" s="225">
        <f t="shared" si="56"/>
        <v>5530</v>
      </c>
      <c r="T107" s="225">
        <f t="shared" si="56"/>
        <v>5238.333333333333</v>
      </c>
      <c r="U107" s="225">
        <f t="shared" si="56"/>
        <v>6494.4444444444443</v>
      </c>
      <c r="V107" s="65">
        <f t="shared" si="57"/>
        <v>69132.777777777781</v>
      </c>
      <c r="W107" s="73">
        <f t="shared" si="30"/>
        <v>5.9160971451014527E-4</v>
      </c>
      <c r="X107" s="89"/>
      <c r="Y107" s="65">
        <f>VLOOKUP($I107,'[17]Resumen OPE'!$A$138:$M$159,Y$1,0)</f>
        <v>0</v>
      </c>
      <c r="Z107" s="65">
        <f>VLOOKUP($I107,'[17]Resumen OPE'!$A$138:$M$159,Z$1,0)</f>
        <v>0</v>
      </c>
      <c r="AA107" s="65">
        <f>VLOOKUP($I107,'[17]Resumen OPE'!$A$138:$M$159,AA$1,0)</f>
        <v>0</v>
      </c>
      <c r="AB107" s="65">
        <f>VLOOKUP($I107,'[17]Resumen OPE'!$A$138:$M$159,AB$1,0)</f>
        <v>0</v>
      </c>
      <c r="AC107" s="65">
        <f>VLOOKUP($I107,'[17]Resumen OPE'!$A$138:$M$159,AC$1,0)</f>
        <v>0</v>
      </c>
      <c r="AD107" s="65">
        <f>VLOOKUP($I107,'[17]Resumen OPE'!$A$138:$M$159,AD$1,0)</f>
        <v>0</v>
      </c>
      <c r="AE107" s="65">
        <f>VLOOKUP($I107,'[17]Resumen OPE'!$A$138:$M$159,AE$1,0)</f>
        <v>0</v>
      </c>
      <c r="AF107" s="65">
        <f>VLOOKUP($I107,'[17]Resumen OPE'!$A$138:$M$159,AF$1,0)</f>
        <v>0</v>
      </c>
      <c r="AG107" s="65">
        <f>VLOOKUP($I107,'[17]Resumen OPE'!$A$138:$M$159,AG$1,0)</f>
        <v>0</v>
      </c>
      <c r="AH107" s="65">
        <f>VLOOKUP($I107,'[17]Resumen OPE'!$A$138:$M$159,AH$1,0)</f>
        <v>0</v>
      </c>
      <c r="AI107" s="65">
        <f>VLOOKUP($I107,'[17]Resumen OPE'!$A$138:$M$159,AI$1,0)</f>
        <v>0</v>
      </c>
      <c r="AJ107" s="65">
        <f>VLOOKUP($I107,'[17]Resumen OPE'!$A$138:$M$159,AJ$1,0)</f>
        <v>0</v>
      </c>
      <c r="AK107" s="65">
        <f t="shared" si="58"/>
        <v>0</v>
      </c>
      <c r="AL107" s="73">
        <f t="shared" si="32"/>
        <v>0</v>
      </c>
      <c r="AM107" s="14">
        <f t="shared" si="33"/>
        <v>-1</v>
      </c>
      <c r="AN107" s="9"/>
    </row>
    <row r="108" spans="1:40" ht="14.45" hidden="1" customHeight="1" outlineLevel="1">
      <c r="A108" s="12"/>
      <c r="I108" s="246" t="s">
        <v>214</v>
      </c>
      <c r="J108" s="65">
        <v>5887</v>
      </c>
      <c r="K108" s="65">
        <v>5964</v>
      </c>
      <c r="L108" s="65">
        <v>6789</v>
      </c>
      <c r="M108" s="65">
        <v>6722</v>
      </c>
      <c r="N108" s="65">
        <v>7242</v>
      </c>
      <c r="O108" s="65">
        <v>7069</v>
      </c>
      <c r="P108" s="65">
        <v>7236</v>
      </c>
      <c r="Q108" s="65">
        <v>7375</v>
      </c>
      <c r="R108" s="225">
        <v>6841</v>
      </c>
      <c r="S108" s="225">
        <f t="shared" si="56"/>
        <v>7150.666666666667</v>
      </c>
      <c r="T108" s="225">
        <f t="shared" si="56"/>
        <v>7122.2222222222226</v>
      </c>
      <c r="U108" s="225">
        <f t="shared" si="56"/>
        <v>7037.9629629629635</v>
      </c>
      <c r="V108" s="65">
        <f t="shared" si="57"/>
        <v>82435.851851851854</v>
      </c>
      <c r="W108" s="73">
        <f t="shared" si="30"/>
        <v>7.0545191943887731E-4</v>
      </c>
      <c r="X108" s="89"/>
      <c r="Y108" s="65">
        <f>VLOOKUP($I108,'[17]Resumen OPE'!$A$138:$M$159,Y$1,0)</f>
        <v>0</v>
      </c>
      <c r="Z108" s="65">
        <f>VLOOKUP($I108,'[17]Resumen OPE'!$A$138:$M$159,Z$1,0)</f>
        <v>0</v>
      </c>
      <c r="AA108" s="65">
        <f>VLOOKUP($I108,'[17]Resumen OPE'!$A$138:$M$159,AA$1,0)</f>
        <v>0</v>
      </c>
      <c r="AB108" s="65">
        <f>VLOOKUP($I108,'[17]Resumen OPE'!$A$138:$M$159,AB$1,0)</f>
        <v>0</v>
      </c>
      <c r="AC108" s="65">
        <f>VLOOKUP($I108,'[17]Resumen OPE'!$A$138:$M$159,AC$1,0)</f>
        <v>0</v>
      </c>
      <c r="AD108" s="65">
        <f>VLOOKUP($I108,'[17]Resumen OPE'!$A$138:$M$159,AD$1,0)</f>
        <v>0</v>
      </c>
      <c r="AE108" s="65">
        <f>VLOOKUP($I108,'[17]Resumen OPE'!$A$138:$M$159,AE$1,0)</f>
        <v>0</v>
      </c>
      <c r="AF108" s="65">
        <f>VLOOKUP($I108,'[17]Resumen OPE'!$A$138:$M$159,AF$1,0)</f>
        <v>0</v>
      </c>
      <c r="AG108" s="65">
        <f>VLOOKUP($I108,'[17]Resumen OPE'!$A$138:$M$159,AG$1,0)</f>
        <v>0</v>
      </c>
      <c r="AH108" s="65">
        <f>VLOOKUP($I108,'[17]Resumen OPE'!$A$138:$M$159,AH$1,0)</f>
        <v>0</v>
      </c>
      <c r="AI108" s="65">
        <f>VLOOKUP($I108,'[17]Resumen OPE'!$A$138:$M$159,AI$1,0)</f>
        <v>0</v>
      </c>
      <c r="AJ108" s="65">
        <f>VLOOKUP($I108,'[17]Resumen OPE'!$A$138:$M$159,AJ$1,0)</f>
        <v>0</v>
      </c>
      <c r="AK108" s="65">
        <f t="shared" si="58"/>
        <v>0</v>
      </c>
      <c r="AL108" s="73">
        <f t="shared" si="32"/>
        <v>0</v>
      </c>
      <c r="AM108" s="14">
        <f t="shared" si="33"/>
        <v>-1</v>
      </c>
      <c r="AN108" s="9"/>
    </row>
    <row r="109" spans="1:40" ht="14.45" customHeight="1" collapsed="1">
      <c r="A109" s="12"/>
      <c r="E109" s="7" t="s">
        <v>474</v>
      </c>
      <c r="I109" s="167" t="s">
        <v>216</v>
      </c>
      <c r="J109" s="15">
        <v>48434</v>
      </c>
      <c r="K109" s="15">
        <v>49712</v>
      </c>
      <c r="L109" s="15">
        <v>57794</v>
      </c>
      <c r="M109" s="15">
        <v>53273</v>
      </c>
      <c r="N109" s="15">
        <v>54750</v>
      </c>
      <c r="O109" s="15">
        <v>55571</v>
      </c>
      <c r="P109" s="15">
        <v>60941</v>
      </c>
      <c r="Q109" s="15">
        <v>62006</v>
      </c>
      <c r="R109" s="15">
        <v>55386</v>
      </c>
      <c r="S109" s="15">
        <f t="shared" ref="R109:U109" si="64">SUM(S110:S113)</f>
        <v>59445.000000000007</v>
      </c>
      <c r="T109" s="15">
        <f t="shared" si="64"/>
        <v>58946.333333333336</v>
      </c>
      <c r="U109" s="15">
        <f t="shared" si="64"/>
        <v>57926.111111111109</v>
      </c>
      <c r="V109" s="15">
        <f t="shared" ref="V109" si="65">SUM(V110:V113)</f>
        <v>674188.4444444445</v>
      </c>
      <c r="W109" s="72">
        <f t="shared" si="30"/>
        <v>5.7694258203527032E-3</v>
      </c>
      <c r="X109" s="89"/>
      <c r="Y109" s="15">
        <f>SUM(Y110:Y113)</f>
        <v>63695.290536796936</v>
      </c>
      <c r="Z109" s="15">
        <f t="shared" ref="Z109:AK109" si="66">SUM(Z110:Z113)</f>
        <v>58926.186993153824</v>
      </c>
      <c r="AA109" s="15">
        <f t="shared" si="66"/>
        <v>63695.290536796936</v>
      </c>
      <c r="AB109" s="15">
        <f t="shared" si="66"/>
        <v>60626.979802185248</v>
      </c>
      <c r="AC109" s="15">
        <f t="shared" si="66"/>
        <v>63695.290536796936</v>
      </c>
      <c r="AD109" s="15">
        <f t="shared" si="66"/>
        <v>60626.979802185248</v>
      </c>
      <c r="AE109" s="15">
        <f t="shared" si="66"/>
        <v>62216.680983399623</v>
      </c>
      <c r="AF109" s="15">
        <f t="shared" si="66"/>
        <v>62216.680983399623</v>
      </c>
      <c r="AG109" s="15">
        <f t="shared" si="66"/>
        <v>62105.58935558259</v>
      </c>
      <c r="AH109" s="15">
        <f t="shared" si="66"/>
        <v>62216.680983399623</v>
      </c>
      <c r="AI109" s="15">
        <f t="shared" si="66"/>
        <v>62105.58935558259</v>
      </c>
      <c r="AJ109" s="15">
        <f t="shared" si="66"/>
        <v>63695.290536796936</v>
      </c>
      <c r="AK109" s="15">
        <f t="shared" si="66"/>
        <v>745822.53040607623</v>
      </c>
      <c r="AL109" s="72">
        <f t="shared" si="32"/>
        <v>5.9686094481727191E-3</v>
      </c>
      <c r="AM109" s="10">
        <f t="shared" si="33"/>
        <v>0.10625231943964986</v>
      </c>
      <c r="AN109" s="9"/>
    </row>
    <row r="110" spans="1:40" ht="14.45" hidden="1" customHeight="1" outlineLevel="1">
      <c r="A110" s="12"/>
      <c r="I110" s="246" t="s">
        <v>217</v>
      </c>
      <c r="J110" s="65">
        <v>8990</v>
      </c>
      <c r="K110" s="65">
        <v>9189</v>
      </c>
      <c r="L110" s="65">
        <v>10595</v>
      </c>
      <c r="M110" s="65">
        <v>10073</v>
      </c>
      <c r="N110" s="65">
        <v>10563</v>
      </c>
      <c r="O110" s="65">
        <v>10030</v>
      </c>
      <c r="P110" s="65">
        <v>11439</v>
      </c>
      <c r="Q110" s="65">
        <v>11797</v>
      </c>
      <c r="R110" s="225">
        <v>10009</v>
      </c>
      <c r="S110" s="225">
        <f t="shared" ref="S110:S113" si="67">+AVERAGE(P110:R110)</f>
        <v>11081.666666666666</v>
      </c>
      <c r="T110" s="225">
        <f t="shared" ref="T110:T113" si="68">+AVERAGE(Q110:S110)</f>
        <v>10962.555555555555</v>
      </c>
      <c r="U110" s="225">
        <f t="shared" ref="U110:U113" si="69">+AVERAGE(R110:T110)</f>
        <v>10684.407407407407</v>
      </c>
      <c r="V110" s="65">
        <f t="shared" ref="V110:V113" si="70">SUM(J110:U110)</f>
        <v>125413.62962962962</v>
      </c>
      <c r="W110" s="73">
        <f t="shared" si="30"/>
        <v>1.0732379633198537E-3</v>
      </c>
      <c r="X110" s="89"/>
      <c r="Y110" s="65">
        <f>VLOOKUP($I110,'[17]Resumen OPE'!$A$138:$M$159,Y$1,0)</f>
        <v>11048.35206588125</v>
      </c>
      <c r="Z110" s="65">
        <f>VLOOKUP($I110,'[17]Resumen OPE'!$A$138:$M$159,Z$1,0)</f>
        <v>10106.826170975</v>
      </c>
      <c r="AA110" s="65">
        <f>VLOOKUP($I110,'[17]Resumen OPE'!$A$138:$M$159,AA$1,0)</f>
        <v>11048.35206588125</v>
      </c>
      <c r="AB110" s="65">
        <f>VLOOKUP($I110,'[17]Resumen OPE'!$A$138:$M$159,AB$1,0)</f>
        <v>10388.818949062499</v>
      </c>
      <c r="AC110" s="65">
        <f>VLOOKUP($I110,'[17]Resumen OPE'!$A$138:$M$159,AC$1,0)</f>
        <v>11048.35206588125</v>
      </c>
      <c r="AD110" s="65">
        <f>VLOOKUP($I110,'[17]Resumen OPE'!$A$138:$M$159,AD$1,0)</f>
        <v>10388.818949062499</v>
      </c>
      <c r="AE110" s="65">
        <f>VLOOKUP($I110,'[17]Resumen OPE'!$A$138:$M$159,AE$1,0)</f>
        <v>10702.66091403125</v>
      </c>
      <c r="AF110" s="65">
        <f>VLOOKUP($I110,'[17]Resumen OPE'!$A$138:$M$159,AF$1,0)</f>
        <v>10702.66091403125</v>
      </c>
      <c r="AG110" s="65">
        <f>VLOOKUP($I110,'[17]Resumen OPE'!$A$138:$M$159,AG$1,0)</f>
        <v>10734.510100912499</v>
      </c>
      <c r="AH110" s="65">
        <f>VLOOKUP($I110,'[17]Resumen OPE'!$A$138:$M$159,AH$1,0)</f>
        <v>10702.66091403125</v>
      </c>
      <c r="AI110" s="65">
        <f>VLOOKUP($I110,'[17]Resumen OPE'!$A$138:$M$159,AI$1,0)</f>
        <v>10734.510100912499</v>
      </c>
      <c r="AJ110" s="65">
        <f>VLOOKUP($I110,'[17]Resumen OPE'!$A$138:$M$159,AJ$1,0)</f>
        <v>11048.35206588125</v>
      </c>
      <c r="AK110" s="65">
        <f t="shared" si="58"/>
        <v>128654.87527654372</v>
      </c>
      <c r="AL110" s="73">
        <f t="shared" si="32"/>
        <v>1.0295890413916163E-3</v>
      </c>
      <c r="AM110" s="14">
        <f t="shared" si="33"/>
        <v>2.5844444949772338E-2</v>
      </c>
      <c r="AN110" s="9"/>
    </row>
    <row r="111" spans="1:40" ht="14.45" hidden="1" customHeight="1" outlineLevel="1">
      <c r="A111" s="12"/>
      <c r="I111" s="246" t="s">
        <v>218</v>
      </c>
      <c r="J111" s="65">
        <v>15139</v>
      </c>
      <c r="K111" s="65">
        <v>15351</v>
      </c>
      <c r="L111" s="65">
        <v>17792</v>
      </c>
      <c r="M111" s="65">
        <v>16706</v>
      </c>
      <c r="N111" s="65">
        <v>16704</v>
      </c>
      <c r="O111" s="65">
        <v>16925</v>
      </c>
      <c r="P111" s="65">
        <v>19235</v>
      </c>
      <c r="Q111" s="65">
        <v>19779</v>
      </c>
      <c r="R111" s="225">
        <v>16865</v>
      </c>
      <c r="S111" s="225">
        <f t="shared" si="67"/>
        <v>18626.333333333332</v>
      </c>
      <c r="T111" s="225">
        <f t="shared" si="68"/>
        <v>18423.444444444442</v>
      </c>
      <c r="U111" s="225">
        <f t="shared" si="69"/>
        <v>17971.592592592588</v>
      </c>
      <c r="V111" s="65">
        <f t="shared" si="70"/>
        <v>209517.37037037036</v>
      </c>
      <c r="W111" s="73">
        <f t="shared" si="30"/>
        <v>1.7929629859249601E-3</v>
      </c>
      <c r="X111" s="89"/>
      <c r="Y111" s="65">
        <f>VLOOKUP($I111,'[17]Resumen OPE'!$A$138:$M$159,Y$1,0)</f>
        <v>21020.594640545663</v>
      </c>
      <c r="Z111" s="65">
        <f>VLOOKUP($I111,'[17]Resumen OPE'!$A$138:$M$159,Z$1,0)</f>
        <v>19229.247472897034</v>
      </c>
      <c r="AA111" s="65">
        <f>VLOOKUP($I111,'[17]Resumen OPE'!$A$138:$M$159,AA$1,0)</f>
        <v>21020.594640545663</v>
      </c>
      <c r="AB111" s="65">
        <f>VLOOKUP($I111,'[17]Resumen OPE'!$A$138:$M$159,AB$1,0)</f>
        <v>19765.766932486313</v>
      </c>
      <c r="AC111" s="65">
        <f>VLOOKUP($I111,'[17]Resumen OPE'!$A$138:$M$159,AC$1,0)</f>
        <v>21020.594640545663</v>
      </c>
      <c r="AD111" s="65">
        <f>VLOOKUP($I111,'[17]Resumen OPE'!$A$138:$M$159,AD$1,0)</f>
        <v>19765.766932486313</v>
      </c>
      <c r="AE111" s="65">
        <f>VLOOKUP($I111,'[17]Resumen OPE'!$A$138:$M$159,AE$1,0)</f>
        <v>20362.882655035854</v>
      </c>
      <c r="AF111" s="65">
        <f>VLOOKUP($I111,'[17]Resumen OPE'!$A$138:$M$159,AF$1,0)</f>
        <v>20362.882655035854</v>
      </c>
      <c r="AG111" s="65">
        <f>VLOOKUP($I111,'[17]Resumen OPE'!$A$138:$M$159,AG$1,0)</f>
        <v>20423.478917996126</v>
      </c>
      <c r="AH111" s="65">
        <f>VLOOKUP($I111,'[17]Resumen OPE'!$A$138:$M$159,AH$1,0)</f>
        <v>20362.882655035854</v>
      </c>
      <c r="AI111" s="65">
        <f>VLOOKUP($I111,'[17]Resumen OPE'!$A$138:$M$159,AI$1,0)</f>
        <v>20423.478917996126</v>
      </c>
      <c r="AJ111" s="65">
        <f>VLOOKUP($I111,'[17]Resumen OPE'!$A$138:$M$159,AJ$1,0)</f>
        <v>21020.594640545663</v>
      </c>
      <c r="AK111" s="65">
        <f t="shared" si="58"/>
        <v>244778.76570115215</v>
      </c>
      <c r="AL111" s="73">
        <f t="shared" si="32"/>
        <v>1.9588961101516898E-3</v>
      </c>
      <c r="AM111" s="14">
        <f t="shared" si="33"/>
        <v>0.16829819536417978</v>
      </c>
      <c r="AN111" s="9"/>
    </row>
    <row r="112" spans="1:40" ht="14.45" hidden="1" customHeight="1" outlineLevel="1">
      <c r="A112" s="12"/>
      <c r="I112" s="246" t="s">
        <v>219</v>
      </c>
      <c r="J112" s="65">
        <v>17476</v>
      </c>
      <c r="K112" s="65">
        <v>18163</v>
      </c>
      <c r="L112" s="65">
        <v>20668</v>
      </c>
      <c r="M112" s="65">
        <v>19902</v>
      </c>
      <c r="N112" s="65">
        <v>19121</v>
      </c>
      <c r="O112" s="65">
        <v>20198</v>
      </c>
      <c r="P112" s="65">
        <v>21813</v>
      </c>
      <c r="Q112" s="65">
        <v>22291</v>
      </c>
      <c r="R112" s="225">
        <v>19447</v>
      </c>
      <c r="S112" s="225">
        <f t="shared" si="67"/>
        <v>21183.666666666668</v>
      </c>
      <c r="T112" s="225">
        <f t="shared" si="68"/>
        <v>20973.888888888891</v>
      </c>
      <c r="U112" s="225">
        <f t="shared" si="69"/>
        <v>20534.851851851854</v>
      </c>
      <c r="V112" s="65">
        <f t="shared" si="70"/>
        <v>241771.40740740742</v>
      </c>
      <c r="W112" s="73">
        <f t="shared" si="30"/>
        <v>2.0689796925676207E-3</v>
      </c>
      <c r="X112" s="89"/>
      <c r="Y112" s="65">
        <f>VLOOKUP($I112,'[17]Resumen OPE'!$A$138:$M$159,Y$1,0)</f>
        <v>22854.564815976049</v>
      </c>
      <c r="Z112" s="65">
        <f>VLOOKUP($I112,'[17]Resumen OPE'!$A$138:$M$159,Z$1,0)</f>
        <v>20818.334334887808</v>
      </c>
      <c r="AA112" s="65">
        <f>VLOOKUP($I112,'[17]Resumen OPE'!$A$138:$M$159,AA$1,0)</f>
        <v>22854.564815976049</v>
      </c>
      <c r="AB112" s="65">
        <f>VLOOKUP($I112,'[17]Resumen OPE'!$A$138:$M$159,AB$1,0)</f>
        <v>21700.614906242463</v>
      </c>
      <c r="AC112" s="65">
        <f>VLOOKUP($I112,'[17]Resumen OPE'!$A$138:$M$159,AC$1,0)</f>
        <v>22854.564815976049</v>
      </c>
      <c r="AD112" s="65">
        <f>VLOOKUP($I112,'[17]Resumen OPE'!$A$138:$M$159,AD$1,0)</f>
        <v>21700.614906242463</v>
      </c>
      <c r="AE112" s="65">
        <f>VLOOKUP($I112,'[17]Resumen OPE'!$A$138:$M$159,AE$1,0)</f>
        <v>22379.358399938545</v>
      </c>
      <c r="AF112" s="65">
        <f>VLOOKUP($I112,'[17]Resumen OPE'!$A$138:$M$159,AF$1,0)</f>
        <v>22379.358399938545</v>
      </c>
      <c r="AG112" s="65">
        <f>VLOOKUP($I112,'[17]Resumen OPE'!$A$138:$M$159,AG$1,0)</f>
        <v>22175.821322279979</v>
      </c>
      <c r="AH112" s="65">
        <f>VLOOKUP($I112,'[17]Resumen OPE'!$A$138:$M$159,AH$1,0)</f>
        <v>22379.358399938545</v>
      </c>
      <c r="AI112" s="65">
        <f>VLOOKUP($I112,'[17]Resumen OPE'!$A$138:$M$159,AI$1,0)</f>
        <v>22175.821322279979</v>
      </c>
      <c r="AJ112" s="65">
        <f>VLOOKUP($I112,'[17]Resumen OPE'!$A$138:$M$159,AJ$1,0)</f>
        <v>22854.564815976049</v>
      </c>
      <c r="AK112" s="65">
        <f t="shared" si="58"/>
        <v>267127.54125565256</v>
      </c>
      <c r="AL112" s="73">
        <f t="shared" si="32"/>
        <v>2.1377471202667308E-3</v>
      </c>
      <c r="AM112" s="14">
        <f t="shared" si="33"/>
        <v>0.10487647865455685</v>
      </c>
      <c r="AN112" s="9"/>
    </row>
    <row r="113" spans="1:40" ht="14.45" hidden="1" customHeight="1" outlineLevel="1">
      <c r="A113" s="12"/>
      <c r="I113" s="246" t="s">
        <v>220</v>
      </c>
      <c r="J113" s="65">
        <v>6830</v>
      </c>
      <c r="K113" s="65">
        <v>7009</v>
      </c>
      <c r="L113" s="65">
        <v>8739</v>
      </c>
      <c r="M113" s="65">
        <v>6593</v>
      </c>
      <c r="N113" s="65">
        <v>8362</v>
      </c>
      <c r="O113" s="65">
        <v>8418</v>
      </c>
      <c r="P113" s="65">
        <v>8454</v>
      </c>
      <c r="Q113" s="65">
        <v>8140</v>
      </c>
      <c r="R113" s="225">
        <v>9066</v>
      </c>
      <c r="S113" s="225">
        <f t="shared" si="67"/>
        <v>8553.3333333333339</v>
      </c>
      <c r="T113" s="225">
        <f t="shared" si="68"/>
        <v>8586.4444444444453</v>
      </c>
      <c r="U113" s="225">
        <f t="shared" si="69"/>
        <v>8735.2592592592609</v>
      </c>
      <c r="V113" s="65">
        <f t="shared" si="70"/>
        <v>97486.037037037036</v>
      </c>
      <c r="W113" s="73">
        <f t="shared" si="30"/>
        <v>8.3424517854026846E-4</v>
      </c>
      <c r="X113" s="89"/>
      <c r="Y113" s="65">
        <f>VLOOKUP($I113,'[17]Resumen OPE'!$A$138:$M$159,Y$1,0)</f>
        <v>8771.7790143939819</v>
      </c>
      <c r="Z113" s="65">
        <f>VLOOKUP($I113,'[17]Resumen OPE'!$A$138:$M$159,Z$1,0)</f>
        <v>8771.7790143939819</v>
      </c>
      <c r="AA113" s="65">
        <f>VLOOKUP($I113,'[17]Resumen OPE'!$A$138:$M$159,AA$1,0)</f>
        <v>8771.7790143939819</v>
      </c>
      <c r="AB113" s="65">
        <f>VLOOKUP($I113,'[17]Resumen OPE'!$A$138:$M$159,AB$1,0)</f>
        <v>8771.7790143939819</v>
      </c>
      <c r="AC113" s="65">
        <f>VLOOKUP($I113,'[17]Resumen OPE'!$A$138:$M$159,AC$1,0)</f>
        <v>8771.7790143939819</v>
      </c>
      <c r="AD113" s="65">
        <f>VLOOKUP($I113,'[17]Resumen OPE'!$A$138:$M$159,AD$1,0)</f>
        <v>8771.7790143939819</v>
      </c>
      <c r="AE113" s="65">
        <f>VLOOKUP($I113,'[17]Resumen OPE'!$A$138:$M$159,AE$1,0)</f>
        <v>8771.7790143939819</v>
      </c>
      <c r="AF113" s="65">
        <f>VLOOKUP($I113,'[17]Resumen OPE'!$A$138:$M$159,AF$1,0)</f>
        <v>8771.7790143939819</v>
      </c>
      <c r="AG113" s="65">
        <f>VLOOKUP($I113,'[17]Resumen OPE'!$A$138:$M$159,AG$1,0)</f>
        <v>8771.7790143939819</v>
      </c>
      <c r="AH113" s="65">
        <f>VLOOKUP($I113,'[17]Resumen OPE'!$A$138:$M$159,AH$1,0)</f>
        <v>8771.7790143939819</v>
      </c>
      <c r="AI113" s="65">
        <f>VLOOKUP($I113,'[17]Resumen OPE'!$A$138:$M$159,AI$1,0)</f>
        <v>8771.7790143939819</v>
      </c>
      <c r="AJ113" s="65">
        <f>VLOOKUP($I113,'[17]Resumen OPE'!$A$138:$M$159,AJ$1,0)</f>
        <v>8771.7790143939819</v>
      </c>
      <c r="AK113" s="65">
        <f t="shared" si="58"/>
        <v>105261.34817272775</v>
      </c>
      <c r="AL113" s="73">
        <f t="shared" si="32"/>
        <v>8.42377176362682E-4</v>
      </c>
      <c r="AM113" s="14">
        <f t="shared" si="33"/>
        <v>7.9758203041289999E-2</v>
      </c>
      <c r="AN113" s="9"/>
    </row>
    <row r="114" spans="1:40" ht="14.45" customHeight="1" collapsed="1">
      <c r="A114" s="12"/>
      <c r="I114" s="167" t="s">
        <v>223</v>
      </c>
      <c r="J114" s="15">
        <v>235309</v>
      </c>
      <c r="K114" s="15">
        <v>68937</v>
      </c>
      <c r="L114" s="15">
        <v>127433</v>
      </c>
      <c r="M114" s="15">
        <v>161870</v>
      </c>
      <c r="N114" s="15">
        <v>173975</v>
      </c>
      <c r="O114" s="15">
        <v>91993</v>
      </c>
      <c r="P114" s="15">
        <v>143898</v>
      </c>
      <c r="Q114" s="15">
        <v>173597</v>
      </c>
      <c r="R114" s="15">
        <v>67397</v>
      </c>
      <c r="S114" s="15">
        <v>136833.25221637913</v>
      </c>
      <c r="T114" s="15">
        <v>124751.53774777793</v>
      </c>
      <c r="U114" s="15">
        <v>132891.24582840275</v>
      </c>
      <c r="V114" s="15">
        <f t="shared" ref="V114" si="71">SUM(V115:V150)</f>
        <v>1638889.0357925599</v>
      </c>
      <c r="W114" s="72">
        <f t="shared" si="30"/>
        <v>1.4024934419613451E-2</v>
      </c>
      <c r="X114" s="89"/>
      <c r="Y114" s="15">
        <f>SUM(Y115:Y150)</f>
        <v>175711.466802076</v>
      </c>
      <c r="Z114" s="15">
        <f t="shared" ref="Z114:AK114" si="72">SUM(Z115:Z150)</f>
        <v>180325.26881408202</v>
      </c>
      <c r="AA114" s="15">
        <f t="shared" si="72"/>
        <v>162158.57996894425</v>
      </c>
      <c r="AB114" s="15">
        <f t="shared" si="72"/>
        <v>134524.96859249048</v>
      </c>
      <c r="AC114" s="15">
        <f t="shared" si="72"/>
        <v>148729.35524625931</v>
      </c>
      <c r="AD114" s="15">
        <f t="shared" si="72"/>
        <v>147439.80009050417</v>
      </c>
      <c r="AE114" s="15">
        <f t="shared" si="72"/>
        <v>180736.64713485044</v>
      </c>
      <c r="AF114" s="15">
        <f t="shared" si="72"/>
        <v>171397.71817078709</v>
      </c>
      <c r="AG114" s="15">
        <f t="shared" si="72"/>
        <v>155944.06272590798</v>
      </c>
      <c r="AH114" s="15">
        <f t="shared" si="72"/>
        <v>134379.83837563498</v>
      </c>
      <c r="AI114" s="15">
        <f t="shared" si="72"/>
        <v>142798.94807185701</v>
      </c>
      <c r="AJ114" s="15">
        <f t="shared" si="72"/>
        <v>134933.45661497215</v>
      </c>
      <c r="AK114" s="15">
        <f t="shared" si="72"/>
        <v>1869080.1106083659</v>
      </c>
      <c r="AL114" s="72">
        <f t="shared" si="32"/>
        <v>1.495772620531432E-2</v>
      </c>
      <c r="AM114" s="10">
        <f t="shared" si="33"/>
        <v>0.14045555848415736</v>
      </c>
      <c r="AN114" s="9"/>
    </row>
    <row r="115" spans="1:40" ht="14.45" hidden="1" customHeight="1" outlineLevel="1">
      <c r="A115" s="12"/>
      <c r="I115" s="246" t="s">
        <v>225</v>
      </c>
      <c r="J115" s="65">
        <v>0</v>
      </c>
      <c r="K115" s="65">
        <v>5896</v>
      </c>
      <c r="L115" s="65">
        <v>1310</v>
      </c>
      <c r="M115" s="65">
        <v>15001</v>
      </c>
      <c r="N115" s="65">
        <v>10069</v>
      </c>
      <c r="O115" s="65">
        <v>0</v>
      </c>
      <c r="P115" s="65">
        <v>3398</v>
      </c>
      <c r="Q115" s="65">
        <v>3300</v>
      </c>
      <c r="R115" s="65">
        <v>5878</v>
      </c>
      <c r="S115" s="65">
        <v>3762.7200000000003</v>
      </c>
      <c r="T115" s="65">
        <v>3762.7200000000003</v>
      </c>
      <c r="U115" s="65">
        <v>3762.7200000000003</v>
      </c>
      <c r="V115" s="65">
        <f t="shared" ref="V115:V150" si="73">SUM(J115:U115)</f>
        <v>56140.160000000003</v>
      </c>
      <c r="W115" s="73">
        <f t="shared" si="30"/>
        <v>4.8042426614065505E-4</v>
      </c>
      <c r="X115" s="89"/>
      <c r="Y115" s="65">
        <f>VLOOKUP($E$1,[18]Resumen!$V$8:$AI$14,Y1,0)+VLOOKUP($E$1,[6]Resumen!$C$32:$O$39,Y1,0)</f>
        <v>4047.3343999999997</v>
      </c>
      <c r="Z115" s="65">
        <f>VLOOKUP($E$1,[18]Resumen!$V$8:$AI$14,Z1,0)+VLOOKUP($E$1,[6]Resumen!$C$32:$O$39,Z1,0)</f>
        <v>4047.3343999999997</v>
      </c>
      <c r="AA115" s="65">
        <f>VLOOKUP($E$1,[18]Resumen!$V$8:$AI$14,AA1,0)+VLOOKUP($E$1,[6]Resumen!$C$32:$O$39,AA1,0)</f>
        <v>4047.3343999999997</v>
      </c>
      <c r="AB115" s="65">
        <f>VLOOKUP($E$1,[18]Resumen!$V$8:$AI$14,AB1,0)+VLOOKUP($E$1,[6]Resumen!$C$32:$O$39,AB1,0)</f>
        <v>4047.3343999999997</v>
      </c>
      <c r="AC115" s="65">
        <f>VLOOKUP($E$1,[18]Resumen!$V$8:$AI$14,AC1,0)+VLOOKUP($E$1,[6]Resumen!$C$32:$O$39,AC1,0)</f>
        <v>4047.3343999999997</v>
      </c>
      <c r="AD115" s="65">
        <f>VLOOKUP($E$1,[18]Resumen!$V$8:$AI$14,AD1,0)+VLOOKUP($E$1,[6]Resumen!$C$32:$O$39,AD1,0)</f>
        <v>4047.3343999999997</v>
      </c>
      <c r="AE115" s="65">
        <f>VLOOKUP($E$1,[18]Resumen!$V$8:$AI$14,AE1,0)+VLOOKUP($E$1,[6]Resumen!$C$32:$O$39,AE1,0)</f>
        <v>4047.3343999999997</v>
      </c>
      <c r="AF115" s="65">
        <f>VLOOKUP($E$1,[18]Resumen!$V$8:$AI$14,AF1,0)+VLOOKUP($E$1,[6]Resumen!$C$32:$O$39,AF1,0)</f>
        <v>4047.3343999999997</v>
      </c>
      <c r="AG115" s="65">
        <f>VLOOKUP($E$1,[18]Resumen!$V$8:$AI$14,AG1,0)+VLOOKUP($E$1,[6]Resumen!$C$32:$O$39,AG1,0)</f>
        <v>4047.3343999999997</v>
      </c>
      <c r="AH115" s="65">
        <f>VLOOKUP($E$1,[18]Resumen!$V$8:$AI$14,AH1,0)+VLOOKUP($E$1,[6]Resumen!$C$32:$O$39,AH1,0)</f>
        <v>4047.3343999999997</v>
      </c>
      <c r="AI115" s="65">
        <f>VLOOKUP($E$1,[18]Resumen!$V$8:$AI$14,AI1,0)+VLOOKUP($E$1,[6]Resumen!$C$32:$O$39,AI1,0)</f>
        <v>4047.3343999999997</v>
      </c>
      <c r="AJ115" s="65">
        <f>VLOOKUP($E$1,[18]Resumen!$V$8:$AI$14,AJ1,0)+VLOOKUP($E$1,[6]Resumen!$C$32:$O$39,AJ1,0)</f>
        <v>4047.3343999999997</v>
      </c>
      <c r="AK115" s="65">
        <f t="shared" si="58"/>
        <v>48568.012799999997</v>
      </c>
      <c r="AL115" s="73">
        <f t="shared" si="32"/>
        <v>3.8867624435966203E-4</v>
      </c>
      <c r="AM115" s="14">
        <f t="shared" si="33"/>
        <v>-0.13487933058972412</v>
      </c>
      <c r="AN115" s="9"/>
    </row>
    <row r="116" spans="1:40" ht="14.45" hidden="1" customHeight="1" outlineLevel="1">
      <c r="A116" s="12"/>
      <c r="I116" s="246" t="s">
        <v>227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/>
      <c r="T116" s="65"/>
      <c r="U116" s="65"/>
      <c r="V116" s="65">
        <f t="shared" si="73"/>
        <v>0</v>
      </c>
      <c r="W116" s="73">
        <f t="shared" si="30"/>
        <v>0</v>
      </c>
      <c r="X116" s="89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>
        <f t="shared" si="58"/>
        <v>0</v>
      </c>
      <c r="AL116" s="73">
        <f t="shared" si="32"/>
        <v>0</v>
      </c>
      <c r="AM116" s="14">
        <f t="shared" si="33"/>
        <v>0</v>
      </c>
      <c r="AN116" s="9"/>
    </row>
    <row r="117" spans="1:40" ht="14.45" hidden="1" customHeight="1" outlineLevel="1">
      <c r="A117" s="12"/>
      <c r="I117" s="246" t="s">
        <v>228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/>
      <c r="T117" s="65"/>
      <c r="U117" s="65"/>
      <c r="V117" s="65">
        <f t="shared" si="73"/>
        <v>0</v>
      </c>
      <c r="W117" s="73">
        <f t="shared" si="30"/>
        <v>0</v>
      </c>
      <c r="X117" s="89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>
        <f t="shared" si="58"/>
        <v>0</v>
      </c>
      <c r="AL117" s="73">
        <f t="shared" si="32"/>
        <v>0</v>
      </c>
      <c r="AM117" s="14">
        <f t="shared" si="33"/>
        <v>0</v>
      </c>
      <c r="AN117" s="9"/>
    </row>
    <row r="118" spans="1:40" ht="14.45" hidden="1" customHeight="1" outlineLevel="1">
      <c r="A118" s="12"/>
      <c r="I118" s="246" t="s">
        <v>229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15080</v>
      </c>
      <c r="S118" s="65">
        <v>0</v>
      </c>
      <c r="T118" s="65">
        <v>0</v>
      </c>
      <c r="U118" s="65">
        <v>0</v>
      </c>
      <c r="V118" s="65">
        <f t="shared" si="73"/>
        <v>15080</v>
      </c>
      <c r="W118" s="73">
        <f t="shared" si="30"/>
        <v>1.2904840195327333E-4</v>
      </c>
      <c r="X118" s="89"/>
      <c r="Y118" s="65">
        <f>VLOOKUP($E$1,[9]Resumen!$V$22:$AH$28,Y1,0)</f>
        <v>0</v>
      </c>
      <c r="Z118" s="65">
        <f>VLOOKUP($E$1,[9]Resumen!$V$22:$AH$28,Z1,0)</f>
        <v>36228.5</v>
      </c>
      <c r="AA118" s="65">
        <f>VLOOKUP($E$1,[9]Resumen!$V$22:$AH$28,AA1,0)</f>
        <v>0</v>
      </c>
      <c r="AB118" s="65">
        <f>VLOOKUP($E$1,[9]Resumen!$V$22:$AH$28,AB1,0)</f>
        <v>0</v>
      </c>
      <c r="AC118" s="65">
        <f>VLOOKUP($E$1,[9]Resumen!$V$22:$AH$28,AC1,0)</f>
        <v>0</v>
      </c>
      <c r="AD118" s="65">
        <f>VLOOKUP($E$1,[9]Resumen!$V$22:$AH$28,AD1,0)</f>
        <v>0</v>
      </c>
      <c r="AE118" s="65">
        <f>VLOOKUP($E$1,[9]Resumen!$V$22:$AH$28,AE1,0)</f>
        <v>0</v>
      </c>
      <c r="AF118" s="65">
        <f>VLOOKUP($E$1,[9]Resumen!$V$22:$AH$28,AF1,0)</f>
        <v>0</v>
      </c>
      <c r="AG118" s="65">
        <f>VLOOKUP($E$1,[9]Resumen!$V$22:$AH$28,AG1,0)</f>
        <v>0</v>
      </c>
      <c r="AH118" s="65">
        <f>VLOOKUP($E$1,[9]Resumen!$V$22:$AH$28,AH1,0)</f>
        <v>0</v>
      </c>
      <c r="AI118" s="65">
        <f>VLOOKUP($E$1,[9]Resumen!$V$22:$AH$28,AI1,0)</f>
        <v>0</v>
      </c>
      <c r="AJ118" s="65">
        <f>VLOOKUP($E$1,[9]Resumen!$V$22:$AH$28,AJ1,0)</f>
        <v>0</v>
      </c>
      <c r="AK118" s="65">
        <f t="shared" si="58"/>
        <v>36228.5</v>
      </c>
      <c r="AL118" s="73">
        <f t="shared" si="32"/>
        <v>2.8992656909331108E-4</v>
      </c>
      <c r="AM118" s="14">
        <f t="shared" si="33"/>
        <v>1.402420424403183</v>
      </c>
      <c r="AN118" s="9"/>
    </row>
    <row r="119" spans="1:40" ht="14.45" hidden="1" customHeight="1" outlineLevel="1">
      <c r="A119" s="12"/>
      <c r="I119" s="246" t="s">
        <v>231</v>
      </c>
      <c r="J119" s="65">
        <v>0</v>
      </c>
      <c r="K119" s="65">
        <v>3611</v>
      </c>
      <c r="L119" s="65">
        <v>0</v>
      </c>
      <c r="M119" s="65">
        <v>2200</v>
      </c>
      <c r="N119" s="65">
        <v>0</v>
      </c>
      <c r="O119" s="65">
        <v>0</v>
      </c>
      <c r="P119" s="65">
        <v>11314</v>
      </c>
      <c r="Q119" s="65">
        <v>6900</v>
      </c>
      <c r="R119" s="65">
        <v>0</v>
      </c>
      <c r="S119" s="65">
        <v>0</v>
      </c>
      <c r="T119" s="65">
        <v>0</v>
      </c>
      <c r="U119" s="65">
        <v>0</v>
      </c>
      <c r="V119" s="65">
        <f t="shared" si="73"/>
        <v>24025</v>
      </c>
      <c r="W119" s="73">
        <f t="shared" si="30"/>
        <v>2.0559601173258569E-4</v>
      </c>
      <c r="X119" s="89"/>
      <c r="Y119" s="65">
        <f>VLOOKUP($E$1,[9]Resumen!$V$34:$AH$40,Y1,0)</f>
        <v>0</v>
      </c>
      <c r="Z119" s="65">
        <f>VLOOKUP($E$1,[9]Resumen!$V$34:$AH$40,Z1,0)</f>
        <v>0</v>
      </c>
      <c r="AA119" s="65">
        <f>VLOOKUP($E$1,[9]Resumen!$V$34:$AH$40,AA1,0)</f>
        <v>0</v>
      </c>
      <c r="AB119" s="65">
        <f>VLOOKUP($E$1,[9]Resumen!$V$34:$AH$40,AB1,0)</f>
        <v>0</v>
      </c>
      <c r="AC119" s="65">
        <f>VLOOKUP($E$1,[9]Resumen!$V$34:$AH$40,AC1,0)</f>
        <v>0</v>
      </c>
      <c r="AD119" s="65">
        <f>VLOOKUP($E$1,[9]Resumen!$V$34:$AH$40,AD1,0)</f>
        <v>0</v>
      </c>
      <c r="AE119" s="65">
        <f>VLOOKUP($E$1,[9]Resumen!$V$34:$AH$40,AE1,0)</f>
        <v>22169.771799999999</v>
      </c>
      <c r="AF119" s="65">
        <f>VLOOKUP($E$1,[9]Resumen!$V$34:$AH$40,AF1,0)</f>
        <v>0</v>
      </c>
      <c r="AG119" s="65">
        <f>VLOOKUP($E$1,[9]Resumen!$V$34:$AH$40,AG1,0)</f>
        <v>0</v>
      </c>
      <c r="AH119" s="65">
        <f>VLOOKUP($E$1,[9]Resumen!$V$34:$AH$40,AH1,0)</f>
        <v>0</v>
      </c>
      <c r="AI119" s="65">
        <f>VLOOKUP($E$1,[9]Resumen!$V$34:$AH$40,AI1,0)</f>
        <v>0</v>
      </c>
      <c r="AJ119" s="65">
        <f>VLOOKUP($E$1,[9]Resumen!$V$34:$AH$40,AJ1,0)</f>
        <v>0</v>
      </c>
      <c r="AK119" s="65">
        <f t="shared" si="58"/>
        <v>22169.771799999999</v>
      </c>
      <c r="AL119" s="73">
        <f t="shared" si="32"/>
        <v>1.7741849305258676E-4</v>
      </c>
      <c r="AM119" s="14">
        <f t="shared" si="33"/>
        <v>-7.722073673257035E-2</v>
      </c>
      <c r="AN119" s="9"/>
    </row>
    <row r="120" spans="1:40" ht="14.45" hidden="1" customHeight="1" outlineLevel="1">
      <c r="A120" s="12"/>
      <c r="I120" s="246" t="s">
        <v>232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/>
      <c r="T120" s="65"/>
      <c r="U120" s="65"/>
      <c r="V120" s="65">
        <f t="shared" si="73"/>
        <v>0</v>
      </c>
      <c r="W120" s="73">
        <f t="shared" si="30"/>
        <v>0</v>
      </c>
      <c r="X120" s="89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>
        <f t="shared" si="58"/>
        <v>0</v>
      </c>
      <c r="AL120" s="73">
        <f t="shared" si="32"/>
        <v>0</v>
      </c>
      <c r="AM120" s="14">
        <f t="shared" si="33"/>
        <v>0</v>
      </c>
      <c r="AN120" s="9"/>
    </row>
    <row r="121" spans="1:40" ht="14.45" hidden="1" customHeight="1" outlineLevel="1">
      <c r="A121" s="12"/>
      <c r="E121" s="7" t="s">
        <v>254</v>
      </c>
      <c r="I121" s="246" t="s">
        <v>233</v>
      </c>
      <c r="J121" s="65">
        <v>37688</v>
      </c>
      <c r="K121" s="65">
        <v>0</v>
      </c>
      <c r="L121" s="65">
        <v>0</v>
      </c>
      <c r="M121" s="65">
        <v>2496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f t="shared" si="73"/>
        <v>40184</v>
      </c>
      <c r="W121" s="73">
        <f>V121/V$6</f>
        <v>3.4387804934286046E-4</v>
      </c>
      <c r="X121" s="89"/>
      <c r="Y121" s="65">
        <f>VLOOKUP($E$1,[8]Resumen!$V$68:$AH$74,Y1,0)</f>
        <v>39010.8488</v>
      </c>
      <c r="Z121" s="65">
        <f>VLOOKUP($E$1,[8]Resumen!$V$68:$AH$74,Z1,0)</f>
        <v>0</v>
      </c>
      <c r="AA121" s="65">
        <f>VLOOKUP($E$1,[8]Resumen!$V$68:$AH$74,AA1,0)</f>
        <v>0</v>
      </c>
      <c r="AB121" s="65">
        <f>VLOOKUP($E$1,[8]Resumen!$V$68:$AH$74,AB1,0)</f>
        <v>0</v>
      </c>
      <c r="AC121" s="65">
        <f>VLOOKUP($E$1,[8]Resumen!$V$68:$AH$74,AC1,0)</f>
        <v>0</v>
      </c>
      <c r="AD121" s="65">
        <f>VLOOKUP($E$1,[8]Resumen!$V$68:$AH$74,AD1,0)</f>
        <v>0</v>
      </c>
      <c r="AE121" s="65">
        <f>VLOOKUP($E$1,[8]Resumen!$V$68:$AH$74,AE1,0)</f>
        <v>0</v>
      </c>
      <c r="AF121" s="65">
        <f>VLOOKUP($E$1,[8]Resumen!$V$68:$AH$74,AF1,0)</f>
        <v>0</v>
      </c>
      <c r="AG121" s="65">
        <f>VLOOKUP($E$1,[8]Resumen!$V$68:$AH$74,AG1,0)</f>
        <v>0</v>
      </c>
      <c r="AH121" s="65">
        <f>VLOOKUP($E$1,[8]Resumen!$V$68:$AH$74,AH1,0)</f>
        <v>0</v>
      </c>
      <c r="AI121" s="65">
        <f>VLOOKUP($E$1,[8]Resumen!$V$68:$AH$74,AI1,0)</f>
        <v>0</v>
      </c>
      <c r="AJ121" s="65">
        <f>VLOOKUP($E$1,[8]Resumen!$V$68:$AH$74,AJ1,0)</f>
        <v>0</v>
      </c>
      <c r="AK121" s="65">
        <f t="shared" si="58"/>
        <v>39010.8488</v>
      </c>
      <c r="AL121" s="73">
        <f>AK121/AK$6</f>
        <v>3.1219292959967733E-4</v>
      </c>
      <c r="AM121" s="14">
        <f>IFERROR(AK121/V121-1,0)</f>
        <v>-2.9194485367310397E-2</v>
      </c>
      <c r="AN121" s="9"/>
    </row>
    <row r="122" spans="1:40" ht="14.45" hidden="1" customHeight="1" outlineLevel="1">
      <c r="A122" s="12"/>
      <c r="I122" s="246" t="s">
        <v>234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/>
      <c r="T122" s="65"/>
      <c r="U122" s="65"/>
      <c r="V122" s="65">
        <f t="shared" si="73"/>
        <v>0</v>
      </c>
      <c r="W122" s="73">
        <f>V122/V$6</f>
        <v>0</v>
      </c>
      <c r="X122" s="89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>
        <f t="shared" si="58"/>
        <v>0</v>
      </c>
      <c r="AL122" s="73">
        <f>AK122/AK$6</f>
        <v>0</v>
      </c>
      <c r="AM122" s="14">
        <f>IFERROR(AK122/V122-1,0)</f>
        <v>0</v>
      </c>
      <c r="AN122" s="9"/>
    </row>
    <row r="123" spans="1:40" ht="14.45" hidden="1" customHeight="1" outlineLevel="1">
      <c r="A123" s="12"/>
      <c r="I123" s="246" t="s">
        <v>235</v>
      </c>
      <c r="J123" s="65">
        <v>6100</v>
      </c>
      <c r="K123" s="65">
        <v>0</v>
      </c>
      <c r="L123" s="65"/>
      <c r="M123" s="65">
        <v>0</v>
      </c>
      <c r="N123" s="65"/>
      <c r="O123" s="65"/>
      <c r="P123" s="65"/>
      <c r="Q123" s="65"/>
      <c r="R123" s="65"/>
      <c r="S123" s="65">
        <v>0</v>
      </c>
      <c r="T123" s="65">
        <v>0</v>
      </c>
      <c r="U123" s="65">
        <v>0</v>
      </c>
      <c r="V123" s="65">
        <f t="shared" si="73"/>
        <v>6100</v>
      </c>
      <c r="W123" s="73">
        <f>V123/V$6</f>
        <v>5.2201276652186169E-5</v>
      </c>
      <c r="X123" s="89"/>
      <c r="Y123" s="65">
        <f>VLOOKUP($E$1,[9]Resumen!$V$46:$AH$52,Y1,0)</f>
        <v>0</v>
      </c>
      <c r="Z123" s="65">
        <f>VLOOKUP($E$1,[9]Resumen!$V$46:$AH$52,Z1,0)</f>
        <v>6314.11</v>
      </c>
      <c r="AA123" s="65">
        <f>VLOOKUP($E$1,[9]Resumen!$V$46:$AH$52,AA1,0)</f>
        <v>0</v>
      </c>
      <c r="AB123" s="65">
        <f>VLOOKUP($E$1,[9]Resumen!$V$46:$AH$52,AB1,0)</f>
        <v>0</v>
      </c>
      <c r="AC123" s="65">
        <f>VLOOKUP($E$1,[9]Resumen!$V$46:$AH$52,AC1,0)</f>
        <v>0</v>
      </c>
      <c r="AD123" s="65">
        <f>VLOOKUP($E$1,[9]Resumen!$V$46:$AH$52,AD1,0)</f>
        <v>0</v>
      </c>
      <c r="AE123" s="65">
        <f>VLOOKUP($E$1,[9]Resumen!$V$46:$AH$52,AE1,0)</f>
        <v>0</v>
      </c>
      <c r="AF123" s="65">
        <f>VLOOKUP($E$1,[9]Resumen!$V$46:$AH$52,AF1,0)</f>
        <v>0</v>
      </c>
      <c r="AG123" s="65">
        <f>VLOOKUP($E$1,[9]Resumen!$V$46:$AH$52,AG1,0)</f>
        <v>0</v>
      </c>
      <c r="AH123" s="65">
        <f>VLOOKUP($E$1,[9]Resumen!$V$46:$AH$52,AH1,0)</f>
        <v>0</v>
      </c>
      <c r="AI123" s="65">
        <f>VLOOKUP($E$1,[9]Resumen!$V$46:$AH$52,AI1,0)</f>
        <v>0</v>
      </c>
      <c r="AJ123" s="65">
        <f>VLOOKUP($E$1,[9]Resumen!$V$46:$AH$52,AJ1,0)</f>
        <v>0</v>
      </c>
      <c r="AK123" s="65">
        <f t="shared" si="58"/>
        <v>6314.11</v>
      </c>
      <c r="AL123" s="73">
        <f>AK123/AK$6</f>
        <v>5.0530059184834211E-5</v>
      </c>
      <c r="AM123" s="14">
        <f>IFERROR(AK123/V123-1,0)</f>
        <v>3.5099999999999909E-2</v>
      </c>
      <c r="AN123" s="9"/>
    </row>
    <row r="124" spans="1:40" ht="14.45" hidden="1" customHeight="1" outlineLevel="1">
      <c r="A124" s="12"/>
      <c r="I124" s="246" t="s">
        <v>236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/>
      <c r="T124" s="65"/>
      <c r="U124" s="65"/>
      <c r="V124" s="65">
        <f t="shared" si="73"/>
        <v>0</v>
      </c>
      <c r="W124" s="73">
        <f>V124/V$6</f>
        <v>0</v>
      </c>
      <c r="X124" s="89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>
        <f t="shared" si="58"/>
        <v>0</v>
      </c>
      <c r="AL124" s="73">
        <f>AK124/AK$6</f>
        <v>0</v>
      </c>
      <c r="AM124" s="14">
        <f>IFERROR(AK124/V124-1,0)</f>
        <v>0</v>
      </c>
      <c r="AN124" s="9"/>
    </row>
    <row r="125" spans="1:40" ht="14.45" hidden="1" customHeight="1" outlineLevel="1">
      <c r="A125" s="12"/>
      <c r="I125" s="246" t="s">
        <v>237</v>
      </c>
      <c r="J125" s="65">
        <v>19897</v>
      </c>
      <c r="K125" s="65">
        <v>36312</v>
      </c>
      <c r="L125" s="65">
        <v>37056</v>
      </c>
      <c r="M125" s="65">
        <v>16269</v>
      </c>
      <c r="N125" s="65">
        <v>43815</v>
      </c>
      <c r="O125" s="65">
        <v>4720</v>
      </c>
      <c r="P125" s="65">
        <v>14452</v>
      </c>
      <c r="Q125" s="65">
        <v>28236</v>
      </c>
      <c r="R125" s="65">
        <v>5726</v>
      </c>
      <c r="S125" s="65">
        <v>22053.8344</v>
      </c>
      <c r="T125" s="65">
        <v>20690.040800000002</v>
      </c>
      <c r="U125" s="65">
        <v>21269.653600000001</v>
      </c>
      <c r="V125" s="65">
        <f t="shared" ref="V125:V135" si="74">SUM(J125:U125)</f>
        <v>270496.52880000003</v>
      </c>
      <c r="W125" s="73">
        <f t="shared" ref="W125:W135" si="75">V125/V$6</f>
        <v>2.3147973989089909E-3</v>
      </c>
      <c r="X125" s="89"/>
      <c r="Y125" s="65">
        <f>VLOOKUP($E$1,[9]Resumen!$V$58:$AH$64,Y1,0)</f>
        <v>40082.437317119999</v>
      </c>
      <c r="Z125" s="65">
        <f>VLOOKUP($E$1,[9]Resumen!$V$58:$AH$64,Z1,0)</f>
        <v>28060.112129125995</v>
      </c>
      <c r="AA125" s="65">
        <f>VLOOKUP($E$1,[9]Resumen!$V$58:$AH$64,AA1,0)</f>
        <v>37539.257077310991</v>
      </c>
      <c r="AB125" s="65">
        <f>VLOOKUP($E$1,[9]Resumen!$V$58:$AH$64,AB1,0)</f>
        <v>30695.776204257996</v>
      </c>
      <c r="AC125" s="65">
        <f>VLOOKUP($E$1,[9]Resumen!$V$58:$AH$64,AC1,0)</f>
        <v>34533.675226533996</v>
      </c>
      <c r="AD125" s="65">
        <f>VLOOKUP($E$1,[9]Resumen!$V$58:$AH$64,AD1,0)</f>
        <v>30002.178197331999</v>
      </c>
      <c r="AE125" s="65">
        <f>VLOOKUP($E$1,[9]Resumen!$V$58:$AH$64,AE1,0)</f>
        <v>41007.233935117991</v>
      </c>
      <c r="AF125" s="65">
        <f>VLOOKUP($E$1,[9]Resumen!$V$58:$AH$64,AF1,0)</f>
        <v>28846.185173024998</v>
      </c>
      <c r="AG125" s="65">
        <f>VLOOKUP($E$1,[9]Resumen!$V$58:$AH$64,AG1,0)</f>
        <v>45053.211699077998</v>
      </c>
      <c r="AH125" s="65">
        <f>VLOOKUP($E$1,[9]Resumen!$V$58:$AH$64,AH1,0)</f>
        <v>30079.081283063999</v>
      </c>
      <c r="AI125" s="65">
        <f>VLOOKUP($E$1,[9]Resumen!$V$58:$AH$64,AI1,0)</f>
        <v>28265.108394764997</v>
      </c>
      <c r="AJ125" s="65">
        <f>VLOOKUP($E$1,[9]Resumen!$V$58:$AH$64,AJ1,0)</f>
        <v>28846.185173024998</v>
      </c>
      <c r="AK125" s="65">
        <f t="shared" si="58"/>
        <v>403010.44180975587</v>
      </c>
      <c r="AL125" s="73">
        <f t="shared" ref="AL125:AL135" si="76">AK125/AK$6</f>
        <v>3.2251800296087887E-3</v>
      </c>
      <c r="AM125" s="14">
        <f t="shared" ref="AM125:AM135" si="77">IFERROR(AK125/V125-1,0)</f>
        <v>0.48989136236840247</v>
      </c>
      <c r="AN125" s="9"/>
    </row>
    <row r="126" spans="1:40" ht="14.45" hidden="1" customHeight="1" outlineLevel="1">
      <c r="A126" s="12"/>
      <c r="I126" s="246" t="s">
        <v>238</v>
      </c>
      <c r="J126" s="65">
        <v>1622</v>
      </c>
      <c r="K126" s="65">
        <v>0</v>
      </c>
      <c r="L126" s="65">
        <v>431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1688.96</v>
      </c>
      <c r="V126" s="65">
        <f t="shared" si="74"/>
        <v>3741.96</v>
      </c>
      <c r="W126" s="73">
        <f t="shared" si="75"/>
        <v>3.2022145767445009E-5</v>
      </c>
      <c r="X126" s="89"/>
      <c r="Y126" s="65">
        <f>VLOOKUP($E$1,[9]Resumen!$V$70:$AH$76,Y1,0)</f>
        <v>1821.7759999999998</v>
      </c>
      <c r="Z126" s="65">
        <f>VLOOKUP($E$1,[9]Resumen!$V$70:$AH$76,Z1,0)</f>
        <v>0</v>
      </c>
      <c r="AA126" s="65">
        <f>VLOOKUP($E$1,[9]Resumen!$V$70:$AH$76,AA1,0)</f>
        <v>455.44399999999996</v>
      </c>
      <c r="AB126" s="65">
        <f>VLOOKUP($E$1,[9]Resumen!$V$70:$AH$76,AB1,0)</f>
        <v>0</v>
      </c>
      <c r="AC126" s="65">
        <f>VLOOKUP($E$1,[9]Resumen!$V$70:$AH$76,AC1,0)</f>
        <v>455.44399999999996</v>
      </c>
      <c r="AD126" s="65">
        <f>VLOOKUP($E$1,[9]Resumen!$V$70:$AH$76,AD1,0)</f>
        <v>0</v>
      </c>
      <c r="AE126" s="65">
        <f>VLOOKUP($E$1,[9]Resumen!$V$70:$AH$76,AE1,0)</f>
        <v>455.44399999999996</v>
      </c>
      <c r="AF126" s="65">
        <f>VLOOKUP($E$1,[9]Resumen!$V$70:$AH$76,AF1,0)</f>
        <v>455.44399999999996</v>
      </c>
      <c r="AG126" s="65">
        <f>VLOOKUP($E$1,[9]Resumen!$V$70:$AH$76,AG1,0)</f>
        <v>0</v>
      </c>
      <c r="AH126" s="65">
        <f>VLOOKUP($E$1,[9]Resumen!$V$70:$AH$76,AH1,0)</f>
        <v>0</v>
      </c>
      <c r="AI126" s="65">
        <f>VLOOKUP($E$1,[9]Resumen!$V$70:$AH$76,AI1,0)</f>
        <v>455.44399999999996</v>
      </c>
      <c r="AJ126" s="65">
        <f>VLOOKUP($E$1,[9]Resumen!$V$70:$AH$76,AJ1,0)</f>
        <v>0</v>
      </c>
      <c r="AK126" s="65">
        <f t="shared" si="58"/>
        <v>4098.9959999999992</v>
      </c>
      <c r="AL126" s="73">
        <f t="shared" si="76"/>
        <v>3.2803120388843186E-5</v>
      </c>
      <c r="AM126" s="14">
        <f t="shared" si="77"/>
        <v>9.5414167976140662E-2</v>
      </c>
      <c r="AN126" s="9"/>
    </row>
    <row r="127" spans="1:40" ht="14.45" hidden="1" customHeight="1" outlineLevel="1">
      <c r="A127" s="12"/>
      <c r="I127" s="250" t="s">
        <v>239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3499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f t="shared" si="74"/>
        <v>3499</v>
      </c>
      <c r="W127" s="73">
        <f t="shared" si="75"/>
        <v>2.9942994591147443E-5</v>
      </c>
      <c r="X127" s="89"/>
      <c r="Y127" s="65">
        <f>VLOOKUP($E$1,[8]Resumen!$V$80:$AH$86,Y1,0)</f>
        <v>0</v>
      </c>
      <c r="Z127" s="65">
        <f>VLOOKUP($E$1,[8]Resumen!$V$80:$AH$86,Z1,0)</f>
        <v>0</v>
      </c>
      <c r="AA127" s="65">
        <f>VLOOKUP($E$1,[8]Resumen!$V$80:$AH$86,AA1,0)</f>
        <v>0</v>
      </c>
      <c r="AB127" s="65">
        <f>VLOOKUP($E$1,[8]Resumen!$V$80:$AH$86,AB1,0)</f>
        <v>0</v>
      </c>
      <c r="AC127" s="65">
        <f>VLOOKUP($E$1,[8]Resumen!$V$80:$AH$86,AC1,0)</f>
        <v>0</v>
      </c>
      <c r="AD127" s="65">
        <f>VLOOKUP($E$1,[8]Resumen!$V$80:$AH$86,AD1,0)</f>
        <v>0</v>
      </c>
      <c r="AE127" s="65">
        <f>VLOOKUP($E$1,[8]Resumen!$V$80:$AH$86,AE1,0)</f>
        <v>4201.305284</v>
      </c>
      <c r="AF127" s="65">
        <f>VLOOKUP($E$1,[8]Resumen!$V$80:$AH$86,AF1,0)</f>
        <v>0</v>
      </c>
      <c r="AG127" s="65">
        <f>VLOOKUP($E$1,[8]Resumen!$V$80:$AH$86,AG1,0)</f>
        <v>0</v>
      </c>
      <c r="AH127" s="65">
        <f>VLOOKUP($E$1,[8]Resumen!$V$80:$AH$86,AH1,0)</f>
        <v>0</v>
      </c>
      <c r="AI127" s="65">
        <f>VLOOKUP($E$1,[8]Resumen!$V$80:$AH$86,AI1,0)</f>
        <v>0</v>
      </c>
      <c r="AJ127" s="65">
        <f>VLOOKUP($E$1,[8]Resumen!$V$80:$AH$86,AJ1,0)</f>
        <v>0</v>
      </c>
      <c r="AK127" s="65">
        <f t="shared" si="58"/>
        <v>4201.305284</v>
      </c>
      <c r="AL127" s="73">
        <f t="shared" si="76"/>
        <v>3.3621873019962707E-5</v>
      </c>
      <c r="AM127" s="14">
        <f t="shared" si="77"/>
        <v>0.20071600000000012</v>
      </c>
      <c r="AN127" s="9"/>
    </row>
    <row r="128" spans="1:40" ht="14.45" hidden="1" customHeight="1" outlineLevel="1">
      <c r="A128" s="12"/>
      <c r="I128" s="246" t="s">
        <v>240</v>
      </c>
      <c r="J128" s="65">
        <v>0</v>
      </c>
      <c r="K128" s="65">
        <v>0</v>
      </c>
      <c r="L128" s="65">
        <v>0</v>
      </c>
      <c r="M128" s="65">
        <v>4800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f t="shared" si="74"/>
        <v>4800</v>
      </c>
      <c r="W128" s="73">
        <f t="shared" si="75"/>
        <v>4.1076414414835013E-5</v>
      </c>
      <c r="X128" s="89"/>
      <c r="Y128" s="65">
        <f>VLOOKUP($E$1,[6]Resumen!$C$45:$O$51,Y1,0)+VLOOKUP($E$1,[9]Resumen!$V$82:$AH$88,Y1,0)</f>
        <v>0</v>
      </c>
      <c r="Z128" s="65">
        <f>VLOOKUP($E$1,[6]Resumen!$C$45:$O$51,Z1,0)+VLOOKUP($E$1,[9]Resumen!$V$82:$AH$88,Z1,0)</f>
        <v>5175.5</v>
      </c>
      <c r="AA128" s="65">
        <f>VLOOKUP($E$1,[6]Resumen!$C$45:$O$51,AA1,0)+VLOOKUP($E$1,[9]Resumen!$V$82:$AH$88,AA1,0)</f>
        <v>0</v>
      </c>
      <c r="AB128" s="65">
        <f>VLOOKUP($E$1,[6]Resumen!$C$45:$O$51,AB1,0)+VLOOKUP($E$1,[9]Resumen!$V$82:$AH$88,AB1,0)</f>
        <v>0</v>
      </c>
      <c r="AC128" s="65">
        <f>VLOOKUP($E$1,[6]Resumen!$C$45:$O$51,AC1,0)+VLOOKUP($E$1,[9]Resumen!$V$82:$AH$88,AC1,0)</f>
        <v>0</v>
      </c>
      <c r="AD128" s="65">
        <f>VLOOKUP($E$1,[6]Resumen!$C$45:$O$51,AD1,0)+VLOOKUP($E$1,[9]Resumen!$V$82:$AH$88,AD1,0)</f>
        <v>0</v>
      </c>
      <c r="AE128" s="65">
        <f>VLOOKUP($E$1,[6]Resumen!$C$45:$O$51,AE1,0)+VLOOKUP($E$1,[9]Resumen!$V$82:$AH$88,AE1,0)</f>
        <v>0</v>
      </c>
      <c r="AF128" s="65">
        <f>VLOOKUP($E$1,[6]Resumen!$C$45:$O$51,AF1,0)+VLOOKUP($E$1,[9]Resumen!$V$82:$AH$88,AF1,0)</f>
        <v>5175.5</v>
      </c>
      <c r="AG128" s="65">
        <f>VLOOKUP($E$1,[6]Resumen!$C$45:$O$51,AG1,0)+VLOOKUP($E$1,[9]Resumen!$V$82:$AH$88,AG1,0)</f>
        <v>0</v>
      </c>
      <c r="AH128" s="65">
        <f>VLOOKUP($E$1,[6]Resumen!$C$45:$O$51,AH1,0)+VLOOKUP($E$1,[9]Resumen!$V$82:$AH$88,AH1,0)</f>
        <v>0</v>
      </c>
      <c r="AI128" s="65">
        <f>VLOOKUP($E$1,[6]Resumen!$C$45:$O$51,AI1,0)+VLOOKUP($E$1,[9]Resumen!$V$82:$AH$88,AI1,0)</f>
        <v>0</v>
      </c>
      <c r="AJ128" s="65">
        <f>VLOOKUP($E$1,[6]Resumen!$C$45:$O$51,AJ1,0)+VLOOKUP($E$1,[9]Resumen!$V$82:$AH$88,AJ1,0)</f>
        <v>0</v>
      </c>
      <c r="AK128" s="65">
        <f t="shared" si="58"/>
        <v>10351</v>
      </c>
      <c r="AL128" s="73">
        <f t="shared" si="76"/>
        <v>8.2836162598088874E-5</v>
      </c>
      <c r="AM128" s="14">
        <f t="shared" si="77"/>
        <v>1.1564583333333331</v>
      </c>
      <c r="AN128" s="9"/>
    </row>
    <row r="129" spans="1:40" ht="14.45" hidden="1" customHeight="1" outlineLevel="1">
      <c r="A129" s="12"/>
      <c r="I129" s="246" t="s">
        <v>241</v>
      </c>
      <c r="J129" s="65">
        <v>0</v>
      </c>
      <c r="K129" s="65">
        <v>0</v>
      </c>
      <c r="L129" s="65">
        <v>0</v>
      </c>
      <c r="M129" s="65">
        <v>7400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f t="shared" si="74"/>
        <v>7400</v>
      </c>
      <c r="W129" s="73">
        <f t="shared" si="75"/>
        <v>6.3326138889537319E-5</v>
      </c>
      <c r="X129" s="89"/>
      <c r="Y129" s="65">
        <f>VLOOKUP($E$1,[9]Resumen!$V$94:$AH$100,Y1,0)</f>
        <v>0</v>
      </c>
      <c r="Z129" s="65">
        <f>VLOOKUP($E$1,[9]Resumen!$V$94:$AH$100,Z1,0)</f>
        <v>0</v>
      </c>
      <c r="AA129" s="65">
        <f>VLOOKUP($E$1,[9]Resumen!$V$94:$AH$100,AA1,0)</f>
        <v>0</v>
      </c>
      <c r="AB129" s="65">
        <f>VLOOKUP($E$1,[9]Resumen!$V$94:$AH$100,AB1,0)</f>
        <v>0</v>
      </c>
      <c r="AC129" s="65">
        <f>VLOOKUP($E$1,[9]Resumen!$V$94:$AH$100,AC1,0)</f>
        <v>0</v>
      </c>
      <c r="AD129" s="65">
        <f>VLOOKUP($E$1,[9]Resumen!$V$94:$AH$100,AD1,0)</f>
        <v>0</v>
      </c>
      <c r="AE129" s="65">
        <f>VLOOKUP($E$1,[9]Resumen!$V$94:$AH$100,AE1,0)</f>
        <v>0</v>
      </c>
      <c r="AF129" s="65">
        <f>VLOOKUP($E$1,[9]Resumen!$V$94:$AH$100,AF1,0)</f>
        <v>0</v>
      </c>
      <c r="AG129" s="65">
        <f>VLOOKUP($E$1,[9]Resumen!$V$94:$AH$100,AG1,0)</f>
        <v>0</v>
      </c>
      <c r="AH129" s="65">
        <f>VLOOKUP($E$1,[9]Resumen!$V$94:$AH$100,AH1,0)</f>
        <v>0</v>
      </c>
      <c r="AI129" s="65">
        <f>VLOOKUP($E$1,[9]Resumen!$V$94:$AH$100,AI1,0)</f>
        <v>0</v>
      </c>
      <c r="AJ129" s="65">
        <f>VLOOKUP($E$1,[9]Resumen!$V$94:$AH$100,AJ1,0)</f>
        <v>0</v>
      </c>
      <c r="AK129" s="65">
        <f t="shared" si="58"/>
        <v>0</v>
      </c>
      <c r="AL129" s="73">
        <f t="shared" si="76"/>
        <v>0</v>
      </c>
      <c r="AM129" s="14">
        <f t="shared" si="77"/>
        <v>-1</v>
      </c>
      <c r="AN129" s="9"/>
    </row>
    <row r="130" spans="1:40" ht="14.45" hidden="1" customHeight="1" outlineLevel="1">
      <c r="A130" s="12" t="s">
        <v>263</v>
      </c>
      <c r="B130" s="8" t="s">
        <v>88</v>
      </c>
      <c r="I130" s="246" t="s">
        <v>242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/>
      <c r="T130" s="65"/>
      <c r="U130" s="65"/>
      <c r="V130" s="65">
        <f t="shared" si="74"/>
        <v>0</v>
      </c>
      <c r="W130" s="73">
        <f t="shared" si="75"/>
        <v>0</v>
      </c>
      <c r="X130" s="89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>
        <f t="shared" si="58"/>
        <v>0</v>
      </c>
      <c r="AL130" s="73">
        <f t="shared" si="76"/>
        <v>0</v>
      </c>
      <c r="AM130" s="14">
        <f t="shared" si="77"/>
        <v>0</v>
      </c>
      <c r="AN130" s="9"/>
    </row>
    <row r="131" spans="1:40" ht="14.45" hidden="1" customHeight="1" outlineLevel="1">
      <c r="A131" s="12" t="s">
        <v>263</v>
      </c>
      <c r="B131" s="8" t="s">
        <v>88</v>
      </c>
      <c r="I131" s="246" t="s">
        <v>243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f t="shared" si="74"/>
        <v>0</v>
      </c>
      <c r="W131" s="73">
        <f t="shared" si="75"/>
        <v>0</v>
      </c>
      <c r="X131" s="89"/>
      <c r="Y131" s="65">
        <f>VLOOKUP($E$1,[9]Resumen!$V$106:$AH$112,Y1,0)</f>
        <v>0</v>
      </c>
      <c r="Z131" s="65">
        <f>VLOOKUP($E$1,[9]Resumen!$V$106:$AH$112,Z1,0)</f>
        <v>0</v>
      </c>
      <c r="AA131" s="65">
        <f>VLOOKUP($E$1,[9]Resumen!$V$106:$AH$112,AA1,0)</f>
        <v>0</v>
      </c>
      <c r="AB131" s="65">
        <f>VLOOKUP($E$1,[9]Resumen!$V$106:$AH$112,AB1,0)</f>
        <v>0</v>
      </c>
      <c r="AC131" s="65">
        <f>VLOOKUP($E$1,[9]Resumen!$V$106:$AH$112,AC1,0)</f>
        <v>0</v>
      </c>
      <c r="AD131" s="65">
        <f>VLOOKUP($E$1,[9]Resumen!$V$106:$AH$112,AD1,0)</f>
        <v>0</v>
      </c>
      <c r="AE131" s="65">
        <f>VLOOKUP($E$1,[9]Resumen!$V$106:$AH$112,AE1,0)</f>
        <v>0</v>
      </c>
      <c r="AF131" s="65">
        <f>VLOOKUP($E$1,[9]Resumen!$V$106:$AH$112,AF1,0)</f>
        <v>0</v>
      </c>
      <c r="AG131" s="65">
        <f>VLOOKUP($E$1,[9]Resumen!$V$106:$AH$112,AG1,0)</f>
        <v>0</v>
      </c>
      <c r="AH131" s="65">
        <f>VLOOKUP($E$1,[9]Resumen!$V$106:$AH$112,AH1,0)</f>
        <v>0</v>
      </c>
      <c r="AI131" s="65">
        <f>VLOOKUP($E$1,[9]Resumen!$V$106:$AH$112,AI1,0)</f>
        <v>0</v>
      </c>
      <c r="AJ131" s="65">
        <f>VLOOKUP($E$1,[9]Resumen!$V$106:$AH$112,AJ1,0)</f>
        <v>0</v>
      </c>
      <c r="AK131" s="65">
        <f t="shared" si="58"/>
        <v>0</v>
      </c>
      <c r="AL131" s="73">
        <f t="shared" si="76"/>
        <v>0</v>
      </c>
      <c r="AM131" s="14">
        <f t="shared" si="77"/>
        <v>0</v>
      </c>
      <c r="AN131" s="9"/>
    </row>
    <row r="132" spans="1:40" ht="14.45" hidden="1" customHeight="1" outlineLevel="1">
      <c r="A132" s="12" t="s">
        <v>263</v>
      </c>
      <c r="B132" s="8" t="s">
        <v>88</v>
      </c>
      <c r="I132" s="246" t="s">
        <v>244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/>
      <c r="T132" s="65"/>
      <c r="U132" s="65"/>
      <c r="V132" s="65">
        <f t="shared" si="74"/>
        <v>0</v>
      </c>
      <c r="W132" s="73">
        <f t="shared" si="75"/>
        <v>0</v>
      </c>
      <c r="X132" s="89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>
        <f t="shared" si="58"/>
        <v>0</v>
      </c>
      <c r="AL132" s="73">
        <f t="shared" si="76"/>
        <v>0</v>
      </c>
      <c r="AM132" s="14">
        <f t="shared" si="77"/>
        <v>0</v>
      </c>
      <c r="AN132" s="9"/>
    </row>
    <row r="133" spans="1:40" ht="14.45" hidden="1" customHeight="1" outlineLevel="1">
      <c r="A133" s="12" t="s">
        <v>263</v>
      </c>
      <c r="B133" s="8" t="s">
        <v>88</v>
      </c>
      <c r="I133" s="246" t="s">
        <v>245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/>
      <c r="T133" s="65"/>
      <c r="U133" s="65"/>
      <c r="V133" s="65">
        <f t="shared" si="74"/>
        <v>0</v>
      </c>
      <c r="W133" s="73">
        <f t="shared" si="75"/>
        <v>0</v>
      </c>
      <c r="X133" s="89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>
        <f t="shared" si="58"/>
        <v>0</v>
      </c>
      <c r="AL133" s="73">
        <f t="shared" si="76"/>
        <v>0</v>
      </c>
      <c r="AM133" s="14">
        <f t="shared" si="77"/>
        <v>0</v>
      </c>
      <c r="AN133" s="9"/>
    </row>
    <row r="134" spans="1:40" ht="14.45" hidden="1" customHeight="1" outlineLevel="1">
      <c r="A134" s="12" t="s">
        <v>263</v>
      </c>
      <c r="B134" s="8" t="s">
        <v>88</v>
      </c>
      <c r="I134" s="246" t="s">
        <v>246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/>
      <c r="T134" s="65"/>
      <c r="U134" s="65"/>
      <c r="V134" s="65">
        <f t="shared" si="74"/>
        <v>0</v>
      </c>
      <c r="W134" s="73">
        <f t="shared" si="75"/>
        <v>0</v>
      </c>
      <c r="X134" s="89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>
        <f t="shared" si="58"/>
        <v>0</v>
      </c>
      <c r="AL134" s="73">
        <f t="shared" si="76"/>
        <v>0</v>
      </c>
      <c r="AM134" s="14">
        <f t="shared" si="77"/>
        <v>0</v>
      </c>
      <c r="AN134" s="9"/>
    </row>
    <row r="135" spans="1:40" ht="14.45" hidden="1" customHeight="1" outlineLevel="1">
      <c r="A135" s="12" t="s">
        <v>263</v>
      </c>
      <c r="B135" s="8" t="s">
        <v>88</v>
      </c>
      <c r="C135" s="19" t="s">
        <v>268</v>
      </c>
      <c r="D135" s="12"/>
      <c r="E135" s="20"/>
      <c r="F135" s="12"/>
      <c r="G135" s="12"/>
      <c r="H135" s="12"/>
      <c r="I135" s="246" t="s">
        <v>247</v>
      </c>
      <c r="J135" s="65">
        <v>0</v>
      </c>
      <c r="K135" s="65">
        <v>7191</v>
      </c>
      <c r="L135" s="65">
        <v>0</v>
      </c>
      <c r="M135" s="65">
        <v>0</v>
      </c>
      <c r="N135" s="65">
        <v>0</v>
      </c>
      <c r="O135" s="65">
        <v>0</v>
      </c>
      <c r="P135" s="65">
        <v>2374</v>
      </c>
      <c r="Q135" s="65">
        <v>0</v>
      </c>
      <c r="R135" s="65">
        <v>0</v>
      </c>
      <c r="S135" s="65">
        <v>0</v>
      </c>
      <c r="T135" s="65">
        <v>1539.2</v>
      </c>
      <c r="U135" s="65">
        <v>0</v>
      </c>
      <c r="V135" s="65">
        <f t="shared" si="74"/>
        <v>11104.2</v>
      </c>
      <c r="W135" s="73">
        <f t="shared" si="75"/>
        <v>9.5025150196918954E-5</v>
      </c>
      <c r="X135" s="89"/>
      <c r="Y135" s="65">
        <f>VLOOKUP($E$1,[6]Resumen!$C$21:$O$27,Y1,0)+VLOOKUP($E$1,[9]Resumen!$V$118:$AH$124,Y1,0)</f>
        <v>1600</v>
      </c>
      <c r="Z135" s="65">
        <f>VLOOKUP($E$1,[6]Resumen!$C$21:$O$27,Z1,0)+VLOOKUP($E$1,[9]Resumen!$V$118:$AH$124,Z1,0)</f>
        <v>1600</v>
      </c>
      <c r="AA135" s="65">
        <f>VLOOKUP($E$1,[6]Resumen!$C$21:$O$27,AA1,0)+VLOOKUP($E$1,[9]Resumen!$V$118:$AH$124,AA1,0)</f>
        <v>0</v>
      </c>
      <c r="AB135" s="65">
        <f>VLOOKUP($E$1,[6]Resumen!$C$21:$O$27,AB1,0)+VLOOKUP($E$1,[9]Resumen!$V$118:$AH$124,AB1,0)</f>
        <v>0</v>
      </c>
      <c r="AC135" s="65">
        <f>VLOOKUP($E$1,[6]Resumen!$C$21:$O$27,AC1,0)+VLOOKUP($E$1,[9]Resumen!$V$118:$AH$124,AC1,0)</f>
        <v>1600</v>
      </c>
      <c r="AD135" s="65">
        <f>VLOOKUP($E$1,[6]Resumen!$C$21:$O$27,AD1,0)+VLOOKUP($E$1,[9]Resumen!$V$118:$AH$124,AD1,0)</f>
        <v>0</v>
      </c>
      <c r="AE135" s="65">
        <f>VLOOKUP($E$1,[6]Resumen!$C$21:$O$27,AE1,0)+VLOOKUP($E$1,[9]Resumen!$V$118:$AH$124,AE1,0)</f>
        <v>1600</v>
      </c>
      <c r="AF135" s="65">
        <f>VLOOKUP($E$1,[6]Resumen!$C$21:$O$27,AF1,0)+VLOOKUP($E$1,[9]Resumen!$V$118:$AH$124,AF1,0)</f>
        <v>1600</v>
      </c>
      <c r="AG135" s="65">
        <f>VLOOKUP($E$1,[6]Resumen!$C$21:$O$27,AG1,0)+VLOOKUP($E$1,[9]Resumen!$V$118:$AH$124,AG1,0)</f>
        <v>0</v>
      </c>
      <c r="AH135" s="65">
        <f>VLOOKUP($E$1,[6]Resumen!$C$21:$O$27,AH1,0)+VLOOKUP($E$1,[9]Resumen!$V$118:$AH$124,AH1,0)</f>
        <v>0</v>
      </c>
      <c r="AI135" s="65">
        <f>VLOOKUP($E$1,[6]Resumen!$C$21:$O$27,AI1,0)+VLOOKUP($E$1,[9]Resumen!$V$118:$AH$124,AI1,0)</f>
        <v>1600</v>
      </c>
      <c r="AJ135" s="65">
        <f>VLOOKUP($E$1,[6]Resumen!$C$21:$O$27,AJ1,0)+VLOOKUP($E$1,[9]Resumen!$V$118:$AH$124,AJ1,0)</f>
        <v>0</v>
      </c>
      <c r="AK135" s="65">
        <f t="shared" si="58"/>
        <v>9600</v>
      </c>
      <c r="AL135" s="73">
        <f t="shared" si="76"/>
        <v>7.6826119306506934E-5</v>
      </c>
      <c r="AM135" s="14">
        <f t="shared" si="77"/>
        <v>-0.13546225752418006</v>
      </c>
      <c r="AN135" s="9"/>
    </row>
    <row r="136" spans="1:40" ht="14.45" hidden="1" customHeight="1" outlineLevel="1">
      <c r="A136" s="12" t="s">
        <v>263</v>
      </c>
      <c r="B136" s="8" t="s">
        <v>88</v>
      </c>
      <c r="I136" s="246" t="s">
        <v>249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/>
      <c r="T136" s="65"/>
      <c r="U136" s="65"/>
      <c r="V136" s="65">
        <f t="shared" si="73"/>
        <v>0</v>
      </c>
      <c r="W136" s="73">
        <f t="shared" si="30"/>
        <v>0</v>
      </c>
      <c r="X136" s="89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>
        <f t="shared" si="58"/>
        <v>0</v>
      </c>
      <c r="AL136" s="73">
        <f t="shared" si="32"/>
        <v>0</v>
      </c>
      <c r="AM136" s="14">
        <f t="shared" si="33"/>
        <v>0</v>
      </c>
      <c r="AN136" s="9"/>
    </row>
    <row r="137" spans="1:40" ht="14.45" hidden="1" customHeight="1" outlineLevel="1">
      <c r="A137" s="12"/>
      <c r="I137" s="246" t="s">
        <v>250</v>
      </c>
      <c r="J137" s="65">
        <v>0</v>
      </c>
      <c r="K137" s="65">
        <v>0</v>
      </c>
      <c r="L137" s="65">
        <v>0</v>
      </c>
      <c r="M137" s="65">
        <v>705</v>
      </c>
      <c r="N137" s="65">
        <v>246</v>
      </c>
      <c r="O137" s="65">
        <v>0</v>
      </c>
      <c r="P137" s="65">
        <v>0</v>
      </c>
      <c r="Q137" s="65">
        <v>427</v>
      </c>
      <c r="R137" s="65">
        <v>0</v>
      </c>
      <c r="S137" s="65">
        <v>10199.280000000001</v>
      </c>
      <c r="T137" s="65">
        <v>0</v>
      </c>
      <c r="U137" s="65">
        <v>0</v>
      </c>
      <c r="V137" s="65">
        <f t="shared" si="73"/>
        <v>11577.28</v>
      </c>
      <c r="W137" s="73">
        <f t="shared" si="30"/>
        <v>9.9073573140954406E-5</v>
      </c>
      <c r="X137" s="89"/>
      <c r="Y137" s="65">
        <f>VLOOKUP($E$1,[9]Resumen!$V$130:$AH$136,Y1,0)</f>
        <v>0</v>
      </c>
      <c r="Z137" s="65">
        <f>VLOOKUP($E$1,[9]Resumen!$V$130:$AH$136,Z1,0)</f>
        <v>0</v>
      </c>
      <c r="AA137" s="65">
        <f>VLOOKUP($E$1,[9]Resumen!$V$130:$AH$136,AA1,0)</f>
        <v>20109.995256999999</v>
      </c>
      <c r="AB137" s="65">
        <f>VLOOKUP($E$1,[9]Resumen!$V$130:$AH$136,AB1,0)</f>
        <v>0</v>
      </c>
      <c r="AC137" s="65">
        <f>VLOOKUP($E$1,[9]Resumen!$V$130:$AH$136,AC1,0)</f>
        <v>0</v>
      </c>
      <c r="AD137" s="65">
        <f>VLOOKUP($E$1,[9]Resumen!$V$130:$AH$136,AD1,0)</f>
        <v>0</v>
      </c>
      <c r="AE137" s="65">
        <f>VLOOKUP($E$1,[9]Resumen!$V$130:$AH$136,AE1,0)</f>
        <v>0</v>
      </c>
      <c r="AF137" s="65">
        <f>VLOOKUP($E$1,[9]Resumen!$V$130:$AH$136,AF1,0)</f>
        <v>20109.995256999999</v>
      </c>
      <c r="AG137" s="65">
        <f>VLOOKUP($E$1,[9]Resumen!$V$130:$AH$136,AG1,0)</f>
        <v>0</v>
      </c>
      <c r="AH137" s="65">
        <f>VLOOKUP($E$1,[9]Resumen!$V$130:$AH$136,AH1,0)</f>
        <v>0</v>
      </c>
      <c r="AI137" s="65">
        <f>VLOOKUP($E$1,[9]Resumen!$V$130:$AH$136,AI1,0)</f>
        <v>0</v>
      </c>
      <c r="AJ137" s="65">
        <f>VLOOKUP($E$1,[9]Resumen!$V$130:$AH$136,AJ1,0)</f>
        <v>0</v>
      </c>
      <c r="AK137" s="65">
        <f t="shared" si="58"/>
        <v>40219.990513999997</v>
      </c>
      <c r="AL137" s="73">
        <f t="shared" si="32"/>
        <v>3.2186935309741049E-4</v>
      </c>
      <c r="AM137" s="14">
        <f t="shared" si="33"/>
        <v>2.4740448977652778</v>
      </c>
      <c r="AN137" s="9"/>
    </row>
    <row r="138" spans="1:40" ht="14.45" hidden="1" customHeight="1" outlineLevel="1">
      <c r="I138" s="246" t="s">
        <v>251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/>
      <c r="T138" s="65"/>
      <c r="U138" s="65"/>
      <c r="V138" s="65">
        <f t="shared" si="73"/>
        <v>0</v>
      </c>
      <c r="W138" s="73">
        <f t="shared" si="30"/>
        <v>0</v>
      </c>
      <c r="X138" s="89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>
        <f t="shared" si="58"/>
        <v>0</v>
      </c>
      <c r="AL138" s="73">
        <f t="shared" si="32"/>
        <v>0</v>
      </c>
      <c r="AM138" s="14">
        <f t="shared" si="33"/>
        <v>0</v>
      </c>
      <c r="AN138" s="9"/>
    </row>
    <row r="139" spans="1:40" ht="14.45" hidden="1" customHeight="1" outlineLevel="1">
      <c r="I139" s="246" t="s">
        <v>252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/>
      <c r="T139" s="65"/>
      <c r="U139" s="65"/>
      <c r="V139" s="65">
        <f t="shared" si="73"/>
        <v>0</v>
      </c>
      <c r="W139" s="73">
        <f t="shared" si="30"/>
        <v>0</v>
      </c>
      <c r="X139" s="89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>
        <f t="shared" si="58"/>
        <v>0</v>
      </c>
      <c r="AL139" s="73">
        <f t="shared" si="32"/>
        <v>0</v>
      </c>
      <c r="AM139" s="14">
        <f t="shared" si="33"/>
        <v>0</v>
      </c>
      <c r="AN139" s="9"/>
    </row>
    <row r="140" spans="1:40" ht="14.45" hidden="1" customHeight="1" outlineLevel="1">
      <c r="I140" s="246" t="s">
        <v>253</v>
      </c>
      <c r="J140" s="65">
        <v>0</v>
      </c>
      <c r="K140" s="65">
        <v>0</v>
      </c>
      <c r="L140" s="65">
        <v>3900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f t="shared" si="73"/>
        <v>3900</v>
      </c>
      <c r="W140" s="73">
        <f t="shared" si="30"/>
        <v>3.3374586712053448E-5</v>
      </c>
      <c r="X140" s="89"/>
      <c r="Y140" s="65">
        <f>VLOOKUP($E$1,[9]Resumen!$V$142:$AH$148,Y1,0)</f>
        <v>0</v>
      </c>
      <c r="Z140" s="65">
        <f>VLOOKUP($E$1,[9]Resumen!$V$142:$AH$148,Z1,0)</f>
        <v>0</v>
      </c>
      <c r="AA140" s="65">
        <f>VLOOKUP($E$1,[9]Resumen!$V$142:$AH$148,AA1,0)</f>
        <v>4036.8899999999994</v>
      </c>
      <c r="AB140" s="65">
        <f>VLOOKUP($E$1,[9]Resumen!$V$142:$AH$148,AB1,0)</f>
        <v>0</v>
      </c>
      <c r="AC140" s="65">
        <f>VLOOKUP($E$1,[9]Resumen!$V$142:$AH$148,AC1,0)</f>
        <v>0</v>
      </c>
      <c r="AD140" s="65">
        <f>VLOOKUP($E$1,[9]Resumen!$V$142:$AH$148,AD1,0)</f>
        <v>0</v>
      </c>
      <c r="AE140" s="65">
        <f>VLOOKUP($E$1,[9]Resumen!$V$142:$AH$148,AE1,0)</f>
        <v>0</v>
      </c>
      <c r="AF140" s="65">
        <f>VLOOKUP($E$1,[9]Resumen!$V$142:$AH$148,AF1,0)</f>
        <v>0</v>
      </c>
      <c r="AG140" s="65">
        <f>VLOOKUP($E$1,[9]Resumen!$V$142:$AH$148,AG1,0)</f>
        <v>0</v>
      </c>
      <c r="AH140" s="65">
        <f>VLOOKUP($E$1,[9]Resumen!$V$142:$AH$148,AH1,0)</f>
        <v>0</v>
      </c>
      <c r="AI140" s="65">
        <f>VLOOKUP($E$1,[9]Resumen!$V$142:$AH$148,AI1,0)</f>
        <v>0</v>
      </c>
      <c r="AJ140" s="65">
        <f>VLOOKUP($E$1,[9]Resumen!$V$142:$AH$148,AJ1,0)</f>
        <v>0</v>
      </c>
      <c r="AK140" s="65">
        <f t="shared" si="58"/>
        <v>4036.8899999999994</v>
      </c>
      <c r="AL140" s="73">
        <f t="shared" si="32"/>
        <v>3.2306103413254656E-5</v>
      </c>
      <c r="AM140" s="14">
        <f t="shared" si="33"/>
        <v>3.5099999999999909E-2</v>
      </c>
      <c r="AN140" s="9"/>
    </row>
    <row r="141" spans="1:40" ht="15.6" hidden="1" customHeight="1" outlineLevel="1">
      <c r="I141" s="246" t="s">
        <v>254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f t="shared" si="73"/>
        <v>0</v>
      </c>
      <c r="W141" s="73">
        <f t="shared" si="30"/>
        <v>0</v>
      </c>
      <c r="X141" s="89"/>
      <c r="Y141" s="65">
        <f>VLOOKUP($E$1,[9]Resumen!$V$154:$AH$160,Y1,0)</f>
        <v>0</v>
      </c>
      <c r="Z141" s="65">
        <f>VLOOKUP($E$1,[9]Resumen!$V$154:$AH$160,Z1,0)</f>
        <v>0</v>
      </c>
      <c r="AA141" s="65">
        <f>VLOOKUP($E$1,[9]Resumen!$V$154:$AH$160,AA1,0)</f>
        <v>0</v>
      </c>
      <c r="AB141" s="65">
        <f>VLOOKUP($E$1,[9]Resumen!$V$154:$AH$160,AB1,0)</f>
        <v>0</v>
      </c>
      <c r="AC141" s="65">
        <f>VLOOKUP($E$1,[9]Resumen!$V$154:$AH$160,AC1,0)</f>
        <v>0</v>
      </c>
      <c r="AD141" s="65">
        <f>VLOOKUP($E$1,[9]Resumen!$V$154:$AH$160,AD1,0)</f>
        <v>0</v>
      </c>
      <c r="AE141" s="65">
        <f>VLOOKUP($E$1,[9]Resumen!$V$154:$AH$160,AE1,0)</f>
        <v>0</v>
      </c>
      <c r="AF141" s="65">
        <f>VLOOKUP($E$1,[9]Resumen!$V$154:$AH$160,AF1,0)</f>
        <v>0</v>
      </c>
      <c r="AG141" s="65">
        <f>VLOOKUP($E$1,[9]Resumen!$V$154:$AH$160,AG1,0)</f>
        <v>0</v>
      </c>
      <c r="AH141" s="65">
        <f>VLOOKUP($E$1,[9]Resumen!$V$154:$AH$160,AH1,0)</f>
        <v>0</v>
      </c>
      <c r="AI141" s="65">
        <f>VLOOKUP($E$1,[9]Resumen!$V$154:$AH$160,AI1,0)</f>
        <v>0</v>
      </c>
      <c r="AJ141" s="65">
        <f>VLOOKUP($E$1,[9]Resumen!$V$154:$AH$160,AJ1,0)</f>
        <v>0</v>
      </c>
      <c r="AK141" s="65">
        <f t="shared" si="58"/>
        <v>0</v>
      </c>
      <c r="AL141" s="73">
        <f t="shared" si="32"/>
        <v>0</v>
      </c>
      <c r="AM141" s="14">
        <f t="shared" si="33"/>
        <v>0</v>
      </c>
      <c r="AN141" s="9"/>
    </row>
    <row r="142" spans="1:40" ht="14.45" hidden="1" customHeight="1" outlineLevel="1">
      <c r="I142" s="246" t="s">
        <v>255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3000</v>
      </c>
      <c r="S142" s="65">
        <v>2600</v>
      </c>
      <c r="T142" s="65">
        <v>0</v>
      </c>
      <c r="U142" s="65">
        <v>0</v>
      </c>
      <c r="V142" s="65">
        <f t="shared" si="73"/>
        <v>5600</v>
      </c>
      <c r="W142" s="73">
        <f t="shared" si="30"/>
        <v>4.7922483483974183E-5</v>
      </c>
      <c r="X142" s="89"/>
      <c r="Y142" s="65">
        <f>VLOOKUP($E$1,[9]Resumen!$V$166:$AH$172,Y1,0)</f>
        <v>0</v>
      </c>
      <c r="Z142" s="65">
        <f>VLOOKUP($E$1,[9]Resumen!$V$166:$AH$172,Z1,0)</f>
        <v>0</v>
      </c>
      <c r="AA142" s="65">
        <f>VLOOKUP($E$1,[9]Resumen!$V$166:$AH$172,AA1,0)</f>
        <v>3622.8499999999995</v>
      </c>
      <c r="AB142" s="65">
        <f>VLOOKUP($E$1,[9]Resumen!$V$166:$AH$172,AB1,0)</f>
        <v>0</v>
      </c>
      <c r="AC142" s="65">
        <f>VLOOKUP($E$1,[9]Resumen!$V$166:$AH$172,AC1,0)</f>
        <v>0</v>
      </c>
      <c r="AD142" s="65">
        <f>VLOOKUP($E$1,[9]Resumen!$V$166:$AH$172,AD1,0)</f>
        <v>3622.8499999999995</v>
      </c>
      <c r="AE142" s="65">
        <f>VLOOKUP($E$1,[9]Resumen!$V$166:$AH$172,AE1,0)</f>
        <v>0</v>
      </c>
      <c r="AF142" s="65">
        <f>VLOOKUP($E$1,[9]Resumen!$V$166:$AH$172,AF1,0)</f>
        <v>0</v>
      </c>
      <c r="AG142" s="65">
        <f>VLOOKUP($E$1,[9]Resumen!$V$166:$AH$172,AG1,0)</f>
        <v>3622.8499999999995</v>
      </c>
      <c r="AH142" s="65">
        <f>VLOOKUP($E$1,[9]Resumen!$V$166:$AH$172,AH1,0)</f>
        <v>0</v>
      </c>
      <c r="AI142" s="65">
        <f>VLOOKUP($E$1,[9]Resumen!$V$166:$AH$172,AI1,0)</f>
        <v>0</v>
      </c>
      <c r="AJ142" s="65">
        <f>VLOOKUP($E$1,[9]Resumen!$V$166:$AH$172,AJ1,0)</f>
        <v>0</v>
      </c>
      <c r="AK142" s="65">
        <f t="shared" si="58"/>
        <v>10868.55</v>
      </c>
      <c r="AL142" s="73">
        <f t="shared" si="32"/>
        <v>8.6977970727993313E-5</v>
      </c>
      <c r="AM142" s="14">
        <f t="shared" si="33"/>
        <v>0.94081249999999983</v>
      </c>
      <c r="AN142" s="9"/>
    </row>
    <row r="143" spans="1:40" ht="15" hidden="1" outlineLevel="1">
      <c r="I143" s="246" t="s">
        <v>256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/>
      <c r="T143" s="65"/>
      <c r="U143" s="65"/>
      <c r="V143" s="65">
        <f t="shared" si="73"/>
        <v>0</v>
      </c>
      <c r="W143" s="73">
        <f t="shared" si="30"/>
        <v>0</v>
      </c>
      <c r="X143" s="89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>
        <f t="shared" si="58"/>
        <v>0</v>
      </c>
      <c r="AL143" s="73">
        <f t="shared" si="32"/>
        <v>0</v>
      </c>
      <c r="AM143" s="14">
        <f t="shared" si="33"/>
        <v>0</v>
      </c>
    </row>
    <row r="144" spans="1:40" ht="15" hidden="1" outlineLevel="1">
      <c r="I144" s="246" t="s">
        <v>257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2110</v>
      </c>
      <c r="R144" s="65">
        <v>0</v>
      </c>
      <c r="S144" s="65">
        <v>0</v>
      </c>
      <c r="T144" s="65">
        <v>0</v>
      </c>
      <c r="U144" s="65">
        <v>3296.8</v>
      </c>
      <c r="V144" s="65">
        <f t="shared" si="73"/>
        <v>5406.8</v>
      </c>
      <c r="W144" s="73">
        <f t="shared" si="30"/>
        <v>4.6269157803777078E-5</v>
      </c>
      <c r="X144" s="89"/>
      <c r="Y144" s="65">
        <f>VLOOKUP($E$1,[9]Resumen!$V$178:$AH$184,Y1,0)</f>
        <v>0</v>
      </c>
      <c r="Z144" s="65">
        <f>VLOOKUP($E$1,[9]Resumen!$V$178:$AH$184,Z1,0)</f>
        <v>8280.7999999999993</v>
      </c>
      <c r="AA144" s="65">
        <f>VLOOKUP($E$1,[9]Resumen!$V$178:$AH$184,AA1,0)</f>
        <v>0</v>
      </c>
      <c r="AB144" s="65">
        <f>VLOOKUP($E$1,[9]Resumen!$V$178:$AH$184,AB1,0)</f>
        <v>0</v>
      </c>
      <c r="AC144" s="65">
        <f>VLOOKUP($E$1,[9]Resumen!$V$178:$AH$184,AC1,0)</f>
        <v>8280.7999999999993</v>
      </c>
      <c r="AD144" s="65">
        <f>VLOOKUP($E$1,[9]Resumen!$V$178:$AH$184,AD1,0)</f>
        <v>0</v>
      </c>
      <c r="AE144" s="65">
        <f>VLOOKUP($E$1,[9]Resumen!$V$178:$AH$184,AE1,0)</f>
        <v>0</v>
      </c>
      <c r="AF144" s="65">
        <f>VLOOKUP($E$1,[9]Resumen!$V$178:$AH$184,AF1,0)</f>
        <v>8280.7999999999993</v>
      </c>
      <c r="AG144" s="65">
        <f>VLOOKUP($E$1,[9]Resumen!$V$178:$AH$184,AG1,0)</f>
        <v>0</v>
      </c>
      <c r="AH144" s="65">
        <f>VLOOKUP($E$1,[9]Resumen!$V$178:$AH$184,AH1,0)</f>
        <v>0</v>
      </c>
      <c r="AI144" s="65">
        <f>VLOOKUP($E$1,[9]Resumen!$V$178:$AH$184,AI1,0)</f>
        <v>8280.7999999999993</v>
      </c>
      <c r="AJ144" s="65">
        <f>VLOOKUP($E$1,[9]Resumen!$V$178:$AH$184,AJ1,0)</f>
        <v>0</v>
      </c>
      <c r="AK144" s="65">
        <f t="shared" si="58"/>
        <v>33123.199999999997</v>
      </c>
      <c r="AL144" s="73">
        <f t="shared" si="32"/>
        <v>2.6507572031388436E-4</v>
      </c>
      <c r="AM144" s="14">
        <f t="shared" si="33"/>
        <v>5.126211437449137</v>
      </c>
    </row>
    <row r="145" spans="9:39" ht="15" hidden="1" outlineLevel="1">
      <c r="I145" s="246" t="s">
        <v>258</v>
      </c>
      <c r="J145" s="65">
        <v>0</v>
      </c>
      <c r="K145" s="65">
        <v>0</v>
      </c>
      <c r="L145" s="65">
        <v>0</v>
      </c>
      <c r="M145" s="65">
        <v>1800</v>
      </c>
      <c r="N145" s="65">
        <v>3170</v>
      </c>
      <c r="O145" s="65">
        <v>0</v>
      </c>
      <c r="P145" s="65">
        <v>0</v>
      </c>
      <c r="Q145" s="65">
        <v>900</v>
      </c>
      <c r="R145" s="65">
        <v>0</v>
      </c>
      <c r="S145" s="65">
        <v>1040</v>
      </c>
      <c r="T145" s="65">
        <v>0</v>
      </c>
      <c r="U145" s="65">
        <v>1040</v>
      </c>
      <c r="V145" s="65">
        <f t="shared" si="73"/>
        <v>7950</v>
      </c>
      <c r="W145" s="73">
        <f t="shared" si="30"/>
        <v>6.8032811374570492E-5</v>
      </c>
      <c r="X145" s="89"/>
      <c r="Y145" s="65">
        <f>VLOOKUP($E$1,[9]Resumen!$V$190:$AH$196,Y1,0)</f>
        <v>0</v>
      </c>
      <c r="Z145" s="65">
        <f>VLOOKUP($E$1,[9]Resumen!$V$190:$AH$196,Z1,0)</f>
        <v>1469.8419999999999</v>
      </c>
      <c r="AA145" s="65">
        <f>VLOOKUP($E$1,[9]Resumen!$V$190:$AH$196,AA1,0)</f>
        <v>0</v>
      </c>
      <c r="AB145" s="65">
        <f>VLOOKUP($E$1,[9]Resumen!$V$190:$AH$196,AB1,0)</f>
        <v>0</v>
      </c>
      <c r="AC145" s="65">
        <f>VLOOKUP($E$1,[9]Resumen!$V$190:$AH$196,AC1,0)</f>
        <v>1469.8419999999999</v>
      </c>
      <c r="AD145" s="65">
        <f>VLOOKUP($E$1,[9]Resumen!$V$190:$AH$196,AD1,0)</f>
        <v>0</v>
      </c>
      <c r="AE145" s="65">
        <f>VLOOKUP($E$1,[9]Resumen!$V$190:$AH$196,AE1,0)</f>
        <v>0</v>
      </c>
      <c r="AF145" s="65">
        <f>VLOOKUP($E$1,[9]Resumen!$V$190:$AH$196,AF1,0)</f>
        <v>1469.8419999999999</v>
      </c>
      <c r="AG145" s="65">
        <f>VLOOKUP($E$1,[9]Resumen!$V$190:$AH$196,AG1,0)</f>
        <v>0</v>
      </c>
      <c r="AH145" s="65">
        <f>VLOOKUP($E$1,[9]Resumen!$V$190:$AH$196,AH1,0)</f>
        <v>0</v>
      </c>
      <c r="AI145" s="65">
        <f>VLOOKUP($E$1,[9]Resumen!$V$190:$AH$196,AI1,0)</f>
        <v>1469.8419999999999</v>
      </c>
      <c r="AJ145" s="65">
        <f>VLOOKUP($E$1,[9]Resumen!$V$190:$AH$196,AJ1,0)</f>
        <v>0</v>
      </c>
      <c r="AK145" s="65">
        <f t="shared" si="58"/>
        <v>5879.3679999999995</v>
      </c>
      <c r="AL145" s="73">
        <f t="shared" si="32"/>
        <v>4.7050940355714478E-5</v>
      </c>
      <c r="AM145" s="14">
        <f t="shared" ref="AM145:AM164" si="78">IFERROR(AK145/V145-1,0)</f>
        <v>-0.26045685534591201</v>
      </c>
    </row>
    <row r="146" spans="9:39" ht="15" hidden="1" outlineLevel="1">
      <c r="I146" s="246" t="s">
        <v>259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/>
      <c r="T146" s="65"/>
      <c r="U146" s="65"/>
      <c r="V146" s="65">
        <f t="shared" si="73"/>
        <v>0</v>
      </c>
      <c r="W146" s="73">
        <f t="shared" si="30"/>
        <v>0</v>
      </c>
      <c r="X146" s="89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>
        <f t="shared" si="58"/>
        <v>0</v>
      </c>
      <c r="AL146" s="73">
        <f t="shared" si="32"/>
        <v>0</v>
      </c>
      <c r="AM146" s="14">
        <f t="shared" si="78"/>
        <v>0</v>
      </c>
    </row>
    <row r="147" spans="9:39" ht="15" hidden="1" outlineLevel="1">
      <c r="I147" s="251" t="s">
        <v>260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/>
      <c r="T147" s="65"/>
      <c r="U147" s="65"/>
      <c r="V147" s="65">
        <f t="shared" si="73"/>
        <v>0</v>
      </c>
      <c r="W147" s="73">
        <f t="shared" si="30"/>
        <v>0</v>
      </c>
      <c r="X147" s="89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>
        <f t="shared" si="58"/>
        <v>0</v>
      </c>
      <c r="AL147" s="73">
        <f t="shared" si="32"/>
        <v>0</v>
      </c>
      <c r="AM147" s="14">
        <f t="shared" si="78"/>
        <v>0</v>
      </c>
    </row>
    <row r="148" spans="9:39" ht="15" hidden="1" outlineLevel="1">
      <c r="I148" s="251" t="s">
        <v>261</v>
      </c>
      <c r="J148" s="65"/>
      <c r="K148" s="65">
        <v>0</v>
      </c>
      <c r="L148" s="65"/>
      <c r="M148" s="65"/>
      <c r="N148" s="65"/>
      <c r="O148" s="65">
        <v>0</v>
      </c>
      <c r="P148" s="65"/>
      <c r="Q148" s="65"/>
      <c r="R148" s="65"/>
      <c r="S148" s="65">
        <v>0</v>
      </c>
      <c r="T148" s="65">
        <v>0</v>
      </c>
      <c r="U148" s="65">
        <v>3640</v>
      </c>
      <c r="V148" s="65">
        <f t="shared" si="73"/>
        <v>3640</v>
      </c>
      <c r="W148" s="73">
        <f t="shared" si="30"/>
        <v>3.1149614264583219E-5</v>
      </c>
      <c r="X148" s="89"/>
      <c r="Y148" s="65">
        <f>VLOOKUP($E$1,[9]Resumen!$V$214:$AH$220,Y1,0)</f>
        <v>0</v>
      </c>
      <c r="Z148" s="65">
        <f>VLOOKUP($E$1,[9]Resumen!$V$214:$AH$220,Z1,0)</f>
        <v>0</v>
      </c>
      <c r="AA148" s="65">
        <f>VLOOKUP($E$1,[9]Resumen!$V$214:$AH$220,AA1,0)</f>
        <v>0</v>
      </c>
      <c r="AB148" s="65">
        <f>VLOOKUP($E$1,[9]Resumen!$V$214:$AH$220,AB1,0)</f>
        <v>0</v>
      </c>
      <c r="AC148" s="65">
        <f>VLOOKUP($E$1,[9]Resumen!$V$214:$AH$220,AC1,0)</f>
        <v>0</v>
      </c>
      <c r="AD148" s="65">
        <f>VLOOKUP($E$1,[9]Resumen!$V$214:$AH$220,AD1,0)</f>
        <v>0</v>
      </c>
      <c r="AE148" s="65">
        <f>VLOOKUP($E$1,[9]Resumen!$V$214:$AH$220,AE1,0)</f>
        <v>0</v>
      </c>
      <c r="AF148" s="65">
        <f>VLOOKUP($E$1,[9]Resumen!$V$214:$AH$220,AF1,0)</f>
        <v>0</v>
      </c>
      <c r="AG148" s="65">
        <f>VLOOKUP($E$1,[9]Resumen!$V$214:$AH$220,AG1,0)</f>
        <v>0</v>
      </c>
      <c r="AH148" s="65">
        <f>VLOOKUP($E$1,[9]Resumen!$V$214:$AH$220,AH1,0)</f>
        <v>0</v>
      </c>
      <c r="AI148" s="65">
        <f>VLOOKUP($E$1,[9]Resumen!$V$214:$AH$220,AI1,0)</f>
        <v>0</v>
      </c>
      <c r="AJ148" s="65">
        <f>VLOOKUP($E$1,[9]Resumen!$V$214:$AH$220,AJ1,0)</f>
        <v>3208.8099999999995</v>
      </c>
      <c r="AK148" s="65">
        <f t="shared" si="58"/>
        <v>3208.8099999999995</v>
      </c>
      <c r="AL148" s="73">
        <f t="shared" si="32"/>
        <v>2.5679210405407547E-5</v>
      </c>
      <c r="AM148" s="14">
        <f t="shared" si="78"/>
        <v>-0.11845879120879133</v>
      </c>
    </row>
    <row r="149" spans="9:39" ht="15" hidden="1" outlineLevel="1">
      <c r="I149" s="290" t="s">
        <v>464</v>
      </c>
      <c r="J149" s="65"/>
      <c r="K149" s="65"/>
      <c r="L149" s="65"/>
      <c r="M149" s="65"/>
      <c r="N149" s="65"/>
      <c r="O149" s="65">
        <v>0</v>
      </c>
      <c r="P149" s="65"/>
      <c r="Q149" s="65"/>
      <c r="R149" s="65"/>
      <c r="S149" s="65"/>
      <c r="T149" s="65"/>
      <c r="U149" s="65"/>
      <c r="V149" s="65">
        <f t="shared" ref="V149" si="79">SUM(J149:U149)</f>
        <v>0</v>
      </c>
      <c r="W149" s="73"/>
      <c r="X149" s="89"/>
      <c r="Y149" s="65">
        <f>VLOOKUP($E$1,[9]Detalle!$C$150:$O$156,Y1,0)</f>
        <v>0</v>
      </c>
      <c r="Z149" s="65">
        <f>VLOOKUP($E$1,[9]Detalle!$C$150:$O$156,Z1,0)</f>
        <v>0</v>
      </c>
      <c r="AA149" s="65">
        <f>VLOOKUP($E$1,[9]Detalle!$C$150:$O$156,AA1,0)</f>
        <v>0</v>
      </c>
      <c r="AB149" s="65">
        <f>VLOOKUP($E$1,[9]Detalle!$C$150:$O$156,AB1,0)</f>
        <v>0</v>
      </c>
      <c r="AC149" s="65">
        <f>VLOOKUP($E$1,[9]Detalle!$C$150:$O$156,AC1,0)</f>
        <v>0</v>
      </c>
      <c r="AD149" s="65">
        <f>VLOOKUP($E$1,[9]Detalle!$C$150:$O$156,AD1,0)</f>
        <v>0</v>
      </c>
      <c r="AE149" s="65">
        <f>VLOOKUP($E$1,[9]Detalle!$C$150:$O$156,AE1,0)</f>
        <v>0</v>
      </c>
      <c r="AF149" s="65">
        <f>VLOOKUP($E$1,[9]Detalle!$C$150:$O$156,AF1,0)</f>
        <v>0</v>
      </c>
      <c r="AG149" s="65">
        <f>VLOOKUP($E$1,[9]Detalle!$C$150:$O$156,AG1,0)</f>
        <v>0</v>
      </c>
      <c r="AH149" s="65">
        <f>VLOOKUP($E$1,[9]Detalle!$C$150:$O$156,AH1,0)</f>
        <v>0</v>
      </c>
      <c r="AI149" s="65">
        <f>VLOOKUP($E$1,[9]Detalle!$C$150:$O$156,AI1,0)</f>
        <v>0</v>
      </c>
      <c r="AJ149" s="65">
        <f>VLOOKUP($E$1,[9]Detalle!$C$150:$O$156,AJ1,0)</f>
        <v>0</v>
      </c>
      <c r="AK149" s="65">
        <f t="shared" ref="AK149" si="80">SUM(Y149:AJ149)</f>
        <v>0</v>
      </c>
      <c r="AL149" s="73">
        <f t="shared" ref="AL149" si="81">AK149/AK$6</f>
        <v>0</v>
      </c>
      <c r="AM149" s="14">
        <f t="shared" ref="AM149" si="82">IFERROR(AK149/V149-1,0)</f>
        <v>0</v>
      </c>
    </row>
    <row r="150" spans="9:39" ht="15" hidden="1" outlineLevel="1">
      <c r="I150" s="246" t="s">
        <v>262</v>
      </c>
      <c r="J150" s="65">
        <v>170002</v>
      </c>
      <c r="K150" s="65">
        <v>15927</v>
      </c>
      <c r="L150" s="65">
        <v>84737</v>
      </c>
      <c r="M150" s="65">
        <v>111199</v>
      </c>
      <c r="N150" s="65">
        <v>116676</v>
      </c>
      <c r="O150" s="65">
        <v>87273</v>
      </c>
      <c r="P150" s="65">
        <v>108862</v>
      </c>
      <c r="Q150" s="65">
        <v>131724</v>
      </c>
      <c r="R150" s="65">
        <v>37714</v>
      </c>
      <c r="S150" s="65">
        <v>97177.417816379137</v>
      </c>
      <c r="T150" s="65">
        <v>98759.576947777925</v>
      </c>
      <c r="U150" s="65">
        <v>98193.112228402737</v>
      </c>
      <c r="V150" s="65">
        <f t="shared" si="73"/>
        <v>1158244.1069925597</v>
      </c>
      <c r="W150" s="73"/>
      <c r="X150" s="89"/>
      <c r="Y150" s="65">
        <f>+Z150</f>
        <v>89149.070284956004</v>
      </c>
      <c r="Z150" s="65">
        <f>((Y40*3.41*4.5%)+(Y41*2.89*4.5%))+((Z7+Z8)*0.03*5.5%)</f>
        <v>89149.070284956004</v>
      </c>
      <c r="AA150" s="65">
        <f t="shared" ref="AA150:AJ150" si="83">((Z40*3.41*4.5%)+(Z41*2.89*4.5%))+((AA7+AA8)*0.03*5.5%)</f>
        <v>92346.809234633241</v>
      </c>
      <c r="AB150" s="65">
        <f t="shared" si="83"/>
        <v>99781.857988232485</v>
      </c>
      <c r="AC150" s="65">
        <f t="shared" si="83"/>
        <v>98342.259619725315</v>
      </c>
      <c r="AD150" s="65">
        <f t="shared" si="83"/>
        <v>109767.43749317218</v>
      </c>
      <c r="AE150" s="65">
        <f t="shared" si="83"/>
        <v>107255.55771573244</v>
      </c>
      <c r="AF150" s="65">
        <f t="shared" si="83"/>
        <v>101412.61734076208</v>
      </c>
      <c r="AG150" s="65">
        <f t="shared" si="83"/>
        <v>103220.66662682997</v>
      </c>
      <c r="AH150" s="65">
        <f t="shared" si="83"/>
        <v>100253.42269257098</v>
      </c>
      <c r="AI150" s="65">
        <f t="shared" si="83"/>
        <v>98680.419277092005</v>
      </c>
      <c r="AJ150" s="65">
        <f t="shared" si="83"/>
        <v>98831.12704194714</v>
      </c>
      <c r="AK150" s="65">
        <f t="shared" si="58"/>
        <v>1188190.3156006099</v>
      </c>
      <c r="AL150" s="73">
        <f t="shared" si="32"/>
        <v>9.5087553067883922E-3</v>
      </c>
      <c r="AM150" s="14">
        <f t="shared" si="78"/>
        <v>2.5854833559919355E-2</v>
      </c>
    </row>
    <row r="151" spans="9:39" ht="15" collapsed="1">
      <c r="I151" s="121" t="s">
        <v>264</v>
      </c>
      <c r="J151" s="15">
        <v>85516</v>
      </c>
      <c r="K151" s="15">
        <v>86993</v>
      </c>
      <c r="L151" s="15">
        <v>88569</v>
      </c>
      <c r="M151" s="15">
        <v>85916</v>
      </c>
      <c r="N151" s="15">
        <v>85588</v>
      </c>
      <c r="O151" s="15">
        <v>84507</v>
      </c>
      <c r="P151" s="15">
        <v>88004</v>
      </c>
      <c r="Q151" s="15">
        <v>86813</v>
      </c>
      <c r="R151" s="15">
        <v>85770</v>
      </c>
      <c r="S151" s="15">
        <f t="shared" ref="R151:U151" si="84">SUM(S152:S158)</f>
        <v>85523.343826666693</v>
      </c>
      <c r="T151" s="15">
        <f t="shared" si="84"/>
        <v>85324.566048888912</v>
      </c>
      <c r="U151" s="15">
        <f t="shared" si="84"/>
        <v>85682.529011851875</v>
      </c>
      <c r="V151" s="15">
        <f t="shared" ref="V151" si="85">SUM(V152:V158)</f>
        <v>1034205.4388874073</v>
      </c>
      <c r="W151" s="72">
        <f t="shared" si="30"/>
        <v>8.8503023328782224E-3</v>
      </c>
      <c r="X151" s="89"/>
      <c r="Y151" s="15">
        <f>SUM(Y152:Y158)</f>
        <v>85916.149199999985</v>
      </c>
      <c r="Z151" s="15">
        <f t="shared" ref="Z151:AJ151" si="86">SUM(Z152:Z158)</f>
        <v>87118.611399999994</v>
      </c>
      <c r="AA151" s="15">
        <f t="shared" si="86"/>
        <v>88659.134299999991</v>
      </c>
      <c r="AB151" s="15">
        <f t="shared" si="86"/>
        <v>88432.050199999998</v>
      </c>
      <c r="AC151" s="15">
        <f t="shared" si="86"/>
        <v>86021.712299999985</v>
      </c>
      <c r="AD151" s="15">
        <f t="shared" si="86"/>
        <v>84641.311599999986</v>
      </c>
      <c r="AE151" s="15">
        <f t="shared" si="86"/>
        <v>88244.215199999991</v>
      </c>
      <c r="AF151" s="15">
        <f t="shared" si="86"/>
        <v>87071.412899999996</v>
      </c>
      <c r="AG151" s="15">
        <f t="shared" si="86"/>
        <v>83862.359400000001</v>
      </c>
      <c r="AH151" s="15">
        <f t="shared" si="86"/>
        <v>85659.706326666666</v>
      </c>
      <c r="AI151" s="15">
        <f t="shared" si="86"/>
        <v>85453.635982222229</v>
      </c>
      <c r="AJ151" s="15">
        <f t="shared" si="86"/>
        <v>85824.459622962953</v>
      </c>
      <c r="AK151" s="15">
        <f t="shared" ref="AK151" si="87">SUM(AK152:AK158)</f>
        <v>1036904.7584318517</v>
      </c>
      <c r="AL151" s="72">
        <f t="shared" si="32"/>
        <v>8.2980592375802281E-3</v>
      </c>
      <c r="AM151" s="10">
        <f t="shared" si="78"/>
        <v>2.6100419152197407E-3</v>
      </c>
    </row>
    <row r="152" spans="9:39" ht="15" hidden="1" outlineLevel="1">
      <c r="I152" s="213" t="s">
        <v>265</v>
      </c>
      <c r="J152" s="67">
        <v>0</v>
      </c>
      <c r="K152" s="67">
        <v>0</v>
      </c>
      <c r="L152" s="67">
        <v>0</v>
      </c>
      <c r="M152" s="67">
        <v>0</v>
      </c>
      <c r="N152" s="67">
        <v>0</v>
      </c>
      <c r="O152" s="67">
        <v>0</v>
      </c>
      <c r="P152" s="67">
        <v>0</v>
      </c>
      <c r="Q152" s="67">
        <v>0</v>
      </c>
      <c r="R152" s="67">
        <v>0</v>
      </c>
      <c r="S152" s="67"/>
      <c r="T152" s="67"/>
      <c r="U152" s="67"/>
      <c r="V152" s="65">
        <f t="shared" ref="V152:V158" si="88">SUM(J152:U152)</f>
        <v>0</v>
      </c>
      <c r="W152" s="73">
        <f t="shared" si="30"/>
        <v>0</v>
      </c>
      <c r="X152" s="89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5">
        <f t="shared" si="58"/>
        <v>0</v>
      </c>
      <c r="AL152" s="73">
        <f t="shared" si="32"/>
        <v>0</v>
      </c>
      <c r="AM152" s="14">
        <f t="shared" si="78"/>
        <v>0</v>
      </c>
    </row>
    <row r="153" spans="9:39" ht="15" hidden="1" outlineLevel="1">
      <c r="I153" s="137" t="s">
        <v>292</v>
      </c>
      <c r="J153" s="67">
        <v>0</v>
      </c>
      <c r="K153" s="67">
        <v>0</v>
      </c>
      <c r="L153" s="67">
        <v>0</v>
      </c>
      <c r="M153" s="67">
        <v>0</v>
      </c>
      <c r="N153" s="67">
        <v>0</v>
      </c>
      <c r="O153" s="67">
        <v>0</v>
      </c>
      <c r="P153" s="67">
        <v>0</v>
      </c>
      <c r="Q153" s="67">
        <v>0</v>
      </c>
      <c r="R153" s="67">
        <v>0</v>
      </c>
      <c r="S153" s="67"/>
      <c r="T153" s="67"/>
      <c r="U153" s="67"/>
      <c r="V153" s="65">
        <f t="shared" si="88"/>
        <v>0</v>
      </c>
      <c r="W153" s="73">
        <f t="shared" si="30"/>
        <v>0</v>
      </c>
      <c r="X153" s="89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5">
        <f t="shared" si="58"/>
        <v>0</v>
      </c>
      <c r="AL153" s="73">
        <f t="shared" si="32"/>
        <v>0</v>
      </c>
      <c r="AM153" s="14">
        <f t="shared" si="78"/>
        <v>0</v>
      </c>
    </row>
    <row r="154" spans="9:39" ht="15" hidden="1" outlineLevel="1">
      <c r="I154" s="213" t="s">
        <v>266</v>
      </c>
      <c r="J154" s="65">
        <v>8050</v>
      </c>
      <c r="K154" s="65">
        <v>7222</v>
      </c>
      <c r="L154" s="65">
        <v>6926</v>
      </c>
      <c r="M154" s="65">
        <v>7060</v>
      </c>
      <c r="N154" s="65">
        <v>7706</v>
      </c>
      <c r="O154" s="65">
        <v>8024</v>
      </c>
      <c r="P154" s="65">
        <v>9460</v>
      </c>
      <c r="Q154" s="65">
        <v>8487</v>
      </c>
      <c r="R154" s="225">
        <v>9827</v>
      </c>
      <c r="S154" s="225">
        <f t="shared" ref="S154" si="89">+AVERAGE(P154:R154)</f>
        <v>9258</v>
      </c>
      <c r="T154" s="225">
        <f t="shared" ref="T154" si="90">+AVERAGE(Q154:S154)</f>
        <v>9190.6666666666661</v>
      </c>
      <c r="U154" s="225">
        <f t="shared" ref="U154" si="91">+AVERAGE(R154:T154)</f>
        <v>9425.2222222222208</v>
      </c>
      <c r="V154" s="65">
        <f t="shared" si="88"/>
        <v>100635.88888888889</v>
      </c>
      <c r="W154" s="73">
        <f t="shared" si="30"/>
        <v>8.6120030770943552E-4</v>
      </c>
      <c r="X154" s="89"/>
      <c r="Y154" s="65">
        <f>VLOOKUP($E$1,[8]Resumen!$V$104:$AH$110,Y1,0)</f>
        <v>8332.5549999999985</v>
      </c>
      <c r="Z154" s="65">
        <f>VLOOKUP($E$1,[8]Resumen!$V$104:$AH$110,Z1,0)</f>
        <v>7475.4921999999997</v>
      </c>
      <c r="AA154" s="65">
        <f>VLOOKUP($E$1,[8]Resumen!$V$104:$AH$110,AA1,0)</f>
        <v>7169.1025999999993</v>
      </c>
      <c r="AB154" s="65">
        <f>VLOOKUP($E$1,[8]Resumen!$V$104:$AH$110,AB1,0)</f>
        <v>7307.8059999999996</v>
      </c>
      <c r="AC154" s="65">
        <f>VLOOKUP($E$1,[8]Resumen!$V$104:$AH$110,AC1,0)</f>
        <v>7976.480599999999</v>
      </c>
      <c r="AD154" s="65">
        <f>VLOOKUP($E$1,[8]Resumen!$V$104:$AH$110,AD1,0)</f>
        <v>8305.6423999999988</v>
      </c>
      <c r="AE154" s="65">
        <f>VLOOKUP($E$1,[8]Resumen!$V$104:$AH$110,AE1,0)</f>
        <v>9792.0459999999985</v>
      </c>
      <c r="AF154" s="65">
        <f>VLOOKUP($E$1,[8]Resumen!$V$104:$AH$110,AF1,0)</f>
        <v>8784.8936999999987</v>
      </c>
      <c r="AG154" s="65">
        <f>VLOOKUP($E$1,[8]Resumen!$V$104:$AH$110,AG1,0)</f>
        <v>10171.927699999998</v>
      </c>
      <c r="AH154" s="65">
        <f>VLOOKUP($E$1,[8]Resumen!$V$104:$AH$110,AH1,0)</f>
        <v>9582.9557999999997</v>
      </c>
      <c r="AI154" s="65">
        <f>VLOOKUP($E$1,[8]Resumen!$V$104:$AH$110,AI1,0)</f>
        <v>9513.2590666666656</v>
      </c>
      <c r="AJ154" s="65">
        <f>VLOOKUP($E$1,[8]Resumen!$V$104:$AH$110,AJ1,0)</f>
        <v>9756.0475222222194</v>
      </c>
      <c r="AK154" s="65">
        <f t="shared" si="58"/>
        <v>104168.20858888887</v>
      </c>
      <c r="AL154" s="73">
        <f t="shared" si="32"/>
        <v>8.3362908552032044E-4</v>
      </c>
      <c r="AM154" s="14">
        <f t="shared" si="78"/>
        <v>3.5099999999999687E-2</v>
      </c>
    </row>
    <row r="155" spans="9:39" ht="15" hidden="1" outlineLevel="1">
      <c r="I155" s="213" t="s">
        <v>267</v>
      </c>
      <c r="J155" s="65">
        <v>73902</v>
      </c>
      <c r="K155" s="65">
        <v>76113</v>
      </c>
      <c r="L155" s="65">
        <v>76330</v>
      </c>
      <c r="M155" s="65">
        <v>76069</v>
      </c>
      <c r="N155" s="65">
        <v>73101</v>
      </c>
      <c r="O155" s="65">
        <v>71573</v>
      </c>
      <c r="P155" s="65">
        <v>71573</v>
      </c>
      <c r="Q155" s="65">
        <v>69959</v>
      </c>
      <c r="R155" s="65">
        <v>69377</v>
      </c>
      <c r="S155" s="65">
        <v>71874.677160000021</v>
      </c>
      <c r="T155" s="65">
        <v>71874.677160000021</v>
      </c>
      <c r="U155" s="65">
        <v>71874.677160000021</v>
      </c>
      <c r="V155" s="65">
        <f t="shared" si="88"/>
        <v>873621.03147999989</v>
      </c>
      <c r="W155" s="73">
        <f t="shared" si="30"/>
        <v>7.4760874022058547E-3</v>
      </c>
      <c r="X155" s="89"/>
      <c r="Y155" s="65">
        <f>VLOOKUP($E$1,[5]Resumen!$V$32:$AH$38,Y1,0)</f>
        <v>73902</v>
      </c>
      <c r="Z155" s="65">
        <f>VLOOKUP($E$1,[5]Resumen!$V$32:$AH$38,Z1,0)</f>
        <v>76113</v>
      </c>
      <c r="AA155" s="65">
        <f>VLOOKUP($E$1,[5]Resumen!$V$32:$AH$38,AA1,0)</f>
        <v>76330</v>
      </c>
      <c r="AB155" s="65">
        <f>VLOOKUP($E$1,[5]Resumen!$V$32:$AH$38,AB1,0)</f>
        <v>76069</v>
      </c>
      <c r="AC155" s="65">
        <f>VLOOKUP($E$1,[5]Resumen!$V$32:$AH$38,AC1,0)</f>
        <v>73101</v>
      </c>
      <c r="AD155" s="65">
        <f>VLOOKUP($E$1,[5]Resumen!$V$32:$AH$38,AD1,0)</f>
        <v>71573</v>
      </c>
      <c r="AE155" s="65">
        <f>VLOOKUP($E$1,[5]Resumen!$V$32:$AH$38,AE1,0)</f>
        <v>71573</v>
      </c>
      <c r="AF155" s="65">
        <f>VLOOKUP($E$1,[5]Resumen!$V$32:$AH$38,AF1,0)</f>
        <v>69959</v>
      </c>
      <c r="AG155" s="65">
        <f>VLOOKUP($E$1,[5]Resumen!$V$32:$AH$38,AG1,0)</f>
        <v>69377</v>
      </c>
      <c r="AH155" s="65">
        <f>VLOOKUP($E$1,[5]Resumen!$V$32:$AH$38,AH1,0)</f>
        <v>71874.677160000007</v>
      </c>
      <c r="AI155" s="65">
        <f>VLOOKUP($E$1,[5]Resumen!$V$32:$AH$38,AI1,0)</f>
        <v>71874.677160000007</v>
      </c>
      <c r="AJ155" s="65">
        <f>VLOOKUP($E$1,[5]Resumen!$V$32:$AH$38,AJ1,0)</f>
        <v>71874.677160000007</v>
      </c>
      <c r="AK155" s="65">
        <f t="shared" si="58"/>
        <v>873621.03147999989</v>
      </c>
      <c r="AL155" s="73">
        <f t="shared" si="32"/>
        <v>6.9913451659537624E-3</v>
      </c>
      <c r="AM155" s="14">
        <f t="shared" si="78"/>
        <v>0</v>
      </c>
    </row>
    <row r="156" spans="9:39" ht="15" hidden="1" outlineLevel="1">
      <c r="I156" s="213" t="s">
        <v>269</v>
      </c>
      <c r="J156" s="65">
        <v>1187</v>
      </c>
      <c r="K156" s="65">
        <v>1041</v>
      </c>
      <c r="L156" s="65">
        <v>2612</v>
      </c>
      <c r="M156" s="65">
        <v>2511</v>
      </c>
      <c r="N156" s="65">
        <v>2404</v>
      </c>
      <c r="O156" s="65">
        <v>2229</v>
      </c>
      <c r="P156" s="65">
        <v>4269</v>
      </c>
      <c r="Q156" s="65">
        <v>5665</v>
      </c>
      <c r="R156" s="225">
        <v>1796</v>
      </c>
      <c r="S156" s="225">
        <f>+AVERAGE(R156,O156,K156)</f>
        <v>1688.6666666666667</v>
      </c>
      <c r="T156" s="225">
        <f>+AVERAGE(R156:S156,J156)</f>
        <v>1557.2222222222224</v>
      </c>
      <c r="U156" s="225">
        <f t="shared" ref="U156" si="92">+AVERAGE(R156:T156)</f>
        <v>1680.6296296296298</v>
      </c>
      <c r="V156" s="65">
        <f t="shared" si="88"/>
        <v>28640.518518518522</v>
      </c>
      <c r="W156" s="73">
        <f t="shared" si="30"/>
        <v>2.4509370994217156E-4</v>
      </c>
      <c r="X156" s="89"/>
      <c r="Y156" s="65">
        <f>J156*1.0375</f>
        <v>1231.5125</v>
      </c>
      <c r="Z156" s="65">
        <f t="shared" ref="Z156:AJ156" si="93">K156*1.0375</f>
        <v>1080.0375000000001</v>
      </c>
      <c r="AA156" s="65">
        <f t="shared" si="93"/>
        <v>2709.9500000000003</v>
      </c>
      <c r="AB156" s="65">
        <f t="shared" si="93"/>
        <v>2605.1625000000004</v>
      </c>
      <c r="AC156" s="65">
        <f t="shared" si="93"/>
        <v>2494.15</v>
      </c>
      <c r="AD156" s="65">
        <f t="shared" si="93"/>
        <v>2312.5875000000001</v>
      </c>
      <c r="AE156" s="65">
        <f t="shared" si="93"/>
        <v>4429.0875000000005</v>
      </c>
      <c r="AF156" s="65">
        <f t="shared" si="93"/>
        <v>5877.4375000000009</v>
      </c>
      <c r="AG156" s="65">
        <f t="shared" si="93"/>
        <v>1863.3500000000001</v>
      </c>
      <c r="AH156" s="65">
        <f t="shared" si="93"/>
        <v>1751.9916666666668</v>
      </c>
      <c r="AI156" s="65">
        <f t="shared" si="93"/>
        <v>1615.6180555555559</v>
      </c>
      <c r="AJ156" s="65">
        <f t="shared" si="93"/>
        <v>1743.653240740741</v>
      </c>
      <c r="AK156" s="65">
        <f t="shared" si="58"/>
        <v>29714.537962962957</v>
      </c>
      <c r="AL156" s="73">
        <f t="shared" si="32"/>
        <v>2.3779714986253348E-4</v>
      </c>
      <c r="AM156" s="14">
        <f t="shared" si="78"/>
        <v>3.7499999999999645E-2</v>
      </c>
    </row>
    <row r="157" spans="9:39" ht="15" hidden="1" outlineLevel="1">
      <c r="I157" s="213"/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/>
      <c r="Q157" s="65">
        <v>0</v>
      </c>
      <c r="R157" s="65">
        <v>0</v>
      </c>
      <c r="S157" s="65"/>
      <c r="T157" s="65"/>
      <c r="U157" s="65"/>
      <c r="V157" s="65">
        <f t="shared" si="88"/>
        <v>0</v>
      </c>
      <c r="W157" s="73">
        <f t="shared" si="30"/>
        <v>0</v>
      </c>
      <c r="X157" s="89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>
        <f t="shared" si="58"/>
        <v>0</v>
      </c>
      <c r="AL157" s="73">
        <f t="shared" si="32"/>
        <v>0</v>
      </c>
      <c r="AM157" s="14">
        <f t="shared" si="78"/>
        <v>0</v>
      </c>
    </row>
    <row r="158" spans="9:39" ht="15" hidden="1" outlineLevel="1">
      <c r="I158" s="213" t="s">
        <v>270</v>
      </c>
      <c r="J158" s="67">
        <v>2376</v>
      </c>
      <c r="K158" s="67">
        <v>2618</v>
      </c>
      <c r="L158" s="67">
        <v>2702</v>
      </c>
      <c r="M158" s="67">
        <v>276</v>
      </c>
      <c r="N158" s="67">
        <v>2376</v>
      </c>
      <c r="O158" s="67">
        <v>2681</v>
      </c>
      <c r="P158" s="67">
        <v>2702</v>
      </c>
      <c r="Q158" s="67">
        <v>2702</v>
      </c>
      <c r="R158" s="225">
        <v>4769</v>
      </c>
      <c r="S158" s="225">
        <v>2702</v>
      </c>
      <c r="T158" s="225">
        <v>2702</v>
      </c>
      <c r="U158" s="225">
        <v>2702</v>
      </c>
      <c r="V158" s="65">
        <f t="shared" si="88"/>
        <v>31308</v>
      </c>
      <c r="W158" s="73">
        <f>V158/V$6</f>
        <v>2.6792091302076137E-4</v>
      </c>
      <c r="X158" s="89"/>
      <c r="Y158" s="67">
        <f>VLOOKUP($E$1,[19]Resumen!$V$8:$AH$14,Y1,0)</f>
        <v>2450.0816999999997</v>
      </c>
      <c r="Z158" s="67">
        <f>VLOOKUP($E$1,[19]Resumen!$V$8:$AH$14,Z1,0)</f>
        <v>2450.0816999999997</v>
      </c>
      <c r="AA158" s="67">
        <f>VLOOKUP($E$1,[19]Resumen!$V$8:$AH$14,AA1,0)</f>
        <v>2450.0816999999997</v>
      </c>
      <c r="AB158" s="67">
        <f>VLOOKUP($E$1,[19]Resumen!$V$8:$AH$14,AB1,0)</f>
        <v>2450.0816999999997</v>
      </c>
      <c r="AC158" s="67">
        <f>VLOOKUP($E$1,[19]Resumen!$V$8:$AH$14,AC1,0)</f>
        <v>2450.0816999999997</v>
      </c>
      <c r="AD158" s="67">
        <f>VLOOKUP($E$1,[19]Resumen!$V$8:$AH$14,AD1,0)</f>
        <v>2450.0816999999997</v>
      </c>
      <c r="AE158" s="67">
        <f>VLOOKUP($E$1,[19]Resumen!$V$8:$AH$14,AE1,0)</f>
        <v>2450.0816999999997</v>
      </c>
      <c r="AF158" s="67">
        <f>VLOOKUP($E$1,[19]Resumen!$V$8:$AH$14,AF1,0)</f>
        <v>2450.0816999999997</v>
      </c>
      <c r="AG158" s="67">
        <f>VLOOKUP($E$1,[19]Resumen!$V$8:$AH$14,AG1,0)</f>
        <v>2450.0816999999997</v>
      </c>
      <c r="AH158" s="67">
        <f>VLOOKUP($E$1,[19]Resumen!$V$8:$AH$14,AH1,0)</f>
        <v>2450.0816999999997</v>
      </c>
      <c r="AI158" s="67">
        <f>VLOOKUP($E$1,[19]Resumen!$V$8:$AH$14,AI1,0)</f>
        <v>2450.0816999999997</v>
      </c>
      <c r="AJ158" s="67">
        <f>VLOOKUP($E$1,[19]Resumen!$V$8:$AH$14,AJ1,0)</f>
        <v>2450.0816999999997</v>
      </c>
      <c r="AK158" s="65">
        <f t="shared" si="58"/>
        <v>29400.980399999989</v>
      </c>
      <c r="AL158" s="73">
        <f>AK158/AK$6</f>
        <v>2.3528783624361156E-4</v>
      </c>
      <c r="AM158" s="14">
        <f>IFERROR(AK158/V158-1,0)</f>
        <v>-6.0911575316213495E-2</v>
      </c>
    </row>
    <row r="159" spans="9:39" ht="15" collapsed="1">
      <c r="I159" s="121" t="s">
        <v>466</v>
      </c>
      <c r="J159" s="15">
        <f t="shared" ref="J159:V159" si="94">SUM(J160)</f>
        <v>45604.403570604823</v>
      </c>
      <c r="K159" s="15">
        <f t="shared" si="94"/>
        <v>48458.416712894483</v>
      </c>
      <c r="L159" s="15">
        <f t="shared" si="94"/>
        <v>55577.006039688058</v>
      </c>
      <c r="M159" s="15">
        <f t="shared" si="94"/>
        <v>51104.233561466332</v>
      </c>
      <c r="N159" s="15">
        <f t="shared" si="94"/>
        <v>57840.643449728232</v>
      </c>
      <c r="O159" s="15">
        <f t="shared" si="94"/>
        <v>57221.756760058786</v>
      </c>
      <c r="P159" s="15">
        <f t="shared" si="94"/>
        <v>62322.698565249477</v>
      </c>
      <c r="Q159" s="15">
        <f t="shared" si="94"/>
        <v>51887.95336775441</v>
      </c>
      <c r="R159" s="15">
        <f t="shared" si="94"/>
        <v>61740.544597465276</v>
      </c>
      <c r="S159" s="15">
        <f t="shared" si="94"/>
        <v>62638.30823343317</v>
      </c>
      <c r="T159" s="15">
        <f t="shared" si="94"/>
        <v>58755.602066217616</v>
      </c>
      <c r="U159" s="15">
        <f t="shared" si="94"/>
        <v>61044.818299038685</v>
      </c>
      <c r="V159" s="15">
        <f t="shared" si="94"/>
        <v>674196.38522359927</v>
      </c>
      <c r="W159" s="72">
        <f t="shared" ref="W159:W160" si="95">V159/V$6</f>
        <v>5.7694937742558986E-3</v>
      </c>
      <c r="X159" s="89"/>
      <c r="Y159" s="15">
        <f t="shared" ref="Y159:AK159" si="96">SUM(Y160)</f>
        <v>47314.568704502512</v>
      </c>
      <c r="Z159" s="15">
        <f t="shared" si="96"/>
        <v>50275.607339628034</v>
      </c>
      <c r="AA159" s="15">
        <f t="shared" si="96"/>
        <v>57661.143766176363</v>
      </c>
      <c r="AB159" s="15">
        <f t="shared" si="96"/>
        <v>53020.642320021325</v>
      </c>
      <c r="AC159" s="15">
        <f t="shared" si="96"/>
        <v>60009.667579093046</v>
      </c>
      <c r="AD159" s="15">
        <f t="shared" si="96"/>
        <v>59367.572638560996</v>
      </c>
      <c r="AE159" s="15">
        <f t="shared" si="96"/>
        <v>64659.799761446338</v>
      </c>
      <c r="AF159" s="15">
        <f t="shared" si="96"/>
        <v>53833.751619045208</v>
      </c>
      <c r="AG159" s="15">
        <f t="shared" si="96"/>
        <v>64055.815019870228</v>
      </c>
      <c r="AH159" s="15">
        <f t="shared" si="96"/>
        <v>64987.244792186917</v>
      </c>
      <c r="AI159" s="15">
        <f t="shared" si="96"/>
        <v>60958.937143700779</v>
      </c>
      <c r="AJ159" s="15">
        <f t="shared" si="96"/>
        <v>63333.998985252641</v>
      </c>
      <c r="AK159" s="15">
        <f t="shared" si="96"/>
        <v>699478.74966948444</v>
      </c>
      <c r="AL159" s="72">
        <f t="shared" ref="AL159:AL160" si="97">AK159/AK$6</f>
        <v>5.5977331119243861E-3</v>
      </c>
      <c r="AM159" s="10">
        <f t="shared" ref="AM159:AM160" si="98">IFERROR(AK159/V159-1,0)</f>
        <v>3.7500000000000311E-2</v>
      </c>
    </row>
    <row r="160" spans="9:39" ht="15" hidden="1" outlineLevel="1">
      <c r="I160" s="251" t="s">
        <v>328</v>
      </c>
      <c r="J160" s="65">
        <v>45604.403570604823</v>
      </c>
      <c r="K160" s="65">
        <v>48458.416712894483</v>
      </c>
      <c r="L160" s="65">
        <v>55577.006039688058</v>
      </c>
      <c r="M160" s="65">
        <v>51104.233561466332</v>
      </c>
      <c r="N160" s="65">
        <v>57840.643449728232</v>
      </c>
      <c r="O160" s="65">
        <v>57221.756760058786</v>
      </c>
      <c r="P160" s="65">
        <v>62322.698565249477</v>
      </c>
      <c r="Q160" s="65">
        <v>51887.95336775441</v>
      </c>
      <c r="R160" s="65">
        <v>61740.544597465276</v>
      </c>
      <c r="S160" s="65">
        <v>62638.30823343317</v>
      </c>
      <c r="T160" s="65">
        <v>58755.602066217616</v>
      </c>
      <c r="U160" s="65">
        <v>61044.818299038685</v>
      </c>
      <c r="V160" s="65">
        <f t="shared" ref="V160" si="99">SUM(J160:U160)</f>
        <v>674196.38522359927</v>
      </c>
      <c r="W160" s="73">
        <f t="shared" si="95"/>
        <v>5.7694937742558986E-3</v>
      </c>
      <c r="X160" s="89"/>
      <c r="Y160" s="65">
        <f>VLOOKUP($E$1,[8]Resumen!$V$8:$AH$14,Y1,0)</f>
        <v>47314.568704502512</v>
      </c>
      <c r="Z160" s="65">
        <f>VLOOKUP($E$1,[8]Resumen!$V$8:$AH$14,Z1,0)</f>
        <v>50275.607339628034</v>
      </c>
      <c r="AA160" s="65">
        <f>VLOOKUP($E$1,[8]Resumen!$V$8:$AH$14,AA1,0)</f>
        <v>57661.143766176363</v>
      </c>
      <c r="AB160" s="65">
        <f>VLOOKUP($E$1,[8]Resumen!$V$8:$AH$14,AB1,0)</f>
        <v>53020.642320021325</v>
      </c>
      <c r="AC160" s="65">
        <f>VLOOKUP($E$1,[8]Resumen!$V$8:$AH$14,AC1,0)</f>
        <v>60009.667579093046</v>
      </c>
      <c r="AD160" s="65">
        <f>VLOOKUP($E$1,[8]Resumen!$V$8:$AH$14,AD1,0)</f>
        <v>59367.572638560996</v>
      </c>
      <c r="AE160" s="65">
        <f>VLOOKUP($E$1,[8]Resumen!$V$8:$AH$14,AE1,0)</f>
        <v>64659.799761446338</v>
      </c>
      <c r="AF160" s="65">
        <f>VLOOKUP($E$1,[8]Resumen!$V$8:$AH$14,AF1,0)</f>
        <v>53833.751619045208</v>
      </c>
      <c r="AG160" s="65">
        <f>VLOOKUP($E$1,[8]Resumen!$V$8:$AH$14,AG1,0)</f>
        <v>64055.815019870228</v>
      </c>
      <c r="AH160" s="65">
        <f>VLOOKUP($E$1,[8]Resumen!$V$8:$AH$14,AH1,0)</f>
        <v>64987.244792186917</v>
      </c>
      <c r="AI160" s="65">
        <f>VLOOKUP($E$1,[8]Resumen!$V$8:$AH$14,AI1,0)</f>
        <v>60958.937143700779</v>
      </c>
      <c r="AJ160" s="65">
        <f>VLOOKUP($E$1,[8]Resumen!$V$8:$AH$14,AJ1,0)</f>
        <v>63333.998985252641</v>
      </c>
      <c r="AK160" s="65">
        <f t="shared" ref="AK159:AK160" si="100">SUM(Y160:AJ160)</f>
        <v>699478.74966948444</v>
      </c>
      <c r="AL160" s="73">
        <f t="shared" si="97"/>
        <v>5.5977331119243861E-3</v>
      </c>
      <c r="AM160" s="14">
        <f t="shared" si="98"/>
        <v>3.7500000000000311E-2</v>
      </c>
    </row>
    <row r="161" spans="9:39" ht="15">
      <c r="I161" s="28" t="s">
        <v>271</v>
      </c>
      <c r="J161" s="27">
        <v>712058</v>
      </c>
      <c r="K161" s="27">
        <v>585322</v>
      </c>
      <c r="L161" s="27">
        <v>683221</v>
      </c>
      <c r="M161" s="27">
        <v>658512</v>
      </c>
      <c r="N161" s="27">
        <v>714966</v>
      </c>
      <c r="O161" s="27">
        <v>622353</v>
      </c>
      <c r="P161" s="27">
        <v>722624</v>
      </c>
      <c r="Q161" s="27">
        <v>746769</v>
      </c>
      <c r="R161" s="27">
        <v>592149</v>
      </c>
      <c r="S161" s="27">
        <f t="shared" ref="R161:U161" si="101">S50+S92+S109+S114+S151</f>
        <v>706280.44564304582</v>
      </c>
      <c r="T161" s="27">
        <f t="shared" si="101"/>
        <v>697212.96506333351</v>
      </c>
      <c r="U161" s="27">
        <f t="shared" si="101"/>
        <v>655840.91777358786</v>
      </c>
      <c r="V161" s="27">
        <f>V50+V92+V109+V114+V151</f>
        <v>8097312.3284799671</v>
      </c>
      <c r="W161" s="76">
        <f t="shared" si="30"/>
        <v>6.9293449343957453E-2</v>
      </c>
      <c r="X161" s="89"/>
      <c r="Y161" s="27">
        <f t="shared" ref="Y161:AJ161" si="102">Y50+Y92+Y109+Y114+Y151+Y159</f>
        <v>777841.8593318155</v>
      </c>
      <c r="Z161" s="27">
        <f t="shared" si="102"/>
        <v>749033.99682492227</v>
      </c>
      <c r="AA161" s="27">
        <f t="shared" si="102"/>
        <v>788534.81742331688</v>
      </c>
      <c r="AB161" s="27">
        <f t="shared" si="102"/>
        <v>726579.64844936738</v>
      </c>
      <c r="AC161" s="27">
        <f t="shared" si="102"/>
        <v>753404.65770826256</v>
      </c>
      <c r="AD161" s="27">
        <f t="shared" si="102"/>
        <v>749413.65955714264</v>
      </c>
      <c r="AE161" s="27">
        <f t="shared" si="102"/>
        <v>808651.87221210764</v>
      </c>
      <c r="AF161" s="27">
        <f t="shared" si="102"/>
        <v>783350.6012630784</v>
      </c>
      <c r="AG161" s="27">
        <f t="shared" si="102"/>
        <v>776459.07604636252</v>
      </c>
      <c r="AH161" s="27">
        <f t="shared" si="102"/>
        <v>781840.13596355345</v>
      </c>
      <c r="AI161" s="27">
        <f t="shared" si="102"/>
        <v>773814.90173054021</v>
      </c>
      <c r="AJ161" s="27">
        <f>AJ50+AJ92+AJ109+AJ114+AJ151+AJ159</f>
        <v>759434.02524590376</v>
      </c>
      <c r="AK161" s="27">
        <f>AK50+AK92+AK109+AK114+AK151+AK159</f>
        <v>9228359.2517563738</v>
      </c>
      <c r="AL161" s="76">
        <f t="shared" si="32"/>
        <v>7.3851982174868977E-2</v>
      </c>
      <c r="AM161" s="10">
        <f t="shared" si="78"/>
        <v>0.13968177061643949</v>
      </c>
    </row>
    <row r="162" spans="9:39" ht="15">
      <c r="I162" s="26" t="s">
        <v>272</v>
      </c>
      <c r="J162" s="17">
        <v>1.45</v>
      </c>
      <c r="K162" s="17">
        <v>1.1599999999999999</v>
      </c>
      <c r="L162" s="17">
        <v>1.24</v>
      </c>
      <c r="M162" s="17">
        <v>1.25</v>
      </c>
      <c r="N162" s="17">
        <v>1.18</v>
      </c>
      <c r="O162" s="17">
        <v>1.03</v>
      </c>
      <c r="P162" s="17">
        <v>1.29</v>
      </c>
      <c r="Q162" s="17">
        <v>1.48</v>
      </c>
      <c r="R162" s="17">
        <v>1.21</v>
      </c>
      <c r="S162" s="17">
        <v>1.3107680512030258</v>
      </c>
      <c r="T162" s="17">
        <v>1.3089252036996446</v>
      </c>
      <c r="U162" s="17">
        <v>1.2697962264315457</v>
      </c>
      <c r="V162" s="17">
        <f>IFERROR(V161/V39,0)</f>
        <v>1.2597105482073063</v>
      </c>
      <c r="W162" s="73">
        <f t="shared" si="30"/>
        <v>1.0780081775187982E-8</v>
      </c>
      <c r="X162" s="89"/>
      <c r="Y162" s="17">
        <f t="shared" ref="Y162:AK162" si="103">IFERROR(Y161/Y39,0)</f>
        <v>1.5567423034299634</v>
      </c>
      <c r="Z162" s="17">
        <f t="shared" si="103"/>
        <v>1.4650057440188275</v>
      </c>
      <c r="AA162" s="17">
        <f t="shared" si="103"/>
        <v>1.3992526128106557</v>
      </c>
      <c r="AB162" s="17">
        <f t="shared" si="103"/>
        <v>1.351846511910141</v>
      </c>
      <c r="AC162" s="17">
        <f t="shared" si="103"/>
        <v>1.221283097488495</v>
      </c>
      <c r="AD162" s="17">
        <f t="shared" si="103"/>
        <v>1.222329134838914</v>
      </c>
      <c r="AE162" s="17">
        <f t="shared" si="103"/>
        <v>1.4231391743156359</v>
      </c>
      <c r="AF162" s="17">
        <f t="shared" si="103"/>
        <v>1.3611297729217804</v>
      </c>
      <c r="AG162" s="17">
        <f t="shared" si="103"/>
        <v>1.3920924908139689</v>
      </c>
      <c r="AH162" s="17">
        <f t="shared" si="103"/>
        <v>1.4295198353769776</v>
      </c>
      <c r="AI162" s="17">
        <f t="shared" si="103"/>
        <v>1.4085060289568923</v>
      </c>
      <c r="AJ162" s="17">
        <f t="shared" si="103"/>
        <v>1.4257602059992336</v>
      </c>
      <c r="AK162" s="17">
        <f t="shared" si="103"/>
        <v>1.3830613431203505</v>
      </c>
      <c r="AL162" s="73">
        <f t="shared" si="32"/>
        <v>1.1068253724456434E-8</v>
      </c>
      <c r="AM162" s="16">
        <f t="shared" si="78"/>
        <v>9.7919950808211143E-2</v>
      </c>
    </row>
    <row r="163" spans="9:39" ht="15">
      <c r="I163" s="26" t="s">
        <v>273</v>
      </c>
      <c r="J163" s="17">
        <v>1.45</v>
      </c>
      <c r="K163" s="17">
        <v>1.1599999999999999</v>
      </c>
      <c r="L163" s="17">
        <v>1.24</v>
      </c>
      <c r="M163" s="17">
        <v>1.25</v>
      </c>
      <c r="N163" s="17">
        <v>1.18</v>
      </c>
      <c r="O163" s="17">
        <v>1.03</v>
      </c>
      <c r="P163" s="17">
        <v>1.29</v>
      </c>
      <c r="Q163" s="17">
        <v>1.48</v>
      </c>
      <c r="R163" s="17">
        <v>1.21</v>
      </c>
      <c r="S163" s="17">
        <v>2.4446144643892712E-6</v>
      </c>
      <c r="T163" s="17">
        <v>2.456931238971605E-6</v>
      </c>
      <c r="U163" s="17">
        <v>2.4070414919825941E-6</v>
      </c>
      <c r="V163" s="17">
        <f>IFERROR((V161-V152)/V39,0)</f>
        <v>1.2597105482073063</v>
      </c>
      <c r="W163" s="73">
        <f t="shared" si="30"/>
        <v>1.0780081775187982E-8</v>
      </c>
      <c r="X163" s="89"/>
      <c r="Y163" s="17">
        <f t="shared" ref="Y163:AJ163" si="104">IFERROR(Y162/Y40,0)</f>
        <v>3.1969112015762612E-6</v>
      </c>
      <c r="Z163" s="17">
        <f t="shared" si="104"/>
        <v>2.9493533472891774E-6</v>
      </c>
      <c r="AA163" s="17">
        <f t="shared" si="104"/>
        <v>2.5494587938821406E-6</v>
      </c>
      <c r="AB163" s="17">
        <f t="shared" si="104"/>
        <v>2.5818108950851046E-6</v>
      </c>
      <c r="AC163" s="17">
        <f t="shared" si="104"/>
        <v>2.0404573465976786E-6</v>
      </c>
      <c r="AD163" s="17">
        <f t="shared" si="104"/>
        <v>2.0742896958961742E-6</v>
      </c>
      <c r="AE163" s="17">
        <f t="shared" si="104"/>
        <v>2.6014744042431801E-6</v>
      </c>
      <c r="AF163" s="17">
        <f t="shared" si="104"/>
        <v>2.4252706082408225E-6</v>
      </c>
      <c r="AG163" s="17">
        <f t="shared" si="104"/>
        <v>2.5631256470706799E-6</v>
      </c>
      <c r="AH163" s="17">
        <f t="shared" si="104"/>
        <v>2.6923305623342203E-6</v>
      </c>
      <c r="AI163" s="17">
        <f t="shared" si="104"/>
        <v>2.6377604113968968E-6</v>
      </c>
      <c r="AJ163" s="17">
        <f t="shared" si="104"/>
        <v>2.7509989117626595E-6</v>
      </c>
      <c r="AK163" s="17">
        <f>IFERROR((AK161-AK152)/AK39,0)</f>
        <v>1.3830613431203505</v>
      </c>
      <c r="AL163" s="73">
        <f t="shared" si="32"/>
        <v>1.1068253724456434E-8</v>
      </c>
      <c r="AM163" s="16">
        <f t="shared" si="78"/>
        <v>9.7919950808211143E-2</v>
      </c>
    </row>
    <row r="164" spans="9:39" ht="15.75">
      <c r="I164" s="25" t="s">
        <v>274</v>
      </c>
      <c r="J164" s="24">
        <v>531212</v>
      </c>
      <c r="K164" s="24">
        <v>870657</v>
      </c>
      <c r="L164" s="24">
        <v>738000</v>
      </c>
      <c r="M164" s="24">
        <v>748185</v>
      </c>
      <c r="N164" s="24">
        <v>879885</v>
      </c>
      <c r="O164" s="24">
        <v>773204</v>
      </c>
      <c r="P164" s="24">
        <v>578631</v>
      </c>
      <c r="Q164" s="24">
        <v>396878</v>
      </c>
      <c r="R164" s="24">
        <v>601813</v>
      </c>
      <c r="S164" s="24">
        <f t="shared" ref="R164:U164" si="105">S34-S161</f>
        <v>590643.88769028743</v>
      </c>
      <c r="T164" s="24">
        <f t="shared" si="105"/>
        <v>566833.81271444401</v>
      </c>
      <c r="U164" s="24">
        <f t="shared" si="105"/>
        <v>595803.45259678224</v>
      </c>
      <c r="V164" s="24">
        <f>V34-V161</f>
        <v>7871743.1530015143</v>
      </c>
      <c r="W164" s="77">
        <f t="shared" si="30"/>
        <v>6.7363121649964636E-2</v>
      </c>
      <c r="X164" s="89"/>
      <c r="Y164" s="24">
        <f t="shared" ref="Y164:AK164" si="106">Y34-Y161</f>
        <v>478277.18066818453</v>
      </c>
      <c r="Z164" s="24">
        <f t="shared" si="106"/>
        <v>547392.04317507776</v>
      </c>
      <c r="AA164" s="24">
        <f t="shared" si="106"/>
        <v>676345.63257668237</v>
      </c>
      <c r="AB164" s="24">
        <f t="shared" si="106"/>
        <v>596319.03155063232</v>
      </c>
      <c r="AC164" s="24">
        <f t="shared" si="106"/>
        <v>874620.86229173699</v>
      </c>
      <c r="AD164" s="24">
        <f t="shared" si="106"/>
        <v>779503.54044285661</v>
      </c>
      <c r="AE164" s="24">
        <f t="shared" si="106"/>
        <v>571897.51778789295</v>
      </c>
      <c r="AF164" s="24">
        <f t="shared" si="106"/>
        <v>679296.79873692384</v>
      </c>
      <c r="AG164" s="24">
        <f t="shared" si="106"/>
        <v>608779.82395363785</v>
      </c>
      <c r="AH164" s="24">
        <f t="shared" si="106"/>
        <v>582381.46403644618</v>
      </c>
      <c r="AI164" s="24">
        <f t="shared" si="106"/>
        <v>611972.61826946121</v>
      </c>
      <c r="AJ164" s="24">
        <f t="shared" si="106"/>
        <v>562156.91475409572</v>
      </c>
      <c r="AK164" s="24">
        <f t="shared" si="106"/>
        <v>7568943.4282436185</v>
      </c>
      <c r="AL164" s="77">
        <f t="shared" si="32"/>
        <v>6.0572140712754768E-2</v>
      </c>
      <c r="AM164" s="23">
        <f t="shared" si="78"/>
        <v>-3.8466667277175737E-2</v>
      </c>
    </row>
    <row r="165" spans="9:39">
      <c r="I165" s="26" t="s">
        <v>309</v>
      </c>
      <c r="J165" s="17">
        <f>+J164/J39</f>
        <v>1.0785001228309177</v>
      </c>
      <c r="K165" s="17">
        <f>+K164/K39</f>
        <v>1.7218093437539552</v>
      </c>
      <c r="L165" s="17">
        <f>+L164/L39</f>
        <v>1.3415059767908559</v>
      </c>
      <c r="M165" s="17">
        <f>+M164/M39</f>
        <v>1.4249867154749956</v>
      </c>
      <c r="N165" s="17">
        <f>+N164/N39</f>
        <v>1.4578131601401672</v>
      </c>
      <c r="O165" s="17">
        <f>+O164/O39</f>
        <v>1.2853571119844136</v>
      </c>
      <c r="P165" s="17">
        <f>+P164/P39</f>
        <v>1.0369415268710451</v>
      </c>
      <c r="Q165" s="17">
        <f>+Q164/Q39</f>
        <v>0.78443378885326775</v>
      </c>
      <c r="R165" s="17">
        <f>+R164/R39</f>
        <v>1.231673672878796</v>
      </c>
      <c r="S165" s="17">
        <f>+S164/S39</f>
        <v>1.1027581612048547</v>
      </c>
      <c r="T165" s="17">
        <f>+T164/T39</f>
        <v>1.0524774128470415</v>
      </c>
      <c r="U165" s="17">
        <f>+U164/U39</f>
        <v>1.139931529115692</v>
      </c>
      <c r="V165" s="17">
        <f>+V164/V39</f>
        <v>1.2246184265040085</v>
      </c>
      <c r="W165" s="73">
        <f t="shared" ref="W165" si="107">V165/V$6</f>
        <v>1.0479777913983715E-8</v>
      </c>
      <c r="X165" s="89"/>
      <c r="Y165" s="17">
        <f>+Y164/Y39</f>
        <v>0.95720526091379043</v>
      </c>
      <c r="Z165" s="17">
        <f>+Z164/Z39</f>
        <v>1.0706222826747518</v>
      </c>
      <c r="AA165" s="17">
        <f>+AA164/AA39</f>
        <v>1.2001732487076027</v>
      </c>
      <c r="AB165" s="17">
        <f>+AB164/AB39</f>
        <v>1.1094885529862621</v>
      </c>
      <c r="AC165" s="17">
        <f>+AC164/AC39</f>
        <v>1.4177768413018352</v>
      </c>
      <c r="AD165" s="17">
        <f>+AD164/AD39</f>
        <v>1.2714071541696201</v>
      </c>
      <c r="AE165" s="17">
        <f>+AE164/AE39</f>
        <v>1.006477310231642</v>
      </c>
      <c r="AF165" s="17">
        <f>+AF164/AF39</f>
        <v>1.1803285730813686</v>
      </c>
      <c r="AG165" s="17">
        <f>+AG164/AG39</f>
        <v>1.0914648918783534</v>
      </c>
      <c r="AH165" s="17">
        <f>+AH164/AH39</f>
        <v>1.0648287498952254</v>
      </c>
      <c r="AI165" s="17">
        <f>+AI164/AI39</f>
        <v>1.1139190011220892</v>
      </c>
      <c r="AJ165" s="17">
        <f>+AJ164/AJ39</f>
        <v>1.0553924790559235</v>
      </c>
      <c r="AK165" s="17">
        <f>+AK164/AK39</f>
        <v>1.1343634093867989</v>
      </c>
      <c r="AL165" s="17">
        <f t="shared" ref="Y165:AM165" si="108">AL34-AL161</f>
        <v>6.0572140712754782E-2</v>
      </c>
      <c r="AM165" s="17">
        <f t="shared" si="108"/>
        <v>-8.7816010648419596E-2</v>
      </c>
    </row>
  </sheetData>
  <mergeCells count="4">
    <mergeCell ref="J2:U2"/>
    <mergeCell ref="V2:W2"/>
    <mergeCell ref="Y2:AJ2"/>
    <mergeCell ref="AK2:AL2"/>
  </mergeCells>
  <conditionalFormatting sqref="AM1:AM158 AM161:AM164">
    <cfRule type="cellIs" dxfId="15" priority="5" operator="lessThan">
      <formula>0</formula>
    </cfRule>
  </conditionalFormatting>
  <conditionalFormatting sqref="AO43:AO46">
    <cfRule type="cellIs" dxfId="14" priority="3" operator="lessThan">
      <formula>0</formula>
    </cfRule>
  </conditionalFormatting>
  <conditionalFormatting sqref="AM159">
    <cfRule type="cellIs" dxfId="13" priority="2" operator="lessThan">
      <formula>0</formula>
    </cfRule>
  </conditionalFormatting>
  <conditionalFormatting sqref="AM160">
    <cfRule type="cellIs" dxfId="12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47">
    <outlinePr summaryBelow="0" summaryRight="0"/>
  </sheetPr>
  <dimension ref="A1:AO165"/>
  <sheetViews>
    <sheetView showGridLines="0" zoomScale="70" zoomScaleNormal="70" workbookViewId="0">
      <pane xSplit="9" ySplit="3" topLeftCell="AK164" activePane="bottomRight" state="frozen"/>
      <selection pane="bottomRight" activeCell="AK164" sqref="AK164"/>
      <selection pane="bottomLeft" activeCell="AB112" sqref="AB112"/>
      <selection pane="topRight" activeCell="AB112" sqref="AB112"/>
    </sheetView>
  </sheetViews>
  <sheetFormatPr defaultColWidth="11.42578125" defaultRowHeight="14.45" outlineLevelRow="1" outlineLevelCol="1"/>
  <cols>
    <col min="1" max="1" width="2.5703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0.28515625" style="7" customWidth="1"/>
    <col min="6" max="8" width="10.28515625" style="6" hidden="1" customWidth="1"/>
    <col min="9" max="9" width="39.28515625" style="5" customWidth="1" collapsed="1"/>
    <col min="10" max="10" width="17.85546875" style="4" hidden="1" customWidth="1" outlineLevel="1"/>
    <col min="11" max="12" width="16.42578125" style="4" hidden="1" customWidth="1" outlineLevel="1"/>
    <col min="13" max="14" width="16.42578125" style="3" hidden="1" customWidth="1" outlineLevel="1"/>
    <col min="15" max="15" width="17.85546875" style="3" hidden="1" customWidth="1" outlineLevel="1"/>
    <col min="16" max="16" width="16.42578125" style="3" hidden="1" customWidth="1" outlineLevel="1"/>
    <col min="17" max="17" width="17.42578125" style="4" hidden="1" customWidth="1" outlineLevel="1"/>
    <col min="18" max="18" width="19.140625" style="3" hidden="1" customWidth="1" outlineLevel="1"/>
    <col min="19" max="19" width="17.42578125" style="3" hidden="1" customWidth="1" outlineLevel="1"/>
    <col min="20" max="20" width="18.28515625" style="3" hidden="1" customWidth="1" outlineLevel="1"/>
    <col min="21" max="21" width="17.42578125" style="4" hidden="1" customWidth="1" outlineLevel="1"/>
    <col min="22" max="22" width="18" style="4" bestFit="1" customWidth="1"/>
    <col min="23" max="23" width="6.7109375" style="83" bestFit="1" customWidth="1"/>
    <col min="24" max="24" width="1.140625" style="93" customWidth="1"/>
    <col min="25" max="25" width="16" style="4" customWidth="1" outlineLevel="1"/>
    <col min="26" max="27" width="16.42578125" style="4" customWidth="1" outlineLevel="1"/>
    <col min="28" max="28" width="16.42578125" style="3" customWidth="1" outlineLevel="1"/>
    <col min="29" max="29" width="16" style="3" customWidth="1" outlineLevel="1"/>
    <col min="30" max="31" width="16.42578125" style="3" customWidth="1" outlineLevel="1"/>
    <col min="32" max="32" width="16.42578125" style="4" customWidth="1" outlineLevel="1"/>
    <col min="33" max="35" width="16.42578125" style="3" customWidth="1" outlineLevel="1"/>
    <col min="36" max="36" width="16.42578125" style="4" customWidth="1" outlineLevel="1"/>
    <col min="37" max="37" width="18" style="4" bestFit="1" customWidth="1"/>
    <col min="38" max="38" width="6.7109375" style="83" bestFit="1" customWidth="1"/>
    <col min="39" max="39" width="9.140625" style="2" bestFit="1" customWidth="1"/>
    <col min="40" max="40" width="12.5703125" style="1" bestFit="1" customWidth="1"/>
    <col min="41" max="16384" width="11.42578125" style="1"/>
  </cols>
  <sheetData>
    <row r="1" spans="1:40" s="57" customFormat="1" ht="6.75" customHeight="1">
      <c r="A1" s="6"/>
      <c r="B1" s="8"/>
      <c r="C1" s="8"/>
      <c r="D1" s="6"/>
      <c r="E1" s="7" t="s">
        <v>480</v>
      </c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0" s="52" customFormat="1" ht="18" customHeight="1">
      <c r="A2" s="55"/>
      <c r="B2" s="55"/>
      <c r="C2" s="55"/>
      <c r="D2" s="55"/>
      <c r="E2" s="56"/>
      <c r="F2" s="55"/>
      <c r="G2" s="55"/>
      <c r="H2" s="55"/>
      <c r="I2" s="54"/>
      <c r="J2" s="309">
        <v>2025</v>
      </c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1"/>
      <c r="V2" s="312" t="s">
        <v>81</v>
      </c>
      <c r="W2" s="313"/>
      <c r="X2" s="85"/>
      <c r="Y2" s="309">
        <v>2026</v>
      </c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1"/>
      <c r="AK2" s="312" t="s">
        <v>81</v>
      </c>
      <c r="AL2" s="314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2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82</v>
      </c>
      <c r="X3" s="86"/>
      <c r="Y3" s="132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82</v>
      </c>
      <c r="AM3" s="45" t="s">
        <v>83</v>
      </c>
    </row>
    <row r="4" spans="1:40" ht="14.45" customHeight="1">
      <c r="I4" s="43" t="s">
        <v>84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 ht="14.45" customHeight="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0" ht="14.45" customHeight="1">
      <c r="A6" s="12" t="s">
        <v>85</v>
      </c>
      <c r="B6" s="19"/>
      <c r="C6" s="19"/>
      <c r="D6" s="12"/>
      <c r="E6" s="7" t="s">
        <v>86</v>
      </c>
      <c r="I6" s="167" t="s">
        <v>87</v>
      </c>
      <c r="J6" s="15">
        <v>10789022</v>
      </c>
      <c r="K6" s="15">
        <v>10480675</v>
      </c>
      <c r="L6" s="15">
        <v>11562487</v>
      </c>
      <c r="M6" s="15">
        <v>10487633</v>
      </c>
      <c r="N6" s="15">
        <v>12675864</v>
      </c>
      <c r="O6" s="15">
        <v>12573604</v>
      </c>
      <c r="P6" s="15">
        <v>12656269</v>
      </c>
      <c r="Q6" s="15">
        <v>11079173</v>
      </c>
      <c r="R6" s="15">
        <v>11819580</v>
      </c>
      <c r="S6" s="15">
        <v>13061422</v>
      </c>
      <c r="T6" s="15">
        <v>12487759.932137577</v>
      </c>
      <c r="U6" s="15">
        <v>12297158.973937782</v>
      </c>
      <c r="V6" s="15">
        <f t="shared" ref="V6" si="1">SUM(V7:V12)</f>
        <v>141970650.90607536</v>
      </c>
      <c r="W6" s="72">
        <f t="shared" ref="W6:W34" si="2">V6/V$6</f>
        <v>1</v>
      </c>
      <c r="X6" s="89"/>
      <c r="Y6" s="15">
        <f t="shared" ref="Y6:AJ6" si="3">SUM(Y7:Y12)</f>
        <v>11570347.019999998</v>
      </c>
      <c r="Z6" s="15">
        <f t="shared" si="3"/>
        <v>11336138.334191998</v>
      </c>
      <c r="AA6" s="15">
        <f t="shared" si="3"/>
        <v>12890633.376920871</v>
      </c>
      <c r="AB6" s="15">
        <f t="shared" si="3"/>
        <v>11902379.701000955</v>
      </c>
      <c r="AC6" s="15">
        <f t="shared" si="3"/>
        <v>14196911.882638052</v>
      </c>
      <c r="AD6" s="15">
        <f t="shared" si="3"/>
        <v>13449429.471909976</v>
      </c>
      <c r="AE6" s="15">
        <f t="shared" si="3"/>
        <v>13779261.016952498</v>
      </c>
      <c r="AF6" s="15">
        <f t="shared" si="3"/>
        <v>14206018.517176323</v>
      </c>
      <c r="AG6" s="15">
        <f t="shared" si="3"/>
        <v>14010591.121396003</v>
      </c>
      <c r="AH6" s="15">
        <f t="shared" si="3"/>
        <v>14880948.287350005</v>
      </c>
      <c r="AI6" s="15">
        <f t="shared" si="3"/>
        <v>14556545.197595695</v>
      </c>
      <c r="AJ6" s="15">
        <f t="shared" si="3"/>
        <v>14139903.441174449</v>
      </c>
      <c r="AK6" s="15">
        <f>SUM(AK7:AK12)</f>
        <v>160919107.36830682</v>
      </c>
      <c r="AL6" s="72">
        <f t="shared" ref="AL6:AL34" si="4">AK6/AK$6</f>
        <v>1</v>
      </c>
      <c r="AM6" s="10">
        <f>IFERROR(AK6/V6-1,0)</f>
        <v>0.13346741978923049</v>
      </c>
      <c r="AN6" s="9"/>
    </row>
    <row r="7" spans="1:40" ht="15" customHeight="1" outlineLevel="1">
      <c r="A7" s="12" t="s">
        <v>85</v>
      </c>
      <c r="B7" s="19" t="s">
        <v>88</v>
      </c>
      <c r="C7" s="19" t="s">
        <v>89</v>
      </c>
      <c r="D7" s="12" t="s">
        <v>90</v>
      </c>
      <c r="E7" s="20"/>
      <c r="F7" s="12"/>
      <c r="G7" s="12"/>
      <c r="H7" s="12"/>
      <c r="I7" s="117" t="s">
        <v>22</v>
      </c>
      <c r="J7" s="65">
        <v>10016629</v>
      </c>
      <c r="K7" s="65">
        <v>9744843</v>
      </c>
      <c r="L7" s="65">
        <v>10806694</v>
      </c>
      <c r="M7" s="65">
        <v>9818644</v>
      </c>
      <c r="N7" s="65">
        <v>11298690</v>
      </c>
      <c r="O7" s="65">
        <v>10492183</v>
      </c>
      <c r="P7" s="65">
        <v>10649218</v>
      </c>
      <c r="Q7" s="65">
        <v>9221128</v>
      </c>
      <c r="R7" s="65">
        <v>10070827</v>
      </c>
      <c r="S7" s="65">
        <v>11238777</v>
      </c>
      <c r="T7" s="65">
        <v>11612285.543605495</v>
      </c>
      <c r="U7" s="65">
        <v>11386191.077457597</v>
      </c>
      <c r="V7" s="11">
        <f t="shared" ref="V7:V33" si="5">SUM(J7:U7)</f>
        <v>126356109.62106308</v>
      </c>
      <c r="W7" s="73">
        <f t="shared" si="2"/>
        <v>0.890015709688177</v>
      </c>
      <c r="X7" s="89"/>
      <c r="Y7" s="65">
        <f>IFERROR(Y40*'[3]Margen ctvs-lit'!W$13,0)</f>
        <v>9854107.1999999993</v>
      </c>
      <c r="Z7" s="65">
        <f>IFERROR(Z40*'[3]Margen ctvs-lit'!X$13,0)</f>
        <v>9624070.0475999992</v>
      </c>
      <c r="AA7" s="65">
        <f>IFERROR(AA40*'[3]Margen ctvs-lit'!Y$13,0)</f>
        <v>11082236.20622813</v>
      </c>
      <c r="AB7" s="65">
        <f>IFERROR(AB40*'[3]Margen ctvs-lit'!Z$13,0)</f>
        <v>10164439.885700891</v>
      </c>
      <c r="AC7" s="65">
        <f>IFERROR(AC40*'[3]Margen ctvs-lit'!AA$13,0)</f>
        <v>12258489.130430462</v>
      </c>
      <c r="AD7" s="65">
        <f>IFERROR(AD40*'[3]Margen ctvs-lit'!AB$13,0)</f>
        <v>11494139.807740249</v>
      </c>
      <c r="AE7" s="65">
        <f>IFERROR(AE40*'[3]Margen ctvs-lit'!AC$13,0)</f>
        <v>11789940.597181385</v>
      </c>
      <c r="AF7" s="65">
        <f>IFERROR(AF40*'[3]Margen ctvs-lit'!AD$13,0)</f>
        <v>12157643.738479689</v>
      </c>
      <c r="AG7" s="65">
        <f>IFERROR(AG40*'[3]Margen ctvs-lit'!AE$13,0)</f>
        <v>11901942.26900075</v>
      </c>
      <c r="AH7" s="65">
        <f>IFERROR(AH40*'[3]Margen ctvs-lit'!AF$13,0)</f>
        <v>12803985.659606559</v>
      </c>
      <c r="AI7" s="65">
        <f>IFERROR(AI40*'[3]Margen ctvs-lit'!AG$13,0)</f>
        <v>12571538.431320949</v>
      </c>
      <c r="AJ7" s="65">
        <f>IFERROR(AJ40*'[3]Margen ctvs-lit'!AH$13,0)</f>
        <v>12197315.225505989</v>
      </c>
      <c r="AK7" s="65">
        <f t="shared" ref="AK7:AK33" si="6">SUM(Y7:AJ7)</f>
        <v>137899848.19879505</v>
      </c>
      <c r="AL7" s="73">
        <f t="shared" si="4"/>
        <v>0.85695136179927978</v>
      </c>
      <c r="AM7" s="14">
        <f t="shared" ref="AM7:AM46" si="7">IFERROR(AK7/V7-1,0)</f>
        <v>9.13587685815207E-2</v>
      </c>
      <c r="AN7" s="9"/>
    </row>
    <row r="8" spans="1:40" ht="15" customHeight="1" outlineLevel="1">
      <c r="A8" s="12" t="s">
        <v>85</v>
      </c>
      <c r="B8" s="19" t="s">
        <v>88</v>
      </c>
      <c r="C8" s="19" t="s">
        <v>91</v>
      </c>
      <c r="D8" s="12" t="s">
        <v>92</v>
      </c>
      <c r="E8" s="20"/>
      <c r="F8" s="12"/>
      <c r="G8" s="12"/>
      <c r="H8" s="12"/>
      <c r="I8" s="117" t="s">
        <v>23</v>
      </c>
      <c r="J8" s="65">
        <v>419424</v>
      </c>
      <c r="K8" s="65">
        <v>411703</v>
      </c>
      <c r="L8" s="65">
        <v>434940</v>
      </c>
      <c r="M8" s="65">
        <v>402290</v>
      </c>
      <c r="N8" s="65">
        <v>499529</v>
      </c>
      <c r="O8" s="65">
        <v>506576</v>
      </c>
      <c r="P8" s="65">
        <v>488407</v>
      </c>
      <c r="Q8" s="65">
        <v>473518</v>
      </c>
      <c r="R8" s="65">
        <v>307090</v>
      </c>
      <c r="S8" s="65">
        <v>360097</v>
      </c>
      <c r="T8" s="65">
        <v>464825.31716142903</v>
      </c>
      <c r="U8" s="65">
        <v>483891.09537513729</v>
      </c>
      <c r="V8" s="11">
        <f t="shared" si="5"/>
        <v>5252290.4125365661</v>
      </c>
      <c r="W8" s="73">
        <f t="shared" si="2"/>
        <v>3.6995607042834264E-2</v>
      </c>
      <c r="X8" s="89"/>
      <c r="Y8" s="65">
        <f>IFERROR(Y41*'[3]Margen ctvs-lit'!W$14,0)</f>
        <v>407938.62</v>
      </c>
      <c r="Z8" s="65">
        <f>IFERROR(Z41*'[3]Margen ctvs-lit'!X$14,0)</f>
        <v>402242.91264000005</v>
      </c>
      <c r="AA8" s="65">
        <f>IFERROR(AA41*'[3]Margen ctvs-lit'!Y$14,0)</f>
        <v>434577.15439240326</v>
      </c>
      <c r="AB8" s="65">
        <f>IFERROR(AB41*'[3]Margen ctvs-lit'!Z$14,0)</f>
        <v>399756.69848972827</v>
      </c>
      <c r="AC8" s="65">
        <f>IFERROR(AC41*'[3]Margen ctvs-lit'!AA$14,0)</f>
        <v>525284.69839841418</v>
      </c>
      <c r="AD8" s="65">
        <f>IFERROR(AD41*'[3]Margen ctvs-lit'!AB$14,0)</f>
        <v>545412.31346215808</v>
      </c>
      <c r="AE8" s="65">
        <f>IFERROR(AE41*'[3]Margen ctvs-lit'!AC$14,0)</f>
        <v>529852.74771295313</v>
      </c>
      <c r="AF8" s="65">
        <f>IFERROR(AF41*'[3]Margen ctvs-lit'!AD$14,0)</f>
        <v>543966.16788851004</v>
      </c>
      <c r="AG8" s="65">
        <f>IFERROR(AG41*'[3]Margen ctvs-lit'!AE$14,0)</f>
        <v>532523.96272297204</v>
      </c>
      <c r="AH8" s="65">
        <f>IFERROR(AH41*'[3]Margen ctvs-lit'!AF$14,0)</f>
        <v>382763.66631828755</v>
      </c>
      <c r="AI8" s="65">
        <f>IFERROR(AI41*'[3]Margen ctvs-lit'!AG$14,0)</f>
        <v>373855.61437777808</v>
      </c>
      <c r="AJ8" s="65">
        <f>IFERROR(AJ41*'[3]Margen ctvs-lit'!AH$14,0)</f>
        <v>364513.7428420732</v>
      </c>
      <c r="AK8" s="65">
        <f t="shared" si="6"/>
        <v>5442688.2992452774</v>
      </c>
      <c r="AL8" s="73">
        <f t="shared" si="4"/>
        <v>3.382251112534583E-2</v>
      </c>
      <c r="AM8" s="14">
        <f t="shared" si="7"/>
        <v>3.6250449185798006E-2</v>
      </c>
      <c r="AN8" s="9"/>
    </row>
    <row r="9" spans="1:40" ht="15" customHeight="1" outlineLevel="1">
      <c r="A9" s="12" t="s">
        <v>85</v>
      </c>
      <c r="B9" s="19" t="s">
        <v>88</v>
      </c>
      <c r="C9" s="19" t="s">
        <v>93</v>
      </c>
      <c r="D9" s="12" t="s">
        <v>94</v>
      </c>
      <c r="E9" s="20"/>
      <c r="F9" s="12"/>
      <c r="G9" s="12"/>
      <c r="H9" s="12"/>
      <c r="I9" s="117" t="s">
        <v>5</v>
      </c>
      <c r="J9" s="65">
        <v>346064</v>
      </c>
      <c r="K9" s="65">
        <v>314732</v>
      </c>
      <c r="L9" s="65">
        <v>314160</v>
      </c>
      <c r="M9" s="65">
        <v>258193</v>
      </c>
      <c r="N9" s="65">
        <v>866531</v>
      </c>
      <c r="O9" s="65">
        <v>1567991</v>
      </c>
      <c r="P9" s="65">
        <v>1512818</v>
      </c>
      <c r="Q9" s="65">
        <v>1377417</v>
      </c>
      <c r="R9" s="65">
        <v>1435282</v>
      </c>
      <c r="S9" s="65">
        <v>1454153</v>
      </c>
      <c r="T9" s="65">
        <v>399143.47137065307</v>
      </c>
      <c r="U9" s="65">
        <v>415510.00110504543</v>
      </c>
      <c r="V9" s="11">
        <f t="shared" si="5"/>
        <v>10261994.472475698</v>
      </c>
      <c r="W9" s="73">
        <f t="shared" si="2"/>
        <v>7.2282506327767754E-2</v>
      </c>
      <c r="X9" s="89"/>
      <c r="Y9" s="65">
        <f>IFERROR(Y42*'[3]Margen ctvs-lit'!W$15,0)</f>
        <v>1295221.2</v>
      </c>
      <c r="Z9" s="65">
        <f>IFERROR(Z42*'[3]Margen ctvs-lit'!X$15,0)</f>
        <v>1299265.3739520002</v>
      </c>
      <c r="AA9" s="65">
        <f>IFERROR(AA42*'[3]Margen ctvs-lit'!Y$15,0)</f>
        <v>1364400.0163003393</v>
      </c>
      <c r="AB9" s="65">
        <f>IFERROR(AB42*'[3]Margen ctvs-lit'!Z$15,0)</f>
        <v>1324383.1168103369</v>
      </c>
      <c r="AC9" s="65">
        <f>IFERROR(AC42*'[3]Margen ctvs-lit'!AA$15,0)</f>
        <v>1401498.053809176</v>
      </c>
      <c r="AD9" s="65">
        <f>IFERROR(AD42*'[3]Margen ctvs-lit'!AB$15,0)</f>
        <v>1396377.3507075682</v>
      </c>
      <c r="AE9" s="65">
        <f>IFERROR(AE42*'[3]Margen ctvs-lit'!AC$15,0)</f>
        <v>1447167.67205816</v>
      </c>
      <c r="AF9" s="65">
        <f>IFERROR(AF42*'[3]Margen ctvs-lit'!AD$15,0)</f>
        <v>1493668.6108081234</v>
      </c>
      <c r="AG9" s="65">
        <f>IFERROR(AG42*'[3]Margen ctvs-lit'!AE$15,0)</f>
        <v>1566824.8896722817</v>
      </c>
      <c r="AH9" s="65">
        <f>IFERROR(AH42*'[3]Margen ctvs-lit'!AF$15,0)</f>
        <v>1683998.9614251575</v>
      </c>
      <c r="AI9" s="65">
        <f>IFERROR(AI42*'[3]Margen ctvs-lit'!AG$15,0)</f>
        <v>1601131.1518969689</v>
      </c>
      <c r="AJ9" s="65">
        <f>IFERROR(AJ42*'[3]Margen ctvs-lit'!AH$15,0)</f>
        <v>1566074.4728263873</v>
      </c>
      <c r="AK9" s="65">
        <f t="shared" si="6"/>
        <v>17440010.870266497</v>
      </c>
      <c r="AL9" s="73">
        <f t="shared" si="4"/>
        <v>0.10837750193549311</v>
      </c>
      <c r="AM9" s="14">
        <f t="shared" si="7"/>
        <v>0.69947576146560797</v>
      </c>
      <c r="AN9" s="9"/>
    </row>
    <row r="10" spans="1:40" ht="15" customHeight="1" outlineLevel="1">
      <c r="A10" s="12"/>
      <c r="B10" s="19"/>
      <c r="C10" s="19"/>
      <c r="D10" s="12"/>
      <c r="E10" s="20"/>
      <c r="F10" s="12"/>
      <c r="G10" s="12"/>
      <c r="H10" s="12"/>
      <c r="I10" s="117" t="s">
        <v>95</v>
      </c>
      <c r="J10" s="65">
        <v>6906</v>
      </c>
      <c r="K10" s="65">
        <v>9397</v>
      </c>
      <c r="L10" s="65">
        <v>6694</v>
      </c>
      <c r="M10" s="65">
        <v>8506</v>
      </c>
      <c r="N10" s="65">
        <v>11114</v>
      </c>
      <c r="O10" s="65">
        <v>6855</v>
      </c>
      <c r="P10" s="65">
        <v>5826</v>
      </c>
      <c r="Q10" s="65">
        <v>7111</v>
      </c>
      <c r="R10" s="65">
        <v>6381</v>
      </c>
      <c r="S10" s="65">
        <v>8394</v>
      </c>
      <c r="T10" s="65">
        <v>11505.599999999999</v>
      </c>
      <c r="U10" s="65">
        <v>11566.8</v>
      </c>
      <c r="V10" s="11">
        <f t="shared" si="5"/>
        <v>100256.40000000001</v>
      </c>
      <c r="W10" s="73">
        <f t="shared" si="2"/>
        <v>7.0617694122095294E-4</v>
      </c>
      <c r="X10" s="89"/>
      <c r="Y10" s="65">
        <f>VLOOKUP($E$1,'[3]Resumen x Tipo Combustible'!$C$60:$O$66,Y1,0)</f>
        <v>13080</v>
      </c>
      <c r="Z10" s="65">
        <f>VLOOKUP($E$1,'[3]Resumen x Tipo Combustible'!$C$60:$O$66,Z1,0)</f>
        <v>10560</v>
      </c>
      <c r="AA10" s="65">
        <f>VLOOKUP($E$1,'[3]Resumen x Tipo Combustible'!$C$60:$O$66,AA1,0)</f>
        <v>9420</v>
      </c>
      <c r="AB10" s="65">
        <f>VLOOKUP($E$1,'[3]Resumen x Tipo Combustible'!$C$60:$O$66,AB1,0)</f>
        <v>13800</v>
      </c>
      <c r="AC10" s="65">
        <f>VLOOKUP($E$1,'[3]Resumen x Tipo Combustible'!$C$60:$O$66,AC1,0)</f>
        <v>11640</v>
      </c>
      <c r="AD10" s="65">
        <f>VLOOKUP($E$1,'[3]Resumen x Tipo Combustible'!$C$60:$O$66,AD1,0)</f>
        <v>13500</v>
      </c>
      <c r="AE10" s="65">
        <f>VLOOKUP($E$1,'[3]Resumen x Tipo Combustible'!$C$60:$O$66,AE1,0)</f>
        <v>12300</v>
      </c>
      <c r="AF10" s="65">
        <f>VLOOKUP($E$1,'[3]Resumen x Tipo Combustible'!$C$60:$O$66,AF1,0)</f>
        <v>10740</v>
      </c>
      <c r="AG10" s="65">
        <f>VLOOKUP($E$1,'[3]Resumen x Tipo Combustible'!$C$60:$O$66,AG1,0)</f>
        <v>9300</v>
      </c>
      <c r="AH10" s="65">
        <f>VLOOKUP($E$1,'[3]Resumen x Tipo Combustible'!$C$60:$O$66,AH1,0)</f>
        <v>10200</v>
      </c>
      <c r="AI10" s="65">
        <f>VLOOKUP($E$1,'[3]Resumen x Tipo Combustible'!$C$60:$O$66,AI1,0)</f>
        <v>10020</v>
      </c>
      <c r="AJ10" s="65">
        <f>VLOOKUP($E$1,'[3]Resumen x Tipo Combustible'!$C$60:$O$66,AJ1,0)</f>
        <v>12000</v>
      </c>
      <c r="AK10" s="65">
        <f t="shared" si="6"/>
        <v>136560</v>
      </c>
      <c r="AL10" s="73">
        <f t="shared" si="4"/>
        <v>8.4862513988127951E-4</v>
      </c>
      <c r="AM10" s="14">
        <f t="shared" si="7"/>
        <v>0.3621075562258369</v>
      </c>
      <c r="AN10" s="9"/>
    </row>
    <row r="11" spans="1:40" ht="15" customHeight="1" outlineLevel="1">
      <c r="A11" s="12"/>
      <c r="B11" s="19"/>
      <c r="C11" s="19"/>
      <c r="D11" s="12"/>
      <c r="E11" s="20"/>
      <c r="F11" s="12"/>
      <c r="G11" s="12"/>
      <c r="H11" s="12"/>
      <c r="I11" s="117" t="s">
        <v>473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11">
        <f t="shared" si="5"/>
        <v>0</v>
      </c>
      <c r="W11" s="73">
        <f t="shared" si="2"/>
        <v>0</v>
      </c>
      <c r="X11" s="89"/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f t="shared" si="6"/>
        <v>0</v>
      </c>
      <c r="AL11" s="73">
        <f t="shared" si="4"/>
        <v>0</v>
      </c>
      <c r="AM11" s="14">
        <f t="shared" si="7"/>
        <v>0</v>
      </c>
      <c r="AN11" s="9"/>
    </row>
    <row r="12" spans="1:40" ht="15" customHeight="1" outlineLevel="1">
      <c r="A12" s="12"/>
      <c r="B12" s="19"/>
      <c r="C12" s="19"/>
      <c r="D12" s="12"/>
      <c r="E12" s="20"/>
      <c r="F12" s="12"/>
      <c r="G12" s="12"/>
      <c r="H12" s="12"/>
      <c r="I12" s="117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11">
        <f t="shared" si="5"/>
        <v>0</v>
      </c>
      <c r="W12" s="73">
        <f t="shared" si="2"/>
        <v>0</v>
      </c>
      <c r="X12" s="89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>
        <f t="shared" si="6"/>
        <v>0</v>
      </c>
      <c r="AL12" s="73">
        <f t="shared" si="4"/>
        <v>0</v>
      </c>
      <c r="AM12" s="14">
        <f t="shared" si="7"/>
        <v>0</v>
      </c>
      <c r="AN12" s="9"/>
    </row>
    <row r="13" spans="1:40" ht="14.45" customHeight="1">
      <c r="A13" s="12" t="s">
        <v>97</v>
      </c>
      <c r="B13" s="19"/>
      <c r="E13" s="7" t="s">
        <v>98</v>
      </c>
      <c r="I13" s="167" t="s">
        <v>99</v>
      </c>
      <c r="J13" s="15">
        <v>9318650</v>
      </c>
      <c r="K13" s="15">
        <v>8823044</v>
      </c>
      <c r="L13" s="15">
        <v>9914826</v>
      </c>
      <c r="M13" s="15">
        <v>8889464</v>
      </c>
      <c r="N13" s="15">
        <v>10778747</v>
      </c>
      <c r="O13" s="15">
        <v>10882945</v>
      </c>
      <c r="P13" s="15">
        <v>11023622</v>
      </c>
      <c r="Q13" s="15">
        <v>9680246</v>
      </c>
      <c r="R13" s="15">
        <v>10159598</v>
      </c>
      <c r="S13" s="15">
        <v>11021729</v>
      </c>
      <c r="T13" s="15">
        <v>10661210.932137577</v>
      </c>
      <c r="U13" s="15">
        <v>10518806.21393778</v>
      </c>
      <c r="V13" s="15">
        <f t="shared" ref="V13" si="8">SUM(V14:V33)</f>
        <v>121672891.14607535</v>
      </c>
      <c r="W13" s="72">
        <f t="shared" si="2"/>
        <v>0.85702847996781706</v>
      </c>
      <c r="X13" s="89"/>
      <c r="Y13" s="15">
        <f>SUM(Y14:Y33)</f>
        <v>9948832.25</v>
      </c>
      <c r="Z13" s="15">
        <f t="shared" ref="Z13:AK13" si="9">SUM(Z14:Z33)</f>
        <v>9789741.3441920001</v>
      </c>
      <c r="AA13" s="15">
        <f t="shared" si="9"/>
        <v>11044072.306920871</v>
      </c>
      <c r="AB13" s="15">
        <f t="shared" si="9"/>
        <v>10349250.221000956</v>
      </c>
      <c r="AC13" s="15">
        <f t="shared" si="9"/>
        <v>12181341.202638052</v>
      </c>
      <c r="AD13" s="15">
        <f t="shared" si="9"/>
        <v>11717930.221909976</v>
      </c>
      <c r="AE13" s="15">
        <f t="shared" si="9"/>
        <v>11967284.2469525</v>
      </c>
      <c r="AF13" s="15">
        <f t="shared" si="9"/>
        <v>12353931.747176323</v>
      </c>
      <c r="AG13" s="15">
        <f t="shared" si="9"/>
        <v>12237334.121396005</v>
      </c>
      <c r="AH13" s="15">
        <f t="shared" si="9"/>
        <v>12956708.387350004</v>
      </c>
      <c r="AI13" s="15">
        <f t="shared" si="9"/>
        <v>12755443.507595696</v>
      </c>
      <c r="AJ13" s="15">
        <f t="shared" si="9"/>
        <v>12419549.34117445</v>
      </c>
      <c r="AK13" s="15">
        <f t="shared" si="9"/>
        <v>139721418.89830685</v>
      </c>
      <c r="AL13" s="72">
        <f t="shared" si="4"/>
        <v>0.86827115302421276</v>
      </c>
      <c r="AM13" s="10">
        <f t="shared" si="7"/>
        <v>0.14833647480738499</v>
      </c>
      <c r="AN13" s="9"/>
    </row>
    <row r="14" spans="1:40" ht="14.45" customHeight="1" outlineLevel="1">
      <c r="A14" s="37" t="s">
        <v>97</v>
      </c>
      <c r="B14" s="39"/>
      <c r="C14" s="39" t="s">
        <v>100</v>
      </c>
      <c r="D14" s="37" t="s">
        <v>101</v>
      </c>
      <c r="E14" s="38"/>
      <c r="F14" s="37"/>
      <c r="G14" s="37"/>
      <c r="H14" s="37"/>
      <c r="I14" s="171" t="s">
        <v>102</v>
      </c>
      <c r="J14" s="65">
        <v>10422500</v>
      </c>
      <c r="K14" s="65">
        <v>9945264</v>
      </c>
      <c r="L14" s="65">
        <v>11302909</v>
      </c>
      <c r="M14" s="65">
        <v>10154342</v>
      </c>
      <c r="N14" s="65">
        <v>11976816</v>
      </c>
      <c r="O14" s="65">
        <v>11278616</v>
      </c>
      <c r="P14" s="65">
        <v>11462108</v>
      </c>
      <c r="Q14" s="65">
        <v>9919259</v>
      </c>
      <c r="R14" s="65">
        <v>10645490</v>
      </c>
      <c r="S14" s="65">
        <v>11610777</v>
      </c>
      <c r="T14" s="65">
        <v>9896758.0636054948</v>
      </c>
      <c r="U14" s="65">
        <v>9722614.8774575964</v>
      </c>
      <c r="V14" s="11">
        <f t="shared" si="5"/>
        <v>128337453.94106308</v>
      </c>
      <c r="W14" s="73">
        <f t="shared" si="2"/>
        <v>0.90397172318360575</v>
      </c>
      <c r="X14" s="89"/>
      <c r="Y14" s="65">
        <f>Y7-Y28-Y35</f>
        <v>8432623.9199999999</v>
      </c>
      <c r="Z14" s="65">
        <f>Z7-Z28-Z35</f>
        <v>8273560.4975999994</v>
      </c>
      <c r="AA14" s="65">
        <f>AA7-AA28-AA35</f>
        <v>9445358.396228129</v>
      </c>
      <c r="AB14" s="65">
        <f>AB7-AB28-AB35</f>
        <v>8804484.1157008912</v>
      </c>
      <c r="AC14" s="65">
        <f>AC7-AC28-AC35</f>
        <v>10462251.970430462</v>
      </c>
      <c r="AD14" s="65">
        <f>AD7-AD28-AD35</f>
        <v>9978871.9977402482</v>
      </c>
      <c r="AE14" s="65">
        <f>AE7-AE28-AE35</f>
        <v>10196594.997181386</v>
      </c>
      <c r="AF14" s="65">
        <f>AF7-AF28-AF35</f>
        <v>10527000.548479689</v>
      </c>
      <c r="AG14" s="65">
        <f>AG7-AG28-AG35</f>
        <v>10355086.909000751</v>
      </c>
      <c r="AH14" s="65">
        <f>AH7-AH28-AH35</f>
        <v>11099278.95960656</v>
      </c>
      <c r="AI14" s="65">
        <f>AI7-AI28-AI35</f>
        <v>10974914.431320949</v>
      </c>
      <c r="AJ14" s="65">
        <f>AJ7-AJ28-AJ35</f>
        <v>10672156.915505989</v>
      </c>
      <c r="AK14" s="65">
        <f t="shared" si="6"/>
        <v>119222183.65879506</v>
      </c>
      <c r="AL14" s="73">
        <f t="shared" si="4"/>
        <v>0.7408827056560966</v>
      </c>
      <c r="AM14" s="14">
        <f t="shared" si="7"/>
        <v>-7.1025799580331839E-2</v>
      </c>
      <c r="AN14" s="9"/>
    </row>
    <row r="15" spans="1:40" ht="14.45" customHeight="1" outlineLevel="1">
      <c r="A15" s="37" t="s">
        <v>97</v>
      </c>
      <c r="B15" s="39"/>
      <c r="C15" s="39" t="s">
        <v>103</v>
      </c>
      <c r="D15" s="37" t="s">
        <v>104</v>
      </c>
      <c r="E15" s="38"/>
      <c r="F15" s="37"/>
      <c r="G15" s="37"/>
      <c r="H15" s="37"/>
      <c r="I15" s="172" t="s">
        <v>105</v>
      </c>
      <c r="J15" s="65">
        <v>402346</v>
      </c>
      <c r="K15" s="65">
        <v>397568</v>
      </c>
      <c r="L15" s="65">
        <v>423454</v>
      </c>
      <c r="M15" s="65">
        <v>385796</v>
      </c>
      <c r="N15" s="65">
        <v>487282</v>
      </c>
      <c r="O15" s="65">
        <v>500858</v>
      </c>
      <c r="P15" s="65">
        <v>490290</v>
      </c>
      <c r="Q15" s="65">
        <v>490829</v>
      </c>
      <c r="R15" s="65">
        <v>309735</v>
      </c>
      <c r="S15" s="65">
        <v>363862</v>
      </c>
      <c r="T15" s="65">
        <v>400812.83716142905</v>
      </c>
      <c r="U15" s="65">
        <v>417288.15537513728</v>
      </c>
      <c r="V15" s="11">
        <f t="shared" si="5"/>
        <v>5070120.9925365662</v>
      </c>
      <c r="W15" s="73">
        <f t="shared" si="2"/>
        <v>3.5712458597452271E-2</v>
      </c>
      <c r="X15" s="89"/>
      <c r="Y15" s="65">
        <f>Y8-Y29-Y36</f>
        <v>354573.33</v>
      </c>
      <c r="Z15" s="65">
        <f>Z8-Z29-Z36</f>
        <v>350842.91264000005</v>
      </c>
      <c r="AA15" s="65">
        <f>AA8-AA29-AA36</f>
        <v>377705.93439240329</v>
      </c>
      <c r="AB15" s="65">
        <f>AB8-AB29-AB36</f>
        <v>349240.18848972826</v>
      </c>
      <c r="AC15" s="65">
        <f>AC8-AC29-AC36</f>
        <v>459666.61839841417</v>
      </c>
      <c r="AD15" s="65">
        <f>AD8-AD29-AD36</f>
        <v>477262.55346215807</v>
      </c>
      <c r="AE15" s="65">
        <f>AE8-AE29-AE36</f>
        <v>465173.29771295312</v>
      </c>
      <c r="AF15" s="65">
        <f>AF8-AF29-AF36</f>
        <v>478065.86788851005</v>
      </c>
      <c r="AG15" s="65">
        <f>AG8-AG29-AG36</f>
        <v>469753.96272297204</v>
      </c>
      <c r="AH15" s="65">
        <f>AH8-AH29-AH36</f>
        <v>338520.46631828754</v>
      </c>
      <c r="AI15" s="65">
        <f>AI8-AI29-AI36</f>
        <v>330276.36437777808</v>
      </c>
      <c r="AJ15" s="65">
        <f>AJ8-AJ29-AJ36</f>
        <v>323340.78284207318</v>
      </c>
      <c r="AK15" s="65">
        <f t="shared" si="6"/>
        <v>4774422.2792452788</v>
      </c>
      <c r="AL15" s="73">
        <f t="shared" si="4"/>
        <v>2.966970397317532E-2</v>
      </c>
      <c r="AM15" s="14">
        <f t="shared" si="7"/>
        <v>-5.832182579598566E-2</v>
      </c>
      <c r="AN15" s="9"/>
    </row>
    <row r="16" spans="1:40" ht="14.45" customHeight="1" outlineLevel="1">
      <c r="A16" s="37" t="s">
        <v>97</v>
      </c>
      <c r="B16" s="39"/>
      <c r="C16" s="39" t="s">
        <v>106</v>
      </c>
      <c r="D16" s="37" t="s">
        <v>107</v>
      </c>
      <c r="E16" s="38"/>
      <c r="F16" s="37"/>
      <c r="G16" s="37"/>
      <c r="H16" s="37"/>
      <c r="I16" s="167" t="s">
        <v>5</v>
      </c>
      <c r="J16" s="65">
        <v>299827</v>
      </c>
      <c r="K16" s="65">
        <v>271659</v>
      </c>
      <c r="L16" s="65">
        <v>276800</v>
      </c>
      <c r="M16" s="65">
        <v>229912</v>
      </c>
      <c r="N16" s="65">
        <v>786844</v>
      </c>
      <c r="O16" s="65">
        <v>1390047</v>
      </c>
      <c r="P16" s="65">
        <v>1360152</v>
      </c>
      <c r="Q16" s="65">
        <v>1221478</v>
      </c>
      <c r="R16" s="65">
        <v>1265864</v>
      </c>
      <c r="S16" s="65">
        <v>1281574</v>
      </c>
      <c r="T16" s="65">
        <v>353860.27137065306</v>
      </c>
      <c r="U16" s="65">
        <v>369071.40110504546</v>
      </c>
      <c r="V16" s="11">
        <f t="shared" si="5"/>
        <v>9107088.6724756993</v>
      </c>
      <c r="W16" s="73">
        <f t="shared" si="2"/>
        <v>6.4147685555803691E-2</v>
      </c>
      <c r="X16" s="89"/>
      <c r="Y16" s="65">
        <f>Y9-Y37</f>
        <v>1150517</v>
      </c>
      <c r="Z16" s="65">
        <f>Z9-Z37</f>
        <v>1156361.9339520002</v>
      </c>
      <c r="AA16" s="65">
        <f>AA9-AA37</f>
        <v>1213000.9763003392</v>
      </c>
      <c r="AB16" s="65">
        <f>AB9-AB37</f>
        <v>1183795.916810337</v>
      </c>
      <c r="AC16" s="65">
        <f>AC9-AC37</f>
        <v>1249528.613809176</v>
      </c>
      <c r="AD16" s="65">
        <f>AD9-AD37</f>
        <v>1250320.6707075683</v>
      </c>
      <c r="AE16" s="65">
        <f>AE9-AE37</f>
        <v>1295060.95205816</v>
      </c>
      <c r="AF16" s="65">
        <f>AF9-AF37</f>
        <v>1339736.3308081233</v>
      </c>
      <c r="AG16" s="65">
        <f>AG9-AG37</f>
        <v>1404588.2496722818</v>
      </c>
      <c r="AH16" s="65">
        <f>AH9-AH37</f>
        <v>1510238.9614251575</v>
      </c>
      <c r="AI16" s="65">
        <f>AI9-AI37</f>
        <v>1441735.711896969</v>
      </c>
      <c r="AJ16" s="65">
        <f>AJ9-AJ37</f>
        <v>1413851.6428263872</v>
      </c>
      <c r="AK16" s="65">
        <f t="shared" si="6"/>
        <v>15608736.960266501</v>
      </c>
      <c r="AL16" s="73">
        <f t="shared" si="4"/>
        <v>9.6997412026041716E-2</v>
      </c>
      <c r="AM16" s="14">
        <f t="shared" si="7"/>
        <v>0.71391072620613594</v>
      </c>
      <c r="AN16" s="9"/>
    </row>
    <row r="17" spans="1:40" ht="14.45" customHeight="1" outlineLevel="1">
      <c r="A17" s="37" t="s">
        <v>97</v>
      </c>
      <c r="B17" s="39"/>
      <c r="C17" s="39" t="s">
        <v>108</v>
      </c>
      <c r="D17" s="37"/>
      <c r="E17" s="38"/>
      <c r="F17" s="37"/>
      <c r="G17" s="37"/>
      <c r="H17" s="37"/>
      <c r="I17" s="171" t="s">
        <v>109</v>
      </c>
      <c r="J17" s="65">
        <v>125268</v>
      </c>
      <c r="K17" s="65">
        <v>62830</v>
      </c>
      <c r="L17" s="65">
        <v>34564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11">
        <f t="shared" si="5"/>
        <v>222662</v>
      </c>
      <c r="W17" s="73">
        <f t="shared" si="2"/>
        <v>1.568366409387728E-3</v>
      </c>
      <c r="X17" s="89"/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5">
        <f t="shared" si="6"/>
        <v>0</v>
      </c>
      <c r="AL17" s="73">
        <f t="shared" si="4"/>
        <v>0</v>
      </c>
      <c r="AM17" s="14">
        <f t="shared" si="7"/>
        <v>-1</v>
      </c>
      <c r="AN17" s="9"/>
    </row>
    <row r="18" spans="1:40" ht="14.45" customHeight="1" outlineLevel="1">
      <c r="A18" s="37" t="s">
        <v>97</v>
      </c>
      <c r="B18" s="39"/>
      <c r="C18" s="39" t="s">
        <v>110</v>
      </c>
      <c r="D18" s="37"/>
      <c r="E18" s="38"/>
      <c r="F18" s="37"/>
      <c r="G18" s="37"/>
      <c r="H18" s="37"/>
      <c r="I18" s="172" t="s">
        <v>111</v>
      </c>
      <c r="J18" s="65">
        <v>5301</v>
      </c>
      <c r="K18" s="65">
        <v>5301</v>
      </c>
      <c r="L18" s="65">
        <v>0</v>
      </c>
      <c r="M18" s="65">
        <v>5374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2051</v>
      </c>
      <c r="T18" s="65">
        <v>0</v>
      </c>
      <c r="U18" s="65">
        <v>0</v>
      </c>
      <c r="V18" s="11">
        <f t="shared" si="5"/>
        <v>18027</v>
      </c>
      <c r="W18" s="73">
        <f t="shared" si="2"/>
        <v>1.2697694829846392E-4</v>
      </c>
      <c r="X18" s="89"/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5">
        <f t="shared" si="6"/>
        <v>0</v>
      </c>
      <c r="AL18" s="73">
        <f t="shared" si="4"/>
        <v>0</v>
      </c>
      <c r="AM18" s="14">
        <f t="shared" si="7"/>
        <v>-1</v>
      </c>
      <c r="AN18" s="9"/>
    </row>
    <row r="19" spans="1:40" ht="14.45" customHeight="1" outlineLevel="1">
      <c r="A19" s="37" t="s">
        <v>97</v>
      </c>
      <c r="B19" s="39"/>
      <c r="C19" s="39" t="s">
        <v>112</v>
      </c>
      <c r="D19" s="37"/>
      <c r="E19" s="38"/>
      <c r="F19" s="37"/>
      <c r="G19" s="37"/>
      <c r="H19" s="37"/>
      <c r="I19" s="167" t="s">
        <v>113</v>
      </c>
      <c r="J19" s="65">
        <v>134</v>
      </c>
      <c r="K19" s="65">
        <v>0</v>
      </c>
      <c r="L19" s="65">
        <v>0</v>
      </c>
      <c r="M19" s="65">
        <v>384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2184</v>
      </c>
      <c r="T19" s="65">
        <v>0</v>
      </c>
      <c r="U19" s="65">
        <v>0</v>
      </c>
      <c r="V19" s="11">
        <f t="shared" si="5"/>
        <v>2702</v>
      </c>
      <c r="W19" s="73">
        <f t="shared" si="2"/>
        <v>1.9032102640619599E-5</v>
      </c>
      <c r="X19" s="89"/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5">
        <f t="shared" si="6"/>
        <v>0</v>
      </c>
      <c r="AL19" s="73">
        <f t="shared" si="4"/>
        <v>0</v>
      </c>
      <c r="AM19" s="14">
        <f t="shared" si="7"/>
        <v>-1</v>
      </c>
      <c r="AN19" s="9"/>
    </row>
    <row r="20" spans="1:40" ht="14.45" customHeight="1" outlineLevel="1">
      <c r="A20" s="37" t="s">
        <v>97</v>
      </c>
      <c r="B20" s="39"/>
      <c r="C20" s="39" t="s">
        <v>117</v>
      </c>
      <c r="D20" s="37" t="s">
        <v>118</v>
      </c>
      <c r="E20" s="38"/>
      <c r="F20" s="37"/>
      <c r="G20" s="37"/>
      <c r="H20" s="37"/>
      <c r="I20" s="167" t="s">
        <v>114</v>
      </c>
      <c r="J20" s="65">
        <v>0</v>
      </c>
      <c r="K20" s="65">
        <v>0</v>
      </c>
      <c r="L20" s="65">
        <v>0</v>
      </c>
      <c r="M20" s="65">
        <v>-34068</v>
      </c>
      <c r="N20" s="65">
        <v>-104291</v>
      </c>
      <c r="O20" s="65">
        <v>-133962</v>
      </c>
      <c r="P20" s="65">
        <v>-106442</v>
      </c>
      <c r="Q20" s="65">
        <v>-60999</v>
      </c>
      <c r="R20" s="65">
        <v>-50383</v>
      </c>
      <c r="S20" s="65">
        <v>-42748</v>
      </c>
      <c r="T20" s="65"/>
      <c r="U20" s="65"/>
      <c r="V20" s="11">
        <f t="shared" si="5"/>
        <v>-532893</v>
      </c>
      <c r="W20" s="73">
        <f t="shared" si="2"/>
        <v>-3.7535434020975942E-3</v>
      </c>
      <c r="X20" s="89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5">
        <f t="shared" si="6"/>
        <v>0</v>
      </c>
      <c r="AL20" s="73">
        <f t="shared" si="4"/>
        <v>0</v>
      </c>
      <c r="AM20" s="14">
        <f t="shared" si="7"/>
        <v>-1</v>
      </c>
      <c r="AN20" s="9"/>
    </row>
    <row r="21" spans="1:40" ht="14.45" customHeight="1" outlineLevel="1">
      <c r="A21" s="37" t="s">
        <v>97</v>
      </c>
      <c r="B21" s="39"/>
      <c r="C21" s="39" t="s">
        <v>120</v>
      </c>
      <c r="D21" s="37"/>
      <c r="E21" s="38"/>
      <c r="F21" s="37"/>
      <c r="G21" s="37"/>
      <c r="H21" s="37"/>
      <c r="I21" s="167" t="s">
        <v>115</v>
      </c>
      <c r="J21" s="65">
        <v>0</v>
      </c>
      <c r="K21" s="65">
        <v>0</v>
      </c>
      <c r="L21" s="65">
        <v>-776</v>
      </c>
      <c r="M21" s="65">
        <v>0</v>
      </c>
      <c r="N21" s="65">
        <v>-3828</v>
      </c>
      <c r="O21" s="65">
        <v>-7263</v>
      </c>
      <c r="P21" s="65">
        <v>-8979</v>
      </c>
      <c r="Q21" s="65">
        <v>-934</v>
      </c>
      <c r="R21" s="65">
        <v>-4514</v>
      </c>
      <c r="S21" s="65">
        <v>0</v>
      </c>
      <c r="T21" s="65"/>
      <c r="U21" s="65"/>
      <c r="V21" s="11">
        <f t="shared" si="5"/>
        <v>-26294</v>
      </c>
      <c r="W21" s="73">
        <f t="shared" si="2"/>
        <v>-1.8520729342429745E-4</v>
      </c>
      <c r="X21" s="89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5">
        <f t="shared" si="6"/>
        <v>0</v>
      </c>
      <c r="AL21" s="73">
        <f t="shared" si="4"/>
        <v>0</v>
      </c>
      <c r="AM21" s="14">
        <f t="shared" si="7"/>
        <v>-1</v>
      </c>
      <c r="AN21" s="9"/>
    </row>
    <row r="22" spans="1:40" ht="14.45" customHeight="1" outlineLevel="1">
      <c r="A22" s="37" t="s">
        <v>97</v>
      </c>
      <c r="B22" s="39"/>
      <c r="C22" s="39" t="s">
        <v>122</v>
      </c>
      <c r="D22" s="37"/>
      <c r="E22" s="38"/>
      <c r="F22" s="37"/>
      <c r="G22" s="37"/>
      <c r="H22" s="37"/>
      <c r="I22" s="167" t="s">
        <v>116</v>
      </c>
      <c r="J22" s="65">
        <v>0</v>
      </c>
      <c r="K22" s="65">
        <v>-3223</v>
      </c>
      <c r="L22" s="65">
        <v>-6942</v>
      </c>
      <c r="M22" s="65">
        <v>0</v>
      </c>
      <c r="N22" s="65">
        <v>-9996</v>
      </c>
      <c r="O22" s="65">
        <v>-17252</v>
      </c>
      <c r="P22" s="65">
        <v>-17094</v>
      </c>
      <c r="Q22" s="65">
        <v>-13109</v>
      </c>
      <c r="R22" s="65">
        <v>-27607</v>
      </c>
      <c r="S22" s="65">
        <v>0</v>
      </c>
      <c r="T22" s="65"/>
      <c r="U22" s="65"/>
      <c r="V22" s="11">
        <f t="shared" si="5"/>
        <v>-95223</v>
      </c>
      <c r="W22" s="73">
        <f t="shared" si="2"/>
        <v>-6.7072313462165803E-4</v>
      </c>
      <c r="X22" s="89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5">
        <f t="shared" si="6"/>
        <v>0</v>
      </c>
      <c r="AL22" s="73">
        <f t="shared" si="4"/>
        <v>0</v>
      </c>
      <c r="AM22" s="14">
        <f t="shared" si="7"/>
        <v>-1</v>
      </c>
      <c r="AN22" s="9"/>
    </row>
    <row r="23" spans="1:40" ht="14.45" customHeight="1" outlineLevel="1">
      <c r="A23" s="37" t="s">
        <v>97</v>
      </c>
      <c r="B23" s="39"/>
      <c r="C23" s="39" t="s">
        <v>124</v>
      </c>
      <c r="D23" s="37"/>
      <c r="E23" s="38"/>
      <c r="F23" s="37"/>
      <c r="G23" s="37"/>
      <c r="H23" s="37"/>
      <c r="I23" s="171" t="s">
        <v>119</v>
      </c>
      <c r="J23" s="65">
        <v>21656</v>
      </c>
      <c r="K23" s="65">
        <v>29980</v>
      </c>
      <c r="L23" s="65">
        <v>24524</v>
      </c>
      <c r="M23" s="65">
        <v>96140</v>
      </c>
      <c r="N23" s="65">
        <v>-48264</v>
      </c>
      <c r="O23" s="65">
        <v>24298</v>
      </c>
      <c r="P23" s="65">
        <v>24767</v>
      </c>
      <c r="Q23" s="65">
        <v>19469</v>
      </c>
      <c r="R23" s="65">
        <v>23802</v>
      </c>
      <c r="S23" s="65">
        <v>25311</v>
      </c>
      <c r="T23" s="65">
        <v>0</v>
      </c>
      <c r="U23" s="65">
        <v>0</v>
      </c>
      <c r="V23" s="11">
        <f t="shared" si="5"/>
        <v>241683</v>
      </c>
      <c r="W23" s="73">
        <f t="shared" si="2"/>
        <v>1.7023448047716011E-3</v>
      </c>
      <c r="X23" s="89"/>
      <c r="Y23" s="65">
        <f>0*Y40</f>
        <v>0</v>
      </c>
      <c r="Z23" s="65">
        <f t="shared" ref="Z23:AJ24" si="10">0*Z40</f>
        <v>0</v>
      </c>
      <c r="AA23" s="65">
        <f t="shared" si="10"/>
        <v>0</v>
      </c>
      <c r="AB23" s="65">
        <f t="shared" si="10"/>
        <v>0</v>
      </c>
      <c r="AC23" s="65">
        <f t="shared" si="10"/>
        <v>0</v>
      </c>
      <c r="AD23" s="65">
        <f t="shared" si="10"/>
        <v>0</v>
      </c>
      <c r="AE23" s="65">
        <f t="shared" si="10"/>
        <v>0</v>
      </c>
      <c r="AF23" s="65">
        <f t="shared" si="10"/>
        <v>0</v>
      </c>
      <c r="AG23" s="65">
        <f t="shared" si="10"/>
        <v>0</v>
      </c>
      <c r="AH23" s="65">
        <f t="shared" si="10"/>
        <v>0</v>
      </c>
      <c r="AI23" s="65">
        <f t="shared" si="10"/>
        <v>0</v>
      </c>
      <c r="AJ23" s="65">
        <f t="shared" si="10"/>
        <v>0</v>
      </c>
      <c r="AK23" s="65">
        <f t="shared" si="6"/>
        <v>0</v>
      </c>
      <c r="AL23" s="73">
        <f t="shared" si="4"/>
        <v>0</v>
      </c>
      <c r="AM23" s="14">
        <f t="shared" si="7"/>
        <v>-1</v>
      </c>
      <c r="AN23" s="9"/>
    </row>
    <row r="24" spans="1:40" ht="14.45" customHeight="1" outlineLevel="1">
      <c r="A24" s="37" t="s">
        <v>97</v>
      </c>
      <c r="B24" s="39"/>
      <c r="C24" s="39" t="s">
        <v>126</v>
      </c>
      <c r="D24" s="37"/>
      <c r="E24" s="38"/>
      <c r="F24" s="37"/>
      <c r="G24" s="37"/>
      <c r="H24" s="37"/>
      <c r="I24" s="172" t="s">
        <v>121</v>
      </c>
      <c r="J24" s="65">
        <v>438</v>
      </c>
      <c r="K24" s="65">
        <v>1093</v>
      </c>
      <c r="L24" s="65">
        <v>601</v>
      </c>
      <c r="M24" s="65">
        <v>836</v>
      </c>
      <c r="N24" s="65">
        <v>1185</v>
      </c>
      <c r="O24" s="65">
        <v>938</v>
      </c>
      <c r="P24" s="65">
        <v>1347</v>
      </c>
      <c r="Q24" s="65">
        <v>0</v>
      </c>
      <c r="R24" s="65">
        <v>1474</v>
      </c>
      <c r="S24" s="65">
        <v>394</v>
      </c>
      <c r="T24" s="65">
        <v>0</v>
      </c>
      <c r="U24" s="65">
        <v>0</v>
      </c>
      <c r="V24" s="11">
        <f t="shared" si="5"/>
        <v>8306</v>
      </c>
      <c r="W24" s="73">
        <f t="shared" si="2"/>
        <v>5.8505049790150399E-5</v>
      </c>
      <c r="X24" s="89"/>
      <c r="Y24" s="65">
        <f>0*Y41</f>
        <v>0</v>
      </c>
      <c r="Z24" s="65">
        <f t="shared" si="10"/>
        <v>0</v>
      </c>
      <c r="AA24" s="65">
        <f t="shared" si="10"/>
        <v>0</v>
      </c>
      <c r="AB24" s="65">
        <f t="shared" si="10"/>
        <v>0</v>
      </c>
      <c r="AC24" s="65">
        <f t="shared" si="10"/>
        <v>0</v>
      </c>
      <c r="AD24" s="65">
        <f t="shared" si="10"/>
        <v>0</v>
      </c>
      <c r="AE24" s="65">
        <f t="shared" si="10"/>
        <v>0</v>
      </c>
      <c r="AF24" s="65">
        <f t="shared" si="10"/>
        <v>0</v>
      </c>
      <c r="AG24" s="65">
        <f t="shared" si="10"/>
        <v>0</v>
      </c>
      <c r="AH24" s="65">
        <f t="shared" si="10"/>
        <v>0</v>
      </c>
      <c r="AI24" s="65">
        <f t="shared" si="10"/>
        <v>0</v>
      </c>
      <c r="AJ24" s="65">
        <f t="shared" si="10"/>
        <v>0</v>
      </c>
      <c r="AK24" s="65">
        <f t="shared" si="6"/>
        <v>0</v>
      </c>
      <c r="AL24" s="73">
        <f t="shared" si="4"/>
        <v>0</v>
      </c>
      <c r="AM24" s="14">
        <f t="shared" si="7"/>
        <v>-1</v>
      </c>
      <c r="AN24" s="9"/>
    </row>
    <row r="25" spans="1:40" ht="14.45" customHeight="1" outlineLevel="1">
      <c r="A25" s="37" t="s">
        <v>97</v>
      </c>
      <c r="B25" s="39"/>
      <c r="C25" s="39" t="s">
        <v>127</v>
      </c>
      <c r="D25" s="37" t="s">
        <v>90</v>
      </c>
      <c r="E25" s="38"/>
      <c r="F25" s="37"/>
      <c r="G25" s="37"/>
      <c r="H25" s="37"/>
      <c r="I25" s="171" t="s">
        <v>123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11">
        <f t="shared" si="5"/>
        <v>0</v>
      </c>
      <c r="W25" s="73">
        <f t="shared" si="2"/>
        <v>0</v>
      </c>
      <c r="X25" s="89"/>
      <c r="Y25" s="65">
        <f>(Y40*'Parametros JRZ'!$N$48)*'Parametros JRZ'!$B$59</f>
        <v>0</v>
      </c>
      <c r="Z25" s="65">
        <f>(Z40*'Parametros JRZ'!$N$48)*'Parametros JRZ'!$B$59</f>
        <v>0</v>
      </c>
      <c r="AA25" s="65">
        <f>(AA40*'Parametros JRZ'!$N$48)*'Parametros JRZ'!$B$59</f>
        <v>0</v>
      </c>
      <c r="AB25" s="65">
        <f>(AB40*'Parametros JRZ'!$N$48)*'Parametros JRZ'!$B$59</f>
        <v>0</v>
      </c>
      <c r="AC25" s="65">
        <f>(AC40*'Parametros JRZ'!$N$48)*'Parametros JRZ'!$B$59</f>
        <v>0</v>
      </c>
      <c r="AD25" s="65">
        <f>(AD40*'Parametros JRZ'!$N$48)*'Parametros JRZ'!$B$59</f>
        <v>0</v>
      </c>
      <c r="AE25" s="65">
        <f>(AE40*'Parametros JRZ'!$N$48)*'Parametros JRZ'!$B$59</f>
        <v>0</v>
      </c>
      <c r="AF25" s="65">
        <f>(AF40*'Parametros JRZ'!$N$48)*'Parametros JRZ'!$B$59</f>
        <v>0</v>
      </c>
      <c r="AG25" s="65">
        <f>(AG40*'Parametros JRZ'!$N$48)*'Parametros JRZ'!$B$59</f>
        <v>0</v>
      </c>
      <c r="AH25" s="65">
        <f>(AH40*'Parametros JRZ'!$N$48)*'Parametros JRZ'!$B$59</f>
        <v>0</v>
      </c>
      <c r="AI25" s="65">
        <f>(AI40*'Parametros JRZ'!$N$48)*'Parametros JRZ'!$B$59</f>
        <v>0</v>
      </c>
      <c r="AJ25" s="65">
        <f>(AJ40*'Parametros JRZ'!$N$48)*'Parametros JRZ'!$B$59</f>
        <v>0</v>
      </c>
      <c r="AK25" s="65">
        <f t="shared" si="6"/>
        <v>0</v>
      </c>
      <c r="AL25" s="73">
        <f t="shared" si="4"/>
        <v>0</v>
      </c>
      <c r="AM25" s="14">
        <f t="shared" si="7"/>
        <v>0</v>
      </c>
      <c r="AN25" s="9"/>
    </row>
    <row r="26" spans="1:40" ht="14.45" customHeight="1" outlineLevel="1">
      <c r="A26" s="37" t="s">
        <v>97</v>
      </c>
      <c r="B26" s="39"/>
      <c r="C26" s="39" t="s">
        <v>129</v>
      </c>
      <c r="D26" s="37" t="s">
        <v>90</v>
      </c>
      <c r="E26" s="38"/>
      <c r="F26" s="37"/>
      <c r="G26" s="37"/>
      <c r="H26" s="37"/>
      <c r="I26" s="172" t="s">
        <v>125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11">
        <f t="shared" si="5"/>
        <v>0</v>
      </c>
      <c r="W26" s="73">
        <f t="shared" si="2"/>
        <v>0</v>
      </c>
      <c r="X26" s="89"/>
      <c r="Y26" s="65">
        <f>(Y41*'Parametros JRZ'!$N$49)*'Parametros JRZ'!$B$60</f>
        <v>0</v>
      </c>
      <c r="Z26" s="65">
        <f>(Z41*'Parametros JRZ'!$N$49)*'Parametros JRZ'!$B$60</f>
        <v>0</v>
      </c>
      <c r="AA26" s="65">
        <f>(AA41*'Parametros JRZ'!$N$49)*'Parametros JRZ'!$B$60</f>
        <v>0</v>
      </c>
      <c r="AB26" s="65">
        <f>(AB41*'Parametros JRZ'!$N$49)*'Parametros JRZ'!$B$60</f>
        <v>0</v>
      </c>
      <c r="AC26" s="65">
        <f>(AC41*'Parametros JRZ'!$N$49)*'Parametros JRZ'!$B$60</f>
        <v>0</v>
      </c>
      <c r="AD26" s="65">
        <f>(AD41*'Parametros JRZ'!$N$49)*'Parametros JRZ'!$B$60</f>
        <v>0</v>
      </c>
      <c r="AE26" s="65">
        <f>(AE41*'Parametros JRZ'!$N$49)*'Parametros JRZ'!$B$60</f>
        <v>0</v>
      </c>
      <c r="AF26" s="65">
        <f>(AF41*'Parametros JRZ'!$N$49)*'Parametros JRZ'!$B$60</f>
        <v>0</v>
      </c>
      <c r="AG26" s="65">
        <f>(AG41*'Parametros JRZ'!$N$49)*'Parametros JRZ'!$B$60</f>
        <v>0</v>
      </c>
      <c r="AH26" s="65">
        <f>(AH41*'Parametros JRZ'!$N$49)*'Parametros JRZ'!$B$60</f>
        <v>0</v>
      </c>
      <c r="AI26" s="65">
        <f>(AI41*'Parametros JRZ'!$N$49)*'Parametros JRZ'!$B$60</f>
        <v>0</v>
      </c>
      <c r="AJ26" s="65">
        <f>(AJ41*'Parametros JRZ'!$N$49)*'Parametros JRZ'!$B$60</f>
        <v>0</v>
      </c>
      <c r="AK26" s="65">
        <f t="shared" si="6"/>
        <v>0</v>
      </c>
      <c r="AL26" s="73">
        <f t="shared" si="4"/>
        <v>0</v>
      </c>
      <c r="AM26" s="14">
        <f t="shared" si="7"/>
        <v>0</v>
      </c>
      <c r="AN26" s="9"/>
    </row>
    <row r="27" spans="1:40" ht="14.45" customHeight="1" outlineLevel="1">
      <c r="A27" s="37"/>
      <c r="B27" s="39"/>
      <c r="C27" s="39"/>
      <c r="D27" s="37"/>
      <c r="E27" s="38"/>
      <c r="F27" s="37"/>
      <c r="G27" s="37"/>
      <c r="H27" s="37"/>
      <c r="I27" s="167" t="s">
        <v>126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11">
        <f t="shared" si="5"/>
        <v>0</v>
      </c>
      <c r="W27" s="73">
        <f t="shared" si="2"/>
        <v>0</v>
      </c>
      <c r="X27" s="89"/>
      <c r="Y27" s="65">
        <f>(Y42*'Parametros JRZ'!$N$50)*'Parametros JRZ'!$B$61</f>
        <v>0</v>
      </c>
      <c r="Z27" s="65">
        <f>(Z42*'Parametros JRZ'!$N$50)*'Parametros JRZ'!$B$61</f>
        <v>0</v>
      </c>
      <c r="AA27" s="65">
        <f>(AA42*'Parametros JRZ'!$N$50)*'Parametros JRZ'!$B$61</f>
        <v>0</v>
      </c>
      <c r="AB27" s="65">
        <f>(AB42*'Parametros JRZ'!$N$50)*'Parametros JRZ'!$B$61</f>
        <v>0</v>
      </c>
      <c r="AC27" s="65">
        <f>(AC42*'Parametros JRZ'!$N$50)*'Parametros JRZ'!$B$61</f>
        <v>0</v>
      </c>
      <c r="AD27" s="65">
        <f>(AD42*'Parametros JRZ'!$N$50)*'Parametros JRZ'!$B$61</f>
        <v>0</v>
      </c>
      <c r="AE27" s="65">
        <f>(AE42*'Parametros JRZ'!$N$50)*'Parametros JRZ'!$B$61</f>
        <v>0</v>
      </c>
      <c r="AF27" s="65">
        <f>(AF42*'Parametros JRZ'!$N$50)*'Parametros JRZ'!$B$61</f>
        <v>0</v>
      </c>
      <c r="AG27" s="65">
        <f>(AG42*'Parametros JRZ'!$N$50)*'Parametros JRZ'!$B$61</f>
        <v>0</v>
      </c>
      <c r="AH27" s="65">
        <f>(AH42*'Parametros JRZ'!$N$50)*'Parametros JRZ'!$B$61</f>
        <v>0</v>
      </c>
      <c r="AI27" s="65">
        <f>(AI42*'Parametros JRZ'!$N$50)*'Parametros JRZ'!$B$61</f>
        <v>0</v>
      </c>
      <c r="AJ27" s="65">
        <f>(AJ42*'Parametros JRZ'!$N$50)*'Parametros JRZ'!$B$61</f>
        <v>0</v>
      </c>
      <c r="AK27" s="65">
        <f t="shared" si="6"/>
        <v>0</v>
      </c>
      <c r="AL27" s="73">
        <f t="shared" si="4"/>
        <v>0</v>
      </c>
      <c r="AM27" s="14">
        <f t="shared" si="7"/>
        <v>0</v>
      </c>
      <c r="AN27" s="9"/>
    </row>
    <row r="28" spans="1:40" ht="15.6" customHeight="1" outlineLevel="1">
      <c r="I28" s="171" t="s">
        <v>128</v>
      </c>
      <c r="J28" s="65">
        <v>-1905365</v>
      </c>
      <c r="K28" s="65">
        <v>-1836464</v>
      </c>
      <c r="L28" s="65">
        <v>-2083727</v>
      </c>
      <c r="M28" s="65">
        <v>-1899213</v>
      </c>
      <c r="N28" s="65">
        <v>-2243156</v>
      </c>
      <c r="O28" s="65">
        <v>-2084079</v>
      </c>
      <c r="P28" s="65">
        <v>-2115337</v>
      </c>
      <c r="Q28" s="65">
        <v>-1831612</v>
      </c>
      <c r="R28" s="65">
        <v>-1964022</v>
      </c>
      <c r="S28" s="65">
        <v>-2175193</v>
      </c>
      <c r="T28" s="65">
        <v>0</v>
      </c>
      <c r="U28" s="65">
        <v>0</v>
      </c>
      <c r="V28" s="11">
        <f t="shared" si="5"/>
        <v>-20138168</v>
      </c>
      <c r="W28" s="73">
        <f t="shared" si="2"/>
        <v>-0.14184740206145119</v>
      </c>
      <c r="X28" s="89"/>
      <c r="Y28" s="66">
        <f>+-Y40*'[3]Margen ctvs-lit'!$T$2</f>
        <v>0</v>
      </c>
      <c r="Z28" s="66">
        <f>+-Z40*'[3]Margen ctvs-lit'!$T$2</f>
        <v>0</v>
      </c>
      <c r="AA28" s="66">
        <f>+-AA40*'[3]Margen ctvs-lit'!$T$2</f>
        <v>0</v>
      </c>
      <c r="AB28" s="66">
        <f>+-AB40*'[3]Margen ctvs-lit'!$T$2</f>
        <v>0</v>
      </c>
      <c r="AC28" s="66">
        <f>+-AC40*'[3]Margen ctvs-lit'!$T$2</f>
        <v>0</v>
      </c>
      <c r="AD28" s="66">
        <f>+-AD40*'[3]Margen ctvs-lit'!$T$2</f>
        <v>0</v>
      </c>
      <c r="AE28" s="66">
        <f>+-AE40*'[3]Margen ctvs-lit'!$T$2</f>
        <v>0</v>
      </c>
      <c r="AF28" s="66">
        <f>+-AF40*'[3]Margen ctvs-lit'!$T$2</f>
        <v>0</v>
      </c>
      <c r="AG28" s="66">
        <f>+-AG40*'[3]Margen ctvs-lit'!$T$2</f>
        <v>0</v>
      </c>
      <c r="AH28" s="66">
        <f>+-AH40*'[3]Margen ctvs-lit'!$T$2</f>
        <v>0</v>
      </c>
      <c r="AI28" s="66">
        <f>+-AI40*'[3]Margen ctvs-lit'!$T$2</f>
        <v>0</v>
      </c>
      <c r="AJ28" s="66">
        <f>+-AJ40*'[3]Margen ctvs-lit'!$T$2</f>
        <v>0</v>
      </c>
      <c r="AK28" s="65">
        <f t="shared" si="6"/>
        <v>0</v>
      </c>
      <c r="AL28" s="73">
        <f t="shared" si="4"/>
        <v>0</v>
      </c>
      <c r="AM28" s="14">
        <f t="shared" si="7"/>
        <v>-1</v>
      </c>
      <c r="AN28" s="9"/>
    </row>
    <row r="29" spans="1:40" ht="14.45" customHeight="1" outlineLevel="1">
      <c r="I29" s="172" t="s">
        <v>130</v>
      </c>
      <c r="J29" s="65">
        <v>-59495</v>
      </c>
      <c r="K29" s="65">
        <v>-58176</v>
      </c>
      <c r="L29" s="65">
        <v>-61831</v>
      </c>
      <c r="M29" s="65">
        <v>-56498</v>
      </c>
      <c r="N29" s="65">
        <v>-72445</v>
      </c>
      <c r="O29" s="65">
        <v>-74497</v>
      </c>
      <c r="P29" s="65">
        <v>-71682</v>
      </c>
      <c r="Q29" s="65">
        <v>-69496</v>
      </c>
      <c r="R29" s="65">
        <v>-45069</v>
      </c>
      <c r="S29" s="65">
        <v>-52849</v>
      </c>
      <c r="T29" s="65">
        <v>0</v>
      </c>
      <c r="U29" s="65">
        <v>0</v>
      </c>
      <c r="V29" s="11">
        <f t="shared" si="5"/>
        <v>-622038</v>
      </c>
      <c r="W29" s="73">
        <f t="shared" si="2"/>
        <v>-4.3814548713418701E-3</v>
      </c>
      <c r="X29" s="89"/>
      <c r="Y29" s="66">
        <f>+-Y41*'[3]Margen ctvs-lit'!$T$3</f>
        <v>0</v>
      </c>
      <c r="Z29" s="66">
        <f>+-Z41*'[3]Margen ctvs-lit'!$T$3</f>
        <v>0</v>
      </c>
      <c r="AA29" s="66">
        <f>+-AA41*'[3]Margen ctvs-lit'!$T$3</f>
        <v>0</v>
      </c>
      <c r="AB29" s="66">
        <f>+-AB41*'[3]Margen ctvs-lit'!$T$3</f>
        <v>0</v>
      </c>
      <c r="AC29" s="66">
        <f>+-AC41*'[3]Margen ctvs-lit'!$T$3</f>
        <v>0</v>
      </c>
      <c r="AD29" s="66">
        <f>+-AD41*'[3]Margen ctvs-lit'!$T$3</f>
        <v>0</v>
      </c>
      <c r="AE29" s="66">
        <f>+-AE41*'[3]Margen ctvs-lit'!$T$3</f>
        <v>0</v>
      </c>
      <c r="AF29" s="66">
        <f>+-AF41*'[3]Margen ctvs-lit'!$T$3</f>
        <v>0</v>
      </c>
      <c r="AG29" s="66">
        <f>+-AG41*'[3]Margen ctvs-lit'!$T$3</f>
        <v>0</v>
      </c>
      <c r="AH29" s="66">
        <f>+-AH41*'[3]Margen ctvs-lit'!$T$3</f>
        <v>0</v>
      </c>
      <c r="AI29" s="66">
        <f>+-AI41*'[3]Margen ctvs-lit'!$T$3</f>
        <v>0</v>
      </c>
      <c r="AJ29" s="66">
        <f>+-AJ41*'[3]Margen ctvs-lit'!$T$3</f>
        <v>0</v>
      </c>
      <c r="AK29" s="65">
        <f t="shared" si="6"/>
        <v>0</v>
      </c>
      <c r="AL29" s="73">
        <f t="shared" si="4"/>
        <v>0</v>
      </c>
      <c r="AM29" s="14">
        <f t="shared" si="7"/>
        <v>-1</v>
      </c>
      <c r="AN29" s="9"/>
    </row>
    <row r="30" spans="1:40" ht="14.45" customHeight="1" outlineLevel="1">
      <c r="I30" s="172" t="s">
        <v>131</v>
      </c>
      <c r="J30" s="65">
        <v>6040</v>
      </c>
      <c r="K30" s="65">
        <v>7213</v>
      </c>
      <c r="L30" s="65">
        <v>5251</v>
      </c>
      <c r="M30" s="65">
        <v>6459</v>
      </c>
      <c r="N30" s="65">
        <v>8599</v>
      </c>
      <c r="O30" s="65">
        <v>5241</v>
      </c>
      <c r="P30" s="65">
        <v>4493</v>
      </c>
      <c r="Q30" s="65">
        <v>5362</v>
      </c>
      <c r="R30" s="65">
        <v>4829</v>
      </c>
      <c r="S30" s="65">
        <v>6365</v>
      </c>
      <c r="T30" s="65">
        <v>9779.7599999999984</v>
      </c>
      <c r="U30" s="65">
        <v>9831.7799999999988</v>
      </c>
      <c r="V30" s="11">
        <f t="shared" si="5"/>
        <v>79463.539999999994</v>
      </c>
      <c r="W30" s="73">
        <f t="shared" si="2"/>
        <v>5.597180790033238E-4</v>
      </c>
      <c r="X30" s="89"/>
      <c r="Y30" s="65">
        <f t="shared" ref="Y30:AJ30" si="11">+Y10*0.85</f>
        <v>11118</v>
      </c>
      <c r="Z30" s="65">
        <f t="shared" si="11"/>
        <v>8976</v>
      </c>
      <c r="AA30" s="65">
        <f t="shared" si="11"/>
        <v>8007</v>
      </c>
      <c r="AB30" s="65">
        <f t="shared" si="11"/>
        <v>11730</v>
      </c>
      <c r="AC30" s="65">
        <f t="shared" si="11"/>
        <v>9894</v>
      </c>
      <c r="AD30" s="65">
        <f t="shared" si="11"/>
        <v>11475</v>
      </c>
      <c r="AE30" s="65">
        <f t="shared" si="11"/>
        <v>10455</v>
      </c>
      <c r="AF30" s="65">
        <f t="shared" si="11"/>
        <v>9129</v>
      </c>
      <c r="AG30" s="65">
        <f t="shared" si="11"/>
        <v>7905</v>
      </c>
      <c r="AH30" s="65">
        <f t="shared" si="11"/>
        <v>8670</v>
      </c>
      <c r="AI30" s="65">
        <f t="shared" si="11"/>
        <v>8517</v>
      </c>
      <c r="AJ30" s="65">
        <f t="shared" si="11"/>
        <v>10200</v>
      </c>
      <c r="AK30" s="65">
        <f t="shared" si="6"/>
        <v>116076</v>
      </c>
      <c r="AL30" s="73">
        <f t="shared" si="4"/>
        <v>7.2133136889908757E-4</v>
      </c>
      <c r="AM30" s="14">
        <f t="shared" si="7"/>
        <v>0.46074539342193921</v>
      </c>
      <c r="AN30" s="9"/>
    </row>
    <row r="31" spans="1:40" ht="14.45" customHeight="1" outlineLevel="1">
      <c r="I31" s="172" t="s">
        <v>132</v>
      </c>
      <c r="J31" s="65">
        <v>0</v>
      </c>
      <c r="K31" s="65">
        <v>0</v>
      </c>
      <c r="L31" s="65"/>
      <c r="M31" s="65"/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/>
      <c r="U31" s="65"/>
      <c r="V31" s="11">
        <f t="shared" si="5"/>
        <v>0</v>
      </c>
      <c r="W31" s="73">
        <f t="shared" si="2"/>
        <v>0</v>
      </c>
      <c r="X31" s="89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>
        <f t="shared" si="6"/>
        <v>0</v>
      </c>
      <c r="AL31" s="73">
        <f t="shared" si="4"/>
        <v>0</v>
      </c>
      <c r="AM31" s="14">
        <f t="shared" si="7"/>
        <v>0</v>
      </c>
      <c r="AN31" s="9"/>
    </row>
    <row r="32" spans="1:40" ht="14.25" customHeight="1" outlineLevel="1">
      <c r="I32" s="172" t="s">
        <v>133</v>
      </c>
      <c r="J32" s="65">
        <v>0</v>
      </c>
      <c r="K32" s="65">
        <v>0</v>
      </c>
      <c r="L32" s="65"/>
      <c r="M32" s="65"/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/>
      <c r="U32" s="65"/>
      <c r="V32" s="11">
        <f t="shared" si="5"/>
        <v>0</v>
      </c>
      <c r="W32" s="73">
        <f t="shared" si="2"/>
        <v>0</v>
      </c>
      <c r="X32" s="89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f t="shared" si="6"/>
        <v>0</v>
      </c>
      <c r="AL32" s="73">
        <f t="shared" si="4"/>
        <v>0</v>
      </c>
      <c r="AM32" s="14">
        <f t="shared" si="7"/>
        <v>0</v>
      </c>
      <c r="AN32" s="9"/>
    </row>
    <row r="33" spans="1:41" ht="14.45" customHeight="1" outlineLevel="1">
      <c r="I33" s="172" t="s">
        <v>134</v>
      </c>
      <c r="J33" s="65">
        <v>0</v>
      </c>
      <c r="K33" s="65">
        <v>0</v>
      </c>
      <c r="L33" s="65"/>
      <c r="M33" s="65"/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/>
      <c r="U33" s="65"/>
      <c r="V33" s="11">
        <f t="shared" si="5"/>
        <v>0</v>
      </c>
      <c r="W33" s="73">
        <f t="shared" si="2"/>
        <v>0</v>
      </c>
      <c r="X33" s="89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>
        <f t="shared" si="6"/>
        <v>0</v>
      </c>
      <c r="AL33" s="73">
        <f t="shared" si="4"/>
        <v>0</v>
      </c>
      <c r="AM33" s="14">
        <f t="shared" si="7"/>
        <v>0</v>
      </c>
      <c r="AN33" s="9"/>
    </row>
    <row r="34" spans="1:41" ht="14.45" customHeight="1">
      <c r="E34" s="127"/>
      <c r="I34" s="36" t="s">
        <v>135</v>
      </c>
      <c r="J34" s="35">
        <v>1470373</v>
      </c>
      <c r="K34" s="35">
        <v>1657631</v>
      </c>
      <c r="L34" s="35">
        <v>1647661</v>
      </c>
      <c r="M34" s="35">
        <v>1598169</v>
      </c>
      <c r="N34" s="35">
        <v>1897117</v>
      </c>
      <c r="O34" s="35">
        <v>1690659</v>
      </c>
      <c r="P34" s="35">
        <v>1632647</v>
      </c>
      <c r="Q34" s="35">
        <v>1398927</v>
      </c>
      <c r="R34" s="228">
        <v>1659982</v>
      </c>
      <c r="S34" s="228">
        <v>2039692</v>
      </c>
      <c r="T34" s="228">
        <f t="shared" ref="T34:V34" si="12">SUM(T35:T38)</f>
        <v>1777440</v>
      </c>
      <c r="U34" s="228">
        <f t="shared" si="12"/>
        <v>1825704.333333333</v>
      </c>
      <c r="V34" s="228">
        <f t="shared" si="12"/>
        <v>20296003.333333336</v>
      </c>
      <c r="W34" s="73">
        <f t="shared" si="2"/>
        <v>0.14295914827326334</v>
      </c>
      <c r="X34" s="89"/>
      <c r="Y34" s="35">
        <f t="shared" ref="Y34:AJ34" si="13">Y6-Y13</f>
        <v>1621514.7699999977</v>
      </c>
      <c r="Z34" s="35">
        <f t="shared" si="13"/>
        <v>1546396.9899999984</v>
      </c>
      <c r="AA34" s="35">
        <f t="shared" si="13"/>
        <v>1846561.0700000003</v>
      </c>
      <c r="AB34" s="35">
        <f t="shared" si="13"/>
        <v>1553129.4799999986</v>
      </c>
      <c r="AC34" s="35">
        <f t="shared" si="13"/>
        <v>2015570.6799999997</v>
      </c>
      <c r="AD34" s="35">
        <f t="shared" si="13"/>
        <v>1731499.25</v>
      </c>
      <c r="AE34" s="35">
        <f t="shared" si="13"/>
        <v>1811976.7699999977</v>
      </c>
      <c r="AF34" s="35">
        <f t="shared" si="13"/>
        <v>1852086.7699999996</v>
      </c>
      <c r="AG34" s="35">
        <f t="shared" si="13"/>
        <v>1773256.9999999981</v>
      </c>
      <c r="AH34" s="35">
        <f t="shared" si="13"/>
        <v>1924239.9000000004</v>
      </c>
      <c r="AI34" s="35">
        <f t="shared" si="13"/>
        <v>1801101.6899999995</v>
      </c>
      <c r="AJ34" s="35">
        <f t="shared" si="13"/>
        <v>1720354.0999999996</v>
      </c>
      <c r="AK34" s="35">
        <f>AK6-AK13</f>
        <v>21197688.469999969</v>
      </c>
      <c r="AL34" s="73">
        <f t="shared" si="4"/>
        <v>0.13172884697578727</v>
      </c>
      <c r="AM34" s="34">
        <f t="shared" si="7"/>
        <v>4.4426733769093341E-2</v>
      </c>
      <c r="AN34" s="9"/>
    </row>
    <row r="35" spans="1:41" ht="14.45" customHeight="1" outlineLevel="1">
      <c r="E35" s="127"/>
      <c r="I35" s="212" t="s">
        <v>136</v>
      </c>
      <c r="J35" s="30">
        <v>1352570</v>
      </c>
      <c r="K35" s="30">
        <v>1543232</v>
      </c>
      <c r="L35" s="30">
        <v>1528424</v>
      </c>
      <c r="M35" s="30">
        <v>1501443</v>
      </c>
      <c r="N35" s="30">
        <v>1717585</v>
      </c>
      <c r="O35" s="30">
        <v>1407310</v>
      </c>
      <c r="P35" s="30">
        <v>1384122</v>
      </c>
      <c r="Q35" s="30">
        <v>1175012</v>
      </c>
      <c r="R35" s="229">
        <v>1415940</v>
      </c>
      <c r="S35" s="229">
        <v>1820629</v>
      </c>
      <c r="T35" s="229">
        <f>IFERROR(AVERAGE(R35:S35,P35),0)</f>
        <v>1540230.3333333333</v>
      </c>
      <c r="U35" s="229">
        <f>IFERROR(AVERAGE(R35:T35),0)</f>
        <v>1592266.4444444443</v>
      </c>
      <c r="V35" s="229">
        <f t="shared" ref="V35:V38" si="14">SUM(J35:U35)</f>
        <v>17978763.77777778</v>
      </c>
      <c r="W35" s="74">
        <f t="shared" ref="W35:W46" si="15">V35/V$39</f>
        <v>2.2628619163828598</v>
      </c>
      <c r="X35" s="90"/>
      <c r="Y35" s="30">
        <f>+Y40*Y44</f>
        <v>1421483.2799999998</v>
      </c>
      <c r="Z35" s="30">
        <f t="shared" ref="Z35:AJ35" si="16">+Z40*Z44</f>
        <v>1350509.55</v>
      </c>
      <c r="AA35" s="30">
        <f t="shared" si="16"/>
        <v>1636877.8099999998</v>
      </c>
      <c r="AB35" s="30">
        <f t="shared" si="16"/>
        <v>1359955.77</v>
      </c>
      <c r="AC35" s="30">
        <f t="shared" si="16"/>
        <v>1796237.16</v>
      </c>
      <c r="AD35" s="30">
        <f t="shared" si="16"/>
        <v>1515267.81</v>
      </c>
      <c r="AE35" s="30">
        <f t="shared" si="16"/>
        <v>1593345.6</v>
      </c>
      <c r="AF35" s="30">
        <f t="shared" si="16"/>
        <v>1630643.19</v>
      </c>
      <c r="AG35" s="30">
        <f t="shared" si="16"/>
        <v>1546855.36</v>
      </c>
      <c r="AH35" s="30">
        <f t="shared" si="16"/>
        <v>1704706.7</v>
      </c>
      <c r="AI35" s="30">
        <f t="shared" si="16"/>
        <v>1596624</v>
      </c>
      <c r="AJ35" s="30">
        <f t="shared" si="16"/>
        <v>1525158.31</v>
      </c>
      <c r="AK35" s="30">
        <f t="shared" ref="AK35:AK42" si="17">SUM(Y35:AJ35)</f>
        <v>18677664.539999995</v>
      </c>
      <c r="AL35" s="74">
        <f t="shared" ref="AL35:AL46" si="18">AK35/AK$39</f>
        <v>2.2147434436049047</v>
      </c>
      <c r="AM35" s="29">
        <f>IFERROR(AK35/V35-1,0)</f>
        <v>3.8873682910616658E-2</v>
      </c>
      <c r="AN35" s="9"/>
    </row>
    <row r="36" spans="1:41" ht="14.45" customHeight="1" outlineLevel="1">
      <c r="E36" s="127"/>
      <c r="I36" s="212" t="s">
        <v>137</v>
      </c>
      <c r="J36" s="30">
        <v>70833</v>
      </c>
      <c r="K36" s="30">
        <v>65918</v>
      </c>
      <c r="L36" s="30">
        <v>73492</v>
      </c>
      <c r="M36" s="30">
        <v>66783</v>
      </c>
      <c r="N36" s="30">
        <v>87334</v>
      </c>
      <c r="O36" s="30">
        <v>86540</v>
      </c>
      <c r="P36" s="30">
        <v>77432</v>
      </c>
      <c r="Q36" s="30">
        <v>53119</v>
      </c>
      <c r="R36" s="229">
        <v>45464</v>
      </c>
      <c r="S36" s="229">
        <v>46639</v>
      </c>
      <c r="T36" s="229">
        <f t="shared" ref="T36:T38" si="19">IFERROR(AVERAGE(R36:S36,P36),0)</f>
        <v>56511.666666666664</v>
      </c>
      <c r="U36" s="229">
        <f t="shared" ref="U36:U38" si="20">IFERROR(AVERAGE(R36:T36),0)</f>
        <v>49538.222222222219</v>
      </c>
      <c r="V36" s="229">
        <f t="shared" si="14"/>
        <v>779603.88888888888</v>
      </c>
      <c r="W36" s="74">
        <f t="shared" si="15"/>
        <v>9.8123317700584009E-2</v>
      </c>
      <c r="X36" s="90"/>
      <c r="Y36" s="30">
        <f t="shared" ref="Y36:AJ37" si="21">+Y41*Y45</f>
        <v>53365.289999999994</v>
      </c>
      <c r="Z36" s="30">
        <f t="shared" si="21"/>
        <v>51400</v>
      </c>
      <c r="AA36" s="30">
        <f t="shared" si="21"/>
        <v>56871.219999999994</v>
      </c>
      <c r="AB36" s="30">
        <f t="shared" si="21"/>
        <v>50516.509999999995</v>
      </c>
      <c r="AC36" s="30">
        <f t="shared" si="21"/>
        <v>65618.080000000002</v>
      </c>
      <c r="AD36" s="30">
        <f t="shared" si="21"/>
        <v>68149.759999999995</v>
      </c>
      <c r="AE36" s="30">
        <f t="shared" si="21"/>
        <v>64679.45</v>
      </c>
      <c r="AF36" s="30">
        <f t="shared" si="21"/>
        <v>65900.3</v>
      </c>
      <c r="AG36" s="30">
        <f t="shared" si="21"/>
        <v>62770</v>
      </c>
      <c r="AH36" s="30">
        <f t="shared" si="21"/>
        <v>44243.199999999997</v>
      </c>
      <c r="AI36" s="30">
        <f t="shared" si="21"/>
        <v>43579.25</v>
      </c>
      <c r="AJ36" s="30">
        <f t="shared" si="21"/>
        <v>41172.959999999999</v>
      </c>
      <c r="AK36" s="30">
        <f t="shared" si="17"/>
        <v>668266.0199999999</v>
      </c>
      <c r="AL36" s="74">
        <f t="shared" si="18"/>
        <v>7.9241051963927403E-2</v>
      </c>
      <c r="AM36" s="29">
        <f>IFERROR(AK36/V36-1,0)</f>
        <v>-0.14281338314970504</v>
      </c>
      <c r="AN36" s="9"/>
    </row>
    <row r="37" spans="1:41" ht="14.45" customHeight="1" outlineLevel="1">
      <c r="I37" s="212" t="s">
        <v>138</v>
      </c>
      <c r="J37" s="30">
        <v>46104</v>
      </c>
      <c r="K37" s="30">
        <v>46297</v>
      </c>
      <c r="L37" s="30">
        <v>44302</v>
      </c>
      <c r="M37" s="30">
        <v>27897</v>
      </c>
      <c r="N37" s="30">
        <v>89683</v>
      </c>
      <c r="O37" s="30">
        <v>195195</v>
      </c>
      <c r="P37" s="30">
        <v>169760</v>
      </c>
      <c r="Q37" s="30">
        <v>169047</v>
      </c>
      <c r="R37" s="229">
        <v>197025</v>
      </c>
      <c r="S37" s="229">
        <v>170394</v>
      </c>
      <c r="T37" s="229">
        <f t="shared" si="19"/>
        <v>179059.66666666666</v>
      </c>
      <c r="U37" s="229">
        <f t="shared" si="20"/>
        <v>182159.55555555553</v>
      </c>
      <c r="V37" s="229">
        <f t="shared" si="14"/>
        <v>1516923.2222222222</v>
      </c>
      <c r="W37" s="74">
        <f t="shared" si="15"/>
        <v>0.19092457257190332</v>
      </c>
      <c r="X37" s="90"/>
      <c r="Y37" s="30">
        <f t="shared" si="21"/>
        <v>144704.19999999998</v>
      </c>
      <c r="Z37" s="30">
        <f t="shared" si="21"/>
        <v>142903.44</v>
      </c>
      <c r="AA37" s="30">
        <f t="shared" si="21"/>
        <v>151399.04000000001</v>
      </c>
      <c r="AB37" s="30">
        <f t="shared" si="21"/>
        <v>140587.19999999998</v>
      </c>
      <c r="AC37" s="30">
        <f t="shared" si="21"/>
        <v>151969.44</v>
      </c>
      <c r="AD37" s="30">
        <f t="shared" si="21"/>
        <v>146056.68</v>
      </c>
      <c r="AE37" s="30">
        <f t="shared" si="21"/>
        <v>152106.72</v>
      </c>
      <c r="AF37" s="30">
        <f t="shared" si="21"/>
        <v>153932.28</v>
      </c>
      <c r="AG37" s="30">
        <f t="shared" si="21"/>
        <v>162236.63999999998</v>
      </c>
      <c r="AH37" s="30">
        <f t="shared" si="21"/>
        <v>173760</v>
      </c>
      <c r="AI37" s="30">
        <f t="shared" si="21"/>
        <v>159395.44</v>
      </c>
      <c r="AJ37" s="30">
        <f t="shared" si="21"/>
        <v>152222.83000000002</v>
      </c>
      <c r="AK37" s="30">
        <f t="shared" si="17"/>
        <v>1831273.91</v>
      </c>
      <c r="AL37" s="74">
        <f t="shared" si="18"/>
        <v>0.21714716403281217</v>
      </c>
      <c r="AM37" s="29">
        <f>IFERROR(AK37/V37-1,0)</f>
        <v>0.20722913537922416</v>
      </c>
      <c r="AN37" s="173"/>
    </row>
    <row r="38" spans="1:41" ht="14.45" customHeight="1" outlineLevel="1">
      <c r="I38" s="212" t="s">
        <v>139</v>
      </c>
      <c r="J38" s="32">
        <v>866</v>
      </c>
      <c r="K38" s="32">
        <v>2184</v>
      </c>
      <c r="L38" s="32">
        <v>1443</v>
      </c>
      <c r="M38" s="32">
        <v>2047</v>
      </c>
      <c r="N38" s="32">
        <v>2515</v>
      </c>
      <c r="O38" s="32">
        <v>1614</v>
      </c>
      <c r="P38" s="32">
        <v>1333</v>
      </c>
      <c r="Q38" s="32">
        <v>1750</v>
      </c>
      <c r="R38" s="229">
        <v>1553</v>
      </c>
      <c r="S38" s="229">
        <v>2029</v>
      </c>
      <c r="T38" s="229">
        <f t="shared" si="19"/>
        <v>1638.3333333333333</v>
      </c>
      <c r="U38" s="229">
        <f t="shared" si="20"/>
        <v>1740.1111111111111</v>
      </c>
      <c r="V38" s="229">
        <f t="shared" si="14"/>
        <v>20712.444444444442</v>
      </c>
      <c r="W38" s="74">
        <f t="shared" si="15"/>
        <v>2.606931283365593E-3</v>
      </c>
      <c r="X38" s="90"/>
      <c r="Y38" s="32">
        <f>Y10-Y30</f>
        <v>1962</v>
      </c>
      <c r="Z38" s="32">
        <f t="shared" ref="Z38:AJ38" si="22">Z10-Z30</f>
        <v>1584</v>
      </c>
      <c r="AA38" s="32">
        <f t="shared" si="22"/>
        <v>1413</v>
      </c>
      <c r="AB38" s="32">
        <f t="shared" si="22"/>
        <v>2070</v>
      </c>
      <c r="AC38" s="32">
        <f t="shared" si="22"/>
        <v>1746</v>
      </c>
      <c r="AD38" s="32">
        <f t="shared" si="22"/>
        <v>2025</v>
      </c>
      <c r="AE38" s="32">
        <f t="shared" si="22"/>
        <v>1845</v>
      </c>
      <c r="AF38" s="32">
        <f t="shared" si="22"/>
        <v>1611</v>
      </c>
      <c r="AG38" s="32">
        <f t="shared" si="22"/>
        <v>1395</v>
      </c>
      <c r="AH38" s="32">
        <f t="shared" si="22"/>
        <v>1530</v>
      </c>
      <c r="AI38" s="32">
        <f t="shared" si="22"/>
        <v>1503</v>
      </c>
      <c r="AJ38" s="32">
        <f t="shared" si="22"/>
        <v>1800</v>
      </c>
      <c r="AK38" s="30">
        <f t="shared" si="17"/>
        <v>20484</v>
      </c>
      <c r="AL38" s="74">
        <f t="shared" si="18"/>
        <v>2.4289334783610416E-3</v>
      </c>
      <c r="AM38" s="29">
        <f>IFERROR(AK38/V38-1,0)</f>
        <v>-1.1029332875565845E-2</v>
      </c>
      <c r="AN38" s="9"/>
    </row>
    <row r="39" spans="1:41" ht="14.45" customHeight="1">
      <c r="I39" s="18" t="s">
        <v>140</v>
      </c>
      <c r="J39" s="33">
        <v>595168</v>
      </c>
      <c r="K39" s="33">
        <v>573147</v>
      </c>
      <c r="L39" s="33">
        <v>646659</v>
      </c>
      <c r="M39" s="33">
        <v>588553</v>
      </c>
      <c r="N39" s="33">
        <v>723032</v>
      </c>
      <c r="O39" s="33">
        <v>709015</v>
      </c>
      <c r="P39" s="33">
        <v>712879</v>
      </c>
      <c r="Q39" s="33">
        <v>622724</v>
      </c>
      <c r="R39" s="33">
        <v>655621</v>
      </c>
      <c r="S39" s="33">
        <v>721431</v>
      </c>
      <c r="T39" s="33">
        <f t="shared" ref="R39:T39" si="23">SUM(T40:T42)</f>
        <v>710334</v>
      </c>
      <c r="U39" s="33">
        <f>SUM(U40:U42)</f>
        <v>686581</v>
      </c>
      <c r="V39" s="33">
        <f>SUM(J39:U39)</f>
        <v>7945144</v>
      </c>
      <c r="W39" s="74">
        <f t="shared" si="15"/>
        <v>1</v>
      </c>
      <c r="X39" s="90"/>
      <c r="Y39" s="33">
        <f t="shared" ref="Y39:AJ39" si="24">SUM(Y40:Y42)</f>
        <v>646726</v>
      </c>
      <c r="Z39" s="33">
        <f t="shared" si="24"/>
        <v>626133</v>
      </c>
      <c r="AA39" s="33">
        <f t="shared" si="24"/>
        <v>705393</v>
      </c>
      <c r="AB39" s="33">
        <f t="shared" si="24"/>
        <v>642842</v>
      </c>
      <c r="AC39" s="33">
        <f t="shared" si="24"/>
        <v>759962</v>
      </c>
      <c r="AD39" s="33">
        <f t="shared" si="24"/>
        <v>710542</v>
      </c>
      <c r="AE39" s="33">
        <f t="shared" si="24"/>
        <v>719677</v>
      </c>
      <c r="AF39" s="33">
        <f t="shared" si="24"/>
        <v>733555</v>
      </c>
      <c r="AG39" s="33">
        <f t="shared" si="24"/>
        <v>714258</v>
      </c>
      <c r="AH39" s="33">
        <f t="shared" si="24"/>
        <v>750654</v>
      </c>
      <c r="AI39" s="33">
        <f t="shared" si="24"/>
        <v>726351</v>
      </c>
      <c r="AJ39" s="33">
        <f t="shared" si="24"/>
        <v>697238</v>
      </c>
      <c r="AK39" s="33">
        <f t="shared" si="17"/>
        <v>8433331</v>
      </c>
      <c r="AL39" s="74">
        <f t="shared" si="18"/>
        <v>1</v>
      </c>
      <c r="AM39" s="16">
        <f>IFERROR(AK39/V39-1,0)</f>
        <v>6.1444701316930139E-2</v>
      </c>
      <c r="AN39" s="9" t="s">
        <v>447</v>
      </c>
    </row>
    <row r="40" spans="1:41" ht="14.45" customHeight="1" outlineLevel="1">
      <c r="I40" s="31" t="s">
        <v>141</v>
      </c>
      <c r="J40" s="32">
        <v>559061</v>
      </c>
      <c r="K40" s="32">
        <v>539002</v>
      </c>
      <c r="L40" s="32">
        <v>611214</v>
      </c>
      <c r="M40" s="32">
        <v>557379</v>
      </c>
      <c r="N40" s="32">
        <v>658267</v>
      </c>
      <c r="O40" s="32">
        <v>611341</v>
      </c>
      <c r="P40" s="32">
        <v>620491</v>
      </c>
      <c r="Q40" s="32">
        <v>537280</v>
      </c>
      <c r="R40" s="32">
        <v>575976</v>
      </c>
      <c r="S40" s="32">
        <v>638194</v>
      </c>
      <c r="T40" s="32">
        <v>629326</v>
      </c>
      <c r="U40" s="32">
        <v>608348</v>
      </c>
      <c r="V40" s="32">
        <f>SUM(J40:U40)</f>
        <v>7145879</v>
      </c>
      <c r="W40" s="74">
        <f t="shared" si="15"/>
        <v>0.89940207502847025</v>
      </c>
      <c r="X40" s="90"/>
      <c r="Y40" s="32">
        <f>VLOOKUP($E$1,'[3]Resumen x Tipo Combustible'!$C$4:$O$10,Y$1,0)</f>
        <v>566328</v>
      </c>
      <c r="Z40" s="32">
        <f>VLOOKUP($E$1,'[3]Resumen x Tipo Combustible'!$C$4:$O$10,Z$1,0)</f>
        <v>546765</v>
      </c>
      <c r="AA40" s="32">
        <f>VLOOKUP($E$1,'[3]Resumen x Tipo Combustible'!$C$4:$O$10,AA$1,0)</f>
        <v>622387</v>
      </c>
      <c r="AB40" s="32">
        <f>VLOOKUP($E$1,'[3]Resumen x Tipo Combustible'!$C$4:$O$10,AB$1,0)</f>
        <v>564297</v>
      </c>
      <c r="AC40" s="32">
        <f>VLOOKUP($E$1,'[3]Resumen x Tipo Combustible'!$C$4:$O$10,AC$1,0)</f>
        <v>672748</v>
      </c>
      <c r="AD40" s="32">
        <f>VLOOKUP($E$1,'[3]Resumen x Tipo Combustible'!$C$4:$O$10,AD$1,0)</f>
        <v>623567</v>
      </c>
      <c r="AE40" s="32">
        <f>VLOOKUP($E$1,'[3]Resumen x Tipo Combustible'!$C$4:$O$10,AE$1,0)</f>
        <v>632280</v>
      </c>
      <c r="AF40" s="32">
        <f>VLOOKUP($E$1,'[3]Resumen x Tipo Combustible'!$C$4:$O$10,AF$1,0)</f>
        <v>644523</v>
      </c>
      <c r="AG40" s="32">
        <f>VLOOKUP($E$1,'[3]Resumen x Tipo Combustible'!$C$4:$O$10,AG$1,0)</f>
        <v>623732</v>
      </c>
      <c r="AH40" s="32">
        <f>VLOOKUP($E$1,'[3]Resumen x Tipo Combustible'!$C$4:$O$10,AH$1,0)</f>
        <v>663310</v>
      </c>
      <c r="AI40" s="32">
        <f>VLOOKUP($E$1,'[3]Resumen x Tipo Combustible'!$C$4:$O$10,AI$1,0)</f>
        <v>643800</v>
      </c>
      <c r="AJ40" s="32">
        <f>VLOOKUP($E$1,'[3]Resumen x Tipo Combustible'!$C$4:$O$10,AJ$1,0)</f>
        <v>617473</v>
      </c>
      <c r="AK40" s="32">
        <f t="shared" si="17"/>
        <v>7421210</v>
      </c>
      <c r="AL40" s="74">
        <f t="shared" si="18"/>
        <v>0.87998561896835303</v>
      </c>
      <c r="AM40" s="29">
        <f t="shared" si="7"/>
        <v>3.8530039481496914E-2</v>
      </c>
      <c r="AN40" s="9"/>
    </row>
    <row r="41" spans="1:41" ht="14.45" customHeight="1" outlineLevel="1">
      <c r="I41" s="31" t="s">
        <v>142</v>
      </c>
      <c r="J41" s="32">
        <v>20802</v>
      </c>
      <c r="K41" s="32">
        <v>20341</v>
      </c>
      <c r="L41" s="32">
        <v>21619</v>
      </c>
      <c r="M41" s="32">
        <v>19755</v>
      </c>
      <c r="N41" s="32">
        <v>25330</v>
      </c>
      <c r="O41" s="32">
        <v>26048</v>
      </c>
      <c r="P41" s="32">
        <v>25064</v>
      </c>
      <c r="Q41" s="32">
        <v>24299</v>
      </c>
      <c r="R41" s="32">
        <v>15759</v>
      </c>
      <c r="S41" s="32">
        <v>18479</v>
      </c>
      <c r="T41" s="32">
        <v>16773</v>
      </c>
      <c r="U41" s="32">
        <v>16213</v>
      </c>
      <c r="V41" s="32">
        <f>SUM(J41:U41)</f>
        <v>250482</v>
      </c>
      <c r="W41" s="74">
        <f t="shared" si="15"/>
        <v>3.1526426707936317E-2</v>
      </c>
      <c r="X41" s="90"/>
      <c r="Y41" s="32">
        <f>VLOOKUP($E$1,'[3]Resumen x Tipo Combustible'!$C$15:$O$21,Y$1,0)</f>
        <v>21093</v>
      </c>
      <c r="Z41" s="32">
        <f>VLOOKUP($E$1,'[3]Resumen x Tipo Combustible'!$C$15:$O$21,Z$1,0)</f>
        <v>20560</v>
      </c>
      <c r="AA41" s="32">
        <f>VLOOKUP($E$1,'[3]Resumen x Tipo Combustible'!$C$15:$O$21,AA$1,0)</f>
        <v>21958</v>
      </c>
      <c r="AB41" s="32">
        <f>VLOOKUP($E$1,'[3]Resumen x Tipo Combustible'!$C$15:$O$21,AB$1,0)</f>
        <v>19967</v>
      </c>
      <c r="AC41" s="32">
        <f>VLOOKUP($E$1,'[3]Resumen x Tipo Combustible'!$C$15:$O$21,AC$1,0)</f>
        <v>25936</v>
      </c>
      <c r="AD41" s="32">
        <f>VLOOKUP($E$1,'[3]Resumen x Tipo Combustible'!$C$15:$O$21,AD$1,0)</f>
        <v>26621</v>
      </c>
      <c r="AE41" s="32">
        <f>VLOOKUP($E$1,'[3]Resumen x Tipo Combustible'!$C$15:$O$21,AE$1,0)</f>
        <v>25565</v>
      </c>
      <c r="AF41" s="32">
        <f>VLOOKUP($E$1,'[3]Resumen x Tipo Combustible'!$C$15:$O$21,AF$1,0)</f>
        <v>25945</v>
      </c>
      <c r="AG41" s="32">
        <f>VLOOKUP($E$1,'[3]Resumen x Tipo Combustible'!$C$15:$O$21,AG$1,0)</f>
        <v>25108</v>
      </c>
      <c r="AH41" s="32">
        <f>VLOOKUP($E$1,'[3]Resumen x Tipo Combustible'!$C$15:$O$21,AH$1,0)</f>
        <v>17840</v>
      </c>
      <c r="AI41" s="32">
        <f>VLOOKUP($E$1,'[3]Resumen x Tipo Combustible'!$C$15:$O$21,AI$1,0)</f>
        <v>17225</v>
      </c>
      <c r="AJ41" s="32">
        <f>VLOOKUP($E$1,'[3]Resumen x Tipo Combustible'!$C$15:$O$21,AJ$1,0)</f>
        <v>16602</v>
      </c>
      <c r="AK41" s="32">
        <f t="shared" si="17"/>
        <v>264420</v>
      </c>
      <c r="AL41" s="74">
        <f t="shared" si="18"/>
        <v>3.1354158872692175E-2</v>
      </c>
      <c r="AM41" s="29">
        <f t="shared" si="7"/>
        <v>5.5644716985651765E-2</v>
      </c>
      <c r="AN41" s="9"/>
    </row>
    <row r="42" spans="1:41" ht="14.45" customHeight="1" outlineLevel="1">
      <c r="A42" s="21"/>
      <c r="B42" s="21"/>
      <c r="C42" s="21"/>
      <c r="D42" s="21"/>
      <c r="E42" s="7" t="s">
        <v>98</v>
      </c>
      <c r="I42" s="31" t="s">
        <v>143</v>
      </c>
      <c r="J42" s="32">
        <v>15305</v>
      </c>
      <c r="K42" s="32">
        <v>13803</v>
      </c>
      <c r="L42" s="32">
        <v>13827</v>
      </c>
      <c r="M42" s="32">
        <v>11419</v>
      </c>
      <c r="N42" s="32">
        <v>39435</v>
      </c>
      <c r="O42" s="32">
        <v>71626</v>
      </c>
      <c r="P42" s="32">
        <v>67324</v>
      </c>
      <c r="Q42" s="32">
        <v>61145</v>
      </c>
      <c r="R42" s="32">
        <v>63886</v>
      </c>
      <c r="S42" s="32">
        <v>64758</v>
      </c>
      <c r="T42" s="32">
        <v>64235</v>
      </c>
      <c r="U42" s="32">
        <v>62020</v>
      </c>
      <c r="V42" s="32">
        <f>SUM(J42:U42)</f>
        <v>548783</v>
      </c>
      <c r="W42" s="74">
        <f t="shared" si="15"/>
        <v>6.9071498263593462E-2</v>
      </c>
      <c r="X42" s="90"/>
      <c r="Y42" s="32">
        <f>VLOOKUP($E$1,'[3]Resumen x Tipo Combustible'!$C$26:$O$32,Y$1,0)</f>
        <v>59305</v>
      </c>
      <c r="Z42" s="32">
        <f>VLOOKUP($E$1,'[3]Resumen x Tipo Combustible'!$C$26:$O$32,Z$1,0)</f>
        <v>58808</v>
      </c>
      <c r="AA42" s="32">
        <f>VLOOKUP($E$1,'[3]Resumen x Tipo Combustible'!$C$26:$O$32,AA$1,0)</f>
        <v>61048</v>
      </c>
      <c r="AB42" s="32">
        <f>VLOOKUP($E$1,'[3]Resumen x Tipo Combustible'!$C$26:$O$32,AB$1,0)</f>
        <v>58578</v>
      </c>
      <c r="AC42" s="32">
        <f>VLOOKUP($E$1,'[3]Resumen x Tipo Combustible'!$C$26:$O$32,AC$1,0)</f>
        <v>61278</v>
      </c>
      <c r="AD42" s="32">
        <f>VLOOKUP($E$1,'[3]Resumen x Tipo Combustible'!$C$26:$O$32,AD$1,0)</f>
        <v>60354</v>
      </c>
      <c r="AE42" s="32">
        <f>VLOOKUP($E$1,'[3]Resumen x Tipo Combustible'!$C$26:$O$32,AE$1,0)</f>
        <v>61832</v>
      </c>
      <c r="AF42" s="32">
        <f>VLOOKUP($E$1,'[3]Resumen x Tipo Combustible'!$C$26:$O$32,AF$1,0)</f>
        <v>63087</v>
      </c>
      <c r="AG42" s="32">
        <f>VLOOKUP($E$1,'[3]Resumen x Tipo Combustible'!$C$26:$O$32,AG$1,0)</f>
        <v>65418</v>
      </c>
      <c r="AH42" s="32">
        <f>VLOOKUP($E$1,'[3]Resumen x Tipo Combustible'!$C$26:$O$32,AH$1,0)</f>
        <v>69504</v>
      </c>
      <c r="AI42" s="32">
        <f>VLOOKUP($E$1,'[3]Resumen x Tipo Combustible'!$C$26:$O$32,AI$1,0)</f>
        <v>65326</v>
      </c>
      <c r="AJ42" s="32">
        <f>VLOOKUP($E$1,'[3]Resumen x Tipo Combustible'!$C$26:$O$32,AJ$1,0)</f>
        <v>63163</v>
      </c>
      <c r="AK42" s="32">
        <f t="shared" si="17"/>
        <v>747701</v>
      </c>
      <c r="AL42" s="74">
        <f t="shared" si="18"/>
        <v>8.8660222158954749E-2</v>
      </c>
      <c r="AM42" s="29">
        <f t="shared" si="7"/>
        <v>0.36247114068766706</v>
      </c>
      <c r="AN42" s="9"/>
    </row>
    <row r="43" spans="1:41" ht="15" customHeight="1">
      <c r="A43" s="21"/>
      <c r="B43" s="21"/>
      <c r="C43" s="21"/>
      <c r="D43" s="21"/>
      <c r="E43" s="22"/>
      <c r="F43" s="21"/>
      <c r="G43" s="21"/>
      <c r="H43" s="21"/>
      <c r="I43" s="18" t="s">
        <v>359</v>
      </c>
      <c r="J43" s="17">
        <v>2.4700000000000002</v>
      </c>
      <c r="K43" s="17">
        <v>2.89</v>
      </c>
      <c r="L43" s="17">
        <v>2.5499999999999998</v>
      </c>
      <c r="M43" s="17">
        <v>2.72</v>
      </c>
      <c r="N43" s="17">
        <v>2.62</v>
      </c>
      <c r="O43" s="17">
        <v>2.38</v>
      </c>
      <c r="P43" s="17">
        <v>2.29</v>
      </c>
      <c r="Q43" s="17">
        <v>2.25</v>
      </c>
      <c r="R43" s="17">
        <v>2.5299999999999998</v>
      </c>
      <c r="S43" s="17">
        <v>2.83</v>
      </c>
      <c r="T43" s="17">
        <f>+T34/T39</f>
        <v>2.502259500460347</v>
      </c>
      <c r="U43" s="17">
        <f>+U34/U39</f>
        <v>2.6591244635859907</v>
      </c>
      <c r="V43" s="17">
        <f>+V34/V39</f>
        <v>2.5545167379387128</v>
      </c>
      <c r="W43" s="74">
        <f t="shared" si="15"/>
        <v>3.2151924973779112E-7</v>
      </c>
      <c r="X43" s="90"/>
      <c r="Y43" s="17">
        <f>+Y34/Y39</f>
        <v>2.5072670187993027</v>
      </c>
      <c r="Z43" s="17">
        <f t="shared" ref="Z43:AK43" si="25">+Z34/Z39</f>
        <v>2.4697580066854781</v>
      </c>
      <c r="AA43" s="17">
        <f t="shared" si="25"/>
        <v>2.6177762892458536</v>
      </c>
      <c r="AB43" s="17">
        <f t="shared" si="25"/>
        <v>2.416036102183738</v>
      </c>
      <c r="AC43" s="17">
        <f t="shared" si="25"/>
        <v>2.6521992941752348</v>
      </c>
      <c r="AD43" s="17">
        <f t="shared" si="25"/>
        <v>2.4368710786976702</v>
      </c>
      <c r="AE43" s="17">
        <f t="shared" si="25"/>
        <v>2.5177638996383069</v>
      </c>
      <c r="AF43" s="17">
        <f t="shared" si="25"/>
        <v>2.5248096870718619</v>
      </c>
      <c r="AG43" s="17">
        <f t="shared" si="25"/>
        <v>2.4826561270577274</v>
      </c>
      <c r="AH43" s="17">
        <f t="shared" si="25"/>
        <v>2.5634178995915566</v>
      </c>
      <c r="AI43" s="17">
        <f t="shared" si="25"/>
        <v>2.4796574796482687</v>
      </c>
      <c r="AJ43" s="17">
        <f t="shared" si="25"/>
        <v>2.467384307797337</v>
      </c>
      <c r="AK43" s="17">
        <f>+AK34/AK39</f>
        <v>2.5135605930800025</v>
      </c>
      <c r="AL43" s="74">
        <f t="shared" si="18"/>
        <v>2.9805074567570068E-7</v>
      </c>
      <c r="AM43" s="16">
        <f>IFERROR(AK43/V43-1,0)</f>
        <v>-1.6032834802154672E-2</v>
      </c>
      <c r="AN43" s="173" t="s">
        <v>447</v>
      </c>
      <c r="AO43" s="291">
        <f>+AK43-V43</f>
        <v>-4.0956144858710353E-2</v>
      </c>
    </row>
    <row r="44" spans="1:41" ht="14.45" customHeight="1" outlineLevel="1">
      <c r="A44" s="12" t="s">
        <v>146</v>
      </c>
      <c r="B44" s="19" t="s">
        <v>88</v>
      </c>
      <c r="I44" s="31" t="s">
        <v>141</v>
      </c>
      <c r="J44" s="30">
        <v>2.42</v>
      </c>
      <c r="K44" s="30">
        <v>2.86</v>
      </c>
      <c r="L44" s="30">
        <v>2.5</v>
      </c>
      <c r="M44" s="30">
        <v>2.69</v>
      </c>
      <c r="N44" s="30">
        <v>2.61</v>
      </c>
      <c r="O44" s="30">
        <v>2.2999999999999998</v>
      </c>
      <c r="P44" s="30">
        <v>2.23</v>
      </c>
      <c r="Q44" s="30">
        <v>2.19</v>
      </c>
      <c r="R44" s="30">
        <v>2.46</v>
      </c>
      <c r="S44" s="30">
        <v>2.85</v>
      </c>
      <c r="T44" s="30">
        <f>+T35/T40</f>
        <v>2.4474284128310817</v>
      </c>
      <c r="U44" s="30">
        <f>+U35/U40</f>
        <v>2.6173611887348103</v>
      </c>
      <c r="V44" s="30">
        <f>+V35/V40</f>
        <v>2.5159625257827316</v>
      </c>
      <c r="W44" s="74">
        <f t="shared" si="15"/>
        <v>3.1666669927980307E-7</v>
      </c>
      <c r="X44" s="90"/>
      <c r="Y44" s="30">
        <f>VLOOKUP(Y3,'[3]Margen ctvs-lit'!$J$118:$O$129,$Y$1,0)</f>
        <v>2.5099999999999998</v>
      </c>
      <c r="Z44" s="30">
        <f>VLOOKUP(Z3,'[3]Margen ctvs-lit'!$J$118:$O$129,$Y$1,0)</f>
        <v>2.4700000000000002</v>
      </c>
      <c r="AA44" s="30">
        <f>VLOOKUP(AA3,'[3]Margen ctvs-lit'!$J$118:$O$129,$Y$1,0)</f>
        <v>2.63</v>
      </c>
      <c r="AB44" s="30">
        <f>VLOOKUP(AB3,'[3]Margen ctvs-lit'!$J$118:$O$129,$Y$1,0)</f>
        <v>2.41</v>
      </c>
      <c r="AC44" s="30">
        <f>VLOOKUP(AC3,'[3]Margen ctvs-lit'!$J$118:$O$129,$Y$1,0)</f>
        <v>2.67</v>
      </c>
      <c r="AD44" s="30">
        <f>VLOOKUP(AD3,'[3]Margen ctvs-lit'!$J$118:$O$129,$Y$1,0)</f>
        <v>2.4300000000000002</v>
      </c>
      <c r="AE44" s="30">
        <f>VLOOKUP(AE3,'[3]Margen ctvs-lit'!$J$118:$O$129,$Y$1,0)</f>
        <v>2.52</v>
      </c>
      <c r="AF44" s="30">
        <f>VLOOKUP(AF3,'[3]Margen ctvs-lit'!$J$118:$O$129,$Y$1,0)</f>
        <v>2.5299999999999998</v>
      </c>
      <c r="AG44" s="30">
        <f>VLOOKUP(AG3,'[3]Margen ctvs-lit'!$J$118:$O$129,$Y$1,0)</f>
        <v>2.48</v>
      </c>
      <c r="AH44" s="30">
        <f>VLOOKUP(AH3,'[3]Margen ctvs-lit'!$J$118:$O$129,$Y$1,0)</f>
        <v>2.57</v>
      </c>
      <c r="AI44" s="30">
        <f>VLOOKUP(AI3,'[3]Margen ctvs-lit'!$J$118:$O$129,$Y$1,0)</f>
        <v>2.48</v>
      </c>
      <c r="AJ44" s="30">
        <f>VLOOKUP(AJ3,'[3]Margen ctvs-lit'!$J$118:$O$129,$Y$1,0)</f>
        <v>2.4700000000000002</v>
      </c>
      <c r="AK44" s="30">
        <f>+AK35/AK40</f>
        <v>2.5167950428568919</v>
      </c>
      <c r="AL44" s="74">
        <f t="shared" si="18"/>
        <v>2.9843427737591371E-7</v>
      </c>
      <c r="AM44" s="29">
        <f>IFERROR(AK44/V44-1,0)</f>
        <v>3.3089406762987217E-4</v>
      </c>
      <c r="AN44" s="9"/>
      <c r="AO44" s="291">
        <f>+AK44-V44</f>
        <v>8.3251707416032161E-4</v>
      </c>
    </row>
    <row r="45" spans="1:41" ht="14.45" customHeight="1" outlineLevel="1">
      <c r="A45" s="12" t="s">
        <v>146</v>
      </c>
      <c r="B45" s="8" t="s">
        <v>88</v>
      </c>
      <c r="C45" s="19" t="s">
        <v>148</v>
      </c>
      <c r="D45" s="12"/>
      <c r="E45" s="20"/>
      <c r="F45" s="12"/>
      <c r="G45" s="12"/>
      <c r="H45" s="12"/>
      <c r="I45" s="31" t="s">
        <v>142</v>
      </c>
      <c r="J45" s="30">
        <v>3.41</v>
      </c>
      <c r="K45" s="30">
        <v>3.24</v>
      </c>
      <c r="L45" s="30">
        <v>3.4</v>
      </c>
      <c r="M45" s="30">
        <v>3.38</v>
      </c>
      <c r="N45" s="30">
        <v>3.45</v>
      </c>
      <c r="O45" s="30">
        <v>3.32</v>
      </c>
      <c r="P45" s="30">
        <v>3.09</v>
      </c>
      <c r="Q45" s="30">
        <v>2.19</v>
      </c>
      <c r="R45" s="30">
        <v>2.89</v>
      </c>
      <c r="S45" s="30">
        <v>2.52</v>
      </c>
      <c r="T45" s="30">
        <f>+T36/T41</f>
        <v>3.3692044754466504</v>
      </c>
      <c r="U45" s="30">
        <f>+U36/U41</f>
        <v>3.0554630372060827</v>
      </c>
      <c r="V45" s="30">
        <f>+V36/V41</f>
        <v>3.1124148197830137</v>
      </c>
      <c r="W45" s="74">
        <f t="shared" si="15"/>
        <v>3.9173799993845468E-7</v>
      </c>
      <c r="X45" s="90"/>
      <c r="Y45" s="30">
        <f>VLOOKUP(Y3,'[3]Margen ctvs-lit'!$J$118:$O$129,$AA$1,0)</f>
        <v>2.5299999999999998</v>
      </c>
      <c r="Z45" s="30">
        <f>VLOOKUP(Z3,'[3]Margen ctvs-lit'!$J$118:$O$129,$AA$1,0)</f>
        <v>2.5</v>
      </c>
      <c r="AA45" s="30">
        <f>VLOOKUP(AA3,'[3]Margen ctvs-lit'!$J$118:$O$129,$AA$1,0)</f>
        <v>2.59</v>
      </c>
      <c r="AB45" s="30">
        <f>VLOOKUP(AB3,'[3]Margen ctvs-lit'!$J$118:$O$129,$AA$1,0)</f>
        <v>2.5299999999999998</v>
      </c>
      <c r="AC45" s="30">
        <f>VLOOKUP(AC3,'[3]Margen ctvs-lit'!$J$118:$O$129,$AA$1,0)</f>
        <v>2.5299999999999998</v>
      </c>
      <c r="AD45" s="30">
        <f>VLOOKUP(AD3,'[3]Margen ctvs-lit'!$J$118:$O$129,$AA$1,0)</f>
        <v>2.56</v>
      </c>
      <c r="AE45" s="30">
        <f>VLOOKUP(AE3,'[3]Margen ctvs-lit'!$J$118:$O$129,$AA$1,0)</f>
        <v>2.5299999999999998</v>
      </c>
      <c r="AF45" s="30">
        <f>VLOOKUP(AF3,'[3]Margen ctvs-lit'!$J$118:$O$129,$AA$1,0)</f>
        <v>2.54</v>
      </c>
      <c r="AG45" s="30">
        <f>VLOOKUP(AG3,'[3]Margen ctvs-lit'!$J$118:$O$129,$AA$1,0)</f>
        <v>2.5</v>
      </c>
      <c r="AH45" s="30">
        <f>VLOOKUP(AH3,'[3]Margen ctvs-lit'!$J$118:$O$129,$AA$1,0)</f>
        <v>2.48</v>
      </c>
      <c r="AI45" s="30">
        <f>VLOOKUP(AI3,'[3]Margen ctvs-lit'!$J$118:$O$129,$AA$1,0)</f>
        <v>2.5299999999999998</v>
      </c>
      <c r="AJ45" s="30">
        <f>VLOOKUP(AJ3,'[3]Margen ctvs-lit'!$J$118:$O$129,$AA$1,0)</f>
        <v>2.48</v>
      </c>
      <c r="AK45" s="30">
        <f>+AK36/AK41</f>
        <v>2.5272899931926478</v>
      </c>
      <c r="AL45" s="74">
        <f t="shared" si="18"/>
        <v>2.9967873823435223E-7</v>
      </c>
      <c r="AM45" s="29">
        <f>IFERROR(AK45/V45-1,0)</f>
        <v>-0.1879970570989502</v>
      </c>
      <c r="AN45" s="9"/>
      <c r="AO45" s="291">
        <f>+AK45-V45</f>
        <v>-0.58512482659036591</v>
      </c>
    </row>
    <row r="46" spans="1:41" ht="14.45" customHeight="1" outlineLevel="1">
      <c r="A46" s="12" t="s">
        <v>146</v>
      </c>
      <c r="B46" s="8" t="s">
        <v>88</v>
      </c>
      <c r="I46" s="31" t="s">
        <v>143</v>
      </c>
      <c r="J46" s="30">
        <v>3.01</v>
      </c>
      <c r="K46" s="30">
        <v>3.35</v>
      </c>
      <c r="L46" s="30">
        <v>3.2</v>
      </c>
      <c r="M46" s="30">
        <v>2.44</v>
      </c>
      <c r="N46" s="30">
        <v>2.27</v>
      </c>
      <c r="O46" s="30">
        <v>2.73</v>
      </c>
      <c r="P46" s="30">
        <v>2.52</v>
      </c>
      <c r="Q46" s="30">
        <v>2.76</v>
      </c>
      <c r="R46" s="30">
        <v>3.08</v>
      </c>
      <c r="S46" s="30">
        <v>2.63</v>
      </c>
      <c r="T46" s="30">
        <f>+T37/T42</f>
        <v>2.7875716769154923</v>
      </c>
      <c r="U46" s="30">
        <f>+U37/U42</f>
        <v>2.9371098928661001</v>
      </c>
      <c r="V46" s="30">
        <f>+V37/V42</f>
        <v>2.7641585512346816</v>
      </c>
      <c r="W46" s="74">
        <f t="shared" si="15"/>
        <v>3.4790540627516401E-7</v>
      </c>
      <c r="X46" s="90"/>
      <c r="Y46" s="30">
        <f>VLOOKUP(Y3,'[3]Margen ctvs-lit'!$J$118:$O$129,$AC$1,0)</f>
        <v>2.44</v>
      </c>
      <c r="Z46" s="30">
        <f>VLOOKUP(Z3,'[3]Margen ctvs-lit'!$J$118:$O$129,$AC$1,0)</f>
        <v>2.4300000000000002</v>
      </c>
      <c r="AA46" s="30">
        <f>VLOOKUP(AA3,'[3]Margen ctvs-lit'!$J$118:$O$129,$AC$1,0)</f>
        <v>2.48</v>
      </c>
      <c r="AB46" s="30">
        <f>VLOOKUP(AB3,'[3]Margen ctvs-lit'!$J$118:$O$129,$AC$1,0)</f>
        <v>2.4</v>
      </c>
      <c r="AC46" s="30">
        <f>VLOOKUP(AC3,'[3]Margen ctvs-lit'!$J$118:$O$129,$AC$1,0)</f>
        <v>2.48</v>
      </c>
      <c r="AD46" s="30">
        <f>VLOOKUP(AD3,'[3]Margen ctvs-lit'!$J$118:$O$129,$AC$1,0)</f>
        <v>2.42</v>
      </c>
      <c r="AE46" s="30">
        <f>VLOOKUP(AE3,'[3]Margen ctvs-lit'!$J$118:$O$129,$AC$1,0)</f>
        <v>2.46</v>
      </c>
      <c r="AF46" s="30">
        <f>VLOOKUP(AF3,'[3]Margen ctvs-lit'!$J$118:$O$129,$AC$1,0)</f>
        <v>2.44</v>
      </c>
      <c r="AG46" s="30">
        <f>VLOOKUP(AG3,'[3]Margen ctvs-lit'!$J$118:$O$129,$AC$1,0)</f>
        <v>2.48</v>
      </c>
      <c r="AH46" s="30">
        <f>VLOOKUP(AH3,'[3]Margen ctvs-lit'!$J$118:$O$129,$AC$1,0)</f>
        <v>2.5</v>
      </c>
      <c r="AI46" s="30">
        <f>VLOOKUP(AI3,'[3]Margen ctvs-lit'!$J$118:$O$129,$AC$1,0)</f>
        <v>2.44</v>
      </c>
      <c r="AJ46" s="30">
        <f>VLOOKUP(AJ3,'[3]Margen ctvs-lit'!$J$118:$O$129,$AC$1,0)</f>
        <v>2.41</v>
      </c>
      <c r="AK46" s="30">
        <f>IFERROR(+AK37/AK42,0)</f>
        <v>2.4492061800104588</v>
      </c>
      <c r="AL46" s="74">
        <f t="shared" si="18"/>
        <v>2.9041978549288042E-7</v>
      </c>
      <c r="AM46" s="29">
        <f>IFERROR(AK46/V46-1,0)</f>
        <v>-0.11394149987653257</v>
      </c>
      <c r="AN46" s="9"/>
      <c r="AO46" s="291">
        <f>+AK46-V46</f>
        <v>-0.31495237122422282</v>
      </c>
    </row>
    <row r="47" spans="1:41" ht="14.45" customHeight="1">
      <c r="A47" s="12" t="s">
        <v>146</v>
      </c>
      <c r="B47" s="8" t="s">
        <v>88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1" ht="14.45" customHeight="1">
      <c r="A48" s="12" t="s">
        <v>146</v>
      </c>
      <c r="B48" s="8" t="s">
        <v>88</v>
      </c>
      <c r="I48" s="139" t="s">
        <v>145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14.45" customHeight="1">
      <c r="A49" s="12" t="s">
        <v>146</v>
      </c>
      <c r="B49" s="8" t="s">
        <v>88</v>
      </c>
      <c r="C49" s="8" t="s">
        <v>155</v>
      </c>
      <c r="I49" s="139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ht="14.45" customHeight="1">
      <c r="A50" s="12" t="s">
        <v>146</v>
      </c>
      <c r="B50" s="8" t="s">
        <v>88</v>
      </c>
      <c r="I50" s="166" t="s">
        <v>147</v>
      </c>
      <c r="J50" s="15">
        <v>256822</v>
      </c>
      <c r="K50" s="15">
        <v>158657</v>
      </c>
      <c r="L50" s="15">
        <v>168080</v>
      </c>
      <c r="M50" s="15">
        <v>136867</v>
      </c>
      <c r="N50" s="15">
        <v>167312</v>
      </c>
      <c r="O50" s="15">
        <v>136096</v>
      </c>
      <c r="P50" s="15">
        <v>159410</v>
      </c>
      <c r="Q50" s="15">
        <v>189293</v>
      </c>
      <c r="R50" s="15">
        <v>156493</v>
      </c>
      <c r="S50" s="15">
        <v>188515</v>
      </c>
      <c r="T50" s="15">
        <f t="shared" ref="R50:U50" si="26">SUM(T51:T91)</f>
        <v>200313.31459999998</v>
      </c>
      <c r="U50" s="15">
        <f t="shared" si="26"/>
        <v>155768.58737777779</v>
      </c>
      <c r="V50" s="15">
        <f>SUM(V51:V91)</f>
        <v>2072103.9019777782</v>
      </c>
      <c r="W50" s="72">
        <f t="shared" ref="W50:W164" si="27">V50/V$6</f>
        <v>1.4595297610832511E-2</v>
      </c>
      <c r="X50" s="89"/>
      <c r="Y50" s="15">
        <f t="shared" ref="Y50:AK50" si="28">SUM(Y51:Y91)</f>
        <v>200830.93796427175</v>
      </c>
      <c r="Z50" s="15">
        <f t="shared" si="28"/>
        <v>168942.65609069468</v>
      </c>
      <c r="AA50" s="15">
        <f t="shared" si="28"/>
        <v>168226.61540470546</v>
      </c>
      <c r="AB50" s="15">
        <f t="shared" si="28"/>
        <v>167127.99609305072</v>
      </c>
      <c r="AC50" s="15">
        <f t="shared" si="28"/>
        <v>159498.18058492895</v>
      </c>
      <c r="AD50" s="15">
        <f t="shared" si="28"/>
        <v>170728.32103212801</v>
      </c>
      <c r="AE50" s="15">
        <f t="shared" si="28"/>
        <v>165915.53222223558</v>
      </c>
      <c r="AF50" s="15">
        <f t="shared" si="28"/>
        <v>181381.3287401064</v>
      </c>
      <c r="AG50" s="15">
        <f t="shared" si="28"/>
        <v>186120.94660160752</v>
      </c>
      <c r="AH50" s="15">
        <f t="shared" si="28"/>
        <v>209670.61168290515</v>
      </c>
      <c r="AI50" s="15">
        <f t="shared" si="28"/>
        <v>190608.7068153297</v>
      </c>
      <c r="AJ50" s="15">
        <f t="shared" si="28"/>
        <v>173823.81050951118</v>
      </c>
      <c r="AK50" s="15">
        <f t="shared" si="28"/>
        <v>2142875.643741475</v>
      </c>
      <c r="AL50" s="72">
        <f t="shared" ref="AL50:AL164" si="29">AK50/AK$6</f>
        <v>1.3316477320725658E-2</v>
      </c>
      <c r="AM50" s="10">
        <f t="shared" ref="AM50:AM144" si="30">IFERROR(AK50/V50-1,0)</f>
        <v>3.4154533320528424E-2</v>
      </c>
      <c r="AN50" s="9"/>
    </row>
    <row r="51" spans="1:40" ht="14.45" customHeight="1" outlineLevel="1">
      <c r="A51" s="12" t="s">
        <v>146</v>
      </c>
      <c r="B51" s="8" t="s">
        <v>88</v>
      </c>
      <c r="I51" s="246" t="s">
        <v>149</v>
      </c>
      <c r="J51" s="65">
        <v>57993</v>
      </c>
      <c r="K51" s="65">
        <v>54080</v>
      </c>
      <c r="L51" s="65">
        <v>78138</v>
      </c>
      <c r="M51" s="65">
        <v>56043</v>
      </c>
      <c r="N51" s="65">
        <v>57202</v>
      </c>
      <c r="O51" s="65">
        <v>39617</v>
      </c>
      <c r="P51" s="65">
        <v>48777</v>
      </c>
      <c r="Q51" s="65">
        <v>70861</v>
      </c>
      <c r="R51" s="225">
        <v>50963</v>
      </c>
      <c r="S51" s="225">
        <v>74816</v>
      </c>
      <c r="T51" s="225">
        <f t="shared" ref="S51:U51" si="31">+AVERAGE(Q51:S51)</f>
        <v>65546.666666666672</v>
      </c>
      <c r="U51" s="225">
        <f t="shared" si="31"/>
        <v>63775.222222222226</v>
      </c>
      <c r="V51" s="65">
        <f>SUM(J51:U51)</f>
        <v>717811.88888888888</v>
      </c>
      <c r="W51" s="73">
        <f t="shared" si="27"/>
        <v>5.0560583071763004E-3</v>
      </c>
      <c r="X51" s="89"/>
      <c r="Y51" s="65">
        <f>VLOOKUP($E$1,'[4]PPTO 2025'!$C$1:$P$9,Y1,0)</f>
        <v>57901.802320211747</v>
      </c>
      <c r="Z51" s="65">
        <f>VLOOKUP($E$1,'[4]PPTO 2025'!$C$1:$P$9,Z1,0)</f>
        <v>55173.665625634691</v>
      </c>
      <c r="AA51" s="65">
        <f>VLOOKUP($E$1,'[4]PPTO 2025'!$C$1:$P$9,AA1,0)</f>
        <v>62069.28421464542</v>
      </c>
      <c r="AB51" s="65">
        <f>VLOOKUP($E$1,'[4]PPTO 2025'!$C$1:$P$9,AB1,0)</f>
        <v>58718.046791740693</v>
      </c>
      <c r="AC51" s="65">
        <f>VLOOKUP($E$1,'[4]PPTO 2025'!$C$1:$P$9,AC1,0)</f>
        <v>65259.397381618946</v>
      </c>
      <c r="AD51" s="65">
        <f>VLOOKUP($E$1,'[4]PPTO 2025'!$C$1:$P$9,AD1,0)</f>
        <v>62199.358926817986</v>
      </c>
      <c r="AE51" s="65">
        <f>VLOOKUP($E$1,'[4]PPTO 2025'!$C$1:$P$9,AE1,0)</f>
        <v>63215.625518925561</v>
      </c>
      <c r="AF51" s="65">
        <f>VLOOKUP($E$1,'[4]PPTO 2025'!$C$1:$P$9,AF1,0)</f>
        <v>64765.337438796414</v>
      </c>
      <c r="AG51" s="65">
        <f>VLOOKUP($E$1,'[4]PPTO 2025'!$C$1:$P$9,AG1,0)</f>
        <v>63388.519800297523</v>
      </c>
      <c r="AH51" s="65">
        <f>VLOOKUP($E$1,'[4]PPTO 2025'!$C$1:$P$9,AH1,0)</f>
        <v>65984.387769845154</v>
      </c>
      <c r="AI51" s="65">
        <f>VLOOKUP($E$1,'[4]PPTO 2025'!$C$1:$P$9,AI1,0)</f>
        <v>64651.789818936333</v>
      </c>
      <c r="AJ51" s="65">
        <f>VLOOKUP($E$1,'[4]PPTO 2025'!$C$1:$P$9,AJ1,0)</f>
        <v>63884.609098006724</v>
      </c>
      <c r="AK51" s="65">
        <f>SUM(Y51:AJ51)</f>
        <v>747211.82470547734</v>
      </c>
      <c r="AL51" s="73">
        <f t="shared" si="29"/>
        <v>4.6434002582134721E-3</v>
      </c>
      <c r="AM51" s="14">
        <f t="shared" si="30"/>
        <v>4.0957716459805393E-2</v>
      </c>
      <c r="AN51" s="9"/>
    </row>
    <row r="52" spans="1:40" ht="14.45" customHeight="1" outlineLevel="1">
      <c r="A52" s="12" t="s">
        <v>146</v>
      </c>
      <c r="B52" s="8" t="s">
        <v>88</v>
      </c>
      <c r="I52" s="246" t="s">
        <v>148</v>
      </c>
      <c r="J52" s="65">
        <v>60887</v>
      </c>
      <c r="K52" s="65">
        <v>60887</v>
      </c>
      <c r="L52" s="65">
        <v>60887</v>
      </c>
      <c r="M52" s="65">
        <v>60887</v>
      </c>
      <c r="N52" s="65">
        <v>60887</v>
      </c>
      <c r="O52" s="65">
        <v>60887</v>
      </c>
      <c r="P52" s="65">
        <v>60887</v>
      </c>
      <c r="Q52" s="65">
        <v>60887</v>
      </c>
      <c r="R52" s="225">
        <v>63054</v>
      </c>
      <c r="S52" s="225">
        <v>63054</v>
      </c>
      <c r="T52" s="225">
        <v>63054</v>
      </c>
      <c r="U52" s="225">
        <v>63054</v>
      </c>
      <c r="V52" s="65">
        <f t="shared" ref="V52:V87" si="32">SUM(J52:U52)</f>
        <v>739312</v>
      </c>
      <c r="W52" s="73">
        <f t="shared" si="27"/>
        <v>5.2074988406520199E-3</v>
      </c>
      <c r="X52" s="89"/>
      <c r="Y52" s="65">
        <f>VLOOKUP($E$1,[5]Resumen!$V$8:$AI$14,Y1,0)+VLOOKUP($E$1,[6]Resumen!$C$9:$O$15,Y1,0)</f>
        <v>64434</v>
      </c>
      <c r="Z52" s="65">
        <f>VLOOKUP($E$1,[5]Resumen!$V$8:$AI$14,Z1,0)+VLOOKUP($E$1,[6]Resumen!$C$9:$O$15,Z1,0)</f>
        <v>64434</v>
      </c>
      <c r="AA52" s="65">
        <f>VLOOKUP($E$1,[5]Resumen!$V$8:$AI$14,AA1,0)+VLOOKUP($E$1,[6]Resumen!$C$9:$O$15,AA1,0)</f>
        <v>64434</v>
      </c>
      <c r="AB52" s="65">
        <f>VLOOKUP($E$1,[5]Resumen!$V$8:$AI$14,AB1,0)+VLOOKUP($E$1,[6]Resumen!$C$9:$O$15,AB1,0)</f>
        <v>64434</v>
      </c>
      <c r="AC52" s="65">
        <f>VLOOKUP($E$1,[5]Resumen!$V$8:$AI$14,AC1,0)+VLOOKUP($E$1,[6]Resumen!$C$9:$O$15,AC1,0)</f>
        <v>64434</v>
      </c>
      <c r="AD52" s="65">
        <f>VLOOKUP($E$1,[5]Resumen!$V$8:$AI$14,AD1,0)+VLOOKUP($E$1,[6]Resumen!$C$9:$O$15,AD1,0)</f>
        <v>64434</v>
      </c>
      <c r="AE52" s="65">
        <f>VLOOKUP($E$1,[5]Resumen!$V$8:$AI$14,AE1,0)+VLOOKUP($E$1,[6]Resumen!$C$9:$O$15,AE1,0)</f>
        <v>64434</v>
      </c>
      <c r="AF52" s="65">
        <f>VLOOKUP($E$1,[5]Resumen!$V$8:$AI$14,AF1,0)+VLOOKUP($E$1,[6]Resumen!$C$9:$O$15,AF1,0)</f>
        <v>64434</v>
      </c>
      <c r="AG52" s="65">
        <f>VLOOKUP($E$1,[5]Resumen!$V$8:$AI$14,AG1,0)+VLOOKUP($E$1,[6]Resumen!$C$9:$O$15,AG1,0)</f>
        <v>66956.160000000003</v>
      </c>
      <c r="AH52" s="65">
        <f>VLOOKUP($E$1,[5]Resumen!$V$8:$AI$14,AH1,0)+VLOOKUP($E$1,[6]Resumen!$C$9:$O$15,AH1,0)</f>
        <v>66956.160000000003</v>
      </c>
      <c r="AI52" s="65">
        <f>VLOOKUP($E$1,[5]Resumen!$V$8:$AI$14,AI1,0)+VLOOKUP($E$1,[6]Resumen!$C$9:$O$15,AI1,0)</f>
        <v>66956.160000000003</v>
      </c>
      <c r="AJ52" s="65">
        <f>VLOOKUP($E$1,[5]Resumen!$V$8:$AI$14,AJ1,0)+VLOOKUP($E$1,[6]Resumen!$C$9:$O$15,AJ1,0)</f>
        <v>66956.160000000003</v>
      </c>
      <c r="AK52" s="65">
        <f t="shared" ref="AK52:AK91" si="33">SUM(Y52:AJ52)</f>
        <v>783296.64000000013</v>
      </c>
      <c r="AL52" s="73">
        <f t="shared" si="29"/>
        <v>4.8676422135950229E-3</v>
      </c>
      <c r="AM52" s="14">
        <f t="shared" si="30"/>
        <v>5.9494016058173171E-2</v>
      </c>
      <c r="AN52" s="9"/>
    </row>
    <row r="53" spans="1:40" ht="14.45" customHeight="1" outlineLevel="1">
      <c r="A53" s="12" t="s">
        <v>146</v>
      </c>
      <c r="B53" s="8" t="s">
        <v>88</v>
      </c>
      <c r="I53" s="246" t="s">
        <v>152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/>
      <c r="U53" s="65"/>
      <c r="V53" s="65">
        <f t="shared" si="32"/>
        <v>0</v>
      </c>
      <c r="W53" s="73">
        <f t="shared" si="27"/>
        <v>0</v>
      </c>
      <c r="X53" s="89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>
        <f t="shared" si="33"/>
        <v>0</v>
      </c>
      <c r="AL53" s="73">
        <f t="shared" si="29"/>
        <v>0</v>
      </c>
      <c r="AM53" s="14">
        <f t="shared" si="30"/>
        <v>0</v>
      </c>
      <c r="AN53" s="9"/>
    </row>
    <row r="54" spans="1:40" ht="14.45" customHeight="1" outlineLevel="1">
      <c r="A54" s="12" t="s">
        <v>146</v>
      </c>
      <c r="B54" s="8" t="s">
        <v>88</v>
      </c>
      <c r="I54" s="246" t="s">
        <v>153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225">
        <v>0</v>
      </c>
      <c r="S54" s="225">
        <v>0</v>
      </c>
      <c r="T54" s="225">
        <f t="shared" ref="T54" si="34">+AVERAGE(Q54:S54)</f>
        <v>0</v>
      </c>
      <c r="U54" s="225">
        <f t="shared" ref="U54" si="35">+AVERAGE(R54:T54)</f>
        <v>0</v>
      </c>
      <c r="V54" s="65">
        <f t="shared" si="32"/>
        <v>0</v>
      </c>
      <c r="W54" s="73">
        <f t="shared" si="27"/>
        <v>0</v>
      </c>
      <c r="X54" s="89"/>
      <c r="Y54" s="65">
        <f>VLOOKUP($E$1,[7]Resumen!$C$9:$O$15,Y1,0)</f>
        <v>0</v>
      </c>
      <c r="Z54" s="65">
        <f>VLOOKUP($E$1,[7]Resumen!$C$9:$O$15,Z1,0)</f>
        <v>0</v>
      </c>
      <c r="AA54" s="65">
        <f>VLOOKUP($E$1,[7]Resumen!$C$9:$O$15,AA1,0)</f>
        <v>0</v>
      </c>
      <c r="AB54" s="65">
        <f>VLOOKUP($E$1,[7]Resumen!$C$9:$O$15,AB1,0)</f>
        <v>0</v>
      </c>
      <c r="AC54" s="65">
        <f>VLOOKUP($E$1,[7]Resumen!$C$9:$O$15,AC1,0)</f>
        <v>0</v>
      </c>
      <c r="AD54" s="65">
        <f>VLOOKUP($E$1,[7]Resumen!$C$9:$O$15,AD1,0)</f>
        <v>0</v>
      </c>
      <c r="AE54" s="65">
        <f>VLOOKUP($E$1,[7]Resumen!$C$9:$O$15,AE1,0)</f>
        <v>0</v>
      </c>
      <c r="AF54" s="65">
        <f>VLOOKUP($E$1,[7]Resumen!$C$9:$O$15,AF1,0)</f>
        <v>0</v>
      </c>
      <c r="AG54" s="65">
        <f>VLOOKUP($E$1,[7]Resumen!$C$9:$O$15,AG1,0)</f>
        <v>0</v>
      </c>
      <c r="AH54" s="65">
        <f>VLOOKUP($E$1,[7]Resumen!$C$9:$O$15,AH1,0)</f>
        <v>0</v>
      </c>
      <c r="AI54" s="65">
        <f>VLOOKUP($E$1,[7]Resumen!$C$9:$O$15,AI1,0)</f>
        <v>0</v>
      </c>
      <c r="AJ54" s="65">
        <f>VLOOKUP($E$1,[7]Resumen!$C$9:$O$15,AJ1,0)</f>
        <v>1242.1199999999999</v>
      </c>
      <c r="AK54" s="65">
        <f t="shared" si="33"/>
        <v>1242.1199999999999</v>
      </c>
      <c r="AL54" s="73">
        <f t="shared" si="29"/>
        <v>7.7189093347197918E-6</v>
      </c>
      <c r="AM54" s="14">
        <f t="shared" si="30"/>
        <v>0</v>
      </c>
      <c r="AN54" s="9"/>
    </row>
    <row r="55" spans="1:40" ht="14.45" customHeight="1" outlineLevel="1">
      <c r="A55" s="12" t="s">
        <v>146</v>
      </c>
      <c r="B55" s="8" t="s">
        <v>88</v>
      </c>
      <c r="I55" s="246" t="s">
        <v>156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f t="shared" si="32"/>
        <v>0</v>
      </c>
      <c r="W55" s="73">
        <f t="shared" si="27"/>
        <v>0</v>
      </c>
      <c r="X55" s="89"/>
      <c r="Y55" s="65">
        <f>VLOOKUP($E$1,[8]Resumen!$V$140:$AH$146,Y1,0)</f>
        <v>15505.797999999999</v>
      </c>
      <c r="Z55" s="65">
        <f>VLOOKUP($E$1,[8]Resumen!$V$140:$AH$146,Z1,0)</f>
        <v>0</v>
      </c>
      <c r="AA55" s="65">
        <f>VLOOKUP($E$1,[8]Resumen!$V$140:$AH$146,AA1,0)</f>
        <v>0</v>
      </c>
      <c r="AB55" s="65">
        <f>VLOOKUP($E$1,[8]Resumen!$V$140:$AH$146,AB1,0)</f>
        <v>0</v>
      </c>
      <c r="AC55" s="65">
        <f>VLOOKUP($E$1,[8]Resumen!$V$140:$AH$146,AC1,0)</f>
        <v>0</v>
      </c>
      <c r="AD55" s="65">
        <f>VLOOKUP($E$1,[8]Resumen!$V$140:$AH$146,AD1,0)</f>
        <v>0</v>
      </c>
      <c r="AE55" s="65">
        <f>VLOOKUP($E$1,[8]Resumen!$V$140:$AH$146,AE1,0)</f>
        <v>0</v>
      </c>
      <c r="AF55" s="65">
        <f>VLOOKUP($E$1,[8]Resumen!$V$140:$AH$146,AF1,0)</f>
        <v>0</v>
      </c>
      <c r="AG55" s="65">
        <f>VLOOKUP($E$1,[8]Resumen!$V$140:$AH$146,AG1,0)</f>
        <v>0</v>
      </c>
      <c r="AH55" s="65">
        <f>VLOOKUP($E$1,[8]Resumen!$V$140:$AH$146,AH1,0)</f>
        <v>0</v>
      </c>
      <c r="AI55" s="65">
        <f>VLOOKUP($E$1,[8]Resumen!$V$140:$AH$146,AI1,0)</f>
        <v>0</v>
      </c>
      <c r="AJ55" s="65">
        <f>VLOOKUP($E$1,[8]Resumen!$V$140:$AH$146,AJ1,0)</f>
        <v>0</v>
      </c>
      <c r="AK55" s="65">
        <f t="shared" si="33"/>
        <v>15505.797999999999</v>
      </c>
      <c r="AL55" s="73">
        <f t="shared" si="29"/>
        <v>9.6357718195085406E-5</v>
      </c>
      <c r="AM55" s="14">
        <f t="shared" si="30"/>
        <v>0</v>
      </c>
      <c r="AN55" s="9"/>
    </row>
    <row r="56" spans="1:40" ht="14.45" customHeight="1" outlineLevel="1">
      <c r="A56" s="12" t="s">
        <v>146</v>
      </c>
      <c r="B56" s="8" t="s">
        <v>88</v>
      </c>
      <c r="I56" s="246" t="s">
        <v>158</v>
      </c>
      <c r="J56" s="65">
        <v>1081</v>
      </c>
      <c r="K56" s="65">
        <v>5028</v>
      </c>
      <c r="L56" s="65">
        <v>2790</v>
      </c>
      <c r="M56" s="65">
        <v>2996</v>
      </c>
      <c r="N56" s="65">
        <v>2465</v>
      </c>
      <c r="O56" s="65">
        <v>2292</v>
      </c>
      <c r="P56" s="65">
        <v>2989</v>
      </c>
      <c r="Q56" s="65">
        <v>495</v>
      </c>
      <c r="R56" s="225">
        <v>3641</v>
      </c>
      <c r="S56" s="225">
        <v>5134</v>
      </c>
      <c r="T56" s="225">
        <f t="shared" ref="T56" si="36">+AVERAGE(Q56:S56)</f>
        <v>3090</v>
      </c>
      <c r="U56" s="225">
        <f t="shared" ref="U56" si="37">+AVERAGE(R56:T56)</f>
        <v>3955</v>
      </c>
      <c r="V56" s="65">
        <f t="shared" si="32"/>
        <v>35956</v>
      </c>
      <c r="W56" s="73">
        <f t="shared" si="27"/>
        <v>2.5326361308146493E-4</v>
      </c>
      <c r="X56" s="89"/>
      <c r="Y56" s="65">
        <f>VLOOKUP($E$1,[9]Resumen!$V$238:$AH$244,Y1,0)</f>
        <v>3117.7212</v>
      </c>
      <c r="Z56" s="65">
        <f>VLOOKUP($E$1,[9]Resumen!$V$238:$AH$244,Z1,0)</f>
        <v>3117.7212</v>
      </c>
      <c r="AA56" s="65">
        <f>VLOOKUP($E$1,[9]Resumen!$V$238:$AH$244,AA1,0)</f>
        <v>3117.7212</v>
      </c>
      <c r="AB56" s="65">
        <f>VLOOKUP($E$1,[9]Resumen!$V$238:$AH$244,AB1,0)</f>
        <v>3117.7212</v>
      </c>
      <c r="AC56" s="65">
        <f>VLOOKUP($E$1,[9]Resumen!$V$238:$AH$244,AC1,0)</f>
        <v>3117.7212</v>
      </c>
      <c r="AD56" s="65">
        <f>VLOOKUP($E$1,[9]Resumen!$V$238:$AH$244,AD1,0)</f>
        <v>3117.7212</v>
      </c>
      <c r="AE56" s="65">
        <f>VLOOKUP($E$1,[9]Resumen!$V$238:$AH$244,AE1,0)</f>
        <v>3117.7212</v>
      </c>
      <c r="AF56" s="65">
        <f>VLOOKUP($E$1,[9]Resumen!$V$238:$AH$244,AF1,0)</f>
        <v>3117.7212</v>
      </c>
      <c r="AG56" s="65">
        <f>VLOOKUP($E$1,[9]Resumen!$V$238:$AH$244,AG1,0)</f>
        <v>3117.7212</v>
      </c>
      <c r="AH56" s="65">
        <f>VLOOKUP($E$1,[9]Resumen!$V$238:$AH$244,AH1,0)</f>
        <v>3117.7212</v>
      </c>
      <c r="AI56" s="65">
        <f>VLOOKUP($E$1,[9]Resumen!$V$238:$AH$244,AI1,0)</f>
        <v>3117.7212</v>
      </c>
      <c r="AJ56" s="65">
        <f>VLOOKUP($E$1,[9]Resumen!$V$238:$AH$244,AJ1,0)</f>
        <v>3117.7212</v>
      </c>
      <c r="AK56" s="65">
        <f t="shared" si="33"/>
        <v>37412.654399999999</v>
      </c>
      <c r="AL56" s="73">
        <f t="shared" si="29"/>
        <v>2.3249354916176013E-4</v>
      </c>
      <c r="AM56" s="14">
        <f t="shared" si="30"/>
        <v>4.0512137056402331E-2</v>
      </c>
      <c r="AN56" s="9"/>
    </row>
    <row r="57" spans="1:40" ht="14.45" customHeight="1" outlineLevel="1">
      <c r="A57" s="12" t="s">
        <v>146</v>
      </c>
      <c r="B57" s="8" t="s">
        <v>88</v>
      </c>
      <c r="I57" s="246" t="s">
        <v>159</v>
      </c>
      <c r="J57" s="65">
        <v>1000</v>
      </c>
      <c r="K57" s="65">
        <v>8899</v>
      </c>
      <c r="L57" s="65">
        <v>2624</v>
      </c>
      <c r="M57" s="65">
        <v>0</v>
      </c>
      <c r="N57" s="65">
        <v>20589</v>
      </c>
      <c r="O57" s="65">
        <v>1784</v>
      </c>
      <c r="P57" s="65">
        <v>26202</v>
      </c>
      <c r="Q57" s="65">
        <v>15907</v>
      </c>
      <c r="R57" s="65">
        <v>12000</v>
      </c>
      <c r="S57" s="65">
        <v>1875</v>
      </c>
      <c r="T57" s="65">
        <v>0</v>
      </c>
      <c r="U57" s="65">
        <v>0</v>
      </c>
      <c r="V57" s="65">
        <f t="shared" si="32"/>
        <v>90880</v>
      </c>
      <c r="W57" s="73">
        <f t="shared" si="27"/>
        <v>6.4013230495170578E-4</v>
      </c>
      <c r="X57" s="89"/>
      <c r="Y57" s="65">
        <f>VLOOKUP($E$1,[10]Resumen!$V$8:$AH$14,Y1,0)</f>
        <v>4140.3999999999996</v>
      </c>
      <c r="Z57" s="65">
        <f>VLOOKUP($E$1,[10]Resumen!$V$8:$AH$14,Z1,0)</f>
        <v>1552.6499999999999</v>
      </c>
      <c r="AA57" s="65">
        <f>VLOOKUP($E$1,[10]Resumen!$V$8:$AH$14,AA1,0)</f>
        <v>11675.928</v>
      </c>
      <c r="AB57" s="65">
        <f>VLOOKUP($E$1,[10]Resumen!$V$8:$AH$14,AB1,0)</f>
        <v>8073.7799999999988</v>
      </c>
      <c r="AC57" s="65">
        <f>VLOOKUP($E$1,[10]Resumen!$V$8:$AH$14,AC1,0)</f>
        <v>1863.1799999999998</v>
      </c>
      <c r="AD57" s="65">
        <f>VLOOKUP($E$1,[10]Resumen!$V$8:$AH$14,AD1,0)</f>
        <v>6210.5999999999995</v>
      </c>
      <c r="AE57" s="65">
        <f>VLOOKUP($E$1,[10]Resumen!$V$8:$AH$14,AE1,0)</f>
        <v>4844.268</v>
      </c>
      <c r="AF57" s="65">
        <f>VLOOKUP($E$1,[10]Resumen!$V$8:$AH$14,AF1,0)</f>
        <v>3726.3599999999997</v>
      </c>
      <c r="AG57" s="65">
        <f>VLOOKUP($E$1,[10]Resumen!$V$8:$AH$14,AG1,0)</f>
        <v>2484.2399999999998</v>
      </c>
      <c r="AH57" s="65">
        <f>VLOOKUP($E$1,[10]Resumen!$V$8:$AH$14,AH1,0)</f>
        <v>21219.55</v>
      </c>
      <c r="AI57" s="65">
        <f>VLOOKUP($E$1,[10]Resumen!$V$8:$AH$14,AI1,0)</f>
        <v>4844.268</v>
      </c>
      <c r="AJ57" s="65">
        <f>VLOOKUP($E$1,[10]Resumen!$V$8:$AH$14,AJ1,0)</f>
        <v>8798.3499999999985</v>
      </c>
      <c r="AK57" s="65">
        <f t="shared" si="33"/>
        <v>79433.573999999993</v>
      </c>
      <c r="AL57" s="73">
        <f t="shared" si="29"/>
        <v>4.9362425195533064E-4</v>
      </c>
      <c r="AM57" s="14">
        <f t="shared" si="30"/>
        <v>-0.12595099031690149</v>
      </c>
      <c r="AN57" s="9"/>
    </row>
    <row r="58" spans="1:40" ht="14.45" customHeight="1" outlineLevel="1">
      <c r="A58" s="12" t="s">
        <v>146</v>
      </c>
      <c r="B58" s="8" t="s">
        <v>88</v>
      </c>
      <c r="I58" s="246" t="s">
        <v>160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1232.2916666666667</v>
      </c>
      <c r="U58" s="65">
        <v>0</v>
      </c>
      <c r="V58" s="65">
        <f t="shared" si="32"/>
        <v>1232.2916666666667</v>
      </c>
      <c r="W58" s="73">
        <f t="shared" si="27"/>
        <v>8.6799043239008867E-6</v>
      </c>
      <c r="X58" s="89"/>
      <c r="Y58" s="65">
        <f>VLOOKUP($E$1,[11]Resumen!$V$8:$AH$14,Y1,0)</f>
        <v>808.67187499999989</v>
      </c>
      <c r="Z58" s="65">
        <f>VLOOKUP($E$1,[11]Resumen!$V$8:$AH$14,Z1,0)</f>
        <v>2587.75</v>
      </c>
      <c r="AA58" s="65">
        <f>VLOOKUP($E$1,[11]Resumen!$V$8:$AH$14,AA1,0)</f>
        <v>485.20312499999994</v>
      </c>
      <c r="AB58" s="65">
        <f>VLOOKUP($E$1,[11]Resumen!$V$8:$AH$14,AB1,0)</f>
        <v>0</v>
      </c>
      <c r="AC58" s="65">
        <f>VLOOKUP($E$1,[11]Resumen!$V$8:$AH$14,AC1,0)</f>
        <v>0</v>
      </c>
      <c r="AD58" s="65">
        <f>VLOOKUP($E$1,[11]Resumen!$V$8:$AH$14,AD1,0)</f>
        <v>0</v>
      </c>
      <c r="AE58" s="65">
        <f>VLOOKUP($E$1,[11]Resumen!$V$8:$AH$14,AE1,0)</f>
        <v>0</v>
      </c>
      <c r="AF58" s="65">
        <f>VLOOKUP($E$1,[11]Resumen!$V$8:$AH$14,AF1,0)</f>
        <v>0</v>
      </c>
      <c r="AG58" s="65">
        <f>VLOOKUP($E$1,[11]Resumen!$V$8:$AH$14,AG1,0)</f>
        <v>0</v>
      </c>
      <c r="AH58" s="65">
        <f>VLOOKUP($E$1,[11]Resumen!$V$8:$AH$14,AH1,0)</f>
        <v>0</v>
      </c>
      <c r="AI58" s="65">
        <f>VLOOKUP($E$1,[11]Resumen!$V$8:$AH$14,AI1,0)</f>
        <v>0</v>
      </c>
      <c r="AJ58" s="65">
        <f>VLOOKUP($E$1,[11]Resumen!$V$8:$AH$14,AJ1,0)</f>
        <v>0</v>
      </c>
      <c r="AK58" s="65">
        <f t="shared" si="33"/>
        <v>3881.625</v>
      </c>
      <c r="AL58" s="73">
        <f t="shared" si="29"/>
        <v>2.412159167099935E-5</v>
      </c>
      <c r="AM58" s="14">
        <f t="shared" si="30"/>
        <v>2.1499239222316144</v>
      </c>
      <c r="AN58" s="9"/>
    </row>
    <row r="59" spans="1:40" ht="14.45" customHeight="1" outlineLevel="1">
      <c r="A59" s="12" t="s">
        <v>146</v>
      </c>
      <c r="B59" s="8" t="s">
        <v>88</v>
      </c>
      <c r="I59" s="246" t="s">
        <v>161</v>
      </c>
      <c r="J59" s="65"/>
      <c r="K59" s="65">
        <v>0</v>
      </c>
      <c r="L59" s="65"/>
      <c r="M59" s="65">
        <v>0</v>
      </c>
      <c r="N59" s="65"/>
      <c r="O59" s="65"/>
      <c r="P59" s="65">
        <v>0</v>
      </c>
      <c r="Q59" s="65">
        <v>0</v>
      </c>
      <c r="R59" s="65">
        <v>0</v>
      </c>
      <c r="S59" s="65">
        <v>0</v>
      </c>
      <c r="T59" s="65"/>
      <c r="U59" s="65"/>
      <c r="V59" s="65">
        <f t="shared" si="32"/>
        <v>0</v>
      </c>
      <c r="W59" s="73">
        <f t="shared" si="27"/>
        <v>0</v>
      </c>
      <c r="X59" s="89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>
        <f t="shared" si="33"/>
        <v>0</v>
      </c>
      <c r="AL59" s="73">
        <f t="shared" si="29"/>
        <v>0</v>
      </c>
      <c r="AM59" s="14">
        <f t="shared" si="30"/>
        <v>0</v>
      </c>
      <c r="AN59" s="9"/>
    </row>
    <row r="60" spans="1:40" ht="14.45" customHeight="1" outlineLevel="1">
      <c r="A60" s="12" t="s">
        <v>146</v>
      </c>
      <c r="B60" s="8" t="s">
        <v>88</v>
      </c>
      <c r="I60" s="246" t="s">
        <v>162</v>
      </c>
      <c r="J60" s="65">
        <v>0</v>
      </c>
      <c r="K60" s="65">
        <v>0</v>
      </c>
      <c r="L60" s="65">
        <v>0</v>
      </c>
      <c r="M60" s="65">
        <v>2850</v>
      </c>
      <c r="N60" s="65">
        <v>0</v>
      </c>
      <c r="O60" s="65">
        <v>11859</v>
      </c>
      <c r="P60" s="65">
        <v>6000</v>
      </c>
      <c r="Q60" s="65">
        <v>14800</v>
      </c>
      <c r="R60" s="65">
        <v>6000</v>
      </c>
      <c r="S60" s="65">
        <v>6000</v>
      </c>
      <c r="T60" s="65">
        <v>6000</v>
      </c>
      <c r="U60" s="65">
        <v>6000</v>
      </c>
      <c r="V60" s="65">
        <f t="shared" si="32"/>
        <v>59509</v>
      </c>
      <c r="W60" s="73">
        <f t="shared" si="27"/>
        <v>4.1916409920082591E-4</v>
      </c>
      <c r="X60" s="89"/>
      <c r="Y60" s="65">
        <f>+J60*1.0375</f>
        <v>0</v>
      </c>
      <c r="Z60" s="65">
        <f>+K60*1.0375</f>
        <v>0</v>
      </c>
      <c r="AA60" s="65">
        <f>+L60*1.0375</f>
        <v>0</v>
      </c>
      <c r="AB60" s="65">
        <f>+M60*1.0375</f>
        <v>2956.8750000000005</v>
      </c>
      <c r="AC60" s="65">
        <f>+N60*1.0375</f>
        <v>0</v>
      </c>
      <c r="AD60" s="65">
        <f>+O60*1.0375</f>
        <v>12303.712500000001</v>
      </c>
      <c r="AE60" s="65">
        <f>+P60*1.0375</f>
        <v>6225.0000000000009</v>
      </c>
      <c r="AF60" s="65">
        <f>+Q60*1.0375</f>
        <v>15355.000000000002</v>
      </c>
      <c r="AG60" s="65">
        <f>+R60*1.0375</f>
        <v>6225.0000000000009</v>
      </c>
      <c r="AH60" s="65">
        <f>+S60*1.0375</f>
        <v>6225.0000000000009</v>
      </c>
      <c r="AI60" s="65">
        <f>+T60*1.0375</f>
        <v>6225.0000000000009</v>
      </c>
      <c r="AJ60" s="65">
        <f>+U60*1.0375</f>
        <v>6225.0000000000009</v>
      </c>
      <c r="AK60" s="65">
        <f t="shared" si="33"/>
        <v>61740.587500000001</v>
      </c>
      <c r="AL60" s="73">
        <f t="shared" si="29"/>
        <v>3.8367468294917895E-4</v>
      </c>
      <c r="AM60" s="14">
        <f t="shared" si="30"/>
        <v>3.7500000000000089E-2</v>
      </c>
      <c r="AN60" s="9"/>
    </row>
    <row r="61" spans="1:40" ht="14.45" customHeight="1" outlineLevel="1">
      <c r="A61" s="12" t="s">
        <v>146</v>
      </c>
      <c r="B61" s="8" t="s">
        <v>88</v>
      </c>
      <c r="I61" s="289" t="s">
        <v>278</v>
      </c>
      <c r="J61" s="65">
        <v>1425</v>
      </c>
      <c r="K61" s="65">
        <v>1425</v>
      </c>
      <c r="L61" s="65"/>
      <c r="M61" s="65"/>
      <c r="N61" s="65"/>
      <c r="O61" s="65"/>
      <c r="P61" s="65">
        <v>1425</v>
      </c>
      <c r="Q61" s="65"/>
      <c r="R61" s="65"/>
      <c r="S61" s="65"/>
      <c r="T61" s="65"/>
      <c r="U61" s="65"/>
      <c r="V61" s="65">
        <f t="shared" ref="V61" si="38">SUM(J61:U61)</f>
        <v>4275</v>
      </c>
      <c r="W61" s="73">
        <f t="shared" ref="W61" si="39">V61/V$6</f>
        <v>3.0111857434733082E-5</v>
      </c>
      <c r="X61" s="89"/>
      <c r="Y61" s="65">
        <f>+J61*1.0375</f>
        <v>1478.4375000000002</v>
      </c>
      <c r="Z61" s="65">
        <f>+K61*1.0375</f>
        <v>1478.4375000000002</v>
      </c>
      <c r="AA61" s="65">
        <f>+L61*1.0375</f>
        <v>0</v>
      </c>
      <c r="AB61" s="65">
        <f>+M61*1.0375</f>
        <v>0</v>
      </c>
      <c r="AC61" s="65">
        <f>+N61*1.0375</f>
        <v>0</v>
      </c>
      <c r="AD61" s="65">
        <f>+O61*1.0375</f>
        <v>0</v>
      </c>
      <c r="AE61" s="65">
        <f>+P61*1.0375</f>
        <v>1478.4375000000002</v>
      </c>
      <c r="AF61" s="65">
        <f>+Q61*1.0375</f>
        <v>0</v>
      </c>
      <c r="AG61" s="65">
        <f>+R61*1.0375</f>
        <v>0</v>
      </c>
      <c r="AH61" s="65">
        <f>+S61*1.0375</f>
        <v>0</v>
      </c>
      <c r="AI61" s="65">
        <f>+T61*1.0375</f>
        <v>0</v>
      </c>
      <c r="AJ61" s="65">
        <f>+U61*1.0375</f>
        <v>0</v>
      </c>
      <c r="AK61" s="65">
        <f t="shared" ref="AK61" si="40">SUM(Y61:AJ61)</f>
        <v>4435.3125000000009</v>
      </c>
      <c r="AL61" s="73">
        <f t="shared" ref="AL61" si="41">AK61/AK$6</f>
        <v>2.7562373247874107E-5</v>
      </c>
      <c r="AM61" s="14">
        <f t="shared" ref="AM61" si="42">IFERROR(AK61/V61-1,0)</f>
        <v>3.7500000000000311E-2</v>
      </c>
      <c r="AN61" s="9"/>
    </row>
    <row r="62" spans="1:40" ht="14.45" customHeight="1" outlineLevel="1">
      <c r="A62" s="12" t="s">
        <v>146</v>
      </c>
      <c r="B62" s="8" t="s">
        <v>88</v>
      </c>
      <c r="I62" s="246" t="s">
        <v>163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/>
      <c r="U62" s="65"/>
      <c r="V62" s="65">
        <f t="shared" si="32"/>
        <v>0</v>
      </c>
      <c r="W62" s="73">
        <f t="shared" si="27"/>
        <v>0</v>
      </c>
      <c r="X62" s="89"/>
      <c r="Y62" s="65">
        <f>+J62*1.0375</f>
        <v>0</v>
      </c>
      <c r="Z62" s="65">
        <f>+K62*1.0375</f>
        <v>0</v>
      </c>
      <c r="AA62" s="65">
        <f>+L62*1.0375</f>
        <v>0</v>
      </c>
      <c r="AB62" s="65">
        <f>+M62*1.0375</f>
        <v>0</v>
      </c>
      <c r="AC62" s="65">
        <f>+N62*1.0375</f>
        <v>0</v>
      </c>
      <c r="AD62" s="65">
        <f>+O62*1.0375</f>
        <v>0</v>
      </c>
      <c r="AE62" s="65">
        <f>+P62*1.0375</f>
        <v>0</v>
      </c>
      <c r="AF62" s="65">
        <f>+Q62*1.0375</f>
        <v>0</v>
      </c>
      <c r="AG62" s="65">
        <f>+R62*1.0375</f>
        <v>0</v>
      </c>
      <c r="AH62" s="65">
        <f>+S62*1.0375</f>
        <v>0</v>
      </c>
      <c r="AI62" s="65">
        <f>+T62*1.0375</f>
        <v>0</v>
      </c>
      <c r="AJ62" s="65">
        <f>+U62*1.0375</f>
        <v>0</v>
      </c>
      <c r="AK62" s="65">
        <f t="shared" si="33"/>
        <v>0</v>
      </c>
      <c r="AL62" s="73">
        <f t="shared" si="29"/>
        <v>0</v>
      </c>
      <c r="AM62" s="14">
        <f t="shared" si="30"/>
        <v>0</v>
      </c>
      <c r="AN62" s="9"/>
    </row>
    <row r="63" spans="1:40" ht="14.45" customHeight="1" outlineLevel="1">
      <c r="A63" s="12" t="s">
        <v>146</v>
      </c>
      <c r="B63" s="8" t="s">
        <v>88</v>
      </c>
      <c r="I63" s="246" t="s">
        <v>164</v>
      </c>
      <c r="J63" s="65">
        <v>26</v>
      </c>
      <c r="K63" s="65">
        <v>0</v>
      </c>
      <c r="L63" s="65">
        <v>22</v>
      </c>
      <c r="M63" s="65">
        <v>0</v>
      </c>
      <c r="N63" s="65">
        <v>40</v>
      </c>
      <c r="O63" s="65">
        <v>0</v>
      </c>
      <c r="P63" s="65">
        <v>0</v>
      </c>
      <c r="Q63" s="65">
        <v>-1</v>
      </c>
      <c r="R63" s="65">
        <v>0</v>
      </c>
      <c r="S63" s="65">
        <v>0</v>
      </c>
      <c r="T63" s="65"/>
      <c r="U63" s="65"/>
      <c r="V63" s="65">
        <f t="shared" si="32"/>
        <v>87</v>
      </c>
      <c r="W63" s="73">
        <f t="shared" si="27"/>
        <v>6.1280271270684865E-7</v>
      </c>
      <c r="X63" s="89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>
        <f t="shared" si="33"/>
        <v>0</v>
      </c>
      <c r="AL63" s="73">
        <f t="shared" si="29"/>
        <v>0</v>
      </c>
      <c r="AM63" s="14">
        <f t="shared" si="30"/>
        <v>-1</v>
      </c>
      <c r="AN63" s="9"/>
    </row>
    <row r="64" spans="1:40" ht="14.45" customHeight="1" outlineLevel="1">
      <c r="A64" s="12" t="s">
        <v>146</v>
      </c>
      <c r="B64" s="8" t="s">
        <v>88</v>
      </c>
      <c r="I64" s="246" t="s">
        <v>165</v>
      </c>
      <c r="J64" s="65">
        <v>441</v>
      </c>
      <c r="K64" s="65">
        <v>642</v>
      </c>
      <c r="L64" s="65">
        <v>1515</v>
      </c>
      <c r="M64" s="65">
        <v>797</v>
      </c>
      <c r="N64" s="65">
        <v>697</v>
      </c>
      <c r="O64" s="65">
        <v>669</v>
      </c>
      <c r="P64" s="65">
        <v>0</v>
      </c>
      <c r="Q64" s="65">
        <v>1680</v>
      </c>
      <c r="R64" s="225">
        <v>784</v>
      </c>
      <c r="S64" s="225">
        <v>925</v>
      </c>
      <c r="T64" s="225">
        <f t="shared" ref="T64" si="43">+AVERAGE(Q64:S64)</f>
        <v>1129.6666666666667</v>
      </c>
      <c r="U64" s="225">
        <f t="shared" ref="U64" si="44">+AVERAGE(R64:T64)</f>
        <v>946.22222222222229</v>
      </c>
      <c r="V64" s="65">
        <f t="shared" si="32"/>
        <v>10225.888888888889</v>
      </c>
      <c r="W64" s="73">
        <f t="shared" si="27"/>
        <v>7.2028189091378551E-5</v>
      </c>
      <c r="X64" s="89"/>
      <c r="Y64" s="65">
        <f>VLOOKUP($E$1,[9]Resumen!$V$226:$AH$232,Y1,0)</f>
        <v>1063.0476999999998</v>
      </c>
      <c r="Z64" s="65">
        <f>VLOOKUP($E$1,[9]Resumen!$V$226:$AH$232,Z1,0)</f>
        <v>1063.0476999999998</v>
      </c>
      <c r="AA64" s="65">
        <f>VLOOKUP($E$1,[9]Resumen!$V$226:$AH$232,AA1,0)</f>
        <v>1063.0476999999998</v>
      </c>
      <c r="AB64" s="65">
        <f>VLOOKUP($E$1,[9]Resumen!$V$226:$AH$232,AB1,0)</f>
        <v>1063.0476999999998</v>
      </c>
      <c r="AC64" s="65">
        <f>VLOOKUP($E$1,[9]Resumen!$V$226:$AH$232,AC1,0)</f>
        <v>1063.0476999999998</v>
      </c>
      <c r="AD64" s="65">
        <f>VLOOKUP($E$1,[9]Resumen!$V$226:$AH$232,AD1,0)</f>
        <v>1063.0476999999998</v>
      </c>
      <c r="AE64" s="65">
        <f>VLOOKUP($E$1,[9]Resumen!$V$226:$AH$232,AE1,0)</f>
        <v>1063.0476999999998</v>
      </c>
      <c r="AF64" s="65">
        <f>VLOOKUP($E$1,[9]Resumen!$V$226:$AH$232,AF1,0)</f>
        <v>1063.0476999999998</v>
      </c>
      <c r="AG64" s="65">
        <f>VLOOKUP($E$1,[9]Resumen!$V$226:$AH$232,AG1,0)</f>
        <v>1063.0476999999998</v>
      </c>
      <c r="AH64" s="65">
        <f>VLOOKUP($E$1,[9]Resumen!$V$226:$AH$232,AH1,0)</f>
        <v>1063.0476999999998</v>
      </c>
      <c r="AI64" s="65">
        <f>VLOOKUP($E$1,[9]Resumen!$V$226:$AH$232,AI1,0)</f>
        <v>1063.0476999999998</v>
      </c>
      <c r="AJ64" s="65">
        <f>VLOOKUP($E$1,[9]Resumen!$V$226:$AH$232,AJ1,0)</f>
        <v>1063.0476999999998</v>
      </c>
      <c r="AK64" s="65">
        <f t="shared" si="33"/>
        <v>12756.572399999995</v>
      </c>
      <c r="AL64" s="73">
        <f t="shared" si="29"/>
        <v>7.9273198867572242E-5</v>
      </c>
      <c r="AM64" s="14">
        <f t="shared" si="30"/>
        <v>0.24747809590038305</v>
      </c>
      <c r="AN64" s="9"/>
    </row>
    <row r="65" spans="1:40" ht="14.45" customHeight="1" outlineLevel="1">
      <c r="A65" s="12" t="s">
        <v>146</v>
      </c>
      <c r="B65" s="8" t="s">
        <v>88</v>
      </c>
      <c r="I65" s="252" t="s">
        <v>167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/>
      <c r="U65" s="65"/>
      <c r="V65" s="65">
        <f t="shared" si="32"/>
        <v>0</v>
      </c>
      <c r="W65" s="73">
        <f t="shared" si="27"/>
        <v>0</v>
      </c>
      <c r="X65" s="89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>
        <f t="shared" si="33"/>
        <v>0</v>
      </c>
      <c r="AL65" s="73">
        <f t="shared" si="29"/>
        <v>0</v>
      </c>
      <c r="AM65" s="14">
        <f t="shared" si="30"/>
        <v>0</v>
      </c>
      <c r="AN65" s="9"/>
    </row>
    <row r="66" spans="1:40" ht="14.45" customHeight="1" outlineLevel="1">
      <c r="A66" s="12" t="s">
        <v>146</v>
      </c>
      <c r="B66" s="8" t="s">
        <v>88</v>
      </c>
      <c r="I66" s="246" t="s">
        <v>168</v>
      </c>
      <c r="J66" s="65">
        <v>0</v>
      </c>
      <c r="K66" s="65">
        <v>0</v>
      </c>
      <c r="L66" s="65">
        <v>0</v>
      </c>
      <c r="M66" s="65">
        <v>640</v>
      </c>
      <c r="N66" s="65">
        <v>0</v>
      </c>
      <c r="O66" s="65">
        <v>0</v>
      </c>
      <c r="P66" s="65">
        <v>0</v>
      </c>
      <c r="Q66" s="65">
        <v>0</v>
      </c>
      <c r="R66" s="65">
        <v>1510</v>
      </c>
      <c r="S66" s="65">
        <v>0</v>
      </c>
      <c r="T66" s="65">
        <v>0</v>
      </c>
      <c r="U66" s="65">
        <v>0</v>
      </c>
      <c r="V66" s="65">
        <f t="shared" si="32"/>
        <v>2150</v>
      </c>
      <c r="W66" s="73">
        <f t="shared" si="27"/>
        <v>1.5143975084134765E-5</v>
      </c>
      <c r="X66" s="89"/>
      <c r="Y66" s="65">
        <f>VLOOKUP($E$1,[8]Resumen!$V$32:$AH$38,Y1,0)</f>
        <v>0</v>
      </c>
      <c r="Z66" s="65">
        <f>VLOOKUP($E$1,[8]Resumen!$V$32:$AH$38,Z1,0)</f>
        <v>7788.0923999999995</v>
      </c>
      <c r="AA66" s="65">
        <f>VLOOKUP($E$1,[8]Resumen!$V$32:$AH$38,AA1,0)</f>
        <v>0</v>
      </c>
      <c r="AB66" s="65">
        <f>VLOOKUP($E$1,[8]Resumen!$V$32:$AH$38,AB1,0)</f>
        <v>3560.7439999999997</v>
      </c>
      <c r="AC66" s="65">
        <f>VLOOKUP($E$1,[8]Resumen!$V$32:$AH$38,AC1,0)</f>
        <v>0</v>
      </c>
      <c r="AD66" s="65">
        <f>VLOOKUP($E$1,[8]Resumen!$V$32:$AH$38,AD1,0)</f>
        <v>0</v>
      </c>
      <c r="AE66" s="65">
        <f>VLOOKUP($E$1,[8]Resumen!$V$32:$AH$38,AE1,0)</f>
        <v>0</v>
      </c>
      <c r="AF66" s="65">
        <f>VLOOKUP($E$1,[8]Resumen!$V$32:$AH$38,AF1,0)</f>
        <v>2184.0609999999997</v>
      </c>
      <c r="AG66" s="65">
        <f>VLOOKUP($E$1,[8]Resumen!$V$32:$AH$38,AG1,0)</f>
        <v>0</v>
      </c>
      <c r="AH66" s="65">
        <f>VLOOKUP($E$1,[8]Resumen!$V$32:$AH$38,AH1,0)</f>
        <v>0</v>
      </c>
      <c r="AI66" s="65">
        <f>VLOOKUP($E$1,[8]Resumen!$V$32:$AH$38,AI1,0)</f>
        <v>0</v>
      </c>
      <c r="AJ66" s="65">
        <f>VLOOKUP($E$1,[8]Resumen!$V$32:$AH$38,AJ1,0)</f>
        <v>0</v>
      </c>
      <c r="AK66" s="65">
        <f t="shared" si="33"/>
        <v>13532.8974</v>
      </c>
      <c r="AL66" s="73">
        <f t="shared" si="29"/>
        <v>8.4097517201772137E-5</v>
      </c>
      <c r="AM66" s="14">
        <f t="shared" si="30"/>
        <v>5.29437088372093</v>
      </c>
      <c r="AN66" s="9"/>
    </row>
    <row r="67" spans="1:40" ht="14.45" customHeight="1" outlineLevel="1">
      <c r="A67" s="12"/>
      <c r="I67" s="246" t="s">
        <v>170</v>
      </c>
      <c r="J67" s="65">
        <v>3298</v>
      </c>
      <c r="K67" s="65">
        <v>3298</v>
      </c>
      <c r="L67" s="65">
        <v>3298</v>
      </c>
      <c r="M67" s="65">
        <v>3298</v>
      </c>
      <c r="N67" s="65">
        <v>3298</v>
      </c>
      <c r="O67" s="65">
        <v>3298</v>
      </c>
      <c r="P67" s="65">
        <v>3298</v>
      </c>
      <c r="Q67" s="65">
        <v>3298</v>
      </c>
      <c r="R67" s="225">
        <v>3298</v>
      </c>
      <c r="S67" s="225">
        <v>3298</v>
      </c>
      <c r="T67" s="225">
        <f t="shared" ref="T67" si="45">+AVERAGE(Q67:S67)</f>
        <v>3298</v>
      </c>
      <c r="U67" s="225">
        <f t="shared" ref="U67" si="46">+AVERAGE(R67:T67)</f>
        <v>3298</v>
      </c>
      <c r="V67" s="65">
        <f t="shared" si="32"/>
        <v>39576</v>
      </c>
      <c r="W67" s="73">
        <f t="shared" si="27"/>
        <v>2.7876184089754304E-4</v>
      </c>
      <c r="X67" s="89"/>
      <c r="Y67" s="65">
        <f>VLOOKUP($E$1,[12]Resumen!$V$8:$AH$14,Y1,0)</f>
        <v>4942.6025</v>
      </c>
      <c r="Z67" s="65">
        <f>VLOOKUP($E$1,[12]Resumen!$V$8:$AH$14,Z1,0)</f>
        <v>4942.6025</v>
      </c>
      <c r="AA67" s="65">
        <f>VLOOKUP($E$1,[12]Resumen!$V$8:$AH$14,AA1,0)</f>
        <v>4942.6025</v>
      </c>
      <c r="AB67" s="65">
        <f>VLOOKUP($E$1,[12]Resumen!$V$8:$AH$14,AB1,0)</f>
        <v>4942.6025</v>
      </c>
      <c r="AC67" s="65">
        <f>VLOOKUP($E$1,[12]Resumen!$V$8:$AH$14,AC1,0)</f>
        <v>4942.6025</v>
      </c>
      <c r="AD67" s="65">
        <f>VLOOKUP($E$1,[12]Resumen!$V$8:$AH$14,AD1,0)</f>
        <v>4942.6025</v>
      </c>
      <c r="AE67" s="65">
        <f>VLOOKUP($E$1,[12]Resumen!$V$8:$AH$14,AE1,0)</f>
        <v>4942.6025</v>
      </c>
      <c r="AF67" s="65">
        <f>VLOOKUP($E$1,[12]Resumen!$V$8:$AH$14,AF1,0)</f>
        <v>4942.6025</v>
      </c>
      <c r="AG67" s="65">
        <f>VLOOKUP($E$1,[12]Resumen!$V$8:$AH$14,AG1,0)</f>
        <v>4942.6025</v>
      </c>
      <c r="AH67" s="65">
        <f>VLOOKUP($E$1,[12]Resumen!$V$8:$AH$14,AH1,0)</f>
        <v>4942.6025</v>
      </c>
      <c r="AI67" s="65">
        <f>VLOOKUP($E$1,[12]Resumen!$V$8:$AH$14,AI1,0)</f>
        <v>4942.6025</v>
      </c>
      <c r="AJ67" s="65">
        <f>VLOOKUP($E$1,[12]Resumen!$V$8:$AH$14,AJ1,0)</f>
        <v>4942.6025</v>
      </c>
      <c r="AK67" s="65">
        <f t="shared" si="33"/>
        <v>59311.23</v>
      </c>
      <c r="AL67" s="73">
        <f t="shared" si="29"/>
        <v>3.6857792073287008E-4</v>
      </c>
      <c r="AM67" s="14">
        <f t="shared" si="30"/>
        <v>0.4986666161309885</v>
      </c>
      <c r="AN67" s="9"/>
    </row>
    <row r="68" spans="1:40" ht="14.45" customHeight="1" outlineLevel="1">
      <c r="A68" s="12"/>
      <c r="I68" s="246" t="s">
        <v>171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/>
      <c r="U68" s="65"/>
      <c r="V68" s="65">
        <f t="shared" si="32"/>
        <v>0</v>
      </c>
      <c r="W68" s="73">
        <f t="shared" si="27"/>
        <v>0</v>
      </c>
      <c r="X68" s="89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>
        <f t="shared" si="33"/>
        <v>0</v>
      </c>
      <c r="AL68" s="73">
        <f t="shared" si="29"/>
        <v>0</v>
      </c>
      <c r="AM68" s="14">
        <f t="shared" si="30"/>
        <v>0</v>
      </c>
      <c r="AN68" s="9"/>
    </row>
    <row r="69" spans="1:40" ht="14.45" customHeight="1" outlineLevel="1">
      <c r="A69" s="12"/>
      <c r="I69" s="246" t="s">
        <v>172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183</v>
      </c>
      <c r="T69" s="65"/>
      <c r="U69" s="65"/>
      <c r="V69" s="65">
        <f t="shared" si="32"/>
        <v>183</v>
      </c>
      <c r="W69" s="73">
        <f t="shared" si="27"/>
        <v>1.2889988094868196E-6</v>
      </c>
      <c r="X69" s="89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>
        <f t="shared" si="33"/>
        <v>0</v>
      </c>
      <c r="AL69" s="73">
        <f t="shared" si="29"/>
        <v>0</v>
      </c>
      <c r="AM69" s="14">
        <f t="shared" si="30"/>
        <v>-1</v>
      </c>
      <c r="AN69" s="9"/>
    </row>
    <row r="70" spans="1:40" ht="14.45" customHeight="1" outlineLevel="1">
      <c r="A70" s="12"/>
      <c r="I70" s="246" t="s">
        <v>173</v>
      </c>
      <c r="J70" s="65">
        <v>2082</v>
      </c>
      <c r="K70" s="65">
        <v>5400</v>
      </c>
      <c r="L70" s="65">
        <v>1800</v>
      </c>
      <c r="M70" s="65">
        <v>0</v>
      </c>
      <c r="N70" s="65">
        <v>1400</v>
      </c>
      <c r="O70" s="65">
        <v>2570</v>
      </c>
      <c r="P70" s="65">
        <v>1400</v>
      </c>
      <c r="Q70" s="65">
        <v>1400</v>
      </c>
      <c r="R70" s="225">
        <v>1400</v>
      </c>
      <c r="S70" s="225">
        <v>1400</v>
      </c>
      <c r="T70" s="225">
        <f t="shared" ref="T70" si="47">+AVERAGE(Q70:S70)</f>
        <v>1400</v>
      </c>
      <c r="U70" s="225">
        <f t="shared" ref="U70" si="48">+AVERAGE(R70:T70)</f>
        <v>1400</v>
      </c>
      <c r="V70" s="65">
        <f t="shared" si="32"/>
        <v>21652</v>
      </c>
      <c r="W70" s="73">
        <f t="shared" si="27"/>
        <v>1.5251039466124928E-4</v>
      </c>
      <c r="X70" s="89"/>
      <c r="Y70" s="65">
        <f>VLOOKUP($E$1,[8]Resumen!$V$44:$AH$50,Y1,0)</f>
        <v>1500</v>
      </c>
      <c r="Z70" s="65">
        <f>VLOOKUP($E$1,[8]Resumen!$V$44:$AH$50,Z1,0)</f>
        <v>1500</v>
      </c>
      <c r="AA70" s="65">
        <f>VLOOKUP($E$1,[8]Resumen!$V$44:$AH$50,AA1,0)</f>
        <v>1500</v>
      </c>
      <c r="AB70" s="65">
        <f>VLOOKUP($E$1,[8]Resumen!$V$44:$AH$50,AB1,0)</f>
        <v>1500</v>
      </c>
      <c r="AC70" s="65">
        <f>VLOOKUP($E$1,[8]Resumen!$V$44:$AH$50,AC1,0)</f>
        <v>1500</v>
      </c>
      <c r="AD70" s="65">
        <f>VLOOKUP($E$1,[8]Resumen!$V$44:$AH$50,AD1,0)</f>
        <v>1500</v>
      </c>
      <c r="AE70" s="65">
        <f>VLOOKUP($E$1,[8]Resumen!$V$44:$AH$50,AE1,0)</f>
        <v>1500</v>
      </c>
      <c r="AF70" s="65">
        <f>VLOOKUP($E$1,[8]Resumen!$V$44:$AH$50,AF1,0)</f>
        <v>1500</v>
      </c>
      <c r="AG70" s="65">
        <f>VLOOKUP($E$1,[8]Resumen!$V$44:$AH$50,AG1,0)</f>
        <v>1500</v>
      </c>
      <c r="AH70" s="65">
        <f>VLOOKUP($E$1,[8]Resumen!$V$44:$AH$50,AH1,0)</f>
        <v>1500</v>
      </c>
      <c r="AI70" s="65">
        <f>VLOOKUP($E$1,[8]Resumen!$V$44:$AH$50,AI1,0)</f>
        <v>1500</v>
      </c>
      <c r="AJ70" s="65">
        <f>VLOOKUP($E$1,[8]Resumen!$V$44:$AH$50,AJ1,0)</f>
        <v>1500</v>
      </c>
      <c r="AK70" s="65">
        <f t="shared" si="33"/>
        <v>18000</v>
      </c>
      <c r="AL70" s="73">
        <f t="shared" si="29"/>
        <v>1.1185744374533561E-4</v>
      </c>
      <c r="AM70" s="14">
        <f t="shared" si="30"/>
        <v>-0.16866802142989101</v>
      </c>
      <c r="AN70" s="9"/>
    </row>
    <row r="71" spans="1:40" ht="14.45" customHeight="1" outlineLevel="1">
      <c r="A71" s="12"/>
      <c r="I71" s="246" t="s">
        <v>174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/>
      <c r="U71" s="65"/>
      <c r="V71" s="65">
        <f t="shared" si="32"/>
        <v>0</v>
      </c>
      <c r="W71" s="73">
        <f t="shared" si="27"/>
        <v>0</v>
      </c>
      <c r="X71" s="89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>
        <f t="shared" si="33"/>
        <v>0</v>
      </c>
      <c r="AL71" s="73">
        <f t="shared" si="29"/>
        <v>0</v>
      </c>
      <c r="AM71" s="14">
        <f t="shared" si="30"/>
        <v>0</v>
      </c>
      <c r="AN71" s="9"/>
    </row>
    <row r="72" spans="1:40" ht="14.45" customHeight="1" outlineLevel="1">
      <c r="A72" s="12"/>
      <c r="I72" s="246" t="s">
        <v>175</v>
      </c>
      <c r="J72" s="65">
        <v>902</v>
      </c>
      <c r="K72" s="65">
        <v>902</v>
      </c>
      <c r="L72" s="65">
        <v>902</v>
      </c>
      <c r="M72" s="65">
        <v>902</v>
      </c>
      <c r="N72" s="65">
        <v>902</v>
      </c>
      <c r="O72" s="65">
        <v>902</v>
      </c>
      <c r="P72" s="65">
        <v>902</v>
      </c>
      <c r="Q72" s="65">
        <v>902</v>
      </c>
      <c r="R72" s="225">
        <v>902</v>
      </c>
      <c r="S72" s="225">
        <v>902</v>
      </c>
      <c r="T72" s="225">
        <f t="shared" ref="T72" si="49">+AVERAGE(Q72:S72)</f>
        <v>902</v>
      </c>
      <c r="U72" s="225">
        <f t="shared" ref="U72" si="50">+AVERAGE(R72:T72)</f>
        <v>902</v>
      </c>
      <c r="V72" s="65">
        <f t="shared" si="32"/>
        <v>10824</v>
      </c>
      <c r="W72" s="73">
        <f t="shared" si="27"/>
        <v>7.6241109911941721E-5</v>
      </c>
      <c r="X72" s="89"/>
      <c r="Y72" s="65">
        <f>U72*1.0375</f>
        <v>935.82500000000005</v>
      </c>
      <c r="Z72" s="65">
        <f>+Y72</f>
        <v>935.82500000000005</v>
      </c>
      <c r="AA72" s="65">
        <f>+Z72</f>
        <v>935.82500000000005</v>
      </c>
      <c r="AB72" s="65">
        <f>+AA72</f>
        <v>935.82500000000005</v>
      </c>
      <c r="AC72" s="65">
        <f>+AB72</f>
        <v>935.82500000000005</v>
      </c>
      <c r="AD72" s="65">
        <f>+AC72</f>
        <v>935.82500000000005</v>
      </c>
      <c r="AE72" s="65">
        <f>+AD72</f>
        <v>935.82500000000005</v>
      </c>
      <c r="AF72" s="65">
        <f>+AE72</f>
        <v>935.82500000000005</v>
      </c>
      <c r="AG72" s="65">
        <f>+AF72</f>
        <v>935.82500000000005</v>
      </c>
      <c r="AH72" s="65">
        <f>+AG72</f>
        <v>935.82500000000005</v>
      </c>
      <c r="AI72" s="65">
        <f>+AH72</f>
        <v>935.82500000000005</v>
      </c>
      <c r="AJ72" s="65">
        <f>+AI72</f>
        <v>935.82500000000005</v>
      </c>
      <c r="AK72" s="65">
        <f t="shared" si="33"/>
        <v>11229.900000000001</v>
      </c>
      <c r="AL72" s="73">
        <f t="shared" si="29"/>
        <v>6.9785994861985799E-5</v>
      </c>
      <c r="AM72" s="14">
        <f t="shared" si="30"/>
        <v>3.7500000000000089E-2</v>
      </c>
      <c r="AN72" s="9"/>
    </row>
    <row r="73" spans="1:40" ht="14.45" customHeight="1" outlineLevel="1">
      <c r="A73" s="12" t="s">
        <v>146</v>
      </c>
      <c r="B73" s="8" t="s">
        <v>88</v>
      </c>
      <c r="I73" s="246" t="s">
        <v>176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/>
      <c r="U73" s="65"/>
      <c r="V73" s="65">
        <f t="shared" si="32"/>
        <v>0</v>
      </c>
      <c r="W73" s="73">
        <f t="shared" si="27"/>
        <v>0</v>
      </c>
      <c r="X73" s="89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>
        <f t="shared" si="33"/>
        <v>0</v>
      </c>
      <c r="AL73" s="73">
        <f t="shared" si="29"/>
        <v>0</v>
      </c>
      <c r="AM73" s="14">
        <f t="shared" si="30"/>
        <v>0</v>
      </c>
      <c r="AN73" s="9"/>
    </row>
    <row r="74" spans="1:40" ht="14.45" customHeight="1" outlineLevel="1">
      <c r="A74" s="12" t="s">
        <v>146</v>
      </c>
      <c r="B74" s="8" t="s">
        <v>88</v>
      </c>
      <c r="I74" s="251" t="s">
        <v>177</v>
      </c>
      <c r="J74" s="65">
        <v>1300</v>
      </c>
      <c r="K74" s="65">
        <v>2600</v>
      </c>
      <c r="L74" s="65">
        <v>1300</v>
      </c>
      <c r="M74" s="65">
        <v>1300</v>
      </c>
      <c r="N74" s="65">
        <v>1300</v>
      </c>
      <c r="O74" s="65">
        <v>1300</v>
      </c>
      <c r="P74" s="65">
        <v>1300</v>
      </c>
      <c r="Q74" s="65">
        <v>1300</v>
      </c>
      <c r="R74" s="65">
        <v>1300</v>
      </c>
      <c r="S74" s="65">
        <v>1300</v>
      </c>
      <c r="T74" s="65">
        <v>1300</v>
      </c>
      <c r="U74" s="65">
        <v>1300</v>
      </c>
      <c r="V74" s="65">
        <f t="shared" si="32"/>
        <v>16900</v>
      </c>
      <c r="W74" s="73">
        <f t="shared" si="27"/>
        <v>1.1903868787064072E-4</v>
      </c>
      <c r="X74" s="89"/>
      <c r="Y74" s="65">
        <f>+J74*1.0375</f>
        <v>1348.7500000000002</v>
      </c>
      <c r="Z74" s="65">
        <f>+K74*1.0375</f>
        <v>2697.5000000000005</v>
      </c>
      <c r="AA74" s="65">
        <f>+L74*1.0375</f>
        <v>1348.7500000000002</v>
      </c>
      <c r="AB74" s="65">
        <f>+M74*1.0375</f>
        <v>1348.7500000000002</v>
      </c>
      <c r="AC74" s="65">
        <f>+N74*1.0375</f>
        <v>1348.7500000000002</v>
      </c>
      <c r="AD74" s="65">
        <f>+O74*1.0375</f>
        <v>1348.7500000000002</v>
      </c>
      <c r="AE74" s="65">
        <f>+P74*1.0375</f>
        <v>1348.7500000000002</v>
      </c>
      <c r="AF74" s="65">
        <f>+Q74*1.0375</f>
        <v>1348.7500000000002</v>
      </c>
      <c r="AG74" s="65">
        <f>+R74*1.0375</f>
        <v>1348.7500000000002</v>
      </c>
      <c r="AH74" s="65">
        <f>+S74*1.0375</f>
        <v>1348.7500000000002</v>
      </c>
      <c r="AI74" s="65">
        <f>+T74*1.0375</f>
        <v>1348.7500000000002</v>
      </c>
      <c r="AJ74" s="65">
        <f>+U74*1.0375</f>
        <v>1348.7500000000002</v>
      </c>
      <c r="AK74" s="65">
        <f t="shared" si="33"/>
        <v>17533.750000000004</v>
      </c>
      <c r="AL74" s="73">
        <f t="shared" si="29"/>
        <v>1.0896002523720992E-4</v>
      </c>
      <c r="AM74" s="14">
        <f t="shared" si="30"/>
        <v>3.7500000000000311E-2</v>
      </c>
      <c r="AN74" s="9"/>
    </row>
    <row r="75" spans="1:40" ht="14.45" customHeight="1" outlineLevel="1">
      <c r="A75" s="12"/>
      <c r="I75" s="246" t="s">
        <v>178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/>
      <c r="U75" s="65"/>
      <c r="V75" s="65">
        <f t="shared" si="32"/>
        <v>0</v>
      </c>
      <c r="W75" s="73">
        <f t="shared" si="27"/>
        <v>0</v>
      </c>
      <c r="X75" s="89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>
        <f t="shared" si="33"/>
        <v>0</v>
      </c>
      <c r="AL75" s="73">
        <f t="shared" si="29"/>
        <v>0</v>
      </c>
      <c r="AM75" s="14">
        <f t="shared" si="30"/>
        <v>0</v>
      </c>
      <c r="AN75" s="9"/>
    </row>
    <row r="76" spans="1:40" ht="14.45" customHeight="1" outlineLevel="1">
      <c r="A76" s="12" t="s">
        <v>146</v>
      </c>
      <c r="B76" s="8" t="s">
        <v>88</v>
      </c>
      <c r="I76" s="246" t="s">
        <v>179</v>
      </c>
      <c r="J76" s="65">
        <v>916</v>
      </c>
      <c r="K76" s="65">
        <v>902</v>
      </c>
      <c r="L76" s="65">
        <v>890</v>
      </c>
      <c r="M76" s="65">
        <v>884</v>
      </c>
      <c r="N76" s="65">
        <v>827</v>
      </c>
      <c r="O76" s="65">
        <v>953</v>
      </c>
      <c r="P76" s="65">
        <v>956</v>
      </c>
      <c r="Q76" s="65">
        <v>914</v>
      </c>
      <c r="R76" s="225">
        <v>855</v>
      </c>
      <c r="S76" s="225">
        <v>1008</v>
      </c>
      <c r="T76" s="225">
        <f t="shared" ref="T76:T77" si="51">+AVERAGE(Q76:S76)</f>
        <v>925.66666666666663</v>
      </c>
      <c r="U76" s="225">
        <f t="shared" ref="U76:U77" si="52">+AVERAGE(R76:T76)</f>
        <v>929.55555555555554</v>
      </c>
      <c r="V76" s="65">
        <f t="shared" si="32"/>
        <v>10960.222222222221</v>
      </c>
      <c r="W76" s="73">
        <f t="shared" si="27"/>
        <v>7.7200619651122547E-5</v>
      </c>
      <c r="X76" s="89"/>
      <c r="Y76" s="65">
        <f>VLOOKUP($E$1,[13]Resumen!$V$10:$AH$16,Y1,0)</f>
        <v>931.58999999999992</v>
      </c>
      <c r="Z76" s="65">
        <f>VLOOKUP($E$1,[13]Resumen!$V$10:$AH$16,Z1,0)</f>
        <v>931.58999999999992</v>
      </c>
      <c r="AA76" s="65">
        <f>VLOOKUP($E$1,[13]Resumen!$V$10:$AH$16,AA1,0)</f>
        <v>931.58999999999992</v>
      </c>
      <c r="AB76" s="65">
        <f>VLOOKUP($E$1,[13]Resumen!$V$10:$AH$16,AB1,0)</f>
        <v>931.58999999999992</v>
      </c>
      <c r="AC76" s="65">
        <f>VLOOKUP($E$1,[13]Resumen!$V$10:$AH$16,AC1,0)</f>
        <v>931.58999999999992</v>
      </c>
      <c r="AD76" s="65">
        <f>VLOOKUP($E$1,[13]Resumen!$V$10:$AH$16,AD1,0)</f>
        <v>931.58999999999992</v>
      </c>
      <c r="AE76" s="65">
        <f>VLOOKUP($E$1,[13]Resumen!$V$10:$AH$16,AE1,0)</f>
        <v>931.58999999999992</v>
      </c>
      <c r="AF76" s="65">
        <f>VLOOKUP($E$1,[13]Resumen!$V$10:$AH$16,AF1,0)</f>
        <v>931.58999999999992</v>
      </c>
      <c r="AG76" s="65">
        <f>VLOOKUP($E$1,[13]Resumen!$V$10:$AH$16,AG1,0)</f>
        <v>931.58999999999992</v>
      </c>
      <c r="AH76" s="65">
        <f>VLOOKUP($E$1,[13]Resumen!$V$10:$AH$16,AH1,0)</f>
        <v>931.58999999999992</v>
      </c>
      <c r="AI76" s="65">
        <f>VLOOKUP($E$1,[13]Resumen!$V$10:$AH$16,AI1,0)</f>
        <v>931.58999999999992</v>
      </c>
      <c r="AJ76" s="65">
        <f>VLOOKUP($E$1,[13]Resumen!$V$10:$AH$16,AJ1,0)</f>
        <v>931.58999999999992</v>
      </c>
      <c r="AK76" s="65">
        <f t="shared" si="33"/>
        <v>11179.08</v>
      </c>
      <c r="AL76" s="73">
        <f t="shared" si="29"/>
        <v>6.9470184012478131E-5</v>
      </c>
      <c r="AM76" s="14">
        <f t="shared" si="30"/>
        <v>1.9968370470996311E-2</v>
      </c>
      <c r="AN76" s="9"/>
    </row>
    <row r="77" spans="1:40" ht="14.45" customHeight="1" outlineLevel="1">
      <c r="A77" s="12"/>
      <c r="I77" s="246" t="s">
        <v>180</v>
      </c>
      <c r="J77" s="65">
        <v>593</v>
      </c>
      <c r="K77" s="65">
        <v>569</v>
      </c>
      <c r="L77" s="65">
        <v>577</v>
      </c>
      <c r="M77" s="65">
        <v>636</v>
      </c>
      <c r="N77" s="65">
        <v>620</v>
      </c>
      <c r="O77" s="65">
        <v>657</v>
      </c>
      <c r="P77" s="65">
        <v>617</v>
      </c>
      <c r="Q77" s="65">
        <v>666</v>
      </c>
      <c r="R77" s="225">
        <v>579</v>
      </c>
      <c r="S77" s="225">
        <v>586</v>
      </c>
      <c r="T77" s="225">
        <f t="shared" si="51"/>
        <v>610.33333333333337</v>
      </c>
      <c r="U77" s="225">
        <f t="shared" si="52"/>
        <v>591.77777777777783</v>
      </c>
      <c r="V77" s="65">
        <f t="shared" si="32"/>
        <v>7302.1111111111113</v>
      </c>
      <c r="W77" s="73">
        <f t="shared" si="27"/>
        <v>5.1433948245697811E-5</v>
      </c>
      <c r="X77" s="89"/>
      <c r="Y77" s="65">
        <f>J77*1.0375</f>
        <v>615.23750000000007</v>
      </c>
      <c r="Z77" s="65">
        <f t="shared" ref="Z77:AJ77" si="53">K77*1.0375</f>
        <v>590.33750000000009</v>
      </c>
      <c r="AA77" s="65">
        <f t="shared" si="53"/>
        <v>598.63750000000005</v>
      </c>
      <c r="AB77" s="65">
        <f t="shared" si="53"/>
        <v>659.85</v>
      </c>
      <c r="AC77" s="65">
        <f t="shared" si="53"/>
        <v>643.25</v>
      </c>
      <c r="AD77" s="65">
        <f t="shared" si="53"/>
        <v>681.63750000000005</v>
      </c>
      <c r="AE77" s="65">
        <f t="shared" si="53"/>
        <v>640.13750000000005</v>
      </c>
      <c r="AF77" s="65">
        <f t="shared" si="53"/>
        <v>690.97500000000002</v>
      </c>
      <c r="AG77" s="65">
        <f t="shared" si="53"/>
        <v>600.71250000000009</v>
      </c>
      <c r="AH77" s="65">
        <f t="shared" si="53"/>
        <v>607.97500000000002</v>
      </c>
      <c r="AI77" s="65">
        <f t="shared" si="53"/>
        <v>633.22083333333342</v>
      </c>
      <c r="AJ77" s="65">
        <f t="shared" si="53"/>
        <v>613.96944444444455</v>
      </c>
      <c r="AK77" s="65">
        <f t="shared" si="33"/>
        <v>7575.9402777777805</v>
      </c>
      <c r="AL77" s="73">
        <f t="shared" si="29"/>
        <v>4.7079184079975019E-5</v>
      </c>
      <c r="AM77" s="14">
        <f t="shared" si="30"/>
        <v>3.7500000000000311E-2</v>
      </c>
      <c r="AN77" s="9"/>
    </row>
    <row r="78" spans="1:40" ht="14.45" customHeight="1" outlineLevel="1">
      <c r="A78" s="12"/>
      <c r="I78" s="246" t="s">
        <v>181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/>
      <c r="U78" s="65"/>
      <c r="V78" s="65">
        <f t="shared" si="32"/>
        <v>0</v>
      </c>
      <c r="W78" s="73">
        <f t="shared" si="27"/>
        <v>0</v>
      </c>
      <c r="X78" s="89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>
        <f t="shared" si="33"/>
        <v>0</v>
      </c>
      <c r="AL78" s="73">
        <f t="shared" si="29"/>
        <v>0</v>
      </c>
      <c r="AM78" s="14">
        <f t="shared" si="30"/>
        <v>0</v>
      </c>
      <c r="AN78" s="9"/>
    </row>
    <row r="79" spans="1:40" ht="14.45" customHeight="1" outlineLevel="1">
      <c r="A79" s="12"/>
      <c r="I79" s="246" t="s">
        <v>182</v>
      </c>
      <c r="J79" s="65">
        <v>2564</v>
      </c>
      <c r="K79" s="65">
        <v>6550</v>
      </c>
      <c r="L79" s="65">
        <v>7888</v>
      </c>
      <c r="M79" s="65">
        <v>1864</v>
      </c>
      <c r="N79" s="65">
        <v>11465</v>
      </c>
      <c r="O79" s="65">
        <v>2641</v>
      </c>
      <c r="P79" s="65">
        <v>0</v>
      </c>
      <c r="Q79" s="65">
        <v>6733</v>
      </c>
      <c r="R79" s="65">
        <v>2935</v>
      </c>
      <c r="S79" s="65">
        <v>0</v>
      </c>
      <c r="T79" s="65">
        <v>26281.569599999999</v>
      </c>
      <c r="U79" s="65">
        <v>3771.8096</v>
      </c>
      <c r="V79" s="65">
        <f t="shared" si="32"/>
        <v>72693.379199999996</v>
      </c>
      <c r="W79" s="73">
        <f t="shared" si="27"/>
        <v>5.1203103413319088E-4</v>
      </c>
      <c r="X79" s="89"/>
      <c r="Y79" s="65">
        <f>VLOOKUP($E$1,[14]Resumen!$V$8:$AH$14,Y1,0)</f>
        <v>3442.2049690599997</v>
      </c>
      <c r="Z79" s="65">
        <f>VLOOKUP($E$1,[14]Resumen!$V$8:$AH$14,Z1,0)</f>
        <v>9162.126165059999</v>
      </c>
      <c r="AA79" s="65">
        <f>VLOOKUP($E$1,[14]Resumen!$V$8:$AH$14,AA1,0)</f>
        <v>9162.126165059999</v>
      </c>
      <c r="AB79" s="65">
        <f>VLOOKUP($E$1,[14]Resumen!$V$8:$AH$14,AB1,0)</f>
        <v>8136.5879013099993</v>
      </c>
      <c r="AC79" s="65">
        <f>VLOOKUP($E$1,[14]Resumen!$V$8:$AH$14,AC1,0)</f>
        <v>5276.6273033099988</v>
      </c>
      <c r="AD79" s="65">
        <f>VLOOKUP($E$1,[14]Resumen!$V$8:$AH$14,AD1,0)</f>
        <v>2416.66670531</v>
      </c>
      <c r="AE79" s="65">
        <f>VLOOKUP($E$1,[14]Resumen!$V$8:$AH$14,AE1,0)</f>
        <v>5276.6273033099988</v>
      </c>
      <c r="AF79" s="65">
        <f>VLOOKUP($E$1,[14]Resumen!$V$8:$AH$14,AF1,0)</f>
        <v>8136.5879013099993</v>
      </c>
      <c r="AG79" s="65">
        <f>VLOOKUP($E$1,[14]Resumen!$V$8:$AH$14,AG1,0)</f>
        <v>8136.5879013099993</v>
      </c>
      <c r="AH79" s="65">
        <f>VLOOKUP($E$1,[14]Resumen!$V$8:$AH$14,AH1,0)</f>
        <v>27799.598513059995</v>
      </c>
      <c r="AI79" s="65">
        <f>VLOOKUP($E$1,[14]Resumen!$V$8:$AH$14,AI1,0)</f>
        <v>12022.086763059997</v>
      </c>
      <c r="AJ79" s="65">
        <f>VLOOKUP($E$1,[14]Resumen!$V$8:$AH$14,AJ1,0)</f>
        <v>6302.1655670599994</v>
      </c>
      <c r="AK79" s="65">
        <f t="shared" si="33"/>
        <v>105269.99315821998</v>
      </c>
      <c r="AL79" s="73">
        <f t="shared" si="29"/>
        <v>6.5417957432041421E-4</v>
      </c>
      <c r="AM79" s="14">
        <f t="shared" si="30"/>
        <v>0.44813729003562375</v>
      </c>
      <c r="AN79" s="9"/>
    </row>
    <row r="80" spans="1:40" ht="14.45" customHeight="1" outlineLevel="1">
      <c r="A80" s="12"/>
      <c r="I80" s="246" t="s">
        <v>183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292</v>
      </c>
      <c r="P80" s="65">
        <v>0</v>
      </c>
      <c r="Q80" s="65">
        <v>146</v>
      </c>
      <c r="R80" s="65">
        <v>0</v>
      </c>
      <c r="S80" s="65">
        <v>0</v>
      </c>
      <c r="T80" s="65">
        <v>250.12</v>
      </c>
      <c r="U80" s="65">
        <v>0</v>
      </c>
      <c r="V80" s="65">
        <f t="shared" si="32"/>
        <v>688.12</v>
      </c>
      <c r="W80" s="73">
        <f t="shared" si="27"/>
        <v>4.8469172720441E-6</v>
      </c>
      <c r="X80" s="89"/>
      <c r="Y80" s="65">
        <f>VLOOKUP($E$1,[15]Resumen!$V$8:$AH$14,Y1,0)</f>
        <v>191.49349999999998</v>
      </c>
      <c r="Z80" s="65">
        <f>VLOOKUP($E$1,[15]Resumen!$V$8:$AH$14,Z1,0)</f>
        <v>382.98699999999997</v>
      </c>
      <c r="AA80" s="65">
        <f>VLOOKUP($E$1,[15]Resumen!$V$8:$AH$14,AA1,0)</f>
        <v>0</v>
      </c>
      <c r="AB80" s="65">
        <f>VLOOKUP($E$1,[15]Resumen!$V$8:$AH$14,AB1,0)</f>
        <v>786.67599999999993</v>
      </c>
      <c r="AC80" s="65">
        <f>VLOOKUP($E$1,[15]Resumen!$V$8:$AH$14,AC1,0)</f>
        <v>0</v>
      </c>
      <c r="AD80" s="65">
        <f>VLOOKUP($E$1,[15]Resumen!$V$8:$AH$14,AD1,0)</f>
        <v>191.49349999999998</v>
      </c>
      <c r="AE80" s="65">
        <f>VLOOKUP($E$1,[15]Resumen!$V$8:$AH$14,AE1,0)</f>
        <v>0</v>
      </c>
      <c r="AF80" s="65">
        <f>VLOOKUP($E$1,[15]Resumen!$V$8:$AH$14,AF1,0)</f>
        <v>0</v>
      </c>
      <c r="AG80" s="65">
        <f>VLOOKUP($E$1,[15]Resumen!$V$8:$AH$14,AG1,0)</f>
        <v>0</v>
      </c>
      <c r="AH80" s="65">
        <f>VLOOKUP($E$1,[15]Resumen!$V$8:$AH$14,AH1,0)</f>
        <v>0</v>
      </c>
      <c r="AI80" s="65">
        <f>VLOOKUP($E$1,[15]Resumen!$V$8:$AH$14,AI1,0)</f>
        <v>0</v>
      </c>
      <c r="AJ80" s="65">
        <f>VLOOKUP($E$1,[15]Resumen!$V$8:$AH$14,AJ1,0)</f>
        <v>0</v>
      </c>
      <c r="AK80" s="65">
        <f t="shared" si="33"/>
        <v>1552.6499999999999</v>
      </c>
      <c r="AL80" s="73">
        <f t="shared" si="29"/>
        <v>9.6486366683997393E-6</v>
      </c>
      <c r="AM80" s="14">
        <f t="shared" si="30"/>
        <v>1.2563651688658952</v>
      </c>
      <c r="AN80" s="9"/>
    </row>
    <row r="81" spans="1:40" ht="14.45" customHeight="1" outlineLevel="1">
      <c r="A81" s="12"/>
      <c r="I81" s="246" t="s">
        <v>184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2312</v>
      </c>
      <c r="Q81" s="65">
        <v>0</v>
      </c>
      <c r="R81" s="65">
        <v>0</v>
      </c>
      <c r="S81" s="65">
        <v>0</v>
      </c>
      <c r="T81" s="65"/>
      <c r="U81" s="65"/>
      <c r="V81" s="65">
        <f t="shared" si="32"/>
        <v>2312</v>
      </c>
      <c r="W81" s="73">
        <f t="shared" si="27"/>
        <v>1.6285055997450967E-5</v>
      </c>
      <c r="X81" s="89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>
        <f t="shared" si="33"/>
        <v>0</v>
      </c>
      <c r="AL81" s="73">
        <f t="shared" si="29"/>
        <v>0</v>
      </c>
      <c r="AM81" s="14">
        <f t="shared" si="30"/>
        <v>-1</v>
      </c>
      <c r="AN81" s="9"/>
    </row>
    <row r="82" spans="1:40" ht="14.45" customHeight="1" outlineLevel="1">
      <c r="A82" s="12"/>
      <c r="I82" s="246" t="s">
        <v>185</v>
      </c>
      <c r="J82" s="65">
        <v>2345</v>
      </c>
      <c r="K82" s="65">
        <v>2345</v>
      </c>
      <c r="L82" s="65">
        <v>2345</v>
      </c>
      <c r="M82" s="65">
        <v>2345</v>
      </c>
      <c r="N82" s="65">
        <v>2345</v>
      </c>
      <c r="O82" s="65">
        <v>2345</v>
      </c>
      <c r="P82" s="65">
        <v>2345</v>
      </c>
      <c r="Q82" s="65">
        <v>5845</v>
      </c>
      <c r="R82" s="65">
        <v>5845</v>
      </c>
      <c r="S82" s="65">
        <f>+R82</f>
        <v>5845</v>
      </c>
      <c r="T82" s="65">
        <f>+S82</f>
        <v>5845</v>
      </c>
      <c r="U82" s="65">
        <f>+T82</f>
        <v>5845</v>
      </c>
      <c r="V82" s="65">
        <f t="shared" si="32"/>
        <v>45640</v>
      </c>
      <c r="W82" s="73">
        <f t="shared" si="27"/>
        <v>3.2147489434414451E-4</v>
      </c>
      <c r="X82" s="89"/>
      <c r="Y82" s="65">
        <f>+U82*1.02</f>
        <v>5961.9000000000005</v>
      </c>
      <c r="Z82" s="65">
        <f>+Y82</f>
        <v>5961.9000000000005</v>
      </c>
      <c r="AA82" s="65">
        <f t="shared" ref="AA82:AJ82" si="54">+Z82</f>
        <v>5961.9000000000005</v>
      </c>
      <c r="AB82" s="65">
        <f t="shared" si="54"/>
        <v>5961.9000000000005</v>
      </c>
      <c r="AC82" s="65">
        <f t="shared" si="54"/>
        <v>5961.9000000000005</v>
      </c>
      <c r="AD82" s="65">
        <f t="shared" si="54"/>
        <v>5961.9000000000005</v>
      </c>
      <c r="AE82" s="65">
        <f t="shared" si="54"/>
        <v>5961.9000000000005</v>
      </c>
      <c r="AF82" s="65">
        <f t="shared" si="54"/>
        <v>5961.9000000000005</v>
      </c>
      <c r="AG82" s="65">
        <f t="shared" si="54"/>
        <v>5961.9000000000005</v>
      </c>
      <c r="AH82" s="65">
        <f t="shared" si="54"/>
        <v>5961.9000000000005</v>
      </c>
      <c r="AI82" s="65">
        <f t="shared" si="54"/>
        <v>5961.9000000000005</v>
      </c>
      <c r="AJ82" s="65">
        <f t="shared" si="54"/>
        <v>5961.9000000000005</v>
      </c>
      <c r="AK82" s="65">
        <f t="shared" si="33"/>
        <v>71542.8</v>
      </c>
      <c r="AL82" s="73">
        <f t="shared" si="29"/>
        <v>4.4458859591021093E-4</v>
      </c>
      <c r="AM82" s="14">
        <f t="shared" si="30"/>
        <v>0.56754601226993873</v>
      </c>
      <c r="AN82" s="9"/>
    </row>
    <row r="83" spans="1:40" ht="14.45" customHeight="1" outlineLevel="1">
      <c r="A83" s="12" t="s">
        <v>195</v>
      </c>
      <c r="B83" s="8" t="s">
        <v>88</v>
      </c>
      <c r="I83" s="246" t="s">
        <v>186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/>
      <c r="U83" s="65"/>
      <c r="V83" s="65">
        <f t="shared" si="32"/>
        <v>0</v>
      </c>
      <c r="W83" s="73">
        <f t="shared" si="27"/>
        <v>0</v>
      </c>
      <c r="X83" s="89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>
        <f t="shared" si="33"/>
        <v>0</v>
      </c>
      <c r="AL83" s="73">
        <f t="shared" si="29"/>
        <v>0</v>
      </c>
      <c r="AM83" s="14">
        <f t="shared" si="30"/>
        <v>0</v>
      </c>
      <c r="AN83" s="9"/>
    </row>
    <row r="84" spans="1:40" ht="14.45" customHeight="1" outlineLevel="1">
      <c r="A84" s="12" t="s">
        <v>195</v>
      </c>
      <c r="B84" s="8" t="s">
        <v>88</v>
      </c>
      <c r="I84" s="246" t="s">
        <v>187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/>
      <c r="U84" s="65"/>
      <c r="V84" s="65">
        <f t="shared" si="32"/>
        <v>0</v>
      </c>
      <c r="W84" s="73">
        <f t="shared" si="27"/>
        <v>0</v>
      </c>
      <c r="X84" s="89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>
        <f t="shared" si="33"/>
        <v>0</v>
      </c>
      <c r="AL84" s="73">
        <f t="shared" si="29"/>
        <v>0</v>
      </c>
      <c r="AM84" s="14">
        <f t="shared" si="30"/>
        <v>0</v>
      </c>
      <c r="AN84" s="219"/>
    </row>
    <row r="85" spans="1:40" ht="14.45" customHeight="1" outlineLevel="1">
      <c r="A85" s="12" t="s">
        <v>195</v>
      </c>
      <c r="B85" s="8" t="s">
        <v>88</v>
      </c>
      <c r="I85" s="246" t="s">
        <v>188</v>
      </c>
      <c r="J85" s="65">
        <v>0</v>
      </c>
      <c r="K85" s="65">
        <v>0</v>
      </c>
      <c r="L85" s="65">
        <v>1425</v>
      </c>
      <c r="M85" s="65">
        <v>1425</v>
      </c>
      <c r="N85" s="65">
        <v>1425</v>
      </c>
      <c r="O85" s="65">
        <v>1425</v>
      </c>
      <c r="P85" s="65">
        <v>0</v>
      </c>
      <c r="Q85" s="65">
        <v>1425</v>
      </c>
      <c r="R85" s="65">
        <v>1425</v>
      </c>
      <c r="S85" s="65">
        <v>1425</v>
      </c>
      <c r="T85" s="65"/>
      <c r="U85" s="65"/>
      <c r="V85" s="65">
        <f t="shared" si="32"/>
        <v>9975</v>
      </c>
      <c r="W85" s="73">
        <f t="shared" si="27"/>
        <v>7.0261000681043855E-5</v>
      </c>
      <c r="X85" s="89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>
        <f t="shared" si="33"/>
        <v>0</v>
      </c>
      <c r="AL85" s="73">
        <f t="shared" si="29"/>
        <v>0</v>
      </c>
      <c r="AM85" s="14">
        <f t="shared" si="30"/>
        <v>-1</v>
      </c>
      <c r="AN85" s="219"/>
    </row>
    <row r="86" spans="1:40" ht="14.45" customHeight="1" outlineLevel="1">
      <c r="A86" s="12" t="s">
        <v>195</v>
      </c>
      <c r="B86" s="8" t="s">
        <v>88</v>
      </c>
      <c r="I86" s="253" t="s">
        <v>189</v>
      </c>
      <c r="J86" s="65">
        <v>0</v>
      </c>
      <c r="K86" s="65">
        <v>0</v>
      </c>
      <c r="L86" s="65">
        <v>1680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f t="shared" si="32"/>
        <v>1680</v>
      </c>
      <c r="W86" s="73">
        <f t="shared" si="27"/>
        <v>1.1833431693649491E-5</v>
      </c>
      <c r="X86" s="89"/>
      <c r="Y86" s="65">
        <f>VLOOKUP($E$1,[9]Resumen!$V$202:$AH$208,Y1,0)</f>
        <v>0</v>
      </c>
      <c r="Z86" s="65">
        <f>VLOOKUP($E$1,[9]Resumen!$V$202:$AH$208,Z1,0)</f>
        <v>0</v>
      </c>
      <c r="AA86" s="65">
        <f>VLOOKUP($E$1,[9]Resumen!$V$202:$AH$208,AA1,0)</f>
        <v>0</v>
      </c>
      <c r="AB86" s="65">
        <f>VLOOKUP($E$1,[9]Resumen!$V$202:$AH$208,AB1,0)</f>
        <v>0</v>
      </c>
      <c r="AC86" s="65">
        <f>VLOOKUP($E$1,[9]Resumen!$V$202:$AH$208,AC1,0)</f>
        <v>0</v>
      </c>
      <c r="AD86" s="65">
        <f>VLOOKUP($E$1,[9]Resumen!$V$202:$AH$208,AD1,0)</f>
        <v>0</v>
      </c>
      <c r="AE86" s="65">
        <f>VLOOKUP($E$1,[9]Resumen!$V$202:$AH$208,AE1,0)</f>
        <v>0</v>
      </c>
      <c r="AF86" s="65">
        <f>VLOOKUP($E$1,[9]Resumen!$V$202:$AH$208,AF1,0)</f>
        <v>0</v>
      </c>
      <c r="AG86" s="65">
        <f>VLOOKUP($E$1,[9]Resumen!$V$202:$AH$208,AG1,0)</f>
        <v>0</v>
      </c>
      <c r="AH86" s="65">
        <f>VLOOKUP($E$1,[9]Resumen!$V$202:$AH$208,AH1,0)</f>
        <v>0</v>
      </c>
      <c r="AI86" s="65">
        <f>VLOOKUP($E$1,[9]Resumen!$V$202:$AH$208,AI1,0)</f>
        <v>0</v>
      </c>
      <c r="AJ86" s="65">
        <f>VLOOKUP($E$1,[9]Resumen!$V$202:$AH$208,AJ1,0)</f>
        <v>0</v>
      </c>
      <c r="AK86" s="65">
        <f t="shared" si="33"/>
        <v>0</v>
      </c>
      <c r="AL86" s="73">
        <f t="shared" si="29"/>
        <v>0</v>
      </c>
      <c r="AM86" s="14">
        <f t="shared" si="30"/>
        <v>-1</v>
      </c>
      <c r="AN86" s="219"/>
    </row>
    <row r="87" spans="1:40" ht="14.45" customHeight="1" outlineLevel="1">
      <c r="A87" s="12" t="s">
        <v>195</v>
      </c>
      <c r="B87" s="8" t="s">
        <v>88</v>
      </c>
      <c r="I87" s="246" t="s">
        <v>190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/>
      <c r="U87" s="65"/>
      <c r="V87" s="65">
        <f t="shared" si="32"/>
        <v>0</v>
      </c>
      <c r="W87" s="73">
        <f t="shared" si="27"/>
        <v>0</v>
      </c>
      <c r="X87" s="89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>
        <f t="shared" si="33"/>
        <v>0</v>
      </c>
      <c r="AL87" s="73">
        <f t="shared" si="29"/>
        <v>0</v>
      </c>
      <c r="AM87" s="14">
        <f t="shared" si="30"/>
        <v>0</v>
      </c>
      <c r="AN87" s="219"/>
    </row>
    <row r="88" spans="1:40" ht="14.45" customHeight="1" outlineLevel="1">
      <c r="A88" s="12" t="s">
        <v>195</v>
      </c>
      <c r="B88" s="8" t="s">
        <v>88</v>
      </c>
      <c r="I88" s="251" t="s">
        <v>191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19240</v>
      </c>
      <c r="T88" s="65">
        <v>0</v>
      </c>
      <c r="U88" s="65">
        <v>0</v>
      </c>
      <c r="V88" s="65">
        <f t="shared" ref="V88:V91" si="55">SUM(J88:U88)</f>
        <v>19240</v>
      </c>
      <c r="W88" s="73">
        <f t="shared" ref="W88:W91" si="56">V88/V$6</f>
        <v>1.3552096772965252E-4</v>
      </c>
      <c r="X88" s="89"/>
      <c r="Y88" s="65">
        <f>VLOOKUP($E$1,[9]Resumen!$V$10:$AH$16,Y1,0)</f>
        <v>0</v>
      </c>
      <c r="Z88" s="65">
        <f>VLOOKUP($E$1,[9]Resumen!$V$10:$AH$16,Z1,0)</f>
        <v>0</v>
      </c>
      <c r="AA88" s="65">
        <f>VLOOKUP($E$1,[9]Resumen!$V$10:$AH$16,AA1,0)</f>
        <v>0</v>
      </c>
      <c r="AB88" s="65">
        <f>VLOOKUP($E$1,[9]Resumen!$V$10:$AH$16,AB1,0)</f>
        <v>0</v>
      </c>
      <c r="AC88" s="65">
        <f>VLOOKUP($E$1,[9]Resumen!$V$10:$AH$16,AC1,0)</f>
        <v>0</v>
      </c>
      <c r="AD88" s="65">
        <f>VLOOKUP($E$1,[9]Resumen!$V$10:$AH$16,AD1,0)</f>
        <v>0</v>
      </c>
      <c r="AE88" s="65">
        <f>VLOOKUP($E$1,[9]Resumen!$V$10:$AH$16,AE1,0)</f>
        <v>0</v>
      </c>
      <c r="AF88" s="65">
        <f>VLOOKUP($E$1,[9]Resumen!$V$10:$AH$16,AF1,0)</f>
        <v>0</v>
      </c>
      <c r="AG88" s="65">
        <f>VLOOKUP($E$1,[9]Resumen!$V$10:$AH$16,AG1,0)</f>
        <v>18528.289999999997</v>
      </c>
      <c r="AH88" s="65">
        <f>VLOOKUP($E$1,[9]Resumen!$V$10:$AH$16,AH1,0)</f>
        <v>0</v>
      </c>
      <c r="AI88" s="65">
        <f>VLOOKUP($E$1,[9]Resumen!$V$10:$AH$16,AI1,0)</f>
        <v>0</v>
      </c>
      <c r="AJ88" s="65">
        <f>VLOOKUP($E$1,[9]Resumen!$V$10:$AH$16,AJ1,0)</f>
        <v>0</v>
      </c>
      <c r="AK88" s="65">
        <f t="shared" si="33"/>
        <v>18528.289999999997</v>
      </c>
      <c r="AL88" s="73">
        <f t="shared" si="29"/>
        <v>1.1514039757623689E-4</v>
      </c>
      <c r="AM88" s="14">
        <f t="shared" si="30"/>
        <v>-3.6991164241164332E-2</v>
      </c>
      <c r="AN88" s="219"/>
    </row>
    <row r="89" spans="1:40" ht="14.45" customHeight="1" outlineLevel="1">
      <c r="A89" s="12" t="s">
        <v>195</v>
      </c>
      <c r="B89" s="8" t="s">
        <v>88</v>
      </c>
      <c r="I89" s="246" t="s">
        <v>192</v>
      </c>
      <c r="J89" s="65">
        <v>0</v>
      </c>
      <c r="K89" s="65">
        <v>5129</v>
      </c>
      <c r="L89" s="65">
        <v>0</v>
      </c>
      <c r="M89" s="65">
        <v>0</v>
      </c>
      <c r="N89" s="65">
        <v>1852</v>
      </c>
      <c r="O89" s="65">
        <v>2606</v>
      </c>
      <c r="P89" s="65">
        <v>0</v>
      </c>
      <c r="Q89" s="65">
        <v>2034</v>
      </c>
      <c r="R89" s="65">
        <v>0</v>
      </c>
      <c r="S89" s="65">
        <v>0</v>
      </c>
      <c r="T89" s="65">
        <v>19448</v>
      </c>
      <c r="U89" s="65">
        <v>0</v>
      </c>
      <c r="V89" s="65">
        <f t="shared" si="55"/>
        <v>31069</v>
      </c>
      <c r="W89" s="73">
        <f t="shared" si="56"/>
        <v>2.1884100552975954E-4</v>
      </c>
      <c r="X89" s="89"/>
      <c r="Y89" s="65">
        <f>VLOOKUP($E$1,[16]Resumen!$V$8:$AH$14,Y1,0)</f>
        <v>0</v>
      </c>
      <c r="Z89" s="65">
        <f>VLOOKUP($E$1,[16]Resumen!$V$8:$AH$14,Z1,0)</f>
        <v>4642.4234999999999</v>
      </c>
      <c r="AA89" s="65">
        <f>VLOOKUP($E$1,[16]Resumen!$V$8:$AH$14,AA1,0)</f>
        <v>0</v>
      </c>
      <c r="AB89" s="65">
        <f>VLOOKUP($E$1,[16]Resumen!$V$8:$AH$14,AB1,0)</f>
        <v>0</v>
      </c>
      <c r="AC89" s="65">
        <f>VLOOKUP($E$1,[16]Resumen!$V$8:$AH$14,AC1,0)</f>
        <v>2220.2894999999999</v>
      </c>
      <c r="AD89" s="65">
        <f>VLOOKUP($E$1,[16]Resumen!$V$8:$AH$14,AD1,0)</f>
        <v>2489.4154999999996</v>
      </c>
      <c r="AE89" s="65">
        <f>VLOOKUP($E$1,[16]Resumen!$V$8:$AH$14,AE1,0)</f>
        <v>0</v>
      </c>
      <c r="AF89" s="65">
        <f>VLOOKUP($E$1,[16]Resumen!$V$8:$AH$14,AF1,0)</f>
        <v>2287.5709999999999</v>
      </c>
      <c r="AG89" s="65">
        <f>VLOOKUP($E$1,[16]Resumen!$V$8:$AH$14,AG1,0)</f>
        <v>0</v>
      </c>
      <c r="AH89" s="65">
        <f>VLOOKUP($E$1,[16]Resumen!$V$8:$AH$14,AH1,0)</f>
        <v>1076.5039999999999</v>
      </c>
      <c r="AI89" s="65">
        <f>VLOOKUP($E$1,[16]Resumen!$V$8:$AH$14,AI1,0)</f>
        <v>15474.744999999999</v>
      </c>
      <c r="AJ89" s="65">
        <f>VLOOKUP($E$1,[16]Resumen!$V$8:$AH$14,AJ1,0)</f>
        <v>0</v>
      </c>
      <c r="AK89" s="65">
        <f t="shared" si="33"/>
        <v>28190.948499999999</v>
      </c>
      <c r="AL89" s="73">
        <f t="shared" si="29"/>
        <v>1.7518707977591129E-4</v>
      </c>
      <c r="AM89" s="14">
        <f t="shared" si="30"/>
        <v>-9.2634185200682451E-2</v>
      </c>
      <c r="AN89" s="219"/>
    </row>
    <row r="90" spans="1:40" ht="14.45" customHeight="1" outlineLevel="1">
      <c r="A90" s="12" t="s">
        <v>195</v>
      </c>
      <c r="B90" s="8" t="s">
        <v>88</v>
      </c>
      <c r="I90" s="246" t="s">
        <v>193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f t="shared" si="55"/>
        <v>0</v>
      </c>
      <c r="W90" s="73">
        <f t="shared" si="56"/>
        <v>0</v>
      </c>
      <c r="X90" s="89"/>
      <c r="Y90" s="65">
        <f>+VLOOKUP($E$1,[9]Detalle!$C$246:$O$252,Y1,0)</f>
        <v>0</v>
      </c>
      <c r="Z90" s="65">
        <f>+VLOOKUP($E$1,[9]Detalle!$C$246:$O$252,Z1,0)</f>
        <v>0</v>
      </c>
      <c r="AA90" s="65">
        <f>+VLOOKUP($E$1,[9]Detalle!$C$246:$O$252,AA1,0)</f>
        <v>0</v>
      </c>
      <c r="AB90" s="65">
        <f>+VLOOKUP($E$1,[9]Detalle!$C$246:$O$252,AB1,0)</f>
        <v>0</v>
      </c>
      <c r="AC90" s="65">
        <f>+VLOOKUP($E$1,[9]Detalle!$C$246:$O$252,AC1,0)</f>
        <v>0</v>
      </c>
      <c r="AD90" s="65">
        <f>+VLOOKUP($E$1,[9]Detalle!$C$246:$O$252,AD1,0)</f>
        <v>0</v>
      </c>
      <c r="AE90" s="65">
        <f>+VLOOKUP($E$1,[9]Detalle!$C$246:$O$252,AE1,0)</f>
        <v>0</v>
      </c>
      <c r="AF90" s="65">
        <f>+VLOOKUP($E$1,[9]Detalle!$C$246:$O$252,AF1,0)</f>
        <v>0</v>
      </c>
      <c r="AG90" s="65">
        <f>+VLOOKUP($E$1,[9]Detalle!$C$246:$O$252,AG1,0)</f>
        <v>0</v>
      </c>
      <c r="AH90" s="65">
        <f>+VLOOKUP($E$1,[9]Detalle!$C$246:$O$252,AH1,0)</f>
        <v>0</v>
      </c>
      <c r="AI90" s="65">
        <f>+VLOOKUP($E$1,[9]Detalle!$C$246:$O$252,AI1,0)</f>
        <v>0</v>
      </c>
      <c r="AJ90" s="65">
        <f>+VLOOKUP($E$1,[9]Detalle!$C$246:$O$252,AJ1,0)</f>
        <v>0</v>
      </c>
      <c r="AK90" s="65">
        <f t="shared" si="33"/>
        <v>0</v>
      </c>
      <c r="AL90" s="73">
        <f t="shared" si="29"/>
        <v>0</v>
      </c>
      <c r="AM90" s="14">
        <f t="shared" si="30"/>
        <v>0</v>
      </c>
      <c r="AN90" s="219"/>
    </row>
    <row r="91" spans="1:40" ht="14.45" customHeight="1" outlineLevel="1">
      <c r="A91" s="12" t="s">
        <v>195</v>
      </c>
      <c r="B91" s="8" t="s">
        <v>88</v>
      </c>
      <c r="I91" s="251" t="s">
        <v>194</v>
      </c>
      <c r="J91" s="65">
        <v>119970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f t="shared" si="55"/>
        <v>119970</v>
      </c>
      <c r="W91" s="73">
        <f t="shared" si="56"/>
        <v>8.4503380969471993E-4</v>
      </c>
      <c r="X91" s="89"/>
      <c r="Y91" s="65">
        <f>VLOOKUP($E$1,[8]Resumen!$V$56:$AH$62,Y1,0)</f>
        <v>32511.455899999997</v>
      </c>
      <c r="Z91" s="65">
        <f>VLOOKUP($E$1,[8]Resumen!$V$56:$AH$62,Z1,0)</f>
        <v>0</v>
      </c>
      <c r="AA91" s="65">
        <f>VLOOKUP($E$1,[8]Resumen!$V$56:$AH$62,AA1,0)</f>
        <v>0</v>
      </c>
      <c r="AB91" s="65">
        <f>VLOOKUP($E$1,[8]Resumen!$V$56:$AH$62,AB1,0)</f>
        <v>0</v>
      </c>
      <c r="AC91" s="65">
        <f>VLOOKUP($E$1,[8]Resumen!$V$56:$AH$62,AC1,0)</f>
        <v>0</v>
      </c>
      <c r="AD91" s="65">
        <f>VLOOKUP($E$1,[8]Resumen!$V$56:$AH$62,AD1,0)</f>
        <v>0</v>
      </c>
      <c r="AE91" s="65">
        <f>VLOOKUP($E$1,[8]Resumen!$V$56:$AH$62,AE1,0)</f>
        <v>0</v>
      </c>
      <c r="AF91" s="65">
        <f>VLOOKUP($E$1,[8]Resumen!$V$56:$AH$62,AF1,0)</f>
        <v>0</v>
      </c>
      <c r="AG91" s="65">
        <f>VLOOKUP($E$1,[8]Resumen!$V$56:$AH$62,AG1,0)</f>
        <v>0</v>
      </c>
      <c r="AH91" s="65">
        <f>VLOOKUP($E$1,[8]Resumen!$V$56:$AH$62,AH1,0)</f>
        <v>0</v>
      </c>
      <c r="AI91" s="65">
        <f>VLOOKUP($E$1,[8]Resumen!$V$56:$AH$62,AI1,0)</f>
        <v>0</v>
      </c>
      <c r="AJ91" s="65">
        <f>VLOOKUP($E$1,[8]Resumen!$V$56:$AH$62,AJ1,0)</f>
        <v>0</v>
      </c>
      <c r="AK91" s="65">
        <f t="shared" si="33"/>
        <v>32511.455899999997</v>
      </c>
      <c r="AL91" s="73">
        <f t="shared" si="29"/>
        <v>2.0203601941184494E-4</v>
      </c>
      <c r="AM91" s="14">
        <f t="shared" si="30"/>
        <v>-0.72900345169625735</v>
      </c>
      <c r="AN91" s="219"/>
    </row>
    <row r="92" spans="1:40" ht="14.45" customHeight="1">
      <c r="A92" s="12" t="s">
        <v>195</v>
      </c>
      <c r="B92" s="8" t="s">
        <v>88</v>
      </c>
      <c r="I92" s="167" t="s">
        <v>196</v>
      </c>
      <c r="J92" s="15">
        <v>226251</v>
      </c>
      <c r="K92" s="15">
        <v>198524</v>
      </c>
      <c r="L92" s="15">
        <v>267746</v>
      </c>
      <c r="M92" s="15">
        <v>220650</v>
      </c>
      <c r="N92" s="15">
        <v>272885</v>
      </c>
      <c r="O92" s="15">
        <v>239603</v>
      </c>
      <c r="P92" s="15">
        <v>254541</v>
      </c>
      <c r="Q92" s="15">
        <v>240528</v>
      </c>
      <c r="R92" s="15">
        <v>241702</v>
      </c>
      <c r="S92" s="15">
        <v>246224</v>
      </c>
      <c r="T92" s="15">
        <f t="shared" ref="R92:U92" si="57">SUM(T93:T108)</f>
        <v>242817.99999999997</v>
      </c>
      <c r="U92" s="15">
        <f t="shared" si="57"/>
        <v>243581.66666666666</v>
      </c>
      <c r="V92" s="15">
        <f t="shared" ref="V92" si="58">SUM(V93:V108)</f>
        <v>2895057.6666666665</v>
      </c>
      <c r="W92" s="72">
        <f t="shared" si="27"/>
        <v>2.0391944730759688E-2</v>
      </c>
      <c r="X92" s="89"/>
      <c r="Y92" s="15">
        <f t="shared" ref="Y92:AK92" si="59">SUM(Y93:Y108)</f>
        <v>248231.07263986499</v>
      </c>
      <c r="Z92" s="15">
        <f t="shared" si="59"/>
        <v>226893.38396861998</v>
      </c>
      <c r="AA92" s="15">
        <f t="shared" si="59"/>
        <v>248231.07263986499</v>
      </c>
      <c r="AB92" s="15">
        <f t="shared" si="59"/>
        <v>234204.68671245</v>
      </c>
      <c r="AC92" s="15">
        <f t="shared" si="59"/>
        <v>248231.07263986499</v>
      </c>
      <c r="AD92" s="15">
        <f t="shared" si="59"/>
        <v>234204.68671245</v>
      </c>
      <c r="AE92" s="15">
        <f t="shared" si="59"/>
        <v>241317.24960286496</v>
      </c>
      <c r="AF92" s="15">
        <f t="shared" si="59"/>
        <v>241317.24960286496</v>
      </c>
      <c r="AG92" s="15">
        <f t="shared" si="59"/>
        <v>241118.50974944996</v>
      </c>
      <c r="AH92" s="15">
        <f t="shared" si="59"/>
        <v>241317.24960286496</v>
      </c>
      <c r="AI92" s="15">
        <f t="shared" si="59"/>
        <v>241118.50974944996</v>
      </c>
      <c r="AJ92" s="15">
        <f t="shared" si="59"/>
        <v>248231.07263986499</v>
      </c>
      <c r="AK92" s="15">
        <f t="shared" si="59"/>
        <v>2894415.8162604743</v>
      </c>
      <c r="AL92" s="72">
        <f t="shared" si="29"/>
        <v>1.7986775241275867E-2</v>
      </c>
      <c r="AM92" s="10">
        <f t="shared" si="30"/>
        <v>-2.2170556862555202E-4</v>
      </c>
      <c r="AN92" s="219"/>
    </row>
    <row r="93" spans="1:40" ht="14.45" customHeight="1" outlineLevel="1">
      <c r="A93" s="12" t="s">
        <v>195</v>
      </c>
      <c r="B93" s="8" t="s">
        <v>88</v>
      </c>
      <c r="I93" s="246" t="s">
        <v>197</v>
      </c>
      <c r="J93" s="65">
        <v>7044</v>
      </c>
      <c r="K93" s="65">
        <v>6187</v>
      </c>
      <c r="L93" s="65">
        <v>7452</v>
      </c>
      <c r="M93" s="65">
        <v>7059</v>
      </c>
      <c r="N93" s="65">
        <v>7365</v>
      </c>
      <c r="O93" s="65">
        <v>6679</v>
      </c>
      <c r="P93" s="65">
        <v>7503</v>
      </c>
      <c r="Q93" s="65">
        <v>7365</v>
      </c>
      <c r="R93" s="225">
        <v>7128</v>
      </c>
      <c r="S93" s="225">
        <v>7365</v>
      </c>
      <c r="T93" s="225">
        <f t="shared" ref="T93:T108" si="60">+AVERAGE(Q93:S93)</f>
        <v>7286</v>
      </c>
      <c r="U93" s="225">
        <f t="shared" ref="U93:U108" si="61">+AVERAGE(R93:T93)</f>
        <v>7259.666666666667</v>
      </c>
      <c r="V93" s="65">
        <f t="shared" ref="V93:V108" si="62">SUM(J93:U93)</f>
        <v>85692.666666666672</v>
      </c>
      <c r="W93" s="73">
        <f t="shared" si="27"/>
        <v>6.0359423669444925E-4</v>
      </c>
      <c r="X93" s="89"/>
      <c r="Y93" s="65">
        <f>VLOOKUP($I93,'[17]Resumen OPE'!$A$165:$M$186,Y$1,0)</f>
        <v>7340.0176077739716</v>
      </c>
      <c r="Z93" s="65">
        <f>VLOOKUP($I93,'[17]Resumen OPE'!$A$165:$M$186,Z$1,0)</f>
        <v>6629.6933231506837</v>
      </c>
      <c r="AA93" s="65">
        <f>VLOOKUP($I93,'[17]Resumen OPE'!$A$165:$M$186,AA$1,0)</f>
        <v>7340.0176077739716</v>
      </c>
      <c r="AB93" s="65">
        <f>VLOOKUP($I93,'[17]Resumen OPE'!$A$165:$M$186,AB$1,0)</f>
        <v>7103.2428462328762</v>
      </c>
      <c r="AC93" s="65">
        <f>VLOOKUP($I93,'[17]Resumen OPE'!$A$165:$M$186,AC$1,0)</f>
        <v>7340.0176077739716</v>
      </c>
      <c r="AD93" s="65">
        <f>VLOOKUP($I93,'[17]Resumen OPE'!$A$165:$M$186,AD$1,0)</f>
        <v>7103.2428462328762</v>
      </c>
      <c r="AE93" s="65">
        <f>VLOOKUP($I93,'[17]Resumen OPE'!$A$165:$M$186,AE$1,0)</f>
        <v>7340.0176077739716</v>
      </c>
      <c r="AF93" s="65">
        <f>VLOOKUP($I93,'[17]Resumen OPE'!$A$165:$M$186,AF$1,0)</f>
        <v>7340.0176077739716</v>
      </c>
      <c r="AG93" s="65">
        <f>VLOOKUP($I93,'[17]Resumen OPE'!$A$165:$M$186,AG$1,0)</f>
        <v>7103.2428462328762</v>
      </c>
      <c r="AH93" s="65">
        <f>VLOOKUP($I93,'[17]Resumen OPE'!$A$165:$M$186,AH$1,0)</f>
        <v>7340.0176077739716</v>
      </c>
      <c r="AI93" s="65">
        <f>VLOOKUP($I93,'[17]Resumen OPE'!$A$165:$M$186,AI$1,0)</f>
        <v>7103.2428462328762</v>
      </c>
      <c r="AJ93" s="65">
        <f>VLOOKUP($I93,'[17]Resumen OPE'!$A$165:$M$186,AJ$1,0)</f>
        <v>7340.0176077739716</v>
      </c>
      <c r="AK93" s="65">
        <f t="shared" ref="AK93:AK158" si="63">SUM(Y93:AJ93)</f>
        <v>86422.787962500006</v>
      </c>
      <c r="AL93" s="73">
        <f t="shared" si="29"/>
        <v>5.370573412683562E-4</v>
      </c>
      <c r="AM93" s="14">
        <f t="shared" si="30"/>
        <v>8.5202307762624052E-3</v>
      </c>
      <c r="AN93" s="219"/>
    </row>
    <row r="94" spans="1:40" ht="14.45" customHeight="1" outlineLevel="1">
      <c r="A94" s="12" t="s">
        <v>195</v>
      </c>
      <c r="B94" s="8" t="s">
        <v>88</v>
      </c>
      <c r="I94" s="246" t="s">
        <v>198</v>
      </c>
      <c r="J94" s="65">
        <v>13349</v>
      </c>
      <c r="K94" s="65">
        <v>4420</v>
      </c>
      <c r="L94" s="65">
        <v>22384</v>
      </c>
      <c r="M94" s="65">
        <v>10239</v>
      </c>
      <c r="N94" s="65">
        <v>30380</v>
      </c>
      <c r="O94" s="65">
        <v>32291</v>
      </c>
      <c r="P94" s="65">
        <v>25526</v>
      </c>
      <c r="Q94" s="65">
        <v>18369</v>
      </c>
      <c r="R94" s="225">
        <v>16797</v>
      </c>
      <c r="S94" s="225">
        <v>31914</v>
      </c>
      <c r="T94" s="225">
        <f t="shared" si="60"/>
        <v>22360</v>
      </c>
      <c r="U94" s="225">
        <f t="shared" si="61"/>
        <v>23690.333333333332</v>
      </c>
      <c r="V94" s="65">
        <f t="shared" si="62"/>
        <v>251719.33333333334</v>
      </c>
      <c r="W94" s="73">
        <f t="shared" si="27"/>
        <v>1.7730378196255878E-3</v>
      </c>
      <c r="X94" s="89"/>
      <c r="Y94" s="65">
        <f>VLOOKUP($I94,'[17]Resumen OPE'!$A$165:$M$186,Y$1,0)</f>
        <v>20827.8</v>
      </c>
      <c r="Z94" s="65">
        <f>VLOOKUP($I94,'[17]Resumen OPE'!$A$165:$M$186,Z$1,0)</f>
        <v>20827.8</v>
      </c>
      <c r="AA94" s="65">
        <f>VLOOKUP($I94,'[17]Resumen OPE'!$A$165:$M$186,AA$1,0)</f>
        <v>20827.8</v>
      </c>
      <c r="AB94" s="65">
        <f>VLOOKUP($I94,'[17]Resumen OPE'!$A$165:$M$186,AB$1,0)</f>
        <v>20827.8</v>
      </c>
      <c r="AC94" s="65">
        <f>VLOOKUP($I94,'[17]Resumen OPE'!$A$165:$M$186,AC$1,0)</f>
        <v>20827.8</v>
      </c>
      <c r="AD94" s="65">
        <f>VLOOKUP($I94,'[17]Resumen OPE'!$A$165:$M$186,AD$1,0)</f>
        <v>20827.8</v>
      </c>
      <c r="AE94" s="65">
        <f>VLOOKUP($I94,'[17]Resumen OPE'!$A$165:$M$186,AE$1,0)</f>
        <v>20827.8</v>
      </c>
      <c r="AF94" s="65">
        <f>VLOOKUP($I94,'[17]Resumen OPE'!$A$165:$M$186,AF$1,0)</f>
        <v>20827.8</v>
      </c>
      <c r="AG94" s="65">
        <f>VLOOKUP($I94,'[17]Resumen OPE'!$A$165:$M$186,AG$1,0)</f>
        <v>20827.8</v>
      </c>
      <c r="AH94" s="65">
        <f>VLOOKUP($I94,'[17]Resumen OPE'!$A$165:$M$186,AH$1,0)</f>
        <v>20827.8</v>
      </c>
      <c r="AI94" s="65">
        <f>VLOOKUP($I94,'[17]Resumen OPE'!$A$165:$M$186,AI$1,0)</f>
        <v>20827.8</v>
      </c>
      <c r="AJ94" s="65">
        <f>VLOOKUP($I94,'[17]Resumen OPE'!$A$165:$M$186,AJ$1,0)</f>
        <v>20827.8</v>
      </c>
      <c r="AK94" s="65">
        <f t="shared" si="63"/>
        <v>249933.59999999995</v>
      </c>
      <c r="AL94" s="73">
        <f t="shared" si="29"/>
        <v>1.5531629778927337E-3</v>
      </c>
      <c r="AM94" s="14">
        <f t="shared" si="30"/>
        <v>-7.0941445366402567E-3</v>
      </c>
      <c r="AN94" s="219"/>
    </row>
    <row r="95" spans="1:40" ht="14.45" customHeight="1" outlineLevel="1">
      <c r="A95" s="12" t="s">
        <v>195</v>
      </c>
      <c r="B95" s="8" t="s">
        <v>88</v>
      </c>
      <c r="I95" s="246" t="s">
        <v>199</v>
      </c>
      <c r="J95" s="65">
        <v>8020</v>
      </c>
      <c r="K95" s="65">
        <v>8203</v>
      </c>
      <c r="L95" s="65">
        <v>9883</v>
      </c>
      <c r="M95" s="65">
        <v>0</v>
      </c>
      <c r="N95" s="65">
        <v>9883</v>
      </c>
      <c r="O95" s="65">
        <v>0</v>
      </c>
      <c r="P95" s="65">
        <v>0</v>
      </c>
      <c r="Q95" s="65">
        <v>0</v>
      </c>
      <c r="R95" s="225">
        <v>9043</v>
      </c>
      <c r="S95" s="225">
        <v>0</v>
      </c>
      <c r="T95" s="225">
        <f t="shared" si="60"/>
        <v>3014.3333333333335</v>
      </c>
      <c r="U95" s="225">
        <f t="shared" si="61"/>
        <v>4019.1111111111113</v>
      </c>
      <c r="V95" s="65">
        <f t="shared" si="62"/>
        <v>52065.444444444445</v>
      </c>
      <c r="W95" s="73">
        <f t="shared" si="27"/>
        <v>3.6673385740049744E-4</v>
      </c>
      <c r="X95" s="89"/>
      <c r="Y95" s="65">
        <f>VLOOKUP($I95,'[17]Resumen OPE'!$A$165:$M$186,Y$1,0)</f>
        <v>6913.8230369999983</v>
      </c>
      <c r="Z95" s="65">
        <f>VLOOKUP($I95,'[17]Resumen OPE'!$A$165:$M$186,Z$1,0)</f>
        <v>6913.8230369999983</v>
      </c>
      <c r="AA95" s="65">
        <f>VLOOKUP($I95,'[17]Resumen OPE'!$A$165:$M$186,AA$1,0)</f>
        <v>6913.8230369999983</v>
      </c>
      <c r="AB95" s="65">
        <f>VLOOKUP($I95,'[17]Resumen OPE'!$A$165:$M$186,AB$1,0)</f>
        <v>0</v>
      </c>
      <c r="AC95" s="65">
        <f>VLOOKUP($I95,'[17]Resumen OPE'!$A$165:$M$186,AC$1,0)</f>
        <v>6913.8230369999983</v>
      </c>
      <c r="AD95" s="65">
        <f>VLOOKUP($I95,'[17]Resumen OPE'!$A$165:$M$186,AD$1,0)</f>
        <v>0</v>
      </c>
      <c r="AE95" s="65">
        <f>VLOOKUP($I95,'[17]Resumen OPE'!$A$165:$M$186,AE$1,0)</f>
        <v>0</v>
      </c>
      <c r="AF95" s="65">
        <f>VLOOKUP($I95,'[17]Resumen OPE'!$A$165:$M$186,AF$1,0)</f>
        <v>0</v>
      </c>
      <c r="AG95" s="65">
        <f>VLOOKUP($I95,'[17]Resumen OPE'!$A$165:$M$186,AG$1,0)</f>
        <v>6913.8230369999983</v>
      </c>
      <c r="AH95" s="65">
        <f>VLOOKUP($I95,'[17]Resumen OPE'!$A$165:$M$186,AH$1,0)</f>
        <v>0</v>
      </c>
      <c r="AI95" s="65">
        <f>VLOOKUP($I95,'[17]Resumen OPE'!$A$165:$M$186,AI$1,0)</f>
        <v>6913.8230369999983</v>
      </c>
      <c r="AJ95" s="65">
        <f>VLOOKUP($I95,'[17]Resumen OPE'!$A$165:$M$186,AJ$1,0)</f>
        <v>6913.8230369999983</v>
      </c>
      <c r="AK95" s="65">
        <f t="shared" si="63"/>
        <v>48396.761258999977</v>
      </c>
      <c r="AL95" s="73">
        <f t="shared" si="29"/>
        <v>3.0075211111027929E-4</v>
      </c>
      <c r="AM95" s="14">
        <f t="shared" si="30"/>
        <v>-7.0462918824386045E-2</v>
      </c>
      <c r="AN95" s="219"/>
    </row>
    <row r="96" spans="1:40" ht="14.45" customHeight="1" outlineLevel="1">
      <c r="A96" s="12" t="s">
        <v>195</v>
      </c>
      <c r="B96" s="8" t="s">
        <v>88</v>
      </c>
      <c r="I96" s="246" t="s">
        <v>200</v>
      </c>
      <c r="J96" s="65">
        <v>9154</v>
      </c>
      <c r="K96" s="65">
        <v>8051</v>
      </c>
      <c r="L96" s="65">
        <v>10674</v>
      </c>
      <c r="M96" s="65">
        <v>9319</v>
      </c>
      <c r="N96" s="65">
        <v>10367</v>
      </c>
      <c r="O96" s="65">
        <v>9171</v>
      </c>
      <c r="P96" s="65">
        <v>10187</v>
      </c>
      <c r="Q96" s="65">
        <v>10038</v>
      </c>
      <c r="R96" s="225">
        <v>9703</v>
      </c>
      <c r="S96" s="225">
        <v>9576</v>
      </c>
      <c r="T96" s="225">
        <f t="shared" si="60"/>
        <v>9772.3333333333339</v>
      </c>
      <c r="U96" s="225">
        <f t="shared" si="61"/>
        <v>9683.7777777777792</v>
      </c>
      <c r="V96" s="65">
        <f t="shared" si="62"/>
        <v>115696.11111111111</v>
      </c>
      <c r="W96" s="73">
        <f t="shared" si="27"/>
        <v>8.1492977860369957E-4</v>
      </c>
      <c r="X96" s="89"/>
      <c r="Y96" s="65">
        <f>VLOOKUP($I96,'[17]Resumen OPE'!$A$165:$M$186,Y$1,0)</f>
        <v>9644.7831366150003</v>
      </c>
      <c r="Z96" s="65">
        <f>VLOOKUP($I96,'[17]Resumen OPE'!$A$165:$M$186,Z$1,0)</f>
        <v>8711.4170266199981</v>
      </c>
      <c r="AA96" s="65">
        <f>VLOOKUP($I96,'[17]Resumen OPE'!$A$165:$M$186,AA$1,0)</f>
        <v>9644.7831366150003</v>
      </c>
      <c r="AB96" s="65">
        <f>VLOOKUP($I96,'[17]Resumen OPE'!$A$165:$M$186,AB$1,0)</f>
        <v>9333.6610999499972</v>
      </c>
      <c r="AC96" s="65">
        <f>VLOOKUP($I96,'[17]Resumen OPE'!$A$165:$M$186,AC$1,0)</f>
        <v>9644.7831366150003</v>
      </c>
      <c r="AD96" s="65">
        <f>VLOOKUP($I96,'[17]Resumen OPE'!$A$165:$M$186,AD$1,0)</f>
        <v>9333.6610999499972</v>
      </c>
      <c r="AE96" s="65">
        <f>VLOOKUP($I96,'[17]Resumen OPE'!$A$165:$M$186,AE$1,0)</f>
        <v>9644.7831366150003</v>
      </c>
      <c r="AF96" s="65">
        <f>VLOOKUP($I96,'[17]Resumen OPE'!$A$165:$M$186,AF$1,0)</f>
        <v>9644.7831366150003</v>
      </c>
      <c r="AG96" s="65">
        <f>VLOOKUP($I96,'[17]Resumen OPE'!$A$165:$M$186,AG$1,0)</f>
        <v>9333.6610999499972</v>
      </c>
      <c r="AH96" s="65">
        <f>VLOOKUP($I96,'[17]Resumen OPE'!$A$165:$M$186,AH$1,0)</f>
        <v>9644.7831366150003</v>
      </c>
      <c r="AI96" s="65">
        <f>VLOOKUP($I96,'[17]Resumen OPE'!$A$165:$M$186,AI$1,0)</f>
        <v>9333.6610999499972</v>
      </c>
      <c r="AJ96" s="65">
        <f>VLOOKUP($I96,'[17]Resumen OPE'!$A$165:$M$186,AJ$1,0)</f>
        <v>9644.7831366150003</v>
      </c>
      <c r="AK96" s="65">
        <f t="shared" si="63"/>
        <v>113559.54338272501</v>
      </c>
      <c r="AL96" s="73">
        <f t="shared" si="29"/>
        <v>7.056933464266201E-4</v>
      </c>
      <c r="AM96" s="14">
        <f t="shared" si="30"/>
        <v>-1.8467066073934002E-2</v>
      </c>
      <c r="AN96" s="219"/>
    </row>
    <row r="97" spans="1:40" ht="14.45" customHeight="1" outlineLevel="1">
      <c r="A97" s="12" t="s">
        <v>195</v>
      </c>
      <c r="B97" s="8" t="s">
        <v>88</v>
      </c>
      <c r="I97" s="246" t="s">
        <v>201</v>
      </c>
      <c r="J97" s="65"/>
      <c r="K97" s="65"/>
      <c r="L97" s="65">
        <v>0</v>
      </c>
      <c r="M97" s="65"/>
      <c r="N97" s="65">
        <v>0</v>
      </c>
      <c r="O97" s="65"/>
      <c r="P97" s="65">
        <v>0</v>
      </c>
      <c r="Q97" s="65">
        <v>0</v>
      </c>
      <c r="R97" s="225"/>
      <c r="S97" s="225"/>
      <c r="T97" s="225">
        <f t="shared" si="60"/>
        <v>0</v>
      </c>
      <c r="U97" s="225">
        <f t="shared" si="61"/>
        <v>0</v>
      </c>
      <c r="V97" s="65">
        <f t="shared" si="62"/>
        <v>0</v>
      </c>
      <c r="W97" s="73">
        <f t="shared" si="27"/>
        <v>0</v>
      </c>
      <c r="X97" s="89"/>
      <c r="Y97" s="65">
        <f>VLOOKUP($I97,'[17]Resumen OPE'!$A$165:$M$186,Y$1,0)</f>
        <v>0</v>
      </c>
      <c r="Z97" s="65">
        <f>VLOOKUP($I97,'[17]Resumen OPE'!$A$165:$M$186,Z$1,0)</f>
        <v>0</v>
      </c>
      <c r="AA97" s="65">
        <f>VLOOKUP($I97,'[17]Resumen OPE'!$A$165:$M$186,AA$1,0)</f>
        <v>0</v>
      </c>
      <c r="AB97" s="65">
        <f>VLOOKUP($I97,'[17]Resumen OPE'!$A$165:$M$186,AB$1,0)</f>
        <v>0</v>
      </c>
      <c r="AC97" s="65">
        <f>VLOOKUP($I97,'[17]Resumen OPE'!$A$165:$M$186,AC$1,0)</f>
        <v>0</v>
      </c>
      <c r="AD97" s="65">
        <f>VLOOKUP($I97,'[17]Resumen OPE'!$A$165:$M$186,AD$1,0)</f>
        <v>0</v>
      </c>
      <c r="AE97" s="65">
        <f>VLOOKUP($I97,'[17]Resumen OPE'!$A$165:$M$186,AE$1,0)</f>
        <v>0</v>
      </c>
      <c r="AF97" s="65">
        <f>VLOOKUP($I97,'[17]Resumen OPE'!$A$165:$M$186,AF$1,0)</f>
        <v>0</v>
      </c>
      <c r="AG97" s="65">
        <f>VLOOKUP($I97,'[17]Resumen OPE'!$A$165:$M$186,AG$1,0)</f>
        <v>0</v>
      </c>
      <c r="AH97" s="65">
        <f>VLOOKUP($I97,'[17]Resumen OPE'!$A$165:$M$186,AH$1,0)</f>
        <v>0</v>
      </c>
      <c r="AI97" s="65">
        <f>VLOOKUP($I97,'[17]Resumen OPE'!$A$165:$M$186,AI$1,0)</f>
        <v>0</v>
      </c>
      <c r="AJ97" s="65">
        <f>VLOOKUP($I97,'[17]Resumen OPE'!$A$165:$M$186,AJ$1,0)</f>
        <v>0</v>
      </c>
      <c r="AK97" s="65">
        <f t="shared" si="63"/>
        <v>0</v>
      </c>
      <c r="AL97" s="73">
        <f t="shared" si="29"/>
        <v>0</v>
      </c>
      <c r="AM97" s="14">
        <f t="shared" si="30"/>
        <v>0</v>
      </c>
      <c r="AN97" s="219"/>
    </row>
    <row r="98" spans="1:40" ht="14.45" customHeight="1" outlineLevel="1">
      <c r="A98" s="12" t="s">
        <v>195</v>
      </c>
      <c r="B98" s="8" t="s">
        <v>88</v>
      </c>
      <c r="I98" s="246" t="s">
        <v>202</v>
      </c>
      <c r="J98" s="65">
        <v>12986</v>
      </c>
      <c r="K98" s="65">
        <v>11974</v>
      </c>
      <c r="L98" s="65">
        <v>14613</v>
      </c>
      <c r="M98" s="65">
        <v>12692</v>
      </c>
      <c r="N98" s="65">
        <v>15019</v>
      </c>
      <c r="O98" s="65">
        <v>13202</v>
      </c>
      <c r="P98" s="65">
        <v>14769</v>
      </c>
      <c r="Q98" s="65">
        <v>14351</v>
      </c>
      <c r="R98" s="225">
        <v>14117</v>
      </c>
      <c r="S98" s="225">
        <v>14093</v>
      </c>
      <c r="T98" s="225">
        <f t="shared" si="60"/>
        <v>14187</v>
      </c>
      <c r="U98" s="225">
        <f t="shared" si="61"/>
        <v>14132.333333333334</v>
      </c>
      <c r="V98" s="65">
        <f t="shared" si="62"/>
        <v>166135.33333333334</v>
      </c>
      <c r="W98" s="73">
        <f t="shared" si="27"/>
        <v>1.1702089993462438E-3</v>
      </c>
      <c r="X98" s="89"/>
      <c r="Y98" s="65">
        <f>VLOOKUP($I98,'[17]Resumen OPE'!$A$165:$M$186,Y$1,0)</f>
        <v>12472.192799999999</v>
      </c>
      <c r="Z98" s="65">
        <f>VLOOKUP($I98,'[17]Resumen OPE'!$A$165:$M$186,Z$1,0)</f>
        <v>11265.206399999999</v>
      </c>
      <c r="AA98" s="65">
        <f>VLOOKUP($I98,'[17]Resumen OPE'!$A$165:$M$186,AA$1,0)</f>
        <v>12472.192799999999</v>
      </c>
      <c r="AB98" s="65">
        <f>VLOOKUP($I98,'[17]Resumen OPE'!$A$165:$M$186,AB$1,0)</f>
        <v>12069.863999999998</v>
      </c>
      <c r="AC98" s="65">
        <f>VLOOKUP($I98,'[17]Resumen OPE'!$A$165:$M$186,AC$1,0)</f>
        <v>12472.192799999999</v>
      </c>
      <c r="AD98" s="65">
        <f>VLOOKUP($I98,'[17]Resumen OPE'!$A$165:$M$186,AD$1,0)</f>
        <v>12069.863999999998</v>
      </c>
      <c r="AE98" s="65">
        <f>VLOOKUP($I98,'[17]Resumen OPE'!$A$165:$M$186,AE$1,0)</f>
        <v>12472.192799999999</v>
      </c>
      <c r="AF98" s="65">
        <f>VLOOKUP($I98,'[17]Resumen OPE'!$A$165:$M$186,AF$1,0)</f>
        <v>12472.192799999999</v>
      </c>
      <c r="AG98" s="65">
        <f>VLOOKUP($I98,'[17]Resumen OPE'!$A$165:$M$186,AG$1,0)</f>
        <v>12069.863999999998</v>
      </c>
      <c r="AH98" s="65">
        <f>VLOOKUP($I98,'[17]Resumen OPE'!$A$165:$M$186,AH$1,0)</f>
        <v>12472.192799999999</v>
      </c>
      <c r="AI98" s="65">
        <f>VLOOKUP($I98,'[17]Resumen OPE'!$A$165:$M$186,AI$1,0)</f>
        <v>12069.863999999998</v>
      </c>
      <c r="AJ98" s="65">
        <f>VLOOKUP($I98,'[17]Resumen OPE'!$A$165:$M$186,AJ$1,0)</f>
        <v>12472.192799999999</v>
      </c>
      <c r="AK98" s="65">
        <f t="shared" si="63"/>
        <v>146850.01199999999</v>
      </c>
      <c r="AL98" s="73">
        <f t="shared" si="29"/>
        <v>9.1257038646065875E-4</v>
      </c>
      <c r="AM98" s="14">
        <f t="shared" si="30"/>
        <v>-0.11608199740773595</v>
      </c>
      <c r="AN98" s="219"/>
    </row>
    <row r="99" spans="1:40" ht="14.45" customHeight="1" outlineLevel="1">
      <c r="A99" s="12" t="s">
        <v>215</v>
      </c>
      <c r="B99" s="8" t="s">
        <v>88</v>
      </c>
      <c r="I99" s="246" t="s">
        <v>203</v>
      </c>
      <c r="J99" s="65">
        <v>6331</v>
      </c>
      <c r="K99" s="65">
        <v>6910</v>
      </c>
      <c r="L99" s="65">
        <v>8581</v>
      </c>
      <c r="M99" s="65">
        <v>7703</v>
      </c>
      <c r="N99" s="65">
        <v>9456</v>
      </c>
      <c r="O99" s="65">
        <v>7628</v>
      </c>
      <c r="P99" s="65">
        <v>8282</v>
      </c>
      <c r="Q99" s="65">
        <v>8485</v>
      </c>
      <c r="R99" s="225">
        <v>8603</v>
      </c>
      <c r="S99" s="225">
        <v>8160</v>
      </c>
      <c r="T99" s="225">
        <f t="shared" si="60"/>
        <v>8416</v>
      </c>
      <c r="U99" s="225">
        <f t="shared" si="61"/>
        <v>8393</v>
      </c>
      <c r="V99" s="65">
        <f t="shared" si="62"/>
        <v>96948</v>
      </c>
      <c r="W99" s="73">
        <f t="shared" si="27"/>
        <v>6.8287353323567314E-4</v>
      </c>
      <c r="X99" s="89"/>
      <c r="Y99" s="65">
        <f>VLOOKUP($I99,'[17]Resumen OPE'!$A$165:$M$186,Y$1,0)</f>
        <v>6863.3813999999993</v>
      </c>
      <c r="Z99" s="65">
        <f>VLOOKUP($I99,'[17]Resumen OPE'!$A$165:$M$186,Z$1,0)</f>
        <v>6199.1831999999986</v>
      </c>
      <c r="AA99" s="65">
        <f>VLOOKUP($I99,'[17]Resumen OPE'!$A$165:$M$186,AA$1,0)</f>
        <v>6863.3813999999993</v>
      </c>
      <c r="AB99" s="65">
        <f>VLOOKUP($I99,'[17]Resumen OPE'!$A$165:$M$186,AB$1,0)</f>
        <v>6641.982</v>
      </c>
      <c r="AC99" s="65">
        <f>VLOOKUP($I99,'[17]Resumen OPE'!$A$165:$M$186,AC$1,0)</f>
        <v>6863.3813999999993</v>
      </c>
      <c r="AD99" s="65">
        <f>VLOOKUP($I99,'[17]Resumen OPE'!$A$165:$M$186,AD$1,0)</f>
        <v>6641.982</v>
      </c>
      <c r="AE99" s="65">
        <f>VLOOKUP($I99,'[17]Resumen OPE'!$A$165:$M$186,AE$1,0)</f>
        <v>6863.3813999999993</v>
      </c>
      <c r="AF99" s="65">
        <f>VLOOKUP($I99,'[17]Resumen OPE'!$A$165:$M$186,AF$1,0)</f>
        <v>6863.3813999999993</v>
      </c>
      <c r="AG99" s="65">
        <f>VLOOKUP($I99,'[17]Resumen OPE'!$A$165:$M$186,AG$1,0)</f>
        <v>6641.982</v>
      </c>
      <c r="AH99" s="65">
        <f>VLOOKUP($I99,'[17]Resumen OPE'!$A$165:$M$186,AH$1,0)</f>
        <v>6863.3813999999993</v>
      </c>
      <c r="AI99" s="65">
        <f>VLOOKUP($I99,'[17]Resumen OPE'!$A$165:$M$186,AI$1,0)</f>
        <v>6641.982</v>
      </c>
      <c r="AJ99" s="65">
        <f>VLOOKUP($I99,'[17]Resumen OPE'!$A$165:$M$186,AJ$1,0)</f>
        <v>6863.3813999999993</v>
      </c>
      <c r="AK99" s="65">
        <f t="shared" si="63"/>
        <v>80810.781000000003</v>
      </c>
      <c r="AL99" s="73">
        <f t="shared" si="29"/>
        <v>5.0218263276245202E-4</v>
      </c>
      <c r="AM99" s="14">
        <f t="shared" si="30"/>
        <v>-0.16645231464290133</v>
      </c>
      <c r="AN99" s="221"/>
    </row>
    <row r="100" spans="1:40" ht="15" customHeight="1" outlineLevel="1">
      <c r="A100" s="12" t="s">
        <v>215</v>
      </c>
      <c r="B100" s="8" t="s">
        <v>88</v>
      </c>
      <c r="I100" s="246" t="s">
        <v>204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225">
        <v>0</v>
      </c>
      <c r="S100" s="225">
        <v>0</v>
      </c>
      <c r="T100" s="225">
        <f t="shared" si="60"/>
        <v>0</v>
      </c>
      <c r="U100" s="225">
        <f t="shared" si="61"/>
        <v>0</v>
      </c>
      <c r="V100" s="65">
        <f t="shared" si="62"/>
        <v>0</v>
      </c>
      <c r="W100" s="73">
        <f t="shared" si="27"/>
        <v>0</v>
      </c>
      <c r="X100" s="89"/>
      <c r="Y100" s="65">
        <f>VLOOKUP($I100,'[17]Resumen OPE'!$A$165:$M$186,Y$1,0)</f>
        <v>0</v>
      </c>
      <c r="Z100" s="65">
        <f>VLOOKUP($I100,'[17]Resumen OPE'!$A$165:$M$186,Z$1,0)</f>
        <v>0</v>
      </c>
      <c r="AA100" s="65">
        <f>VLOOKUP($I100,'[17]Resumen OPE'!$A$165:$M$186,AA$1,0)</f>
        <v>0</v>
      </c>
      <c r="AB100" s="65">
        <f>VLOOKUP($I100,'[17]Resumen OPE'!$A$165:$M$186,AB$1,0)</f>
        <v>0</v>
      </c>
      <c r="AC100" s="65">
        <f>VLOOKUP($I100,'[17]Resumen OPE'!$A$165:$M$186,AC$1,0)</f>
        <v>0</v>
      </c>
      <c r="AD100" s="65">
        <f>VLOOKUP($I100,'[17]Resumen OPE'!$A$165:$M$186,AD$1,0)</f>
        <v>0</v>
      </c>
      <c r="AE100" s="65">
        <f>VLOOKUP($I100,'[17]Resumen OPE'!$A$165:$M$186,AE$1,0)</f>
        <v>0</v>
      </c>
      <c r="AF100" s="65">
        <f>VLOOKUP($I100,'[17]Resumen OPE'!$A$165:$M$186,AF$1,0)</f>
        <v>0</v>
      </c>
      <c r="AG100" s="65">
        <f>VLOOKUP($I100,'[17]Resumen OPE'!$A$165:$M$186,AG$1,0)</f>
        <v>0</v>
      </c>
      <c r="AH100" s="65">
        <f>VLOOKUP($I100,'[17]Resumen OPE'!$A$165:$M$186,AH$1,0)</f>
        <v>0</v>
      </c>
      <c r="AI100" s="65">
        <f>VLOOKUP($I100,'[17]Resumen OPE'!$A$165:$M$186,AI$1,0)</f>
        <v>0</v>
      </c>
      <c r="AJ100" s="65">
        <f>VLOOKUP($I100,'[17]Resumen OPE'!$A$165:$M$186,AJ$1,0)</f>
        <v>0</v>
      </c>
      <c r="AK100" s="65">
        <f t="shared" si="63"/>
        <v>0</v>
      </c>
      <c r="AL100" s="73">
        <f t="shared" si="29"/>
        <v>0</v>
      </c>
      <c r="AM100" s="14">
        <f t="shared" si="30"/>
        <v>0</v>
      </c>
      <c r="AN100" s="9"/>
    </row>
    <row r="101" spans="1:40" ht="15" customHeight="1" outlineLevel="1">
      <c r="A101" s="12" t="s">
        <v>215</v>
      </c>
      <c r="B101" s="8" t="s">
        <v>88</v>
      </c>
      <c r="I101" s="246" t="s">
        <v>205</v>
      </c>
      <c r="J101" s="65">
        <v>4794</v>
      </c>
      <c r="K101" s="65">
        <v>3791</v>
      </c>
      <c r="L101" s="65">
        <v>4170</v>
      </c>
      <c r="M101" s="65">
        <v>4876</v>
      </c>
      <c r="N101" s="65">
        <v>4797</v>
      </c>
      <c r="O101" s="65">
        <v>4452</v>
      </c>
      <c r="P101" s="65">
        <v>4925</v>
      </c>
      <c r="Q101" s="65">
        <v>4548</v>
      </c>
      <c r="R101" s="225">
        <v>4775</v>
      </c>
      <c r="S101" s="225">
        <v>4624</v>
      </c>
      <c r="T101" s="225">
        <f t="shared" si="60"/>
        <v>4649</v>
      </c>
      <c r="U101" s="225">
        <f t="shared" si="61"/>
        <v>4682.666666666667</v>
      </c>
      <c r="V101" s="65">
        <f t="shared" si="62"/>
        <v>55083.666666666664</v>
      </c>
      <c r="W101" s="73">
        <f t="shared" si="27"/>
        <v>3.879933374617603E-4</v>
      </c>
      <c r="X101" s="89"/>
      <c r="Y101" s="65">
        <f>VLOOKUP($I101,'[17]Resumen OPE'!$A$165:$M$186,Y$1,0)</f>
        <v>3971.6423876249996</v>
      </c>
      <c r="Z101" s="65">
        <f>VLOOKUP($I101,'[17]Resumen OPE'!$A$165:$M$186,Z$1,0)</f>
        <v>3587.2898984999993</v>
      </c>
      <c r="AA101" s="65">
        <f>VLOOKUP($I101,'[17]Resumen OPE'!$A$165:$M$186,AA$1,0)</f>
        <v>3971.6423876249996</v>
      </c>
      <c r="AB101" s="65">
        <f>VLOOKUP($I101,'[17]Resumen OPE'!$A$165:$M$186,AB$1,0)</f>
        <v>3843.5248912499997</v>
      </c>
      <c r="AC101" s="65">
        <f>VLOOKUP($I101,'[17]Resumen OPE'!$A$165:$M$186,AC$1,0)</f>
        <v>3971.6423876249996</v>
      </c>
      <c r="AD101" s="65">
        <f>VLOOKUP($I101,'[17]Resumen OPE'!$A$165:$M$186,AD$1,0)</f>
        <v>3843.5248912499997</v>
      </c>
      <c r="AE101" s="65">
        <f>VLOOKUP($I101,'[17]Resumen OPE'!$A$165:$M$186,AE$1,0)</f>
        <v>3971.6423876249996</v>
      </c>
      <c r="AF101" s="65">
        <f>VLOOKUP($I101,'[17]Resumen OPE'!$A$165:$M$186,AF$1,0)</f>
        <v>3971.6423876249996</v>
      </c>
      <c r="AG101" s="65">
        <f>VLOOKUP($I101,'[17]Resumen OPE'!$A$165:$M$186,AG$1,0)</f>
        <v>3843.5248912499997</v>
      </c>
      <c r="AH101" s="65">
        <f>VLOOKUP($I101,'[17]Resumen OPE'!$A$165:$M$186,AH$1,0)</f>
        <v>3971.6423876249996</v>
      </c>
      <c r="AI101" s="65">
        <f>VLOOKUP($I101,'[17]Resumen OPE'!$A$165:$M$186,AI$1,0)</f>
        <v>3843.5248912499997</v>
      </c>
      <c r="AJ101" s="65">
        <f>VLOOKUP($I101,'[17]Resumen OPE'!$A$165:$M$186,AJ$1,0)</f>
        <v>3971.6423876249996</v>
      </c>
      <c r="AK101" s="65">
        <f t="shared" si="63"/>
        <v>46762.886176874999</v>
      </c>
      <c r="AL101" s="73">
        <f t="shared" si="29"/>
        <v>2.9059871721662928E-4</v>
      </c>
      <c r="AM101" s="14">
        <f t="shared" si="30"/>
        <v>-0.15105712806200866</v>
      </c>
      <c r="AN101" s="9"/>
    </row>
    <row r="102" spans="1:40" ht="15" customHeight="1" outlineLevel="1">
      <c r="A102" s="12" t="s">
        <v>215</v>
      </c>
      <c r="B102" s="8" t="s">
        <v>88</v>
      </c>
      <c r="I102" s="246" t="s">
        <v>207</v>
      </c>
      <c r="J102" s="65">
        <v>1645</v>
      </c>
      <c r="K102" s="65">
        <v>1464</v>
      </c>
      <c r="L102" s="65">
        <v>1768</v>
      </c>
      <c r="M102" s="65">
        <v>1765</v>
      </c>
      <c r="N102" s="65">
        <v>1808</v>
      </c>
      <c r="O102" s="65">
        <v>1681</v>
      </c>
      <c r="P102" s="65">
        <v>1854</v>
      </c>
      <c r="Q102" s="65">
        <v>1845</v>
      </c>
      <c r="R102" s="225">
        <v>1795</v>
      </c>
      <c r="S102" s="225">
        <v>1865</v>
      </c>
      <c r="T102" s="225">
        <f t="shared" si="60"/>
        <v>1835</v>
      </c>
      <c r="U102" s="225">
        <f t="shared" si="61"/>
        <v>1831.6666666666667</v>
      </c>
      <c r="V102" s="65">
        <f t="shared" si="62"/>
        <v>21156.666666666668</v>
      </c>
      <c r="W102" s="73">
        <f t="shared" si="27"/>
        <v>1.4902141063411373E-4</v>
      </c>
      <c r="X102" s="89"/>
      <c r="Y102" s="65">
        <f>VLOOKUP($I102,'[17]Resumen OPE'!$A$165:$M$186,Y$1,0)</f>
        <v>1590.3371483510275</v>
      </c>
      <c r="Z102" s="65">
        <f>VLOOKUP($I102,'[17]Resumen OPE'!$A$165:$M$186,Z$1,0)</f>
        <v>1436.4335533493152</v>
      </c>
      <c r="AA102" s="65">
        <f>VLOOKUP($I102,'[17]Resumen OPE'!$A$165:$M$186,AA$1,0)</f>
        <v>1590.3371483510275</v>
      </c>
      <c r="AB102" s="65">
        <f>VLOOKUP($I102,'[17]Resumen OPE'!$A$165:$M$186,AB$1,0)</f>
        <v>1539.0359500171232</v>
      </c>
      <c r="AC102" s="65">
        <f>VLOOKUP($I102,'[17]Resumen OPE'!$A$165:$M$186,AC$1,0)</f>
        <v>1590.3371483510275</v>
      </c>
      <c r="AD102" s="65">
        <f>VLOOKUP($I102,'[17]Resumen OPE'!$A$165:$M$186,AD$1,0)</f>
        <v>1539.0359500171232</v>
      </c>
      <c r="AE102" s="65">
        <f>VLOOKUP($I102,'[17]Resumen OPE'!$A$165:$M$186,AE$1,0)</f>
        <v>1590.3371483510275</v>
      </c>
      <c r="AF102" s="65">
        <f>VLOOKUP($I102,'[17]Resumen OPE'!$A$165:$M$186,AF$1,0)</f>
        <v>1590.3371483510275</v>
      </c>
      <c r="AG102" s="65">
        <f>VLOOKUP($I102,'[17]Resumen OPE'!$A$165:$M$186,AG$1,0)</f>
        <v>1539.0359500171232</v>
      </c>
      <c r="AH102" s="65">
        <f>VLOOKUP($I102,'[17]Resumen OPE'!$A$165:$M$186,AH$1,0)</f>
        <v>1590.3371483510275</v>
      </c>
      <c r="AI102" s="65">
        <f>VLOOKUP($I102,'[17]Resumen OPE'!$A$165:$M$186,AI$1,0)</f>
        <v>1539.0359500171232</v>
      </c>
      <c r="AJ102" s="65">
        <f>VLOOKUP($I102,'[17]Resumen OPE'!$A$165:$M$186,AJ$1,0)</f>
        <v>1590.3371483510275</v>
      </c>
      <c r="AK102" s="65">
        <f t="shared" si="63"/>
        <v>18724.937391874999</v>
      </c>
      <c r="AL102" s="73">
        <f t="shared" si="29"/>
        <v>1.1636242394147716E-4</v>
      </c>
      <c r="AM102" s="14">
        <f t="shared" si="30"/>
        <v>-0.11493914958838836</v>
      </c>
      <c r="AN102" s="9"/>
    </row>
    <row r="103" spans="1:40" ht="15" customHeight="1" outlineLevel="1">
      <c r="A103" s="12" t="s">
        <v>215</v>
      </c>
      <c r="B103" s="8" t="s">
        <v>88</v>
      </c>
      <c r="I103" s="246" t="s">
        <v>208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225">
        <v>0</v>
      </c>
      <c r="S103" s="225">
        <v>0</v>
      </c>
      <c r="T103" s="225">
        <f t="shared" si="60"/>
        <v>0</v>
      </c>
      <c r="U103" s="225">
        <f t="shared" si="61"/>
        <v>0</v>
      </c>
      <c r="V103" s="65">
        <f t="shared" si="62"/>
        <v>0</v>
      </c>
      <c r="W103" s="73">
        <f t="shared" si="27"/>
        <v>0</v>
      </c>
      <c r="X103" s="89"/>
      <c r="Y103" s="65">
        <f>VLOOKUP($I103,'[17]Resumen OPE'!$A$165:$M$186,Y$1,0)</f>
        <v>0</v>
      </c>
      <c r="Z103" s="65">
        <f>VLOOKUP($I103,'[17]Resumen OPE'!$A$165:$M$186,Z$1,0)</f>
        <v>0</v>
      </c>
      <c r="AA103" s="65">
        <f>VLOOKUP($I103,'[17]Resumen OPE'!$A$165:$M$186,AA$1,0)</f>
        <v>0</v>
      </c>
      <c r="AB103" s="65">
        <f>VLOOKUP($I103,'[17]Resumen OPE'!$A$165:$M$186,AB$1,0)</f>
        <v>0</v>
      </c>
      <c r="AC103" s="65">
        <f>VLOOKUP($I103,'[17]Resumen OPE'!$A$165:$M$186,AC$1,0)</f>
        <v>0</v>
      </c>
      <c r="AD103" s="65">
        <f>VLOOKUP($I103,'[17]Resumen OPE'!$A$165:$M$186,AD$1,0)</f>
        <v>0</v>
      </c>
      <c r="AE103" s="65">
        <f>VLOOKUP($I103,'[17]Resumen OPE'!$A$165:$M$186,AE$1,0)</f>
        <v>0</v>
      </c>
      <c r="AF103" s="65">
        <f>VLOOKUP($I103,'[17]Resumen OPE'!$A$165:$M$186,AF$1,0)</f>
        <v>0</v>
      </c>
      <c r="AG103" s="65">
        <f>VLOOKUP($I103,'[17]Resumen OPE'!$A$165:$M$186,AG$1,0)</f>
        <v>0</v>
      </c>
      <c r="AH103" s="65">
        <f>VLOOKUP($I103,'[17]Resumen OPE'!$A$165:$M$186,AH$1,0)</f>
        <v>0</v>
      </c>
      <c r="AI103" s="65">
        <f>VLOOKUP($I103,'[17]Resumen OPE'!$A$165:$M$186,AI$1,0)</f>
        <v>0</v>
      </c>
      <c r="AJ103" s="65">
        <f>VLOOKUP($I103,'[17]Resumen OPE'!$A$165:$M$186,AJ$1,0)</f>
        <v>0</v>
      </c>
      <c r="AK103" s="65">
        <f t="shared" si="63"/>
        <v>0</v>
      </c>
      <c r="AL103" s="73">
        <f t="shared" si="29"/>
        <v>0</v>
      </c>
      <c r="AM103" s="14">
        <f t="shared" si="30"/>
        <v>0</v>
      </c>
      <c r="AN103" s="9"/>
    </row>
    <row r="104" spans="1:40" ht="15" customHeight="1" outlineLevel="1">
      <c r="A104" s="12"/>
      <c r="I104" s="246" t="s">
        <v>209</v>
      </c>
      <c r="J104" s="65"/>
      <c r="K104" s="65"/>
      <c r="L104" s="65">
        <v>0</v>
      </c>
      <c r="M104" s="65"/>
      <c r="N104" s="65"/>
      <c r="O104" s="65"/>
      <c r="P104" s="65"/>
      <c r="Q104" s="65"/>
      <c r="R104" s="225"/>
      <c r="S104" s="225"/>
      <c r="T104" s="225"/>
      <c r="U104" s="225"/>
      <c r="V104" s="65">
        <f t="shared" ref="V104" si="64">SUM(J104:U104)</f>
        <v>0</v>
      </c>
      <c r="W104" s="73">
        <f t="shared" ref="W104" si="65">V104/V$6</f>
        <v>0</v>
      </c>
      <c r="X104" s="89"/>
      <c r="Y104" s="65">
        <f>VLOOKUP($I104,'[17]Resumen OPE'!$A$165:$M$186,Y$1,0)</f>
        <v>0</v>
      </c>
      <c r="Z104" s="65">
        <f>VLOOKUP($I104,'[17]Resumen OPE'!$A$165:$M$186,Z$1,0)</f>
        <v>0</v>
      </c>
      <c r="AA104" s="65">
        <f>VLOOKUP($I104,'[17]Resumen OPE'!$A$165:$M$186,AA$1,0)</f>
        <v>0</v>
      </c>
      <c r="AB104" s="65">
        <f>VLOOKUP($I104,'[17]Resumen OPE'!$A$165:$M$186,AB$1,0)</f>
        <v>0</v>
      </c>
      <c r="AC104" s="65">
        <f>VLOOKUP($I104,'[17]Resumen OPE'!$A$165:$M$186,AC$1,0)</f>
        <v>0</v>
      </c>
      <c r="AD104" s="65">
        <f>VLOOKUP($I104,'[17]Resumen OPE'!$A$165:$M$186,AD$1,0)</f>
        <v>0</v>
      </c>
      <c r="AE104" s="65">
        <f>VLOOKUP($I104,'[17]Resumen OPE'!$A$165:$M$186,AE$1,0)</f>
        <v>0</v>
      </c>
      <c r="AF104" s="65">
        <f>VLOOKUP($I104,'[17]Resumen OPE'!$A$165:$M$186,AF$1,0)</f>
        <v>0</v>
      </c>
      <c r="AG104" s="65">
        <f>VLOOKUP($I104,'[17]Resumen OPE'!$A$165:$M$186,AG$1,0)</f>
        <v>0</v>
      </c>
      <c r="AH104" s="65">
        <f>VLOOKUP($I104,'[17]Resumen OPE'!$A$165:$M$186,AH$1,0)</f>
        <v>0</v>
      </c>
      <c r="AI104" s="65">
        <f>VLOOKUP($I104,'[17]Resumen OPE'!$A$165:$M$186,AI$1,0)</f>
        <v>0</v>
      </c>
      <c r="AJ104" s="65">
        <f>VLOOKUP($I104,'[17]Resumen OPE'!$A$165:$M$186,AJ$1,0)</f>
        <v>0</v>
      </c>
      <c r="AK104" s="65">
        <f t="shared" ref="AK104:AK105" si="66">SUM(Y104:AJ104)</f>
        <v>0</v>
      </c>
      <c r="AL104" s="73">
        <f t="shared" ref="AL104:AL105" si="67">AK104/AK$6</f>
        <v>0</v>
      </c>
      <c r="AM104" s="14">
        <f t="shared" ref="AM104:AM105" si="68">IFERROR(AK104/V104-1,0)</f>
        <v>0</v>
      </c>
      <c r="AN104" s="9"/>
    </row>
    <row r="105" spans="1:40" ht="14.45" customHeight="1" outlineLevel="1">
      <c r="A105" s="12" t="s">
        <v>221</v>
      </c>
      <c r="B105" s="8" t="s">
        <v>88</v>
      </c>
      <c r="C105" s="8" t="s">
        <v>222</v>
      </c>
      <c r="I105" s="246" t="s">
        <v>210</v>
      </c>
      <c r="J105" s="65">
        <v>105</v>
      </c>
      <c r="K105" s="65"/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225"/>
      <c r="S105" s="225"/>
      <c r="T105" s="225">
        <f t="shared" si="60"/>
        <v>0</v>
      </c>
      <c r="U105" s="225">
        <f t="shared" si="61"/>
        <v>0</v>
      </c>
      <c r="V105" s="65">
        <f t="shared" si="62"/>
        <v>105</v>
      </c>
      <c r="W105" s="73">
        <f t="shared" si="27"/>
        <v>7.3958948085309319E-7</v>
      </c>
      <c r="X105" s="89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>
        <f t="shared" si="66"/>
        <v>0</v>
      </c>
      <c r="AL105" s="73">
        <f t="shared" si="67"/>
        <v>0</v>
      </c>
      <c r="AM105" s="14">
        <f t="shared" si="68"/>
        <v>-1</v>
      </c>
      <c r="AN105" s="9"/>
    </row>
    <row r="106" spans="1:40" ht="14.45" customHeight="1" outlineLevel="1">
      <c r="A106" s="12" t="s">
        <v>221</v>
      </c>
      <c r="B106" s="8" t="s">
        <v>88</v>
      </c>
      <c r="I106" s="246" t="s">
        <v>211</v>
      </c>
      <c r="J106" s="65">
        <v>152570</v>
      </c>
      <c r="K106" s="65">
        <v>135472</v>
      </c>
      <c r="L106" s="65">
        <v>178317</v>
      </c>
      <c r="M106" s="65">
        <v>155740</v>
      </c>
      <c r="N106" s="65">
        <v>173427</v>
      </c>
      <c r="O106" s="65">
        <v>152842</v>
      </c>
      <c r="P106" s="65">
        <v>169777</v>
      </c>
      <c r="Q106" s="65">
        <v>167307</v>
      </c>
      <c r="R106" s="225">
        <v>161723</v>
      </c>
      <c r="S106" s="225">
        <v>159594</v>
      </c>
      <c r="T106" s="225">
        <f t="shared" si="60"/>
        <v>162874.66666666666</v>
      </c>
      <c r="U106" s="225">
        <f t="shared" si="61"/>
        <v>161397.22222222222</v>
      </c>
      <c r="V106" s="65">
        <f t="shared" si="62"/>
        <v>1931040.888888889</v>
      </c>
      <c r="W106" s="73">
        <f t="shared" si="27"/>
        <v>1.3601690747804086E-2</v>
      </c>
      <c r="X106" s="89"/>
      <c r="Y106" s="65">
        <f>VLOOKUP($I106,'[17]Resumen OPE'!$A$165:$M$186,Y$1,0)</f>
        <v>178607.09512249997</v>
      </c>
      <c r="Z106" s="65">
        <f>VLOOKUP($I106,'[17]Resumen OPE'!$A$165:$M$186,Z$1,0)</f>
        <v>161322.53753</v>
      </c>
      <c r="AA106" s="65">
        <f>VLOOKUP($I106,'[17]Resumen OPE'!$A$165:$M$186,AA$1,0)</f>
        <v>178607.09512249997</v>
      </c>
      <c r="AB106" s="65">
        <f>VLOOKUP($I106,'[17]Resumen OPE'!$A$165:$M$186,AB$1,0)</f>
        <v>172845.57592499998</v>
      </c>
      <c r="AC106" s="65">
        <f>VLOOKUP($I106,'[17]Resumen OPE'!$A$165:$M$186,AC$1,0)</f>
        <v>178607.09512249997</v>
      </c>
      <c r="AD106" s="65">
        <f>VLOOKUP($I106,'[17]Resumen OPE'!$A$165:$M$186,AD$1,0)</f>
        <v>172845.57592499998</v>
      </c>
      <c r="AE106" s="65">
        <f>VLOOKUP($I106,'[17]Resumen OPE'!$A$165:$M$186,AE$1,0)</f>
        <v>178607.09512249997</v>
      </c>
      <c r="AF106" s="65">
        <f>VLOOKUP($I106,'[17]Resumen OPE'!$A$165:$M$186,AF$1,0)</f>
        <v>178607.09512249997</v>
      </c>
      <c r="AG106" s="65">
        <f>VLOOKUP($I106,'[17]Resumen OPE'!$A$165:$M$186,AG$1,0)</f>
        <v>172845.57592499998</v>
      </c>
      <c r="AH106" s="65">
        <f>VLOOKUP($I106,'[17]Resumen OPE'!$A$165:$M$186,AH$1,0)</f>
        <v>178607.09512249997</v>
      </c>
      <c r="AI106" s="65">
        <f>VLOOKUP($I106,'[17]Resumen OPE'!$A$165:$M$186,AI$1,0)</f>
        <v>172845.57592499998</v>
      </c>
      <c r="AJ106" s="65">
        <f>VLOOKUP($I106,'[17]Resumen OPE'!$A$165:$M$186,AJ$1,0)</f>
        <v>178607.09512249997</v>
      </c>
      <c r="AK106" s="65">
        <f t="shared" si="63"/>
        <v>2102954.5070874994</v>
      </c>
      <c r="AL106" s="73">
        <f t="shared" si="29"/>
        <v>1.3068395304196663E-2</v>
      </c>
      <c r="AM106" s="14">
        <f t="shared" si="30"/>
        <v>8.9026399797017541E-2</v>
      </c>
      <c r="AN106" s="9"/>
    </row>
    <row r="107" spans="1:40" ht="14.45" customHeight="1" outlineLevel="1">
      <c r="A107" s="12"/>
      <c r="I107" s="246" t="s">
        <v>213</v>
      </c>
      <c r="J107" s="65">
        <v>3675</v>
      </c>
      <c r="K107" s="65">
        <v>6195</v>
      </c>
      <c r="L107" s="65">
        <v>2835</v>
      </c>
      <c r="M107" s="65">
        <v>4200</v>
      </c>
      <c r="N107" s="65">
        <v>3150</v>
      </c>
      <c r="O107" s="65">
        <v>4935</v>
      </c>
      <c r="P107" s="65">
        <v>4305</v>
      </c>
      <c r="Q107" s="65">
        <v>840</v>
      </c>
      <c r="R107" s="225">
        <v>840</v>
      </c>
      <c r="S107" s="225">
        <v>1575</v>
      </c>
      <c r="T107" s="225">
        <f t="shared" si="60"/>
        <v>1085</v>
      </c>
      <c r="U107" s="225">
        <f t="shared" si="61"/>
        <v>1166.6666666666667</v>
      </c>
      <c r="V107" s="65">
        <f t="shared" si="62"/>
        <v>34801.666666666664</v>
      </c>
      <c r="W107" s="73">
        <f t="shared" si="27"/>
        <v>2.4513282459830854E-4</v>
      </c>
      <c r="X107" s="89"/>
      <c r="Y107" s="65">
        <f>VLOOKUP($I107,'[17]Resumen OPE'!$A$165:$M$186,Y$1,0)</f>
        <v>0</v>
      </c>
      <c r="Z107" s="65">
        <f>VLOOKUP($I107,'[17]Resumen OPE'!$A$165:$M$186,Z$1,0)</f>
        <v>0</v>
      </c>
      <c r="AA107" s="65">
        <f>VLOOKUP($I107,'[17]Resumen OPE'!$A$165:$M$186,AA$1,0)</f>
        <v>0</v>
      </c>
      <c r="AB107" s="65">
        <f>VLOOKUP($I107,'[17]Resumen OPE'!$A$165:$M$186,AB$1,0)</f>
        <v>0</v>
      </c>
      <c r="AC107" s="65">
        <f>VLOOKUP($I107,'[17]Resumen OPE'!$A$165:$M$186,AC$1,0)</f>
        <v>0</v>
      </c>
      <c r="AD107" s="65">
        <f>VLOOKUP($I107,'[17]Resumen OPE'!$A$165:$M$186,AD$1,0)</f>
        <v>0</v>
      </c>
      <c r="AE107" s="65">
        <f>VLOOKUP($I107,'[17]Resumen OPE'!$A$165:$M$186,AE$1,0)</f>
        <v>0</v>
      </c>
      <c r="AF107" s="65">
        <f>VLOOKUP($I107,'[17]Resumen OPE'!$A$165:$M$186,AF$1,0)</f>
        <v>0</v>
      </c>
      <c r="AG107" s="65">
        <f>VLOOKUP($I107,'[17]Resumen OPE'!$A$165:$M$186,AG$1,0)</f>
        <v>0</v>
      </c>
      <c r="AH107" s="65">
        <f>VLOOKUP($I107,'[17]Resumen OPE'!$A$165:$M$186,AH$1,0)</f>
        <v>0</v>
      </c>
      <c r="AI107" s="65">
        <f>VLOOKUP($I107,'[17]Resumen OPE'!$A$165:$M$186,AI$1,0)</f>
        <v>0</v>
      </c>
      <c r="AJ107" s="65">
        <f>VLOOKUP($I107,'[17]Resumen OPE'!$A$165:$M$186,AJ$1,0)</f>
        <v>0</v>
      </c>
      <c r="AK107" s="65">
        <f t="shared" si="63"/>
        <v>0</v>
      </c>
      <c r="AL107" s="73">
        <f t="shared" si="29"/>
        <v>0</v>
      </c>
      <c r="AM107" s="14">
        <f t="shared" si="30"/>
        <v>-1</v>
      </c>
      <c r="AN107" s="9"/>
    </row>
    <row r="108" spans="1:40" ht="14.45" customHeight="1" outlineLevel="1">
      <c r="A108" s="12"/>
      <c r="I108" s="246" t="s">
        <v>214</v>
      </c>
      <c r="J108" s="65">
        <v>6578</v>
      </c>
      <c r="K108" s="65">
        <v>5857</v>
      </c>
      <c r="L108" s="65">
        <v>7070</v>
      </c>
      <c r="M108" s="65">
        <v>7059</v>
      </c>
      <c r="N108" s="65">
        <v>7232</v>
      </c>
      <c r="O108" s="65">
        <v>6723</v>
      </c>
      <c r="P108" s="65">
        <v>7414</v>
      </c>
      <c r="Q108" s="65">
        <v>7379</v>
      </c>
      <c r="R108" s="225">
        <v>7178</v>
      </c>
      <c r="S108" s="225">
        <v>7459</v>
      </c>
      <c r="T108" s="225">
        <f t="shared" si="60"/>
        <v>7338.666666666667</v>
      </c>
      <c r="U108" s="225">
        <f t="shared" si="61"/>
        <v>7325.2222222222226</v>
      </c>
      <c r="V108" s="65">
        <f t="shared" si="62"/>
        <v>84612.888888888891</v>
      </c>
      <c r="W108" s="73">
        <f t="shared" si="27"/>
        <v>5.9598859587441707E-4</v>
      </c>
      <c r="X108" s="89"/>
      <c r="Y108" s="65">
        <f>VLOOKUP($I108,'[17]Resumen OPE'!$A$165:$M$186,Y$1,0)</f>
        <v>0</v>
      </c>
      <c r="Z108" s="65">
        <f>VLOOKUP($I108,'[17]Resumen OPE'!$A$165:$M$186,Z$1,0)</f>
        <v>0</v>
      </c>
      <c r="AA108" s="65">
        <f>VLOOKUP($I108,'[17]Resumen OPE'!$A$165:$M$186,AA$1,0)</f>
        <v>0</v>
      </c>
      <c r="AB108" s="65">
        <f>VLOOKUP($I108,'[17]Resumen OPE'!$A$165:$M$186,AB$1,0)</f>
        <v>0</v>
      </c>
      <c r="AC108" s="65">
        <f>VLOOKUP($I108,'[17]Resumen OPE'!$A$165:$M$186,AC$1,0)</f>
        <v>0</v>
      </c>
      <c r="AD108" s="65">
        <f>VLOOKUP($I108,'[17]Resumen OPE'!$A$165:$M$186,AD$1,0)</f>
        <v>0</v>
      </c>
      <c r="AE108" s="65">
        <f>VLOOKUP($I108,'[17]Resumen OPE'!$A$165:$M$186,AE$1,0)</f>
        <v>0</v>
      </c>
      <c r="AF108" s="65">
        <f>VLOOKUP($I108,'[17]Resumen OPE'!$A$165:$M$186,AF$1,0)</f>
        <v>0</v>
      </c>
      <c r="AG108" s="65">
        <f>VLOOKUP($I108,'[17]Resumen OPE'!$A$165:$M$186,AG$1,0)</f>
        <v>0</v>
      </c>
      <c r="AH108" s="65">
        <f>VLOOKUP($I108,'[17]Resumen OPE'!$A$165:$M$186,AH$1,0)</f>
        <v>0</v>
      </c>
      <c r="AI108" s="65">
        <f>VLOOKUP($I108,'[17]Resumen OPE'!$A$165:$M$186,AI$1,0)</f>
        <v>0</v>
      </c>
      <c r="AJ108" s="65">
        <f>VLOOKUP($I108,'[17]Resumen OPE'!$A$165:$M$186,AJ$1,0)</f>
        <v>0</v>
      </c>
      <c r="AK108" s="65">
        <f t="shared" si="63"/>
        <v>0</v>
      </c>
      <c r="AL108" s="73">
        <f t="shared" si="29"/>
        <v>0</v>
      </c>
      <c r="AM108" s="14">
        <f t="shared" si="30"/>
        <v>-1</v>
      </c>
      <c r="AN108" s="9"/>
    </row>
    <row r="109" spans="1:40" ht="14.45" customHeight="1">
      <c r="A109" s="12"/>
      <c r="E109" s="7" t="s">
        <v>474</v>
      </c>
      <c r="I109" s="167" t="s">
        <v>216</v>
      </c>
      <c r="J109" s="15">
        <v>55246</v>
      </c>
      <c r="K109" s="15">
        <v>46939</v>
      </c>
      <c r="L109" s="15">
        <v>59784</v>
      </c>
      <c r="M109" s="15">
        <v>54645</v>
      </c>
      <c r="N109" s="15">
        <v>59074</v>
      </c>
      <c r="O109" s="15">
        <v>53681</v>
      </c>
      <c r="P109" s="15">
        <v>62717</v>
      </c>
      <c r="Q109" s="15">
        <v>61164</v>
      </c>
      <c r="R109" s="15">
        <v>57713</v>
      </c>
      <c r="S109" s="15">
        <v>57620</v>
      </c>
      <c r="T109" s="15">
        <f t="shared" ref="R109:U109" si="69">SUM(T110:T113)</f>
        <v>58831.999999999993</v>
      </c>
      <c r="U109" s="15">
        <f t="shared" si="69"/>
        <v>58054.666666666672</v>
      </c>
      <c r="V109" s="15">
        <f t="shared" ref="V109" si="70">SUM(V110:V113)</f>
        <v>685465.66666666674</v>
      </c>
      <c r="W109" s="72">
        <f t="shared" si="27"/>
        <v>4.8282209195487568E-3</v>
      </c>
      <c r="X109" s="89"/>
      <c r="Y109" s="15">
        <f>SUM(Y110:Y113)</f>
        <v>63809.504666396184</v>
      </c>
      <c r="Z109" s="15">
        <f t="shared" ref="Z109:AK109" si="71">SUM(Z110:Z113)</f>
        <v>59058.994704651734</v>
      </c>
      <c r="AA109" s="15">
        <f t="shared" si="71"/>
        <v>63809.504666396184</v>
      </c>
      <c r="AB109" s="15">
        <f t="shared" si="71"/>
        <v>60747.39179241738</v>
      </c>
      <c r="AC109" s="15">
        <f t="shared" si="71"/>
        <v>63809.504666396184</v>
      </c>
      <c r="AD109" s="15">
        <f t="shared" si="71"/>
        <v>60747.39179241738</v>
      </c>
      <c r="AE109" s="15">
        <f t="shared" si="71"/>
        <v>62330.895112998871</v>
      </c>
      <c r="AF109" s="15">
        <f t="shared" si="71"/>
        <v>62330.895112998871</v>
      </c>
      <c r="AG109" s="15">
        <f t="shared" si="71"/>
        <v>62226.0013458147</v>
      </c>
      <c r="AH109" s="15">
        <f t="shared" si="71"/>
        <v>62330.895112998871</v>
      </c>
      <c r="AI109" s="15">
        <f t="shared" si="71"/>
        <v>62226.0013458147</v>
      </c>
      <c r="AJ109" s="15">
        <f t="shared" si="71"/>
        <v>63809.504666396184</v>
      </c>
      <c r="AK109" s="15">
        <f t="shared" si="71"/>
        <v>747236.48498569732</v>
      </c>
      <c r="AL109" s="72">
        <f t="shared" si="29"/>
        <v>4.6435535046527752E-3</v>
      </c>
      <c r="AM109" s="10">
        <f t="shared" si="30"/>
        <v>9.0115116369597681E-2</v>
      </c>
      <c r="AN109" s="9"/>
    </row>
    <row r="110" spans="1:40" ht="14.45" customHeight="1" outlineLevel="1">
      <c r="A110" s="12"/>
      <c r="I110" s="246" t="s">
        <v>217</v>
      </c>
      <c r="J110" s="65">
        <v>10578</v>
      </c>
      <c r="K110" s="65">
        <v>9058</v>
      </c>
      <c r="L110" s="65">
        <v>10968</v>
      </c>
      <c r="M110" s="65">
        <v>10205</v>
      </c>
      <c r="N110" s="65">
        <v>10832</v>
      </c>
      <c r="O110" s="65">
        <v>9777</v>
      </c>
      <c r="P110" s="65">
        <v>11875</v>
      </c>
      <c r="Q110" s="65">
        <v>11785</v>
      </c>
      <c r="R110" s="225">
        <v>10627</v>
      </c>
      <c r="S110" s="225">
        <v>10898</v>
      </c>
      <c r="T110" s="225">
        <f t="shared" ref="T110:T113" si="72">+AVERAGE(Q110:S110)</f>
        <v>11103.333333333334</v>
      </c>
      <c r="U110" s="225">
        <f t="shared" ref="U110:U113" si="73">+AVERAGE(R110:T110)</f>
        <v>10876.111111111111</v>
      </c>
      <c r="V110" s="65">
        <f t="shared" ref="V110:V113" si="74">SUM(J110:U110)</f>
        <v>128582.44444444444</v>
      </c>
      <c r="W110" s="73">
        <f t="shared" si="27"/>
        <v>9.0569736508084155E-4</v>
      </c>
      <c r="X110" s="89"/>
      <c r="Y110" s="65">
        <f>VLOOKUP($I110,'[17]Resumen OPE'!$A$165:$M$186,Y$1,0)</f>
        <v>11071.262220162498</v>
      </c>
      <c r="Z110" s="65">
        <f>VLOOKUP($I110,'[17]Resumen OPE'!$A$165:$M$186,Z$1,0)</f>
        <v>10134.083407099999</v>
      </c>
      <c r="AA110" s="65">
        <f>VLOOKUP($I110,'[17]Resumen OPE'!$A$165:$M$186,AA$1,0)</f>
        <v>11071.262220162498</v>
      </c>
      <c r="AB110" s="65">
        <f>VLOOKUP($I110,'[17]Resumen OPE'!$A$165:$M$186,AB$1,0)</f>
        <v>10413.178130624998</v>
      </c>
      <c r="AC110" s="65">
        <f>VLOOKUP($I110,'[17]Resumen OPE'!$A$165:$M$186,AC$1,0)</f>
        <v>11071.262220162498</v>
      </c>
      <c r="AD110" s="65">
        <f>VLOOKUP($I110,'[17]Resumen OPE'!$A$165:$M$186,AD$1,0)</f>
        <v>10413.178130624998</v>
      </c>
      <c r="AE110" s="65">
        <f>VLOOKUP($I110,'[17]Resumen OPE'!$A$165:$M$186,AE$1,0)</f>
        <v>10725.5710683125</v>
      </c>
      <c r="AF110" s="65">
        <f>VLOOKUP($I110,'[17]Resumen OPE'!$A$165:$M$186,AF$1,0)</f>
        <v>10725.5710683125</v>
      </c>
      <c r="AG110" s="65">
        <f>VLOOKUP($I110,'[17]Resumen OPE'!$A$165:$M$186,AG$1,0)</f>
        <v>10758.869282475</v>
      </c>
      <c r="AH110" s="65">
        <f>VLOOKUP($I110,'[17]Resumen OPE'!$A$165:$M$186,AH$1,0)</f>
        <v>10725.5710683125</v>
      </c>
      <c r="AI110" s="65">
        <f>VLOOKUP($I110,'[17]Resumen OPE'!$A$165:$M$186,AI$1,0)</f>
        <v>10758.869282475</v>
      </c>
      <c r="AJ110" s="65">
        <f>VLOOKUP($I110,'[17]Resumen OPE'!$A$165:$M$186,AJ$1,0)</f>
        <v>11071.262220162498</v>
      </c>
      <c r="AK110" s="65">
        <f t="shared" si="63"/>
        <v>128939.9403188875</v>
      </c>
      <c r="AL110" s="73">
        <f t="shared" si="29"/>
        <v>8.0127178448593823E-4</v>
      </c>
      <c r="AM110" s="14">
        <f t="shared" si="30"/>
        <v>2.7802852557956559E-3</v>
      </c>
      <c r="AN110" s="9"/>
    </row>
    <row r="111" spans="1:40" ht="14.45" customHeight="1" outlineLevel="1">
      <c r="A111" s="12"/>
      <c r="I111" s="246" t="s">
        <v>218</v>
      </c>
      <c r="J111" s="65">
        <v>17333</v>
      </c>
      <c r="K111" s="65">
        <v>14589</v>
      </c>
      <c r="L111" s="65">
        <v>18368</v>
      </c>
      <c r="M111" s="65">
        <v>17101</v>
      </c>
      <c r="N111" s="65">
        <v>18246</v>
      </c>
      <c r="O111" s="65">
        <v>16469</v>
      </c>
      <c r="P111" s="65">
        <v>19886</v>
      </c>
      <c r="Q111" s="65">
        <v>19555</v>
      </c>
      <c r="R111" s="225">
        <v>17866</v>
      </c>
      <c r="S111" s="225">
        <v>18054</v>
      </c>
      <c r="T111" s="225">
        <f t="shared" si="72"/>
        <v>18491.666666666668</v>
      </c>
      <c r="U111" s="225">
        <f t="shared" si="73"/>
        <v>18137.222222222223</v>
      </c>
      <c r="V111" s="65">
        <f t="shared" si="74"/>
        <v>214095.88888888888</v>
      </c>
      <c r="W111" s="73">
        <f t="shared" si="27"/>
        <v>1.508029212534427E-3</v>
      </c>
      <c r="X111" s="89"/>
      <c r="Y111" s="65">
        <f>VLOOKUP($I111,'[17]Resumen OPE'!$A$165:$M$186,Y$1,0)</f>
        <v>21064.18350008117</v>
      </c>
      <c r="Z111" s="65">
        <f>VLOOKUP($I111,'[17]Resumen OPE'!$A$165:$M$186,Z$1,0)</f>
        <v>19281.107090348458</v>
      </c>
      <c r="AA111" s="65">
        <f>VLOOKUP($I111,'[17]Resumen OPE'!$A$165:$M$186,AA$1,0)</f>
        <v>21064.18350008117</v>
      </c>
      <c r="AB111" s="65">
        <f>VLOOKUP($I111,'[17]Resumen OPE'!$A$165:$M$186,AB$1,0)</f>
        <v>19812.112711327121</v>
      </c>
      <c r="AC111" s="65">
        <f>VLOOKUP($I111,'[17]Resumen OPE'!$A$165:$M$186,AC$1,0)</f>
        <v>21064.18350008117</v>
      </c>
      <c r="AD111" s="65">
        <f>VLOOKUP($I111,'[17]Resumen OPE'!$A$165:$M$186,AD$1,0)</f>
        <v>19812.112711327121</v>
      </c>
      <c r="AE111" s="65">
        <f>VLOOKUP($I111,'[17]Resumen OPE'!$A$165:$M$186,AE$1,0)</f>
        <v>20406.471514571364</v>
      </c>
      <c r="AF111" s="65">
        <f>VLOOKUP($I111,'[17]Resumen OPE'!$A$165:$M$186,AF$1,0)</f>
        <v>20406.471514571364</v>
      </c>
      <c r="AG111" s="65">
        <f>VLOOKUP($I111,'[17]Resumen OPE'!$A$165:$M$186,AG$1,0)</f>
        <v>20469.824696836931</v>
      </c>
      <c r="AH111" s="65">
        <f>VLOOKUP($I111,'[17]Resumen OPE'!$A$165:$M$186,AH$1,0)</f>
        <v>20406.471514571364</v>
      </c>
      <c r="AI111" s="65">
        <f>VLOOKUP($I111,'[17]Resumen OPE'!$A$165:$M$186,AI$1,0)</f>
        <v>20469.824696836931</v>
      </c>
      <c r="AJ111" s="65">
        <f>VLOOKUP($I111,'[17]Resumen OPE'!$A$165:$M$186,AJ$1,0)</f>
        <v>21064.18350008117</v>
      </c>
      <c r="AK111" s="65">
        <f t="shared" si="63"/>
        <v>245321.13045071537</v>
      </c>
      <c r="AL111" s="73">
        <f t="shared" si="29"/>
        <v>1.5244996971629462E-3</v>
      </c>
      <c r="AM111" s="14">
        <f t="shared" si="30"/>
        <v>0.14584699278383484</v>
      </c>
      <c r="AN111" s="9"/>
    </row>
    <row r="112" spans="1:40" ht="14.45" customHeight="1" outlineLevel="1">
      <c r="A112" s="12"/>
      <c r="I112" s="246" t="s">
        <v>219</v>
      </c>
      <c r="J112" s="65">
        <v>19649</v>
      </c>
      <c r="K112" s="65">
        <v>16908</v>
      </c>
      <c r="L112" s="65">
        <v>21346</v>
      </c>
      <c r="M112" s="65">
        <v>20207</v>
      </c>
      <c r="N112" s="65">
        <v>21097</v>
      </c>
      <c r="O112" s="65">
        <v>19082</v>
      </c>
      <c r="P112" s="65">
        <v>22518</v>
      </c>
      <c r="Q112" s="65">
        <v>21896</v>
      </c>
      <c r="R112" s="225">
        <v>20675</v>
      </c>
      <c r="S112" s="225">
        <v>20688</v>
      </c>
      <c r="T112" s="225">
        <f t="shared" si="72"/>
        <v>21086.333333333332</v>
      </c>
      <c r="U112" s="225">
        <f t="shared" si="73"/>
        <v>20816.444444444442</v>
      </c>
      <c r="V112" s="65">
        <f t="shared" si="74"/>
        <v>245968.77777777778</v>
      </c>
      <c r="W112" s="73">
        <f t="shared" si="27"/>
        <v>1.7325325777403477E-3</v>
      </c>
      <c r="X112" s="89"/>
      <c r="Y112" s="65">
        <f>VLOOKUP($I112,'[17]Resumen OPE'!$A$165:$M$186,Y$1,0)</f>
        <v>22886.0583970197</v>
      </c>
      <c r="Z112" s="65">
        <f>VLOOKUP($I112,'[17]Resumen OPE'!$A$165:$M$186,Z$1,0)</f>
        <v>20855.803658070461</v>
      </c>
      <c r="AA112" s="65">
        <f>VLOOKUP($I112,'[17]Resumen OPE'!$A$165:$M$186,AA$1,0)</f>
        <v>22886.0583970197</v>
      </c>
      <c r="AB112" s="65">
        <f>VLOOKUP($I112,'[17]Resumen OPE'!$A$165:$M$186,AB$1,0)</f>
        <v>21734.100401332442</v>
      </c>
      <c r="AC112" s="65">
        <f>VLOOKUP($I112,'[17]Resumen OPE'!$A$165:$M$186,AC$1,0)</f>
        <v>22886.0583970197</v>
      </c>
      <c r="AD112" s="65">
        <f>VLOOKUP($I112,'[17]Resumen OPE'!$A$165:$M$186,AD$1,0)</f>
        <v>21734.100401332442</v>
      </c>
      <c r="AE112" s="65">
        <f>VLOOKUP($I112,'[17]Resumen OPE'!$A$165:$M$186,AE$1,0)</f>
        <v>22410.851980982185</v>
      </c>
      <c r="AF112" s="65">
        <f>VLOOKUP($I112,'[17]Resumen OPE'!$A$165:$M$186,AF$1,0)</f>
        <v>22410.851980982185</v>
      </c>
      <c r="AG112" s="65">
        <f>VLOOKUP($I112,'[17]Resumen OPE'!$A$165:$M$186,AG$1,0)</f>
        <v>22209.306817369954</v>
      </c>
      <c r="AH112" s="65">
        <f>VLOOKUP($I112,'[17]Resumen OPE'!$A$165:$M$186,AH$1,0)</f>
        <v>22410.851980982185</v>
      </c>
      <c r="AI112" s="65">
        <f>VLOOKUP($I112,'[17]Resumen OPE'!$A$165:$M$186,AI$1,0)</f>
        <v>22209.306817369954</v>
      </c>
      <c r="AJ112" s="65">
        <f>VLOOKUP($I112,'[17]Resumen OPE'!$A$165:$M$186,AJ$1,0)</f>
        <v>22886.0583970197</v>
      </c>
      <c r="AK112" s="65">
        <f t="shared" si="63"/>
        <v>267519.40762650053</v>
      </c>
      <c r="AL112" s="73">
        <f t="shared" si="29"/>
        <v>1.6624465049648216E-3</v>
      </c>
      <c r="AM112" s="14">
        <f t="shared" si="30"/>
        <v>8.7615306476795274E-2</v>
      </c>
      <c r="AN112" s="9"/>
    </row>
    <row r="113" spans="1:40" ht="14.45" customHeight="1" outlineLevel="1">
      <c r="A113" s="12"/>
      <c r="I113" s="246" t="s">
        <v>220</v>
      </c>
      <c r="J113" s="65">
        <v>7686</v>
      </c>
      <c r="K113" s="65">
        <v>6383</v>
      </c>
      <c r="L113" s="65">
        <v>9102</v>
      </c>
      <c r="M113" s="65">
        <v>7132</v>
      </c>
      <c r="N113" s="65">
        <v>8899</v>
      </c>
      <c r="O113" s="65">
        <v>8352</v>
      </c>
      <c r="P113" s="65">
        <v>8437</v>
      </c>
      <c r="Q113" s="65">
        <v>7928</v>
      </c>
      <c r="R113" s="225">
        <v>8545</v>
      </c>
      <c r="S113" s="225">
        <v>7979</v>
      </c>
      <c r="T113" s="225">
        <f t="shared" si="72"/>
        <v>8150.666666666667</v>
      </c>
      <c r="U113" s="225">
        <f t="shared" si="73"/>
        <v>8224.8888888888887</v>
      </c>
      <c r="V113" s="65">
        <f t="shared" si="74"/>
        <v>96818.555555555562</v>
      </c>
      <c r="W113" s="73">
        <f t="shared" si="27"/>
        <v>6.8196176419314E-4</v>
      </c>
      <c r="X113" s="89"/>
      <c r="Y113" s="65">
        <f>VLOOKUP($I113,'[17]Resumen OPE'!$A$165:$M$186,Y$1,0)</f>
        <v>8788.0005491328211</v>
      </c>
      <c r="Z113" s="65">
        <f>VLOOKUP($I113,'[17]Resumen OPE'!$A$165:$M$186,Z$1,0)</f>
        <v>8788.0005491328211</v>
      </c>
      <c r="AA113" s="65">
        <f>VLOOKUP($I113,'[17]Resumen OPE'!$A$165:$M$186,AA$1,0)</f>
        <v>8788.0005491328211</v>
      </c>
      <c r="AB113" s="65">
        <f>VLOOKUP($I113,'[17]Resumen OPE'!$A$165:$M$186,AB$1,0)</f>
        <v>8788.0005491328211</v>
      </c>
      <c r="AC113" s="65">
        <f>VLOOKUP($I113,'[17]Resumen OPE'!$A$165:$M$186,AC$1,0)</f>
        <v>8788.0005491328211</v>
      </c>
      <c r="AD113" s="65">
        <f>VLOOKUP($I113,'[17]Resumen OPE'!$A$165:$M$186,AD$1,0)</f>
        <v>8788.0005491328211</v>
      </c>
      <c r="AE113" s="65">
        <f>VLOOKUP($I113,'[17]Resumen OPE'!$A$165:$M$186,AE$1,0)</f>
        <v>8788.0005491328211</v>
      </c>
      <c r="AF113" s="65">
        <f>VLOOKUP($I113,'[17]Resumen OPE'!$A$165:$M$186,AF$1,0)</f>
        <v>8788.0005491328211</v>
      </c>
      <c r="AG113" s="65">
        <f>VLOOKUP($I113,'[17]Resumen OPE'!$A$165:$M$186,AG$1,0)</f>
        <v>8788.0005491328211</v>
      </c>
      <c r="AH113" s="65">
        <f>VLOOKUP($I113,'[17]Resumen OPE'!$A$165:$M$186,AH$1,0)</f>
        <v>8788.0005491328211</v>
      </c>
      <c r="AI113" s="65">
        <f>VLOOKUP($I113,'[17]Resumen OPE'!$A$165:$M$186,AI$1,0)</f>
        <v>8788.0005491328211</v>
      </c>
      <c r="AJ113" s="65">
        <f>VLOOKUP($I113,'[17]Resumen OPE'!$A$165:$M$186,AJ$1,0)</f>
        <v>8788.0005491328211</v>
      </c>
      <c r="AK113" s="65">
        <f t="shared" si="63"/>
        <v>105456.00658959385</v>
      </c>
      <c r="AL113" s="73">
        <f t="shared" si="29"/>
        <v>6.5533551803906862E-4</v>
      </c>
      <c r="AM113" s="14">
        <f t="shared" si="30"/>
        <v>8.9212764892800056E-2</v>
      </c>
      <c r="AN113" s="9"/>
    </row>
    <row r="114" spans="1:40" ht="14.45" customHeight="1">
      <c r="A114" s="12"/>
      <c r="I114" s="167" t="s">
        <v>223</v>
      </c>
      <c r="J114" s="15">
        <v>264699</v>
      </c>
      <c r="K114" s="15">
        <v>50578</v>
      </c>
      <c r="L114" s="15">
        <v>144191</v>
      </c>
      <c r="M114" s="15">
        <v>214716</v>
      </c>
      <c r="N114" s="15">
        <v>186929</v>
      </c>
      <c r="O114" s="15">
        <v>122919</v>
      </c>
      <c r="P114" s="15">
        <v>151968</v>
      </c>
      <c r="Q114" s="15">
        <v>188802</v>
      </c>
      <c r="R114" s="15">
        <v>72397</v>
      </c>
      <c r="S114" s="15">
        <v>90489</v>
      </c>
      <c r="T114" s="15">
        <v>140109.33247026542</v>
      </c>
      <c r="U114" s="15">
        <v>146177.28258517402</v>
      </c>
      <c r="V114" s="15">
        <f t="shared" ref="V114" si="75">SUM(V115:V150)</f>
        <v>1773975.6150554395</v>
      </c>
      <c r="W114" s="72">
        <f t="shared" si="27"/>
        <v>1.2495368611284755E-2</v>
      </c>
      <c r="X114" s="89"/>
      <c r="Y114" s="15">
        <f>SUM(Y115:Y150)</f>
        <v>181951.26736770698</v>
      </c>
      <c r="Z114" s="15">
        <f t="shared" ref="Z114:AK114" si="76">SUM(Z115:Z150)</f>
        <v>192117.37201949803</v>
      </c>
      <c r="AA114" s="15">
        <f t="shared" si="76"/>
        <v>155669.63925258187</v>
      </c>
      <c r="AB114" s="15">
        <f t="shared" si="76"/>
        <v>145601.41044583352</v>
      </c>
      <c r="AC114" s="15">
        <f t="shared" si="76"/>
        <v>151925.47386709464</v>
      </c>
      <c r="AD114" s="15">
        <f t="shared" si="76"/>
        <v>153207.69052271999</v>
      </c>
      <c r="AE114" s="15">
        <f t="shared" si="76"/>
        <v>184942.93052874066</v>
      </c>
      <c r="AF114" s="15">
        <f t="shared" si="76"/>
        <v>176660.87461533552</v>
      </c>
      <c r="AG114" s="15">
        <f t="shared" si="76"/>
        <v>161868.69067150613</v>
      </c>
      <c r="AH114" s="15">
        <f t="shared" si="76"/>
        <v>147532.09999477802</v>
      </c>
      <c r="AI114" s="15">
        <f t="shared" si="76"/>
        <v>161704.1347757639</v>
      </c>
      <c r="AJ114" s="15">
        <f t="shared" si="76"/>
        <v>150790.57922360231</v>
      </c>
      <c r="AK114" s="15">
        <f t="shared" si="76"/>
        <v>1963972.1632851618</v>
      </c>
      <c r="AL114" s="72">
        <f t="shared" si="29"/>
        <v>1.2204716987337504E-2</v>
      </c>
      <c r="AM114" s="10">
        <f t="shared" si="30"/>
        <v>0.10710211945263115</v>
      </c>
      <c r="AN114" s="9"/>
    </row>
    <row r="115" spans="1:40" ht="14.45" customHeight="1" outlineLevel="1">
      <c r="A115" s="12"/>
      <c r="I115" s="246" t="s">
        <v>225</v>
      </c>
      <c r="J115" s="65">
        <v>0</v>
      </c>
      <c r="K115" s="65">
        <v>11896</v>
      </c>
      <c r="L115" s="65">
        <v>1310</v>
      </c>
      <c r="M115" s="65">
        <v>15001</v>
      </c>
      <c r="N115" s="65">
        <v>10069</v>
      </c>
      <c r="O115" s="65">
        <v>0</v>
      </c>
      <c r="P115" s="65">
        <v>3398</v>
      </c>
      <c r="Q115" s="65">
        <v>3300</v>
      </c>
      <c r="R115" s="65">
        <v>5878</v>
      </c>
      <c r="S115" s="65">
        <v>6600</v>
      </c>
      <c r="T115" s="65">
        <v>3450.7200000000003</v>
      </c>
      <c r="U115" s="65">
        <v>3450.7200000000003</v>
      </c>
      <c r="V115" s="65">
        <f t="shared" ref="V115:V150" si="77">SUM(J115:U115)</f>
        <v>64353.440000000002</v>
      </c>
      <c r="W115" s="73">
        <f t="shared" si="27"/>
        <v>4.5328692648295888E-4</v>
      </c>
      <c r="X115" s="89"/>
      <c r="Y115" s="65">
        <f>VLOOKUP($E$1,[18]Resumen!$V$8:$AI$14,Y1,0)</f>
        <v>3047.3343999999997</v>
      </c>
      <c r="Z115" s="65">
        <f>VLOOKUP($E$1,[18]Resumen!$V$8:$AI$14,Z1,0)</f>
        <v>3047.3343999999997</v>
      </c>
      <c r="AA115" s="65">
        <f>VLOOKUP($E$1,[18]Resumen!$V$8:$AI$14,AA1,0)</f>
        <v>3047.3343999999997</v>
      </c>
      <c r="AB115" s="65">
        <f>VLOOKUP($E$1,[18]Resumen!$V$8:$AI$14,AB1,0)</f>
        <v>3047.3343999999997</v>
      </c>
      <c r="AC115" s="65">
        <f>VLOOKUP($E$1,[18]Resumen!$V$8:$AI$14,AC1,0)</f>
        <v>3047.3343999999997</v>
      </c>
      <c r="AD115" s="65">
        <f>VLOOKUP($E$1,[18]Resumen!$V$8:$AI$14,AD1,0)</f>
        <v>3047.3343999999997</v>
      </c>
      <c r="AE115" s="65">
        <f>VLOOKUP($E$1,[18]Resumen!$V$8:$AI$14,AE1,0)</f>
        <v>3047.3343999999997</v>
      </c>
      <c r="AF115" s="65">
        <f>VLOOKUP($E$1,[18]Resumen!$V$8:$AI$14,AF1,0)</f>
        <v>3047.3343999999997</v>
      </c>
      <c r="AG115" s="65">
        <f>VLOOKUP($E$1,[18]Resumen!$V$8:$AI$14,AG1,0)</f>
        <v>3047.3343999999997</v>
      </c>
      <c r="AH115" s="65">
        <f>VLOOKUP($E$1,[18]Resumen!$V$8:$AI$14,AH1,0)</f>
        <v>3047.3343999999997</v>
      </c>
      <c r="AI115" s="65">
        <f>VLOOKUP($E$1,[18]Resumen!$V$8:$AI$14,AI1,0)</f>
        <v>3047.3343999999997</v>
      </c>
      <c r="AJ115" s="65">
        <f>VLOOKUP($E$1,[18]Resumen!$V$8:$AI$14,AJ1,0)</f>
        <v>3047.3343999999997</v>
      </c>
      <c r="AK115" s="65">
        <f t="shared" si="63"/>
        <v>36568.012799999997</v>
      </c>
      <c r="AL115" s="73">
        <f t="shared" si="29"/>
        <v>2.2724469081415066E-4</v>
      </c>
      <c r="AM115" s="14">
        <f t="shared" si="30"/>
        <v>-0.43176288944305086</v>
      </c>
      <c r="AN115" s="9"/>
    </row>
    <row r="116" spans="1:40" ht="14.45" customHeight="1" outlineLevel="1">
      <c r="A116" s="12"/>
      <c r="I116" s="246" t="s">
        <v>227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/>
      <c r="U116" s="65"/>
      <c r="V116" s="65">
        <f t="shared" si="77"/>
        <v>0</v>
      </c>
      <c r="W116" s="73">
        <f t="shared" si="27"/>
        <v>0</v>
      </c>
      <c r="X116" s="89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>
        <f t="shared" si="63"/>
        <v>0</v>
      </c>
      <c r="AL116" s="73">
        <f t="shared" si="29"/>
        <v>0</v>
      </c>
      <c r="AM116" s="14">
        <f t="shared" si="30"/>
        <v>0</v>
      </c>
      <c r="AN116" s="9"/>
    </row>
    <row r="117" spans="1:40" ht="14.45" customHeight="1" outlineLevel="1">
      <c r="A117" s="12"/>
      <c r="I117" s="246" t="s">
        <v>228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/>
      <c r="U117" s="65"/>
      <c r="V117" s="65">
        <f t="shared" si="77"/>
        <v>0</v>
      </c>
      <c r="W117" s="73">
        <f t="shared" si="27"/>
        <v>0</v>
      </c>
      <c r="X117" s="89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>
        <f t="shared" si="63"/>
        <v>0</v>
      </c>
      <c r="AL117" s="73">
        <f t="shared" si="29"/>
        <v>0</v>
      </c>
      <c r="AM117" s="14">
        <f t="shared" si="30"/>
        <v>0</v>
      </c>
      <c r="AN117" s="9"/>
    </row>
    <row r="118" spans="1:40" ht="14.45" customHeight="1" outlineLevel="1">
      <c r="A118" s="12"/>
      <c r="I118" s="246" t="s">
        <v>229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15080</v>
      </c>
      <c r="S118" s="65">
        <v>0</v>
      </c>
      <c r="T118" s="65">
        <v>0</v>
      </c>
      <c r="U118" s="65">
        <v>0</v>
      </c>
      <c r="V118" s="65">
        <f t="shared" si="77"/>
        <v>15080</v>
      </c>
      <c r="W118" s="73">
        <f t="shared" si="27"/>
        <v>1.0621913686918709E-4</v>
      </c>
      <c r="X118" s="89"/>
      <c r="Y118" s="65">
        <f>VLOOKUP($E$1,[9]Resumen!$V$22:$AH$28,Y1,0)</f>
        <v>0</v>
      </c>
      <c r="Z118" s="65">
        <f>VLOOKUP($E$1,[9]Resumen!$V$22:$AH$28,Z1,0)</f>
        <v>36228.5</v>
      </c>
      <c r="AA118" s="65">
        <f>VLOOKUP($E$1,[9]Resumen!$V$22:$AH$28,AA1,0)</f>
        <v>0</v>
      </c>
      <c r="AB118" s="65">
        <f>VLOOKUP($E$1,[9]Resumen!$V$22:$AH$28,AB1,0)</f>
        <v>0</v>
      </c>
      <c r="AC118" s="65">
        <f>VLOOKUP($E$1,[9]Resumen!$V$22:$AH$28,AC1,0)</f>
        <v>0</v>
      </c>
      <c r="AD118" s="65">
        <f>VLOOKUP($E$1,[9]Resumen!$V$22:$AH$28,AD1,0)</f>
        <v>0</v>
      </c>
      <c r="AE118" s="65">
        <f>VLOOKUP($E$1,[9]Resumen!$V$22:$AH$28,AE1,0)</f>
        <v>0</v>
      </c>
      <c r="AF118" s="65">
        <f>VLOOKUP($E$1,[9]Resumen!$V$22:$AH$28,AF1,0)</f>
        <v>0</v>
      </c>
      <c r="AG118" s="65">
        <f>VLOOKUP($E$1,[9]Resumen!$V$22:$AH$28,AG1,0)</f>
        <v>0</v>
      </c>
      <c r="AH118" s="65">
        <f>VLOOKUP($E$1,[9]Resumen!$V$22:$AH$28,AH1,0)</f>
        <v>0</v>
      </c>
      <c r="AI118" s="65">
        <f>VLOOKUP($E$1,[9]Resumen!$V$22:$AH$28,AI1,0)</f>
        <v>0</v>
      </c>
      <c r="AJ118" s="65">
        <f>VLOOKUP($E$1,[9]Resumen!$V$22:$AH$28,AJ1,0)</f>
        <v>0</v>
      </c>
      <c r="AK118" s="65">
        <f t="shared" si="63"/>
        <v>36228.5</v>
      </c>
      <c r="AL118" s="73">
        <f t="shared" si="29"/>
        <v>2.2513485559599395E-4</v>
      </c>
      <c r="AM118" s="14">
        <f t="shared" si="30"/>
        <v>1.402420424403183</v>
      </c>
      <c r="AN118" s="9"/>
    </row>
    <row r="119" spans="1:40" ht="14.45" customHeight="1" outlineLevel="1">
      <c r="A119" s="12"/>
      <c r="I119" s="246" t="s">
        <v>231</v>
      </c>
      <c r="J119" s="65">
        <v>0</v>
      </c>
      <c r="K119" s="65">
        <v>3611</v>
      </c>
      <c r="L119" s="65">
        <v>0</v>
      </c>
      <c r="M119" s="65">
        <v>2200</v>
      </c>
      <c r="N119" s="65">
        <v>0</v>
      </c>
      <c r="O119" s="65">
        <v>0</v>
      </c>
      <c r="P119" s="65">
        <v>11314</v>
      </c>
      <c r="Q119" s="65">
        <v>6900</v>
      </c>
      <c r="R119" s="65">
        <v>0</v>
      </c>
      <c r="S119" s="65">
        <v>0</v>
      </c>
      <c r="T119" s="65">
        <v>0</v>
      </c>
      <c r="U119" s="65">
        <v>0</v>
      </c>
      <c r="V119" s="65">
        <f t="shared" si="77"/>
        <v>24025</v>
      </c>
      <c r="W119" s="73">
        <f t="shared" si="27"/>
        <v>1.6922511692852918E-4</v>
      </c>
      <c r="X119" s="89"/>
      <c r="Y119" s="65">
        <f>VLOOKUP($E$1,[9]Resumen!$V$34:$AH$40,Y1,0)</f>
        <v>0</v>
      </c>
      <c r="Z119" s="65">
        <f>VLOOKUP($E$1,[9]Resumen!$V$34:$AH$40,Z1,0)</f>
        <v>0</v>
      </c>
      <c r="AA119" s="65">
        <f>VLOOKUP($E$1,[9]Resumen!$V$34:$AH$40,AA1,0)</f>
        <v>0</v>
      </c>
      <c r="AB119" s="65">
        <f>VLOOKUP($E$1,[9]Resumen!$V$34:$AH$40,AB1,0)</f>
        <v>0</v>
      </c>
      <c r="AC119" s="65">
        <f>VLOOKUP($E$1,[9]Resumen!$V$34:$AH$40,AC1,0)</f>
        <v>0</v>
      </c>
      <c r="AD119" s="65">
        <f>VLOOKUP($E$1,[9]Resumen!$V$34:$AH$40,AD1,0)</f>
        <v>0</v>
      </c>
      <c r="AE119" s="65">
        <f>VLOOKUP($E$1,[9]Resumen!$V$34:$AH$40,AE1,0)</f>
        <v>22169.771799999999</v>
      </c>
      <c r="AF119" s="65">
        <f>VLOOKUP($E$1,[9]Resumen!$V$34:$AH$40,AF1,0)</f>
        <v>0</v>
      </c>
      <c r="AG119" s="65">
        <f>VLOOKUP($E$1,[9]Resumen!$V$34:$AH$40,AG1,0)</f>
        <v>0</v>
      </c>
      <c r="AH119" s="65">
        <f>VLOOKUP($E$1,[9]Resumen!$V$34:$AH$40,AH1,0)</f>
        <v>0</v>
      </c>
      <c r="AI119" s="65">
        <f>VLOOKUP($E$1,[9]Resumen!$V$34:$AH$40,AI1,0)</f>
        <v>0</v>
      </c>
      <c r="AJ119" s="65">
        <f>VLOOKUP($E$1,[9]Resumen!$V$34:$AH$40,AJ1,0)</f>
        <v>0</v>
      </c>
      <c r="AK119" s="65">
        <f t="shared" si="63"/>
        <v>22169.771799999999</v>
      </c>
      <c r="AL119" s="73">
        <f t="shared" si="29"/>
        <v>1.3776966677585709E-4</v>
      </c>
      <c r="AM119" s="14">
        <f t="shared" si="30"/>
        <v>-7.722073673257035E-2</v>
      </c>
      <c r="AN119" s="9"/>
    </row>
    <row r="120" spans="1:40" ht="14.45" customHeight="1" outlineLevel="1">
      <c r="A120" s="12"/>
      <c r="I120" s="246" t="s">
        <v>232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/>
      <c r="U120" s="65"/>
      <c r="V120" s="65">
        <f t="shared" si="77"/>
        <v>0</v>
      </c>
      <c r="W120" s="73">
        <f t="shared" si="27"/>
        <v>0</v>
      </c>
      <c r="X120" s="89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>
        <f t="shared" si="63"/>
        <v>0</v>
      </c>
      <c r="AL120" s="73">
        <f t="shared" si="29"/>
        <v>0</v>
      </c>
      <c r="AM120" s="14">
        <f t="shared" si="30"/>
        <v>0</v>
      </c>
      <c r="AN120" s="9"/>
    </row>
    <row r="121" spans="1:40" ht="14.45" customHeight="1" outlineLevel="1">
      <c r="A121" s="12"/>
      <c r="E121" s="7" t="s">
        <v>254</v>
      </c>
      <c r="I121" s="246" t="s">
        <v>233</v>
      </c>
      <c r="J121" s="65">
        <v>37688</v>
      </c>
      <c r="K121" s="65">
        <v>0</v>
      </c>
      <c r="L121" s="65">
        <v>0</v>
      </c>
      <c r="M121" s="65">
        <v>2496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f t="shared" si="77"/>
        <v>40184</v>
      </c>
      <c r="W121" s="73">
        <f>V121/V$6</f>
        <v>2.8304441617714947E-4</v>
      </c>
      <c r="X121" s="89"/>
      <c r="Y121" s="65">
        <f>VLOOKUP($E$1,[8]Resumen!$V$68:$AH$74,Y1,0)</f>
        <v>39010.8488</v>
      </c>
      <c r="Z121" s="65">
        <f>VLOOKUP($E$1,[8]Resumen!$V$68:$AH$74,Z1,0)</f>
        <v>0</v>
      </c>
      <c r="AA121" s="65">
        <f>VLOOKUP($E$1,[8]Resumen!$V$68:$AH$74,AA1,0)</f>
        <v>0</v>
      </c>
      <c r="AB121" s="65">
        <f>VLOOKUP($E$1,[8]Resumen!$V$68:$AH$74,AB1,0)</f>
        <v>0</v>
      </c>
      <c r="AC121" s="65">
        <f>VLOOKUP($E$1,[8]Resumen!$V$68:$AH$74,AC1,0)</f>
        <v>0</v>
      </c>
      <c r="AD121" s="65">
        <f>VLOOKUP($E$1,[8]Resumen!$V$68:$AH$74,AD1,0)</f>
        <v>0</v>
      </c>
      <c r="AE121" s="65">
        <f>VLOOKUP($E$1,[8]Resumen!$V$68:$AH$74,AE1,0)</f>
        <v>0</v>
      </c>
      <c r="AF121" s="65">
        <f>VLOOKUP($E$1,[8]Resumen!$V$68:$AH$74,AF1,0)</f>
        <v>0</v>
      </c>
      <c r="AG121" s="65">
        <f>VLOOKUP($E$1,[8]Resumen!$V$68:$AH$74,AG1,0)</f>
        <v>0</v>
      </c>
      <c r="AH121" s="65">
        <f>VLOOKUP($E$1,[8]Resumen!$V$68:$AH$74,AH1,0)</f>
        <v>0</v>
      </c>
      <c r="AI121" s="65">
        <f>VLOOKUP($E$1,[8]Resumen!$V$68:$AH$74,AI1,0)</f>
        <v>0</v>
      </c>
      <c r="AJ121" s="65">
        <f>VLOOKUP($E$1,[8]Resumen!$V$68:$AH$74,AJ1,0)</f>
        <v>0</v>
      </c>
      <c r="AK121" s="65">
        <f t="shared" si="63"/>
        <v>39010.8488</v>
      </c>
      <c r="AL121" s="73">
        <f>AK121/AK$6</f>
        <v>2.4242521250576629E-4</v>
      </c>
      <c r="AM121" s="14">
        <f>IFERROR(AK121/V121-1,0)</f>
        <v>-2.9194485367310397E-2</v>
      </c>
      <c r="AN121" s="9"/>
    </row>
    <row r="122" spans="1:40" ht="14.45" customHeight="1" outlineLevel="1">
      <c r="A122" s="12"/>
      <c r="I122" s="246" t="s">
        <v>234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/>
      <c r="U122" s="65"/>
      <c r="V122" s="65">
        <f t="shared" si="77"/>
        <v>0</v>
      </c>
      <c r="W122" s="73">
        <f>V122/V$6</f>
        <v>0</v>
      </c>
      <c r="X122" s="89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>
        <f t="shared" si="63"/>
        <v>0</v>
      </c>
      <c r="AL122" s="73">
        <f>AK122/AK$6</f>
        <v>0</v>
      </c>
      <c r="AM122" s="14">
        <f>IFERROR(AK122/V122-1,0)</f>
        <v>0</v>
      </c>
      <c r="AN122" s="9"/>
    </row>
    <row r="123" spans="1:40" ht="14.45" customHeight="1" outlineLevel="1">
      <c r="A123" s="12"/>
      <c r="I123" s="246" t="s">
        <v>235</v>
      </c>
      <c r="J123" s="65">
        <v>6100</v>
      </c>
      <c r="K123" s="65">
        <v>0</v>
      </c>
      <c r="L123" s="65"/>
      <c r="M123" s="65">
        <v>0</v>
      </c>
      <c r="N123" s="65"/>
      <c r="O123" s="65"/>
      <c r="P123" s="65"/>
      <c r="Q123" s="65"/>
      <c r="R123" s="65"/>
      <c r="S123" s="65"/>
      <c r="T123" s="65">
        <v>0</v>
      </c>
      <c r="U123" s="65">
        <v>0</v>
      </c>
      <c r="V123" s="65">
        <f t="shared" si="77"/>
        <v>6100</v>
      </c>
      <c r="W123" s="73">
        <f>V123/V$6</f>
        <v>4.2966626982893983E-5</v>
      </c>
      <c r="X123" s="89"/>
      <c r="Y123" s="65">
        <f>VLOOKUP($E$1,[9]Resumen!$V$46:$AH$52,Y1,0)</f>
        <v>0</v>
      </c>
      <c r="Z123" s="65">
        <f>VLOOKUP($E$1,[9]Resumen!$V$46:$AH$52,Z1,0)</f>
        <v>6314.11</v>
      </c>
      <c r="AA123" s="65">
        <f>VLOOKUP($E$1,[9]Resumen!$V$46:$AH$52,AA1,0)</f>
        <v>0</v>
      </c>
      <c r="AB123" s="65">
        <f>VLOOKUP($E$1,[9]Resumen!$V$46:$AH$52,AB1,0)</f>
        <v>0</v>
      </c>
      <c r="AC123" s="65">
        <f>VLOOKUP($E$1,[9]Resumen!$V$46:$AH$52,AC1,0)</f>
        <v>0</v>
      </c>
      <c r="AD123" s="65">
        <f>VLOOKUP($E$1,[9]Resumen!$V$46:$AH$52,AD1,0)</f>
        <v>0</v>
      </c>
      <c r="AE123" s="65">
        <f>VLOOKUP($E$1,[9]Resumen!$V$46:$AH$52,AE1,0)</f>
        <v>0</v>
      </c>
      <c r="AF123" s="65">
        <f>VLOOKUP($E$1,[9]Resumen!$V$46:$AH$52,AF1,0)</f>
        <v>0</v>
      </c>
      <c r="AG123" s="65">
        <f>VLOOKUP($E$1,[9]Resumen!$V$46:$AH$52,AG1,0)</f>
        <v>0</v>
      </c>
      <c r="AH123" s="65">
        <f>VLOOKUP($E$1,[9]Resumen!$V$46:$AH$52,AH1,0)</f>
        <v>0</v>
      </c>
      <c r="AI123" s="65">
        <f>VLOOKUP($E$1,[9]Resumen!$V$46:$AH$52,AI1,0)</f>
        <v>0</v>
      </c>
      <c r="AJ123" s="65">
        <f>VLOOKUP($E$1,[9]Resumen!$V$46:$AH$52,AJ1,0)</f>
        <v>0</v>
      </c>
      <c r="AK123" s="65">
        <f t="shared" si="63"/>
        <v>6314.11</v>
      </c>
      <c r="AL123" s="73">
        <f>AK123/AK$6</f>
        <v>3.9237789118158944E-5</v>
      </c>
      <c r="AM123" s="14">
        <f>IFERROR(AK123/V123-1,0)</f>
        <v>3.5099999999999909E-2</v>
      </c>
      <c r="AN123" s="9"/>
    </row>
    <row r="124" spans="1:40" ht="14.45" customHeight="1" outlineLevel="1">
      <c r="A124" s="12"/>
      <c r="I124" s="246" t="s">
        <v>236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/>
      <c r="U124" s="65"/>
      <c r="V124" s="65">
        <f t="shared" si="77"/>
        <v>0</v>
      </c>
      <c r="W124" s="73">
        <f>V124/V$6</f>
        <v>0</v>
      </c>
      <c r="X124" s="89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>
        <f t="shared" si="63"/>
        <v>0</v>
      </c>
      <c r="AL124" s="73">
        <f>AK124/AK$6</f>
        <v>0</v>
      </c>
      <c r="AM124" s="14">
        <f>IFERROR(AK124/V124-1,0)</f>
        <v>0</v>
      </c>
      <c r="AN124" s="9"/>
    </row>
    <row r="125" spans="1:40" ht="14.45" customHeight="1" outlineLevel="1">
      <c r="A125" s="12"/>
      <c r="I125" s="246" t="s">
        <v>237</v>
      </c>
      <c r="J125" s="65">
        <v>19810</v>
      </c>
      <c r="K125" s="65">
        <v>7073</v>
      </c>
      <c r="L125" s="65">
        <v>37656</v>
      </c>
      <c r="M125" s="65">
        <v>49820</v>
      </c>
      <c r="N125" s="65">
        <v>38494</v>
      </c>
      <c r="O125" s="65">
        <v>5481</v>
      </c>
      <c r="P125" s="65">
        <v>10551</v>
      </c>
      <c r="Q125" s="65">
        <v>34314</v>
      </c>
      <c r="R125" s="65">
        <v>12426</v>
      </c>
      <c r="S125" s="65">
        <v>44879</v>
      </c>
      <c r="T125" s="65">
        <v>16168.952800000001</v>
      </c>
      <c r="U125" s="65">
        <v>16621.904000000002</v>
      </c>
      <c r="V125" s="65">
        <f t="shared" ref="V125:V135" si="78">SUM(J125:U125)</f>
        <v>293294.85680000001</v>
      </c>
      <c r="W125" s="73">
        <f t="shared" ref="W125:W135" si="79">V125/V$6</f>
        <v>2.0658837226437553E-3</v>
      </c>
      <c r="X125" s="89"/>
      <c r="Y125" s="65">
        <f>VLOOKUP($E$1,[9]Resumen!$V$58:$AH$64,Y1,0)</f>
        <v>31648.047533310997</v>
      </c>
      <c r="Z125" s="65">
        <f>VLOOKUP($E$1,[9]Resumen!$V$58:$AH$64,Z1,0)</f>
        <v>22155.532985101996</v>
      </c>
      <c r="AA125" s="65">
        <f>VLOOKUP($E$1,[9]Resumen!$V$58:$AH$64,AA1,0)</f>
        <v>29640.018713557998</v>
      </c>
      <c r="AB125" s="65">
        <f>VLOOKUP($E$1,[9]Resumen!$V$58:$AH$64,AB1,0)</f>
        <v>24236.584631918999</v>
      </c>
      <c r="AC125" s="65">
        <f>VLOOKUP($E$1,[9]Resumen!$V$58:$AH$64,AC1,0)</f>
        <v>27266.889649526998</v>
      </c>
      <c r="AD125" s="65">
        <f>VLOOKUP($E$1,[9]Resumen!$V$58:$AH$64,AD1,0)</f>
        <v>23688.937722735998</v>
      </c>
      <c r="AE125" s="65">
        <f>VLOOKUP($E$1,[9]Resumen!$V$58:$AH$64,AE1,0)</f>
        <v>32378.242825664998</v>
      </c>
      <c r="AF125" s="65">
        <f>VLOOKUP($E$1,[9]Resumen!$V$58:$AH$64,AF1,0)</f>
        <v>22776.195775828</v>
      </c>
      <c r="AG125" s="65">
        <f>VLOOKUP($E$1,[9]Resumen!$V$58:$AH$64,AG1,0)</f>
        <v>35572.841389161993</v>
      </c>
      <c r="AH125" s="65">
        <f>VLOOKUP($E$1,[9]Resumen!$V$58:$AH$64,AH1,0)</f>
        <v>23749.658407002</v>
      </c>
      <c r="AI125" s="65">
        <f>VLOOKUP($E$1,[9]Resumen!$V$58:$AH$64,AI1,0)</f>
        <v>22317.392700360997</v>
      </c>
      <c r="AJ125" s="65">
        <f>VLOOKUP($E$1,[9]Resumen!$V$58:$AH$64,AJ1,0)</f>
        <v>22776.195775828</v>
      </c>
      <c r="AK125" s="65">
        <f t="shared" si="63"/>
        <v>318206.53810999892</v>
      </c>
      <c r="AL125" s="73">
        <f t="shared" ref="AL125:AL135" si="80">AK125/AK$6</f>
        <v>1.9774316631131776E-3</v>
      </c>
      <c r="AM125" s="14">
        <f t="shared" ref="AM125:AM135" si="81">IFERROR(AK125/V125-1,0)</f>
        <v>8.4937327513337157E-2</v>
      </c>
      <c r="AN125" s="9"/>
    </row>
    <row r="126" spans="1:40" ht="14.45" customHeight="1" outlineLevel="1">
      <c r="A126" s="12"/>
      <c r="I126" s="246" t="s">
        <v>238</v>
      </c>
      <c r="J126" s="65">
        <v>811</v>
      </c>
      <c r="K126" s="65">
        <v>0</v>
      </c>
      <c r="L126" s="65">
        <v>861</v>
      </c>
      <c r="M126" s="65">
        <v>0</v>
      </c>
      <c r="N126" s="65">
        <v>861</v>
      </c>
      <c r="O126" s="65">
        <v>0</v>
      </c>
      <c r="P126" s="65">
        <v>0</v>
      </c>
      <c r="Q126" s="65">
        <v>0</v>
      </c>
      <c r="R126" s="65">
        <v>861</v>
      </c>
      <c r="S126" s="65">
        <v>0</v>
      </c>
      <c r="T126" s="65">
        <v>0</v>
      </c>
      <c r="U126" s="65">
        <v>1266.72</v>
      </c>
      <c r="V126" s="65">
        <f t="shared" si="78"/>
        <v>4660.72</v>
      </c>
      <c r="W126" s="73">
        <f t="shared" si="79"/>
        <v>3.2828757001920273E-5</v>
      </c>
      <c r="X126" s="89"/>
      <c r="Y126" s="65">
        <f>VLOOKUP($E$1,[9]Resumen!$V$70:$AH$76,Y1,0)</f>
        <v>455.44399999999996</v>
      </c>
      <c r="Z126" s="65">
        <f>VLOOKUP($E$1,[9]Resumen!$V$70:$AH$76,Z1,0)</f>
        <v>0</v>
      </c>
      <c r="AA126" s="65">
        <f>VLOOKUP($E$1,[9]Resumen!$V$70:$AH$76,AA1,0)</f>
        <v>910.88799999999992</v>
      </c>
      <c r="AB126" s="65">
        <f>VLOOKUP($E$1,[9]Resumen!$V$70:$AH$76,AB1,0)</f>
        <v>455.44399999999996</v>
      </c>
      <c r="AC126" s="65">
        <f>VLOOKUP($E$1,[9]Resumen!$V$70:$AH$76,AC1,0)</f>
        <v>910.88799999999992</v>
      </c>
      <c r="AD126" s="65">
        <f>VLOOKUP($E$1,[9]Resumen!$V$70:$AH$76,AD1,0)</f>
        <v>0</v>
      </c>
      <c r="AE126" s="65">
        <f>VLOOKUP($E$1,[9]Resumen!$V$70:$AH$76,AE1,0)</f>
        <v>0</v>
      </c>
      <c r="AF126" s="65">
        <f>VLOOKUP($E$1,[9]Resumen!$V$70:$AH$76,AF1,0)</f>
        <v>910.88799999999992</v>
      </c>
      <c r="AG126" s="65">
        <f>VLOOKUP($E$1,[9]Resumen!$V$70:$AH$76,AG1,0)</f>
        <v>455.44399999999996</v>
      </c>
      <c r="AH126" s="65">
        <f>VLOOKUP($E$1,[9]Resumen!$V$70:$AH$76,AH1,0)</f>
        <v>0</v>
      </c>
      <c r="AI126" s="65">
        <f>VLOOKUP($E$1,[9]Resumen!$V$70:$AH$76,AI1,0)</f>
        <v>455.44399999999996</v>
      </c>
      <c r="AJ126" s="65">
        <f>VLOOKUP($E$1,[9]Resumen!$V$70:$AH$76,AJ1,0)</f>
        <v>0</v>
      </c>
      <c r="AK126" s="65">
        <f t="shared" si="63"/>
        <v>4554.4399999999987</v>
      </c>
      <c r="AL126" s="73">
        <f t="shared" si="80"/>
        <v>2.8302667560639231E-5</v>
      </c>
      <c r="AM126" s="14">
        <f t="shared" si="81"/>
        <v>-2.2803343689387412E-2</v>
      </c>
      <c r="AN126" s="9"/>
    </row>
    <row r="127" spans="1:40" ht="14.45" customHeight="1" outlineLevel="1">
      <c r="A127" s="12"/>
      <c r="I127" s="250" t="s">
        <v>239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f t="shared" si="78"/>
        <v>0</v>
      </c>
      <c r="W127" s="73">
        <f t="shared" si="79"/>
        <v>0</v>
      </c>
      <c r="X127" s="89"/>
      <c r="Y127" s="65">
        <f>VLOOKUP($E$1,[8]Resumen!$V$80:$AH$86,Y1,0)</f>
        <v>0</v>
      </c>
      <c r="Z127" s="65">
        <f>VLOOKUP($E$1,[8]Resumen!$V$80:$AH$86,Z1,0)</f>
        <v>0</v>
      </c>
      <c r="AA127" s="65">
        <f>VLOOKUP($E$1,[8]Resumen!$V$80:$AH$86,AA1,0)</f>
        <v>0</v>
      </c>
      <c r="AB127" s="65">
        <f>VLOOKUP($E$1,[8]Resumen!$V$80:$AH$86,AB1,0)</f>
        <v>0</v>
      </c>
      <c r="AC127" s="65">
        <f>VLOOKUP($E$1,[8]Resumen!$V$80:$AH$86,AC1,0)</f>
        <v>0</v>
      </c>
      <c r="AD127" s="65">
        <f>VLOOKUP($E$1,[8]Resumen!$V$80:$AH$86,AD1,0)</f>
        <v>0</v>
      </c>
      <c r="AE127" s="65">
        <f>VLOOKUP($E$1,[8]Resumen!$V$80:$AH$86,AE1,0)</f>
        <v>4201.305284</v>
      </c>
      <c r="AF127" s="65">
        <f>VLOOKUP($E$1,[8]Resumen!$V$80:$AH$86,AF1,0)</f>
        <v>0</v>
      </c>
      <c r="AG127" s="65">
        <f>VLOOKUP($E$1,[8]Resumen!$V$80:$AH$86,AG1,0)</f>
        <v>0</v>
      </c>
      <c r="AH127" s="65">
        <f>VLOOKUP($E$1,[8]Resumen!$V$80:$AH$86,AH1,0)</f>
        <v>0</v>
      </c>
      <c r="AI127" s="65">
        <f>VLOOKUP($E$1,[8]Resumen!$V$80:$AH$86,AI1,0)</f>
        <v>0</v>
      </c>
      <c r="AJ127" s="65">
        <f>VLOOKUP($E$1,[8]Resumen!$V$80:$AH$86,AJ1,0)</f>
        <v>0</v>
      </c>
      <c r="AK127" s="65">
        <f t="shared" si="63"/>
        <v>4201.305284</v>
      </c>
      <c r="AL127" s="73">
        <f t="shared" si="80"/>
        <v>2.61081816367784E-5</v>
      </c>
      <c r="AM127" s="14">
        <f t="shared" si="81"/>
        <v>0</v>
      </c>
      <c r="AN127" s="9"/>
    </row>
    <row r="128" spans="1:40" ht="14.45" customHeight="1" outlineLevel="1">
      <c r="A128" s="12"/>
      <c r="I128" s="246" t="s">
        <v>240</v>
      </c>
      <c r="J128" s="65">
        <v>0</v>
      </c>
      <c r="K128" s="65">
        <v>0</v>
      </c>
      <c r="L128" s="65">
        <v>0</v>
      </c>
      <c r="M128" s="65">
        <v>7200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f t="shared" si="78"/>
        <v>7200</v>
      </c>
      <c r="W128" s="73">
        <f t="shared" si="79"/>
        <v>5.0714707258497816E-5</v>
      </c>
      <c r="X128" s="89"/>
      <c r="Y128" s="65">
        <f>VLOOKUP($E$1,[6]Resumen!$C$45:$O$51,Y1,0)+VLOOKUP($E$1,[9]Resumen!$V$82:$AH$88,Y1,0)</f>
        <v>0</v>
      </c>
      <c r="Z128" s="65">
        <f>VLOOKUP($E$1,[6]Resumen!$C$45:$O$51,Z1,0)+VLOOKUP($E$1,[9]Resumen!$V$82:$AH$88,Z1,0)</f>
        <v>7763.2499999999991</v>
      </c>
      <c r="AA128" s="65">
        <f>VLOOKUP($E$1,[6]Resumen!$C$45:$O$51,AA1,0)+VLOOKUP($E$1,[9]Resumen!$V$82:$AH$88,AA1,0)</f>
        <v>0</v>
      </c>
      <c r="AB128" s="65">
        <f>VLOOKUP($E$1,[6]Resumen!$C$45:$O$51,AB1,0)+VLOOKUP($E$1,[9]Resumen!$V$82:$AH$88,AB1,0)</f>
        <v>0</v>
      </c>
      <c r="AC128" s="65">
        <f>VLOOKUP($E$1,[6]Resumen!$C$45:$O$51,AC1,0)+VLOOKUP($E$1,[9]Resumen!$V$82:$AH$88,AC1,0)</f>
        <v>0</v>
      </c>
      <c r="AD128" s="65">
        <f>VLOOKUP($E$1,[6]Resumen!$C$45:$O$51,AD1,0)+VLOOKUP($E$1,[9]Resumen!$V$82:$AH$88,AD1,0)</f>
        <v>0</v>
      </c>
      <c r="AE128" s="65">
        <f>VLOOKUP($E$1,[6]Resumen!$C$45:$O$51,AE1,0)+VLOOKUP($E$1,[9]Resumen!$V$82:$AH$88,AE1,0)</f>
        <v>0</v>
      </c>
      <c r="AF128" s="65">
        <f>VLOOKUP($E$1,[6]Resumen!$C$45:$O$51,AF1,0)+VLOOKUP($E$1,[9]Resumen!$V$82:$AH$88,AF1,0)</f>
        <v>7763.2499999999991</v>
      </c>
      <c r="AG128" s="65">
        <f>VLOOKUP($E$1,[6]Resumen!$C$45:$O$51,AG1,0)+VLOOKUP($E$1,[9]Resumen!$V$82:$AH$88,AG1,0)</f>
        <v>0</v>
      </c>
      <c r="AH128" s="65">
        <f>VLOOKUP($E$1,[6]Resumen!$C$45:$O$51,AH1,0)+VLOOKUP($E$1,[9]Resumen!$V$82:$AH$88,AH1,0)</f>
        <v>0</v>
      </c>
      <c r="AI128" s="65">
        <f>VLOOKUP($E$1,[6]Resumen!$C$45:$O$51,AI1,0)+VLOOKUP($E$1,[9]Resumen!$V$82:$AH$88,AI1,0)</f>
        <v>0</v>
      </c>
      <c r="AJ128" s="65">
        <f>VLOOKUP($E$1,[6]Resumen!$C$45:$O$51,AJ1,0)+VLOOKUP($E$1,[9]Resumen!$V$82:$AH$88,AJ1,0)</f>
        <v>0</v>
      </c>
      <c r="AK128" s="65">
        <f t="shared" si="63"/>
        <v>15526.499999999998</v>
      </c>
      <c r="AL128" s="73">
        <f t="shared" si="80"/>
        <v>9.6486366683997399E-5</v>
      </c>
      <c r="AM128" s="14">
        <f t="shared" si="81"/>
        <v>1.1564583333333331</v>
      </c>
      <c r="AN128" s="9"/>
    </row>
    <row r="129" spans="1:40" ht="14.45" customHeight="1" outlineLevel="1">
      <c r="A129" s="12"/>
      <c r="I129" s="246" t="s">
        <v>241</v>
      </c>
      <c r="J129" s="65">
        <v>0</v>
      </c>
      <c r="K129" s="65">
        <v>6600</v>
      </c>
      <c r="L129" s="65">
        <v>0</v>
      </c>
      <c r="M129" s="65">
        <v>9900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7400</v>
      </c>
      <c r="T129" s="65">
        <v>0</v>
      </c>
      <c r="U129" s="65">
        <v>0</v>
      </c>
      <c r="V129" s="65">
        <f t="shared" si="78"/>
        <v>23900</v>
      </c>
      <c r="W129" s="73">
        <f t="shared" si="79"/>
        <v>1.6834465326084693E-4</v>
      </c>
      <c r="X129" s="89"/>
      <c r="Y129" s="65">
        <f>VLOOKUP($E$1,[9]Resumen!$V$94:$AH$100,Y1,0)</f>
        <v>0</v>
      </c>
      <c r="Z129" s="65">
        <f>VLOOKUP($E$1,[9]Resumen!$V$94:$AH$100,Z1,0)</f>
        <v>0</v>
      </c>
      <c r="AA129" s="65">
        <f>VLOOKUP($E$1,[9]Resumen!$V$94:$AH$100,AA1,0)</f>
        <v>0</v>
      </c>
      <c r="AB129" s="65">
        <f>VLOOKUP($E$1,[9]Resumen!$V$94:$AH$100,AB1,0)</f>
        <v>0</v>
      </c>
      <c r="AC129" s="65">
        <f>VLOOKUP($E$1,[9]Resumen!$V$94:$AH$100,AC1,0)</f>
        <v>0</v>
      </c>
      <c r="AD129" s="65">
        <f>VLOOKUP($E$1,[9]Resumen!$V$94:$AH$100,AD1,0)</f>
        <v>0</v>
      </c>
      <c r="AE129" s="65">
        <f>VLOOKUP($E$1,[9]Resumen!$V$94:$AH$100,AE1,0)</f>
        <v>0</v>
      </c>
      <c r="AF129" s="65">
        <f>VLOOKUP($E$1,[9]Resumen!$V$94:$AH$100,AF1,0)</f>
        <v>0</v>
      </c>
      <c r="AG129" s="65">
        <f>VLOOKUP($E$1,[9]Resumen!$V$94:$AH$100,AG1,0)</f>
        <v>0</v>
      </c>
      <c r="AH129" s="65">
        <f>VLOOKUP($E$1,[9]Resumen!$V$94:$AH$100,AH1,0)</f>
        <v>0</v>
      </c>
      <c r="AI129" s="65">
        <f>VLOOKUP($E$1,[9]Resumen!$V$94:$AH$100,AI1,0)</f>
        <v>0</v>
      </c>
      <c r="AJ129" s="65">
        <f>VLOOKUP($E$1,[9]Resumen!$V$94:$AH$100,AJ1,0)</f>
        <v>0</v>
      </c>
      <c r="AK129" s="65">
        <f t="shared" si="63"/>
        <v>0</v>
      </c>
      <c r="AL129" s="73">
        <f t="shared" si="80"/>
        <v>0</v>
      </c>
      <c r="AM129" s="14">
        <f t="shared" si="81"/>
        <v>-1</v>
      </c>
      <c r="AN129" s="9"/>
    </row>
    <row r="130" spans="1:40" ht="14.45" customHeight="1" outlineLevel="1">
      <c r="A130" s="12" t="s">
        <v>263</v>
      </c>
      <c r="B130" s="8" t="s">
        <v>88</v>
      </c>
      <c r="I130" s="246" t="s">
        <v>242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/>
      <c r="U130" s="65"/>
      <c r="V130" s="65">
        <f t="shared" si="78"/>
        <v>0</v>
      </c>
      <c r="W130" s="73">
        <f t="shared" si="79"/>
        <v>0</v>
      </c>
      <c r="X130" s="89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>
        <f t="shared" si="63"/>
        <v>0</v>
      </c>
      <c r="AL130" s="73">
        <f t="shared" si="80"/>
        <v>0</v>
      </c>
      <c r="AM130" s="14">
        <f t="shared" si="81"/>
        <v>0</v>
      </c>
      <c r="AN130" s="9"/>
    </row>
    <row r="131" spans="1:40" ht="14.45" customHeight="1" outlineLevel="1">
      <c r="A131" s="12" t="s">
        <v>263</v>
      </c>
      <c r="B131" s="8" t="s">
        <v>88</v>
      </c>
      <c r="I131" s="246" t="s">
        <v>243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f t="shared" si="78"/>
        <v>0</v>
      </c>
      <c r="W131" s="73">
        <f t="shared" si="79"/>
        <v>0</v>
      </c>
      <c r="X131" s="89"/>
      <c r="Y131" s="65">
        <f>VLOOKUP($E$1,[9]Resumen!$V$106:$AH$112,Y1,0)</f>
        <v>0</v>
      </c>
      <c r="Z131" s="65">
        <f>VLOOKUP($E$1,[9]Resumen!$V$106:$AH$112,Z1,0)</f>
        <v>0</v>
      </c>
      <c r="AA131" s="65">
        <f>VLOOKUP($E$1,[9]Resumen!$V$106:$AH$112,AA1,0)</f>
        <v>0</v>
      </c>
      <c r="AB131" s="65">
        <f>VLOOKUP($E$1,[9]Resumen!$V$106:$AH$112,AB1,0)</f>
        <v>0</v>
      </c>
      <c r="AC131" s="65">
        <f>VLOOKUP($E$1,[9]Resumen!$V$106:$AH$112,AC1,0)</f>
        <v>0</v>
      </c>
      <c r="AD131" s="65">
        <f>VLOOKUP($E$1,[9]Resumen!$V$106:$AH$112,AD1,0)</f>
        <v>0</v>
      </c>
      <c r="AE131" s="65">
        <f>VLOOKUP($E$1,[9]Resumen!$V$106:$AH$112,AE1,0)</f>
        <v>0</v>
      </c>
      <c r="AF131" s="65">
        <f>VLOOKUP($E$1,[9]Resumen!$V$106:$AH$112,AF1,0)</f>
        <v>0</v>
      </c>
      <c r="AG131" s="65">
        <f>VLOOKUP($E$1,[9]Resumen!$V$106:$AH$112,AG1,0)</f>
        <v>0</v>
      </c>
      <c r="AH131" s="65">
        <f>VLOOKUP($E$1,[9]Resumen!$V$106:$AH$112,AH1,0)</f>
        <v>0</v>
      </c>
      <c r="AI131" s="65">
        <f>VLOOKUP($E$1,[9]Resumen!$V$106:$AH$112,AI1,0)</f>
        <v>0</v>
      </c>
      <c r="AJ131" s="65">
        <f>VLOOKUP($E$1,[9]Resumen!$V$106:$AH$112,AJ1,0)</f>
        <v>0</v>
      </c>
      <c r="AK131" s="65">
        <f t="shared" si="63"/>
        <v>0</v>
      </c>
      <c r="AL131" s="73">
        <f t="shared" si="80"/>
        <v>0</v>
      </c>
      <c r="AM131" s="14">
        <f t="shared" si="81"/>
        <v>0</v>
      </c>
      <c r="AN131" s="9"/>
    </row>
    <row r="132" spans="1:40" ht="14.45" customHeight="1" outlineLevel="1">
      <c r="A132" s="12" t="s">
        <v>263</v>
      </c>
      <c r="B132" s="8" t="s">
        <v>88</v>
      </c>
      <c r="I132" s="246" t="s">
        <v>244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/>
      <c r="U132" s="65"/>
      <c r="V132" s="65">
        <f t="shared" si="78"/>
        <v>0</v>
      </c>
      <c r="W132" s="73">
        <f t="shared" si="79"/>
        <v>0</v>
      </c>
      <c r="X132" s="89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>
        <f t="shared" si="63"/>
        <v>0</v>
      </c>
      <c r="AL132" s="73">
        <f t="shared" si="80"/>
        <v>0</v>
      </c>
      <c r="AM132" s="14">
        <f t="shared" si="81"/>
        <v>0</v>
      </c>
      <c r="AN132" s="9"/>
    </row>
    <row r="133" spans="1:40" ht="14.45" customHeight="1" outlineLevel="1">
      <c r="A133" s="12" t="s">
        <v>263</v>
      </c>
      <c r="B133" s="8" t="s">
        <v>88</v>
      </c>
      <c r="I133" s="246" t="s">
        <v>245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/>
      <c r="U133" s="65"/>
      <c r="V133" s="65">
        <f t="shared" si="78"/>
        <v>0</v>
      </c>
      <c r="W133" s="73">
        <f t="shared" si="79"/>
        <v>0</v>
      </c>
      <c r="X133" s="89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>
        <f t="shared" si="63"/>
        <v>0</v>
      </c>
      <c r="AL133" s="73">
        <f t="shared" si="80"/>
        <v>0</v>
      </c>
      <c r="AM133" s="14">
        <f t="shared" si="81"/>
        <v>0</v>
      </c>
      <c r="AN133" s="9"/>
    </row>
    <row r="134" spans="1:40" ht="14.45" customHeight="1" outlineLevel="1">
      <c r="A134" s="12" t="s">
        <v>263</v>
      </c>
      <c r="B134" s="8" t="s">
        <v>88</v>
      </c>
      <c r="I134" s="246" t="s">
        <v>246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/>
      <c r="U134" s="65"/>
      <c r="V134" s="65">
        <f t="shared" si="78"/>
        <v>0</v>
      </c>
      <c r="W134" s="73">
        <f t="shared" si="79"/>
        <v>0</v>
      </c>
      <c r="X134" s="89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>
        <f t="shared" si="63"/>
        <v>0</v>
      </c>
      <c r="AL134" s="73">
        <f t="shared" si="80"/>
        <v>0</v>
      </c>
      <c r="AM134" s="14">
        <f t="shared" si="81"/>
        <v>0</v>
      </c>
      <c r="AN134" s="9"/>
    </row>
    <row r="135" spans="1:40" ht="14.45" customHeight="1" outlineLevel="1">
      <c r="A135" s="12" t="s">
        <v>263</v>
      </c>
      <c r="B135" s="8" t="s">
        <v>88</v>
      </c>
      <c r="C135" s="19" t="s">
        <v>268</v>
      </c>
      <c r="D135" s="12"/>
      <c r="E135" s="20"/>
      <c r="F135" s="12"/>
      <c r="G135" s="12"/>
      <c r="H135" s="12"/>
      <c r="I135" s="246" t="s">
        <v>247</v>
      </c>
      <c r="J135" s="65">
        <v>0</v>
      </c>
      <c r="K135" s="65">
        <v>5471</v>
      </c>
      <c r="L135" s="65">
        <v>0</v>
      </c>
      <c r="M135" s="65">
        <v>0</v>
      </c>
      <c r="N135" s="65">
        <v>0</v>
      </c>
      <c r="O135" s="65">
        <v>0</v>
      </c>
      <c r="P135" s="65">
        <v>2954</v>
      </c>
      <c r="Q135" s="65">
        <v>0</v>
      </c>
      <c r="R135" s="65">
        <v>0</v>
      </c>
      <c r="S135" s="65">
        <v>0</v>
      </c>
      <c r="T135" s="65">
        <v>1539.2</v>
      </c>
      <c r="U135" s="65">
        <v>0</v>
      </c>
      <c r="V135" s="65">
        <f t="shared" si="78"/>
        <v>9964.2000000000007</v>
      </c>
      <c r="W135" s="73">
        <f t="shared" si="79"/>
        <v>7.0184928620156117E-5</v>
      </c>
      <c r="X135" s="89"/>
      <c r="Y135" s="65">
        <f>VLOOKUP($E$1,[6]Resumen!$C$21:$O$27,Y1,0)+VLOOKUP($E$1,[9]Resumen!$V$118:$AH$124,Y1,0)</f>
        <v>1600</v>
      </c>
      <c r="Z135" s="65">
        <f>VLOOKUP($E$1,[6]Resumen!$C$21:$O$27,Z1,0)+VLOOKUP($E$1,[9]Resumen!$V$118:$AH$124,Z1,0)</f>
        <v>1600</v>
      </c>
      <c r="AA135" s="65">
        <f>VLOOKUP($E$1,[6]Resumen!$C$21:$O$27,AA1,0)+VLOOKUP($E$1,[9]Resumen!$V$118:$AH$124,AA1,0)</f>
        <v>0</v>
      </c>
      <c r="AB135" s="65">
        <f>VLOOKUP($E$1,[6]Resumen!$C$21:$O$27,AB1,0)+VLOOKUP($E$1,[9]Resumen!$V$118:$AH$124,AB1,0)</f>
        <v>0</v>
      </c>
      <c r="AC135" s="65">
        <f>VLOOKUP($E$1,[6]Resumen!$C$21:$O$27,AC1,0)+VLOOKUP($E$1,[9]Resumen!$V$118:$AH$124,AC1,0)</f>
        <v>1600</v>
      </c>
      <c r="AD135" s="65">
        <f>VLOOKUP($E$1,[6]Resumen!$C$21:$O$27,AD1,0)+VLOOKUP($E$1,[9]Resumen!$V$118:$AH$124,AD1,0)</f>
        <v>0</v>
      </c>
      <c r="AE135" s="65">
        <f>VLOOKUP($E$1,[6]Resumen!$C$21:$O$27,AE1,0)+VLOOKUP($E$1,[9]Resumen!$V$118:$AH$124,AE1,0)</f>
        <v>1600</v>
      </c>
      <c r="AF135" s="65">
        <f>VLOOKUP($E$1,[6]Resumen!$C$21:$O$27,AF1,0)+VLOOKUP($E$1,[9]Resumen!$V$118:$AH$124,AF1,0)</f>
        <v>1600</v>
      </c>
      <c r="AG135" s="65">
        <f>VLOOKUP($E$1,[6]Resumen!$C$21:$O$27,AG1,0)+VLOOKUP($E$1,[9]Resumen!$V$118:$AH$124,AG1,0)</f>
        <v>0</v>
      </c>
      <c r="AH135" s="65">
        <f>VLOOKUP($E$1,[6]Resumen!$C$21:$O$27,AH1,0)+VLOOKUP($E$1,[9]Resumen!$V$118:$AH$124,AH1,0)</f>
        <v>0</v>
      </c>
      <c r="AI135" s="65">
        <f>VLOOKUP($E$1,[6]Resumen!$C$21:$O$27,AI1,0)+VLOOKUP($E$1,[9]Resumen!$V$118:$AH$124,AI1,0)</f>
        <v>1600</v>
      </c>
      <c r="AJ135" s="65">
        <f>VLOOKUP($E$1,[6]Resumen!$C$21:$O$27,AJ1,0)+VLOOKUP($E$1,[9]Resumen!$V$118:$AH$124,AJ1,0)</f>
        <v>0</v>
      </c>
      <c r="AK135" s="65">
        <f t="shared" si="63"/>
        <v>9600</v>
      </c>
      <c r="AL135" s="73">
        <f t="shared" si="80"/>
        <v>5.9657303330845659E-5</v>
      </c>
      <c r="AM135" s="14">
        <f t="shared" si="81"/>
        <v>-3.6550852050340255E-2</v>
      </c>
      <c r="AN135" s="9"/>
    </row>
    <row r="136" spans="1:40" ht="14.45" customHeight="1" outlineLevel="1">
      <c r="A136" s="12" t="s">
        <v>263</v>
      </c>
      <c r="B136" s="8" t="s">
        <v>88</v>
      </c>
      <c r="I136" s="246" t="s">
        <v>249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/>
      <c r="U136" s="65"/>
      <c r="V136" s="65">
        <f t="shared" si="77"/>
        <v>0</v>
      </c>
      <c r="W136" s="73">
        <f t="shared" si="27"/>
        <v>0</v>
      </c>
      <c r="X136" s="89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>
        <f t="shared" si="63"/>
        <v>0</v>
      </c>
      <c r="AL136" s="73">
        <f t="shared" si="29"/>
        <v>0</v>
      </c>
      <c r="AM136" s="14">
        <f t="shared" si="30"/>
        <v>0</v>
      </c>
      <c r="AN136" s="9"/>
    </row>
    <row r="137" spans="1:40" ht="14.45" customHeight="1" outlineLevel="1">
      <c r="A137" s="12"/>
      <c r="I137" s="246" t="s">
        <v>250</v>
      </c>
      <c r="J137" s="65">
        <v>0</v>
      </c>
      <c r="K137" s="65">
        <v>0</v>
      </c>
      <c r="L137" s="65">
        <v>0</v>
      </c>
      <c r="M137" s="65">
        <v>705</v>
      </c>
      <c r="N137" s="65">
        <v>246</v>
      </c>
      <c r="O137" s="65">
        <v>0</v>
      </c>
      <c r="P137" s="65">
        <v>0</v>
      </c>
      <c r="Q137" s="65">
        <v>427</v>
      </c>
      <c r="R137" s="65">
        <v>0</v>
      </c>
      <c r="S137" s="65">
        <v>0</v>
      </c>
      <c r="T137" s="65">
        <v>0</v>
      </c>
      <c r="U137" s="65">
        <v>0</v>
      </c>
      <c r="V137" s="65">
        <f t="shared" si="77"/>
        <v>1378</v>
      </c>
      <c r="W137" s="73">
        <f t="shared" si="27"/>
        <v>9.7062314725291662E-6</v>
      </c>
      <c r="X137" s="89"/>
      <c r="Y137" s="65">
        <f>VLOOKUP($E$1,[9]Resumen!$V$130:$AH$136,Y1,0)</f>
        <v>0</v>
      </c>
      <c r="Z137" s="65">
        <f>VLOOKUP($E$1,[9]Resumen!$V$130:$AH$136,Z1,0)</f>
        <v>0</v>
      </c>
      <c r="AA137" s="65">
        <f>VLOOKUP($E$1,[9]Resumen!$V$130:$AH$136,AA1,0)</f>
        <v>10438.403844</v>
      </c>
      <c r="AB137" s="65">
        <f>VLOOKUP($E$1,[9]Resumen!$V$130:$AH$136,AB1,0)</f>
        <v>0</v>
      </c>
      <c r="AC137" s="65">
        <f>VLOOKUP($E$1,[9]Resumen!$V$130:$AH$136,AC1,0)</f>
        <v>0</v>
      </c>
      <c r="AD137" s="65">
        <f>VLOOKUP($E$1,[9]Resumen!$V$130:$AH$136,AD1,0)</f>
        <v>0</v>
      </c>
      <c r="AE137" s="65">
        <f>VLOOKUP($E$1,[9]Resumen!$V$130:$AH$136,AE1,0)</f>
        <v>0</v>
      </c>
      <c r="AF137" s="65">
        <f>VLOOKUP($E$1,[9]Resumen!$V$130:$AH$136,AF1,0)</f>
        <v>10438.403844</v>
      </c>
      <c r="AG137" s="65">
        <f>VLOOKUP($E$1,[9]Resumen!$V$130:$AH$136,AG1,0)</f>
        <v>0</v>
      </c>
      <c r="AH137" s="65">
        <f>VLOOKUP($E$1,[9]Resumen!$V$130:$AH$136,AH1,0)</f>
        <v>0</v>
      </c>
      <c r="AI137" s="65">
        <f>VLOOKUP($E$1,[9]Resumen!$V$130:$AH$136,AI1,0)</f>
        <v>0</v>
      </c>
      <c r="AJ137" s="65">
        <f>VLOOKUP($E$1,[9]Resumen!$V$130:$AH$136,AJ1,0)</f>
        <v>0</v>
      </c>
      <c r="AK137" s="65">
        <f t="shared" si="63"/>
        <v>20876.807688000001</v>
      </c>
      <c r="AL137" s="73">
        <f t="shared" si="29"/>
        <v>1.2973479675236943E-4</v>
      </c>
      <c r="AM137" s="14">
        <f t="shared" si="30"/>
        <v>14.15007814804064</v>
      </c>
      <c r="AN137" s="9"/>
    </row>
    <row r="138" spans="1:40" ht="14.45" customHeight="1" outlineLevel="1">
      <c r="I138" s="246" t="s">
        <v>251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/>
      <c r="U138" s="65"/>
      <c r="V138" s="65">
        <f t="shared" si="77"/>
        <v>0</v>
      </c>
      <c r="W138" s="73">
        <f t="shared" si="27"/>
        <v>0</v>
      </c>
      <c r="X138" s="89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>
        <f t="shared" si="63"/>
        <v>0</v>
      </c>
      <c r="AL138" s="73">
        <f t="shared" si="29"/>
        <v>0</v>
      </c>
      <c r="AM138" s="14">
        <f t="shared" si="30"/>
        <v>0</v>
      </c>
      <c r="AN138" s="9"/>
    </row>
    <row r="139" spans="1:40" ht="14.45" customHeight="1" outlineLevel="1">
      <c r="I139" s="246" t="s">
        <v>252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/>
      <c r="U139" s="65"/>
      <c r="V139" s="65">
        <f t="shared" si="77"/>
        <v>0</v>
      </c>
      <c r="W139" s="73">
        <f t="shared" si="27"/>
        <v>0</v>
      </c>
      <c r="X139" s="89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>
        <f t="shared" si="63"/>
        <v>0</v>
      </c>
      <c r="AL139" s="73">
        <f t="shared" si="29"/>
        <v>0</v>
      </c>
      <c r="AM139" s="14">
        <f t="shared" si="30"/>
        <v>0</v>
      </c>
      <c r="AN139" s="9"/>
    </row>
    <row r="140" spans="1:40" ht="14.45" customHeight="1" outlineLevel="1">
      <c r="I140" s="246" t="s">
        <v>253</v>
      </c>
      <c r="J140" s="65">
        <v>0</v>
      </c>
      <c r="K140" s="65">
        <v>0</v>
      </c>
      <c r="L140" s="65">
        <v>5850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f t="shared" si="77"/>
        <v>5850</v>
      </c>
      <c r="W140" s="73">
        <f t="shared" si="27"/>
        <v>4.1205699647529476E-5</v>
      </c>
      <c r="X140" s="89"/>
      <c r="Y140" s="65">
        <f>VLOOKUP($E$1,[9]Resumen!$V$142:$AH$148,Y1,0)</f>
        <v>0</v>
      </c>
      <c r="Z140" s="65">
        <f>VLOOKUP($E$1,[9]Resumen!$V$142:$AH$148,Z1,0)</f>
        <v>0</v>
      </c>
      <c r="AA140" s="65">
        <f>VLOOKUP($E$1,[9]Resumen!$V$142:$AH$148,AA1,0)</f>
        <v>6055.3349999999991</v>
      </c>
      <c r="AB140" s="65">
        <f>VLOOKUP($E$1,[9]Resumen!$V$142:$AH$148,AB1,0)</f>
        <v>0</v>
      </c>
      <c r="AC140" s="65">
        <f>VLOOKUP($E$1,[9]Resumen!$V$142:$AH$148,AC1,0)</f>
        <v>0</v>
      </c>
      <c r="AD140" s="65">
        <f>VLOOKUP($E$1,[9]Resumen!$V$142:$AH$148,AD1,0)</f>
        <v>0</v>
      </c>
      <c r="AE140" s="65">
        <f>VLOOKUP($E$1,[9]Resumen!$V$142:$AH$148,AE1,0)</f>
        <v>0</v>
      </c>
      <c r="AF140" s="65">
        <f>VLOOKUP($E$1,[9]Resumen!$V$142:$AH$148,AF1,0)</f>
        <v>0</v>
      </c>
      <c r="AG140" s="65">
        <f>VLOOKUP($E$1,[9]Resumen!$V$142:$AH$148,AG1,0)</f>
        <v>0</v>
      </c>
      <c r="AH140" s="65">
        <f>VLOOKUP($E$1,[9]Resumen!$V$142:$AH$148,AH1,0)</f>
        <v>0</v>
      </c>
      <c r="AI140" s="65">
        <f>VLOOKUP($E$1,[9]Resumen!$V$142:$AH$148,AI1,0)</f>
        <v>0</v>
      </c>
      <c r="AJ140" s="65">
        <f>VLOOKUP($E$1,[9]Resumen!$V$142:$AH$148,AJ1,0)</f>
        <v>0</v>
      </c>
      <c r="AK140" s="65">
        <f t="shared" si="63"/>
        <v>6055.3349999999991</v>
      </c>
      <c r="AL140" s="73">
        <f t="shared" si="29"/>
        <v>3.7629683006758981E-5</v>
      </c>
      <c r="AM140" s="14">
        <f t="shared" si="30"/>
        <v>3.5099999999999909E-2</v>
      </c>
      <c r="AN140" s="9"/>
    </row>
    <row r="141" spans="1:40" ht="15.6" customHeight="1" outlineLevel="1">
      <c r="I141" s="246" t="s">
        <v>254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f t="shared" si="77"/>
        <v>0</v>
      </c>
      <c r="W141" s="73">
        <f t="shared" si="27"/>
        <v>0</v>
      </c>
      <c r="X141" s="89"/>
      <c r="Y141" s="65">
        <f>VLOOKUP($E$1,[9]Resumen!$V$154:$AH$160,Y1,0)</f>
        <v>0</v>
      </c>
      <c r="Z141" s="65">
        <f>VLOOKUP($E$1,[9]Resumen!$V$154:$AH$160,Z1,0)</f>
        <v>0</v>
      </c>
      <c r="AA141" s="65">
        <f>VLOOKUP($E$1,[9]Resumen!$V$154:$AH$160,AA1,0)</f>
        <v>0</v>
      </c>
      <c r="AB141" s="65">
        <f>VLOOKUP($E$1,[9]Resumen!$V$154:$AH$160,AB1,0)</f>
        <v>0</v>
      </c>
      <c r="AC141" s="65">
        <f>VLOOKUP($E$1,[9]Resumen!$V$154:$AH$160,AC1,0)</f>
        <v>0</v>
      </c>
      <c r="AD141" s="65">
        <f>VLOOKUP($E$1,[9]Resumen!$V$154:$AH$160,AD1,0)</f>
        <v>0</v>
      </c>
      <c r="AE141" s="65">
        <f>VLOOKUP($E$1,[9]Resumen!$V$154:$AH$160,AE1,0)</f>
        <v>0</v>
      </c>
      <c r="AF141" s="65">
        <f>VLOOKUP($E$1,[9]Resumen!$V$154:$AH$160,AF1,0)</f>
        <v>0</v>
      </c>
      <c r="AG141" s="65">
        <f>VLOOKUP($E$1,[9]Resumen!$V$154:$AH$160,AG1,0)</f>
        <v>0</v>
      </c>
      <c r="AH141" s="65">
        <f>VLOOKUP($E$1,[9]Resumen!$V$154:$AH$160,AH1,0)</f>
        <v>0</v>
      </c>
      <c r="AI141" s="65">
        <f>VLOOKUP($E$1,[9]Resumen!$V$154:$AH$160,AI1,0)</f>
        <v>0</v>
      </c>
      <c r="AJ141" s="65">
        <f>VLOOKUP($E$1,[9]Resumen!$V$154:$AH$160,AJ1,0)</f>
        <v>0</v>
      </c>
      <c r="AK141" s="65">
        <f t="shared" si="63"/>
        <v>0</v>
      </c>
      <c r="AL141" s="73">
        <f t="shared" si="29"/>
        <v>0</v>
      </c>
      <c r="AM141" s="14">
        <f t="shared" si="30"/>
        <v>0</v>
      </c>
      <c r="AN141" s="9"/>
    </row>
    <row r="142" spans="1:40" ht="14.45" customHeight="1" outlineLevel="1">
      <c r="I142" s="246" t="s">
        <v>255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f t="shared" si="77"/>
        <v>0</v>
      </c>
      <c r="W142" s="73">
        <f t="shared" si="27"/>
        <v>0</v>
      </c>
      <c r="X142" s="89"/>
      <c r="Y142" s="65">
        <f>VLOOKUP($E$1,[9]Resumen!$V$166:$AH$172,Y1,0)</f>
        <v>0</v>
      </c>
      <c r="Z142" s="65">
        <f>VLOOKUP($E$1,[9]Resumen!$V$166:$AH$172,Z1,0)</f>
        <v>0</v>
      </c>
      <c r="AA142" s="65">
        <f>VLOOKUP($E$1,[9]Resumen!$V$166:$AH$172,AA1,0)</f>
        <v>0</v>
      </c>
      <c r="AB142" s="65">
        <f>VLOOKUP($E$1,[9]Resumen!$V$166:$AH$172,AB1,0)</f>
        <v>2070.1999999999998</v>
      </c>
      <c r="AC142" s="65">
        <f>VLOOKUP($E$1,[9]Resumen!$V$166:$AH$172,AC1,0)</f>
        <v>0</v>
      </c>
      <c r="AD142" s="65">
        <f>VLOOKUP($E$1,[9]Resumen!$V$166:$AH$172,AD1,0)</f>
        <v>0</v>
      </c>
      <c r="AE142" s="65">
        <f>VLOOKUP($E$1,[9]Resumen!$V$166:$AH$172,AE1,0)</f>
        <v>2070.1999999999998</v>
      </c>
      <c r="AF142" s="65">
        <f>VLOOKUP($E$1,[9]Resumen!$V$166:$AH$172,AF1,0)</f>
        <v>0</v>
      </c>
      <c r="AG142" s="65">
        <f>VLOOKUP($E$1,[9]Resumen!$V$166:$AH$172,AG1,0)</f>
        <v>0</v>
      </c>
      <c r="AH142" s="65">
        <f>VLOOKUP($E$1,[9]Resumen!$V$166:$AH$172,AH1,0)</f>
        <v>0</v>
      </c>
      <c r="AI142" s="65">
        <f>VLOOKUP($E$1,[9]Resumen!$V$166:$AH$172,AI1,0)</f>
        <v>0</v>
      </c>
      <c r="AJ142" s="65">
        <f>VLOOKUP($E$1,[9]Resumen!$V$166:$AH$172,AJ1,0)</f>
        <v>0</v>
      </c>
      <c r="AK142" s="65">
        <f t="shared" si="63"/>
        <v>4140.3999999999996</v>
      </c>
      <c r="AL142" s="73">
        <f t="shared" si="29"/>
        <v>2.5729697782399306E-5</v>
      </c>
      <c r="AM142" s="14">
        <f t="shared" si="30"/>
        <v>0</v>
      </c>
      <c r="AN142" s="9"/>
    </row>
    <row r="143" spans="1:40" ht="15" outlineLevel="1">
      <c r="I143" s="246" t="s">
        <v>256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/>
      <c r="U143" s="65"/>
      <c r="V143" s="65">
        <f t="shared" si="77"/>
        <v>0</v>
      </c>
      <c r="W143" s="73">
        <f t="shared" si="27"/>
        <v>0</v>
      </c>
      <c r="X143" s="89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>
        <f t="shared" si="63"/>
        <v>0</v>
      </c>
      <c r="AL143" s="73">
        <f t="shared" si="29"/>
        <v>0</v>
      </c>
      <c r="AM143" s="14">
        <f t="shared" si="30"/>
        <v>0</v>
      </c>
    </row>
    <row r="144" spans="1:40" ht="15" outlineLevel="1">
      <c r="I144" s="246" t="s">
        <v>257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2860</v>
      </c>
      <c r="R144" s="65">
        <v>0</v>
      </c>
      <c r="S144" s="65">
        <v>2860</v>
      </c>
      <c r="T144" s="65">
        <v>0</v>
      </c>
      <c r="U144" s="65">
        <v>2636.4</v>
      </c>
      <c r="V144" s="65">
        <f t="shared" si="77"/>
        <v>8356.4</v>
      </c>
      <c r="W144" s="73">
        <f t="shared" si="27"/>
        <v>5.8860052740959883E-5</v>
      </c>
      <c r="X144" s="89"/>
      <c r="Y144" s="65">
        <f>VLOOKUP($E$1,[9]Resumen!$V$178:$AH$184,Y1,0)</f>
        <v>0</v>
      </c>
      <c r="Z144" s="65">
        <f>VLOOKUP($E$1,[9]Resumen!$V$178:$AH$184,Z1,0)</f>
        <v>7349.2099999999991</v>
      </c>
      <c r="AA144" s="65">
        <f>VLOOKUP($E$1,[9]Resumen!$V$178:$AH$184,AA1,0)</f>
        <v>0</v>
      </c>
      <c r="AB144" s="65">
        <f>VLOOKUP($E$1,[9]Resumen!$V$178:$AH$184,AB1,0)</f>
        <v>0</v>
      </c>
      <c r="AC144" s="65">
        <f>VLOOKUP($E$1,[9]Resumen!$V$178:$AH$184,AC1,0)</f>
        <v>7349.2099999999991</v>
      </c>
      <c r="AD144" s="65">
        <f>VLOOKUP($E$1,[9]Resumen!$V$178:$AH$184,AD1,0)</f>
        <v>0</v>
      </c>
      <c r="AE144" s="65">
        <f>VLOOKUP($E$1,[9]Resumen!$V$178:$AH$184,AE1,0)</f>
        <v>0</v>
      </c>
      <c r="AF144" s="65">
        <f>VLOOKUP($E$1,[9]Resumen!$V$178:$AH$184,AF1,0)</f>
        <v>7349.2099999999991</v>
      </c>
      <c r="AG144" s="65">
        <f>VLOOKUP($E$1,[9]Resumen!$V$178:$AH$184,AG1,0)</f>
        <v>0</v>
      </c>
      <c r="AH144" s="65">
        <f>VLOOKUP($E$1,[9]Resumen!$V$178:$AH$184,AH1,0)</f>
        <v>0</v>
      </c>
      <c r="AI144" s="65">
        <f>VLOOKUP($E$1,[9]Resumen!$V$178:$AH$184,AI1,0)</f>
        <v>7349.2099999999991</v>
      </c>
      <c r="AJ144" s="65">
        <f>VLOOKUP($E$1,[9]Resumen!$V$178:$AH$184,AJ1,0)</f>
        <v>0</v>
      </c>
      <c r="AK144" s="65">
        <f t="shared" si="63"/>
        <v>29396.839999999997</v>
      </c>
      <c r="AL144" s="73">
        <f t="shared" si="29"/>
        <v>1.8268085425503507E-4</v>
      </c>
      <c r="AM144" s="14">
        <f t="shared" si="30"/>
        <v>2.5178832990282896</v>
      </c>
    </row>
    <row r="145" spans="9:39" ht="15" outlineLevel="1">
      <c r="I145" s="246" t="s">
        <v>258</v>
      </c>
      <c r="J145" s="65">
        <v>0</v>
      </c>
      <c r="K145" s="65">
        <v>0</v>
      </c>
      <c r="L145" s="65">
        <v>0</v>
      </c>
      <c r="M145" s="65">
        <v>1800</v>
      </c>
      <c r="N145" s="65">
        <v>4740</v>
      </c>
      <c r="O145" s="65">
        <v>0</v>
      </c>
      <c r="P145" s="65">
        <v>0</v>
      </c>
      <c r="Q145" s="65">
        <v>900</v>
      </c>
      <c r="R145" s="65">
        <v>0</v>
      </c>
      <c r="S145" s="65">
        <v>900</v>
      </c>
      <c r="T145" s="65">
        <v>0</v>
      </c>
      <c r="U145" s="65">
        <v>1040</v>
      </c>
      <c r="V145" s="65">
        <f t="shared" si="77"/>
        <v>9380</v>
      </c>
      <c r="W145" s="73">
        <f t="shared" si="27"/>
        <v>6.6069993622876327E-5</v>
      </c>
      <c r="X145" s="89"/>
      <c r="Y145" s="65">
        <f>VLOOKUP($E$1,[9]Resumen!$V$190:$AH$196,Y1,0)</f>
        <v>0</v>
      </c>
      <c r="Z145" s="65">
        <f>VLOOKUP($E$1,[9]Resumen!$V$190:$AH$196,Z1,0)</f>
        <v>1469.8419999999999</v>
      </c>
      <c r="AA145" s="65">
        <f>VLOOKUP($E$1,[9]Resumen!$V$190:$AH$196,AA1,0)</f>
        <v>0</v>
      </c>
      <c r="AB145" s="65">
        <f>VLOOKUP($E$1,[9]Resumen!$V$190:$AH$196,AB1,0)</f>
        <v>0</v>
      </c>
      <c r="AC145" s="65">
        <f>VLOOKUP($E$1,[9]Resumen!$V$190:$AH$196,AC1,0)</f>
        <v>1469.8419999999999</v>
      </c>
      <c r="AD145" s="65">
        <f>VLOOKUP($E$1,[9]Resumen!$V$190:$AH$196,AD1,0)</f>
        <v>0</v>
      </c>
      <c r="AE145" s="65">
        <f>VLOOKUP($E$1,[9]Resumen!$V$190:$AH$196,AE1,0)</f>
        <v>0</v>
      </c>
      <c r="AF145" s="65">
        <f>VLOOKUP($E$1,[9]Resumen!$V$190:$AH$196,AF1,0)</f>
        <v>1469.8419999999999</v>
      </c>
      <c r="AG145" s="65">
        <f>VLOOKUP($E$1,[9]Resumen!$V$190:$AH$196,AG1,0)</f>
        <v>0</v>
      </c>
      <c r="AH145" s="65">
        <f>VLOOKUP($E$1,[9]Resumen!$V$190:$AH$196,AH1,0)</f>
        <v>0</v>
      </c>
      <c r="AI145" s="65">
        <f>VLOOKUP($E$1,[9]Resumen!$V$190:$AH$196,AI1,0)</f>
        <v>1469.8419999999999</v>
      </c>
      <c r="AJ145" s="65">
        <f>VLOOKUP($E$1,[9]Resumen!$V$190:$AH$196,AJ1,0)</f>
        <v>0</v>
      </c>
      <c r="AK145" s="65">
        <f t="shared" si="63"/>
        <v>5879.3679999999995</v>
      </c>
      <c r="AL145" s="73">
        <f t="shared" si="29"/>
        <v>3.6536170851007011E-5</v>
      </c>
      <c r="AM145" s="14">
        <f t="shared" ref="AM145:AM165" si="82">IFERROR(AK145/V145-1,0)</f>
        <v>-0.37320170575692968</v>
      </c>
    </row>
    <row r="146" spans="9:39" ht="15" outlineLevel="1">
      <c r="I146" s="246" t="s">
        <v>259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/>
      <c r="U146" s="65"/>
      <c r="V146" s="65">
        <f t="shared" si="77"/>
        <v>0</v>
      </c>
      <c r="W146" s="73">
        <f t="shared" si="27"/>
        <v>0</v>
      </c>
      <c r="X146" s="89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>
        <f t="shared" si="63"/>
        <v>0</v>
      </c>
      <c r="AL146" s="73">
        <f t="shared" si="29"/>
        <v>0</v>
      </c>
      <c r="AM146" s="14">
        <f t="shared" si="82"/>
        <v>0</v>
      </c>
    </row>
    <row r="147" spans="9:39" ht="15" outlineLevel="1">
      <c r="I147" s="251" t="s">
        <v>260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/>
      <c r="U147" s="65"/>
      <c r="V147" s="65">
        <f t="shared" si="77"/>
        <v>0</v>
      </c>
      <c r="W147" s="73">
        <f t="shared" si="27"/>
        <v>0</v>
      </c>
      <c r="X147" s="89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>
        <f t="shared" si="63"/>
        <v>0</v>
      </c>
      <c r="AL147" s="73">
        <f t="shared" si="29"/>
        <v>0</v>
      </c>
      <c r="AM147" s="14">
        <f t="shared" si="82"/>
        <v>0</v>
      </c>
    </row>
    <row r="148" spans="9:39" ht="15" outlineLevel="1">
      <c r="I148" s="251" t="s">
        <v>261</v>
      </c>
      <c r="J148" s="65"/>
      <c r="K148" s="65">
        <v>0</v>
      </c>
      <c r="L148" s="65"/>
      <c r="M148" s="65"/>
      <c r="N148" s="65"/>
      <c r="O148" s="65">
        <v>0</v>
      </c>
      <c r="P148" s="65"/>
      <c r="Q148" s="65"/>
      <c r="R148" s="65"/>
      <c r="S148" s="65"/>
      <c r="T148" s="65">
        <v>0</v>
      </c>
      <c r="U148" s="65">
        <v>3640</v>
      </c>
      <c r="V148" s="65">
        <f t="shared" si="77"/>
        <v>3640</v>
      </c>
      <c r="W148" s="73">
        <f t="shared" si="27"/>
        <v>2.5639102002907233E-5</v>
      </c>
      <c r="X148" s="89"/>
      <c r="Y148" s="65">
        <f>VLOOKUP($E$1,[9]Resumen!$V$214:$AH$220,Y1,0)</f>
        <v>0</v>
      </c>
      <c r="Z148" s="65">
        <f>VLOOKUP($E$1,[9]Resumen!$V$214:$AH$220,Z1,0)</f>
        <v>0</v>
      </c>
      <c r="AA148" s="65">
        <f>VLOOKUP($E$1,[9]Resumen!$V$214:$AH$220,AA1,0)</f>
        <v>0</v>
      </c>
      <c r="AB148" s="65">
        <f>VLOOKUP($E$1,[9]Resumen!$V$214:$AH$220,AB1,0)</f>
        <v>0</v>
      </c>
      <c r="AC148" s="65">
        <f>VLOOKUP($E$1,[9]Resumen!$V$214:$AH$220,AC1,0)</f>
        <v>0</v>
      </c>
      <c r="AD148" s="65">
        <f>VLOOKUP($E$1,[9]Resumen!$V$214:$AH$220,AD1,0)</f>
        <v>0</v>
      </c>
      <c r="AE148" s="65">
        <f>VLOOKUP($E$1,[9]Resumen!$V$214:$AH$220,AE1,0)</f>
        <v>0</v>
      </c>
      <c r="AF148" s="65">
        <f>VLOOKUP($E$1,[9]Resumen!$V$214:$AH$220,AF1,0)</f>
        <v>0</v>
      </c>
      <c r="AG148" s="65">
        <f>VLOOKUP($E$1,[9]Resumen!$V$214:$AH$220,AG1,0)</f>
        <v>0</v>
      </c>
      <c r="AH148" s="65">
        <f>VLOOKUP($E$1,[9]Resumen!$V$214:$AH$220,AH1,0)</f>
        <v>0</v>
      </c>
      <c r="AI148" s="65">
        <f>VLOOKUP($E$1,[9]Resumen!$V$214:$AH$220,AI1,0)</f>
        <v>0</v>
      </c>
      <c r="AJ148" s="65">
        <f>VLOOKUP($E$1,[9]Resumen!$V$214:$AH$220,AJ1,0)</f>
        <v>3208.8099999999995</v>
      </c>
      <c r="AK148" s="65">
        <f t="shared" si="63"/>
        <v>3208.8099999999995</v>
      </c>
      <c r="AL148" s="73">
        <f t="shared" si="29"/>
        <v>1.9940515781359462E-5</v>
      </c>
      <c r="AM148" s="14">
        <f t="shared" si="82"/>
        <v>-0.11845879120879133</v>
      </c>
    </row>
    <row r="149" spans="9:39" ht="15" outlineLevel="1">
      <c r="I149" s="290" t="s">
        <v>464</v>
      </c>
      <c r="J149" s="65"/>
      <c r="K149" s="65"/>
      <c r="L149" s="65"/>
      <c r="M149" s="65"/>
      <c r="N149" s="65"/>
      <c r="O149" s="65">
        <v>22500</v>
      </c>
      <c r="P149" s="65"/>
      <c r="Q149" s="65"/>
      <c r="R149" s="65"/>
      <c r="S149" s="65"/>
      <c r="T149" s="65"/>
      <c r="U149" s="65"/>
      <c r="V149" s="65">
        <f t="shared" ref="V149" si="83">SUM(J149:U149)</f>
        <v>22500</v>
      </c>
      <c r="W149" s="73"/>
      <c r="X149" s="89"/>
      <c r="Y149" s="65">
        <f>VLOOKUP($E$1,[9]Detalle!$C$150:$O$156,Y1,0)</f>
        <v>0</v>
      </c>
      <c r="Z149" s="65">
        <f>VLOOKUP($E$1,[9]Detalle!$C$150:$O$156,Z1,0)</f>
        <v>0</v>
      </c>
      <c r="AA149" s="65">
        <f>VLOOKUP($E$1,[9]Detalle!$C$150:$O$156,AA1,0)</f>
        <v>0</v>
      </c>
      <c r="AB149" s="65">
        <f>VLOOKUP($E$1,[9]Detalle!$C$150:$O$156,AB1,0)</f>
        <v>0</v>
      </c>
      <c r="AC149" s="65">
        <f>VLOOKUP($E$1,[9]Detalle!$C$150:$O$156,AC1,0)</f>
        <v>0</v>
      </c>
      <c r="AD149" s="65">
        <f>VLOOKUP($E$1,[9]Detalle!$C$150:$O$156,AD1,0)</f>
        <v>0</v>
      </c>
      <c r="AE149" s="65">
        <f>VLOOKUP($E$1,[9]Detalle!$C$150:$O$156,AE1,0)</f>
        <v>0</v>
      </c>
      <c r="AF149" s="65">
        <f>VLOOKUP($E$1,[9]Detalle!$C$150:$O$156,AF1,0)</f>
        <v>0</v>
      </c>
      <c r="AG149" s="65">
        <f>VLOOKUP($E$1,[9]Detalle!$C$150:$O$156,AG1,0)</f>
        <v>0</v>
      </c>
      <c r="AH149" s="65">
        <f>VLOOKUP($E$1,[9]Detalle!$C$150:$O$156,AH1,0)</f>
        <v>0</v>
      </c>
      <c r="AI149" s="65">
        <f>VLOOKUP($E$1,[9]Detalle!$C$150:$O$156,AI1,0)</f>
        <v>0</v>
      </c>
      <c r="AJ149" s="65">
        <f>VLOOKUP($E$1,[9]Detalle!$C$150:$O$156,AJ1,0)</f>
        <v>0</v>
      </c>
      <c r="AK149" s="65">
        <f t="shared" ref="AK149" si="84">SUM(Y149:AJ149)</f>
        <v>0</v>
      </c>
      <c r="AL149" s="73">
        <f t="shared" ref="AL149" si="85">AK149/AK$6</f>
        <v>0</v>
      </c>
      <c r="AM149" s="14">
        <f t="shared" ref="AM149" si="86">IFERROR(AK149/V149-1,0)</f>
        <v>-1</v>
      </c>
    </row>
    <row r="150" spans="9:39" ht="15" outlineLevel="1">
      <c r="I150" s="246" t="s">
        <v>262</v>
      </c>
      <c r="J150" s="65">
        <v>200290</v>
      </c>
      <c r="K150" s="65">
        <v>15927</v>
      </c>
      <c r="L150" s="65">
        <v>98515</v>
      </c>
      <c r="M150" s="65">
        <v>125595</v>
      </c>
      <c r="N150" s="65">
        <v>132519</v>
      </c>
      <c r="O150" s="65">
        <v>94937</v>
      </c>
      <c r="P150" s="65">
        <v>123751</v>
      </c>
      <c r="Q150" s="65">
        <v>140100</v>
      </c>
      <c r="R150" s="65">
        <v>38153</v>
      </c>
      <c r="S150" s="65">
        <v>27850</v>
      </c>
      <c r="T150" s="65">
        <v>118950.45967026541</v>
      </c>
      <c r="U150" s="65">
        <v>117521.53858517403</v>
      </c>
      <c r="V150" s="65">
        <f t="shared" si="77"/>
        <v>1234108.9982554396</v>
      </c>
      <c r="W150" s="73"/>
      <c r="X150" s="89"/>
      <c r="Y150" s="65">
        <f>+Z150</f>
        <v>106189.592634396</v>
      </c>
      <c r="Z150" s="65">
        <f>((Y40*3.41*4.5%)+(Y41*2.89*4.5%))+((Z7+Z8)*0.03*5.5%)</f>
        <v>106189.592634396</v>
      </c>
      <c r="AA150" s="65">
        <f t="shared" ref="AA150:AJ150" si="87">((Z40*3.41*4.5%)+(Z41*2.89*4.5%))+((AA7+AA8)*0.03*5.5%)</f>
        <v>105577.65929502388</v>
      </c>
      <c r="AB150" s="65">
        <f t="shared" si="87"/>
        <v>115791.84741391451</v>
      </c>
      <c r="AC150" s="65">
        <f t="shared" si="87"/>
        <v>110281.30981756764</v>
      </c>
      <c r="AD150" s="65">
        <f t="shared" si="87"/>
        <v>126471.41839998399</v>
      </c>
      <c r="AE150" s="65">
        <f t="shared" si="87"/>
        <v>119476.07621907566</v>
      </c>
      <c r="AF150" s="65">
        <f t="shared" si="87"/>
        <v>121305.75059550753</v>
      </c>
      <c r="AG150" s="65">
        <f t="shared" si="87"/>
        <v>122793.07088234414</v>
      </c>
      <c r="AH150" s="65">
        <f t="shared" si="87"/>
        <v>120735.10718777601</v>
      </c>
      <c r="AI150" s="65">
        <f t="shared" si="87"/>
        <v>125464.91167540291</v>
      </c>
      <c r="AJ150" s="65">
        <f t="shared" si="87"/>
        <v>121758.2390477743</v>
      </c>
      <c r="AK150" s="65">
        <f t="shared" si="63"/>
        <v>1402034.5758031628</v>
      </c>
      <c r="AL150" s="73">
        <f t="shared" si="29"/>
        <v>8.7126668717732083E-3</v>
      </c>
      <c r="AM150" s="14">
        <f t="shared" si="82"/>
        <v>0.13607029669592063</v>
      </c>
    </row>
    <row r="151" spans="9:39" ht="15">
      <c r="I151" s="121" t="s">
        <v>264</v>
      </c>
      <c r="J151" s="15">
        <v>95863</v>
      </c>
      <c r="K151" s="15">
        <v>95510</v>
      </c>
      <c r="L151" s="15">
        <v>96066</v>
      </c>
      <c r="M151" s="15">
        <v>93446</v>
      </c>
      <c r="N151" s="15">
        <v>92262</v>
      </c>
      <c r="O151" s="15">
        <v>90728</v>
      </c>
      <c r="P151" s="15">
        <v>92831</v>
      </c>
      <c r="Q151" s="15">
        <v>90029</v>
      </c>
      <c r="R151" s="15">
        <v>92401</v>
      </c>
      <c r="S151" s="15">
        <v>92111</v>
      </c>
      <c r="T151" s="15">
        <f t="shared" ref="R151:U151" si="88">SUM(T152:T158)</f>
        <v>99559.215200000006</v>
      </c>
      <c r="U151" s="15">
        <f t="shared" si="88"/>
        <v>100335.54853333333</v>
      </c>
      <c r="V151" s="15">
        <f t="shared" ref="V151" si="89">SUM(V152:V158)</f>
        <v>1131140.7637333332</v>
      </c>
      <c r="W151" s="72">
        <f t="shared" si="27"/>
        <v>7.9674267640124502E-3</v>
      </c>
      <c r="X151" s="89"/>
      <c r="Y151" s="15">
        <f>SUM(Y152:Y158)</f>
        <v>96264.055600000007</v>
      </c>
      <c r="Z151" s="15">
        <f t="shared" ref="Z151:AJ151" si="90">SUM(Z152:Z158)</f>
        <v>95649.902199999997</v>
      </c>
      <c r="AA151" s="15">
        <f t="shared" si="90"/>
        <v>96127.935100000002</v>
      </c>
      <c r="AB151" s="15">
        <f t="shared" si="90"/>
        <v>95936.467299999989</v>
      </c>
      <c r="AC151" s="15">
        <f t="shared" si="90"/>
        <v>92660.111399999994</v>
      </c>
      <c r="AD151" s="15">
        <f t="shared" si="90"/>
        <v>91121.948799999984</v>
      </c>
      <c r="AE151" s="15">
        <f t="shared" si="90"/>
        <v>93024.122299999988</v>
      </c>
      <c r="AF151" s="15">
        <f t="shared" si="90"/>
        <v>90126.352099999989</v>
      </c>
      <c r="AG151" s="15">
        <f t="shared" si="90"/>
        <v>92605.387199999997</v>
      </c>
      <c r="AH151" s="15">
        <f t="shared" si="90"/>
        <v>98805.031566666672</v>
      </c>
      <c r="AI151" s="15">
        <f t="shared" si="90"/>
        <v>98856.0670888889</v>
      </c>
      <c r="AJ151" s="15">
        <f t="shared" si="90"/>
        <v>99365.233685185187</v>
      </c>
      <c r="AK151" s="15">
        <f t="shared" ref="AK151" si="91">SUM(AK152:AK158)</f>
        <v>1140542.6143407407</v>
      </c>
      <c r="AL151" s="72">
        <f t="shared" si="29"/>
        <v>7.0876767401543E-3</v>
      </c>
      <c r="AM151" s="10">
        <f t="shared" si="82"/>
        <v>8.3118307719516338E-3</v>
      </c>
    </row>
    <row r="152" spans="9:39" ht="15" outlineLevel="1">
      <c r="I152" s="213" t="s">
        <v>265</v>
      </c>
      <c r="J152" s="67">
        <v>0</v>
      </c>
      <c r="K152" s="67">
        <v>0</v>
      </c>
      <c r="L152" s="67">
        <v>0</v>
      </c>
      <c r="M152" s="67">
        <v>0</v>
      </c>
      <c r="N152" s="67">
        <v>0</v>
      </c>
      <c r="O152" s="67">
        <v>0</v>
      </c>
      <c r="P152" s="67">
        <v>0</v>
      </c>
      <c r="Q152" s="67">
        <v>0</v>
      </c>
      <c r="R152" s="67">
        <v>0</v>
      </c>
      <c r="S152" s="67">
        <v>0</v>
      </c>
      <c r="T152" s="67"/>
      <c r="U152" s="67"/>
      <c r="V152" s="65">
        <f t="shared" ref="V152:V158" si="92">SUM(J152:U152)</f>
        <v>0</v>
      </c>
      <c r="W152" s="73">
        <f t="shared" si="27"/>
        <v>0</v>
      </c>
      <c r="X152" s="89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5">
        <f t="shared" si="63"/>
        <v>0</v>
      </c>
      <c r="AL152" s="73">
        <f t="shared" si="29"/>
        <v>0</v>
      </c>
      <c r="AM152" s="14">
        <f t="shared" si="82"/>
        <v>0</v>
      </c>
    </row>
    <row r="153" spans="9:39" ht="15" outlineLevel="1">
      <c r="I153" s="137" t="s">
        <v>292</v>
      </c>
      <c r="J153" s="67">
        <v>0</v>
      </c>
      <c r="K153" s="67">
        <v>0</v>
      </c>
      <c r="L153" s="67">
        <v>0</v>
      </c>
      <c r="M153" s="67">
        <v>0</v>
      </c>
      <c r="N153" s="67">
        <v>0</v>
      </c>
      <c r="O153" s="67">
        <v>0</v>
      </c>
      <c r="P153" s="67">
        <v>0</v>
      </c>
      <c r="Q153" s="67">
        <v>0</v>
      </c>
      <c r="R153" s="67">
        <v>0</v>
      </c>
      <c r="S153" s="67">
        <v>0</v>
      </c>
      <c r="T153" s="67"/>
      <c r="U153" s="67"/>
      <c r="V153" s="65">
        <f t="shared" si="92"/>
        <v>0</v>
      </c>
      <c r="W153" s="73">
        <f t="shared" si="27"/>
        <v>0</v>
      </c>
      <c r="X153" s="89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5">
        <f t="shared" si="63"/>
        <v>0</v>
      </c>
      <c r="AL153" s="73">
        <f t="shared" si="29"/>
        <v>0</v>
      </c>
      <c r="AM153" s="14">
        <f t="shared" si="82"/>
        <v>0</v>
      </c>
    </row>
    <row r="154" spans="9:39" ht="15" outlineLevel="1">
      <c r="I154" s="213" t="s">
        <v>266</v>
      </c>
      <c r="J154" s="65">
        <v>8214</v>
      </c>
      <c r="K154" s="65">
        <v>7330</v>
      </c>
      <c r="L154" s="65">
        <v>8009</v>
      </c>
      <c r="M154" s="65">
        <v>8006</v>
      </c>
      <c r="N154" s="65">
        <v>8722</v>
      </c>
      <c r="O154" s="65">
        <v>8071</v>
      </c>
      <c r="P154" s="65">
        <v>10181</v>
      </c>
      <c r="Q154" s="65">
        <v>8679</v>
      </c>
      <c r="R154" s="225">
        <v>11805</v>
      </c>
      <c r="S154" s="225">
        <v>12781</v>
      </c>
      <c r="T154" s="225">
        <f t="shared" ref="T154" si="93">+AVERAGE(Q154:S154)</f>
        <v>11088.333333333334</v>
      </c>
      <c r="U154" s="225">
        <f t="shared" ref="U154" si="94">+AVERAGE(R154:T154)</f>
        <v>11891.444444444445</v>
      </c>
      <c r="V154" s="65">
        <f t="shared" si="92"/>
        <v>114777.77777777778</v>
      </c>
      <c r="W154" s="73">
        <f t="shared" si="27"/>
        <v>8.0846130552512734E-4</v>
      </c>
      <c r="X154" s="89"/>
      <c r="Y154" s="65">
        <f>VLOOKUP($E$1,[8]Resumen!$V$104:$AH$110,Y1,0)</f>
        <v>8502.3113999999987</v>
      </c>
      <c r="Z154" s="65">
        <f>VLOOKUP($E$1,[8]Resumen!$V$104:$AH$110,Z1,0)</f>
        <v>7587.2829999999994</v>
      </c>
      <c r="AA154" s="65">
        <f>VLOOKUP($E$1,[8]Resumen!$V$104:$AH$110,AA1,0)</f>
        <v>8290.1158999999989</v>
      </c>
      <c r="AB154" s="65">
        <f>VLOOKUP($E$1,[8]Resumen!$V$104:$AH$110,AB1,0)</f>
        <v>8287.0105999999996</v>
      </c>
      <c r="AC154" s="65">
        <f>VLOOKUP($E$1,[8]Resumen!$V$104:$AH$110,AC1,0)</f>
        <v>9028.1421999999984</v>
      </c>
      <c r="AD154" s="65">
        <f>VLOOKUP($E$1,[8]Resumen!$V$104:$AH$110,AD1,0)</f>
        <v>8354.2920999999988</v>
      </c>
      <c r="AE154" s="65">
        <f>VLOOKUP($E$1,[8]Resumen!$V$104:$AH$110,AE1,0)</f>
        <v>10538.353099999998</v>
      </c>
      <c r="AF154" s="65">
        <f>VLOOKUP($E$1,[8]Resumen!$V$104:$AH$110,AF1,0)</f>
        <v>8983.6328999999987</v>
      </c>
      <c r="AG154" s="65">
        <f>VLOOKUP($E$1,[8]Resumen!$V$104:$AH$110,AG1,0)</f>
        <v>12219.3555</v>
      </c>
      <c r="AH154" s="65">
        <f>VLOOKUP($E$1,[8]Resumen!$V$104:$AH$110,AH1,0)</f>
        <v>10580.447166666669</v>
      </c>
      <c r="AI154" s="65">
        <f>VLOOKUP($E$1,[8]Resumen!$V$104:$AH$110,AI1,0)</f>
        <v>10594.47852222222</v>
      </c>
      <c r="AJ154" s="65">
        <f>VLOOKUP($E$1,[8]Resumen!$V$104:$AH$110,AJ1,0)</f>
        <v>11131.427062962959</v>
      </c>
      <c r="AK154" s="65">
        <f t="shared" si="63"/>
        <v>114096.84945185186</v>
      </c>
      <c r="AL154" s="73">
        <f t="shared" si="29"/>
        <v>7.0903232883780807E-4</v>
      </c>
      <c r="AM154" s="14">
        <f t="shared" si="82"/>
        <v>-5.9325797999354446E-3</v>
      </c>
    </row>
    <row r="155" spans="9:39" ht="15" outlineLevel="1">
      <c r="I155" s="213" t="s">
        <v>267</v>
      </c>
      <c r="J155" s="65">
        <v>84242</v>
      </c>
      <c r="K155" s="65">
        <v>84242</v>
      </c>
      <c r="L155" s="65">
        <v>84482</v>
      </c>
      <c r="M155" s="65">
        <v>84193</v>
      </c>
      <c r="N155" s="65">
        <v>80687</v>
      </c>
      <c r="O155" s="65">
        <v>79859</v>
      </c>
      <c r="P155" s="65">
        <v>77582</v>
      </c>
      <c r="Q155" s="65">
        <v>77430</v>
      </c>
      <c r="R155" s="65">
        <v>76803</v>
      </c>
      <c r="S155" s="65">
        <v>75527</v>
      </c>
      <c r="T155" s="65">
        <v>84632.215200000006</v>
      </c>
      <c r="U155" s="65">
        <v>84632.215200000006</v>
      </c>
      <c r="V155" s="65">
        <f t="shared" si="92"/>
        <v>974311.43039999995</v>
      </c>
      <c r="W155" s="73">
        <f t="shared" si="27"/>
        <v>6.8627665237978152E-3</v>
      </c>
      <c r="X155" s="89"/>
      <c r="Y155" s="65">
        <f>VLOOKUP($E$1,[5]Resumen!$V$32:$AH$38,Y1,0)</f>
        <v>84242</v>
      </c>
      <c r="Z155" s="65">
        <f>VLOOKUP($E$1,[5]Resumen!$V$32:$AH$38,Z1,0)</f>
        <v>84242</v>
      </c>
      <c r="AA155" s="65">
        <f>VLOOKUP($E$1,[5]Resumen!$V$32:$AH$38,AA1,0)</f>
        <v>84482</v>
      </c>
      <c r="AB155" s="65">
        <f>VLOOKUP($E$1,[5]Resumen!$V$32:$AH$38,AB1,0)</f>
        <v>84193</v>
      </c>
      <c r="AC155" s="65">
        <f>VLOOKUP($E$1,[5]Resumen!$V$32:$AH$38,AC1,0)</f>
        <v>80687</v>
      </c>
      <c r="AD155" s="65">
        <f>VLOOKUP($E$1,[5]Resumen!$V$32:$AH$38,AD1,0)</f>
        <v>79859</v>
      </c>
      <c r="AE155" s="65">
        <f>VLOOKUP($E$1,[5]Resumen!$V$32:$AH$38,AE1,0)</f>
        <v>77582</v>
      </c>
      <c r="AF155" s="65">
        <f>VLOOKUP($E$1,[5]Resumen!$V$32:$AH$38,AF1,0)</f>
        <v>77430</v>
      </c>
      <c r="AG155" s="65">
        <f>VLOOKUP($E$1,[5]Resumen!$V$32:$AH$38,AG1,0)</f>
        <v>76803</v>
      </c>
      <c r="AH155" s="65">
        <f>VLOOKUP($E$1,[5]Resumen!$V$32:$AH$38,AH1,0)</f>
        <v>84632.215200000006</v>
      </c>
      <c r="AI155" s="65">
        <f>VLOOKUP($E$1,[5]Resumen!$V$32:$AH$38,AI1,0)</f>
        <v>84632.215200000006</v>
      </c>
      <c r="AJ155" s="65">
        <f>VLOOKUP($E$1,[5]Resumen!$V$32:$AH$38,AJ1,0)</f>
        <v>84632.215200000006</v>
      </c>
      <c r="AK155" s="65">
        <f t="shared" si="63"/>
        <v>983416.64559999993</v>
      </c>
      <c r="AL155" s="73">
        <f t="shared" si="29"/>
        <v>6.1112484507460357E-3</v>
      </c>
      <c r="AM155" s="14">
        <f t="shared" si="82"/>
        <v>9.3452821304393918E-3</v>
      </c>
    </row>
    <row r="156" spans="9:39" ht="15" outlineLevel="1">
      <c r="I156" s="213" t="s">
        <v>269</v>
      </c>
      <c r="J156" s="65">
        <v>1031</v>
      </c>
      <c r="K156" s="65">
        <v>1321</v>
      </c>
      <c r="L156" s="65">
        <v>873</v>
      </c>
      <c r="M156" s="65">
        <v>970</v>
      </c>
      <c r="N156" s="65">
        <v>477</v>
      </c>
      <c r="O156" s="65">
        <v>442</v>
      </c>
      <c r="P156" s="65">
        <v>2365</v>
      </c>
      <c r="Q156" s="65">
        <v>1217</v>
      </c>
      <c r="R156" s="225">
        <v>1092</v>
      </c>
      <c r="S156" s="225">
        <v>1101</v>
      </c>
      <c r="T156" s="225">
        <f t="shared" ref="T156" si="95">+AVERAGE(Q156:S156)</f>
        <v>1136.6666666666667</v>
      </c>
      <c r="U156" s="225">
        <f t="shared" ref="U156" si="96">+AVERAGE(R156:T156)</f>
        <v>1109.8888888888889</v>
      </c>
      <c r="V156" s="65">
        <f t="shared" si="92"/>
        <v>13135.555555555555</v>
      </c>
      <c r="W156" s="73">
        <f t="shared" si="27"/>
        <v>9.2523035371907587E-5</v>
      </c>
      <c r="X156" s="89"/>
      <c r="Y156" s="65">
        <f>J156*1.0375</f>
        <v>1069.6625000000001</v>
      </c>
      <c r="Z156" s="65">
        <f t="shared" ref="Z156:AJ156" si="97">K156*1.0375</f>
        <v>1370.5375000000001</v>
      </c>
      <c r="AA156" s="65">
        <f t="shared" si="97"/>
        <v>905.73750000000007</v>
      </c>
      <c r="AB156" s="65">
        <f t="shared" si="97"/>
        <v>1006.3750000000001</v>
      </c>
      <c r="AC156" s="65">
        <f t="shared" si="97"/>
        <v>494.88750000000005</v>
      </c>
      <c r="AD156" s="65">
        <f t="shared" si="97"/>
        <v>458.57500000000005</v>
      </c>
      <c r="AE156" s="65">
        <f t="shared" si="97"/>
        <v>2453.6875</v>
      </c>
      <c r="AF156" s="65">
        <f t="shared" si="97"/>
        <v>1262.6375</v>
      </c>
      <c r="AG156" s="65">
        <f t="shared" si="97"/>
        <v>1132.95</v>
      </c>
      <c r="AH156" s="65">
        <f t="shared" si="97"/>
        <v>1142.2875000000001</v>
      </c>
      <c r="AI156" s="65">
        <f t="shared" si="97"/>
        <v>1179.2916666666667</v>
      </c>
      <c r="AJ156" s="65">
        <f t="shared" si="97"/>
        <v>1151.5097222222223</v>
      </c>
      <c r="AK156" s="65">
        <f t="shared" si="63"/>
        <v>13628.138888888891</v>
      </c>
      <c r="AL156" s="73">
        <f t="shared" si="29"/>
        <v>8.468937661763942E-5</v>
      </c>
      <c r="AM156" s="14">
        <f t="shared" si="82"/>
        <v>3.7500000000000089E-2</v>
      </c>
    </row>
    <row r="157" spans="9:39" ht="15" outlineLevel="1">
      <c r="I157" s="213"/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/>
      <c r="Q157" s="65">
        <v>0</v>
      </c>
      <c r="R157" s="65">
        <v>0</v>
      </c>
      <c r="S157" s="65">
        <v>0</v>
      </c>
      <c r="T157" s="65"/>
      <c r="U157" s="65"/>
      <c r="V157" s="65">
        <f t="shared" si="92"/>
        <v>0</v>
      </c>
      <c r="W157" s="73">
        <f t="shared" si="27"/>
        <v>0</v>
      </c>
      <c r="X157" s="89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>
        <f t="shared" si="63"/>
        <v>0</v>
      </c>
      <c r="AL157" s="73">
        <f t="shared" si="29"/>
        <v>0</v>
      </c>
      <c r="AM157" s="14">
        <f t="shared" si="82"/>
        <v>0</v>
      </c>
    </row>
    <row r="158" spans="9:39" ht="15" outlineLevel="1">
      <c r="I158" s="213" t="s">
        <v>270</v>
      </c>
      <c r="J158" s="67">
        <v>2376</v>
      </c>
      <c r="K158" s="67">
        <v>2618</v>
      </c>
      <c r="L158" s="67">
        <v>2702</v>
      </c>
      <c r="M158" s="67">
        <v>276</v>
      </c>
      <c r="N158" s="67">
        <v>2376</v>
      </c>
      <c r="O158" s="67">
        <v>2356</v>
      </c>
      <c r="P158" s="67">
        <v>2702</v>
      </c>
      <c r="Q158" s="67">
        <v>2702</v>
      </c>
      <c r="R158" s="225">
        <v>2702</v>
      </c>
      <c r="S158" s="225">
        <v>2702</v>
      </c>
      <c r="T158" s="225">
        <f t="shared" ref="T158" si="98">+AVERAGE(Q158:S158)</f>
        <v>2702</v>
      </c>
      <c r="U158" s="225">
        <f t="shared" ref="U158" si="99">+AVERAGE(R158:T158)</f>
        <v>2702</v>
      </c>
      <c r="V158" s="65">
        <f t="shared" si="92"/>
        <v>28916</v>
      </c>
      <c r="W158" s="73">
        <f>V158/V$6</f>
        <v>2.036758993176004E-4</v>
      </c>
      <c r="X158" s="89"/>
      <c r="Y158" s="67">
        <f>VLOOKUP($E$1,[19]Resumen!$V$8:$AH$14,Y1,0)</f>
        <v>2450.0816999999997</v>
      </c>
      <c r="Z158" s="67">
        <f>VLOOKUP($E$1,[19]Resumen!$V$8:$AH$14,Z1,0)</f>
        <v>2450.0816999999997</v>
      </c>
      <c r="AA158" s="67">
        <f>VLOOKUP($E$1,[19]Resumen!$V$8:$AH$14,AA1,0)</f>
        <v>2450.0816999999997</v>
      </c>
      <c r="AB158" s="67">
        <f>VLOOKUP($E$1,[19]Resumen!$V$8:$AH$14,AB1,0)</f>
        <v>2450.0816999999997</v>
      </c>
      <c r="AC158" s="67">
        <f>VLOOKUP($E$1,[19]Resumen!$V$8:$AH$14,AC1,0)</f>
        <v>2450.0816999999997</v>
      </c>
      <c r="AD158" s="67">
        <f>VLOOKUP($E$1,[19]Resumen!$V$8:$AH$14,AD1,0)</f>
        <v>2450.0816999999997</v>
      </c>
      <c r="AE158" s="67">
        <f>VLOOKUP($E$1,[19]Resumen!$V$8:$AH$14,AE1,0)</f>
        <v>2450.0816999999997</v>
      </c>
      <c r="AF158" s="67">
        <f>VLOOKUP($E$1,[19]Resumen!$V$8:$AH$14,AF1,0)</f>
        <v>2450.0816999999997</v>
      </c>
      <c r="AG158" s="67">
        <f>VLOOKUP($E$1,[19]Resumen!$V$8:$AH$14,AG1,0)</f>
        <v>2450.0816999999997</v>
      </c>
      <c r="AH158" s="67">
        <f>VLOOKUP($E$1,[19]Resumen!$V$8:$AH$14,AH1,0)</f>
        <v>2450.0816999999997</v>
      </c>
      <c r="AI158" s="67">
        <f>VLOOKUP($E$1,[19]Resumen!$V$8:$AH$14,AI1,0)</f>
        <v>2450.0816999999997</v>
      </c>
      <c r="AJ158" s="67">
        <f>VLOOKUP($E$1,[19]Resumen!$V$8:$AH$14,AJ1,0)</f>
        <v>2450.0816999999997</v>
      </c>
      <c r="AK158" s="65">
        <f t="shared" si="63"/>
        <v>29400.980399999989</v>
      </c>
      <c r="AL158" s="73">
        <f>AK158/AK$6</f>
        <v>1.8270658395281743E-4</v>
      </c>
      <c r="AM158" s="14">
        <f>IFERROR(AK158/V158-1,0)</f>
        <v>1.6772043159496208E-2</v>
      </c>
    </row>
    <row r="159" spans="9:39" ht="15">
      <c r="I159" s="121" t="s">
        <v>466</v>
      </c>
      <c r="J159" s="15">
        <f t="shared" ref="J159:V159" si="100">SUM(J160)</f>
        <v>51009.389713966251</v>
      </c>
      <c r="K159" s="15">
        <f t="shared" si="100"/>
        <v>54201.657504475683</v>
      </c>
      <c r="L159" s="15">
        <f t="shared" si="100"/>
        <v>62163.934581993402</v>
      </c>
      <c r="M159" s="15">
        <f t="shared" si="100"/>
        <v>57161.053794608757</v>
      </c>
      <c r="N159" s="15">
        <f t="shared" si="100"/>
        <v>64695.855926849639</v>
      </c>
      <c r="O159" s="15">
        <f t="shared" si="100"/>
        <v>64003.619434966567</v>
      </c>
      <c r="P159" s="15">
        <f t="shared" si="100"/>
        <v>69709.119519983549</v>
      </c>
      <c r="Q159" s="15">
        <f t="shared" si="100"/>
        <v>58037.659251439472</v>
      </c>
      <c r="R159" s="15">
        <f t="shared" si="100"/>
        <v>69057.969273708281</v>
      </c>
      <c r="S159" s="15">
        <f t="shared" si="100"/>
        <v>70062.134915458519</v>
      </c>
      <c r="T159" s="15">
        <f t="shared" si="100"/>
        <v>65719.2544802021</v>
      </c>
      <c r="U159" s="15">
        <f t="shared" si="100"/>
        <v>68279.786223122966</v>
      </c>
      <c r="V159" s="15">
        <f t="shared" si="100"/>
        <v>754101.43462077517</v>
      </c>
      <c r="W159" s="72">
        <f t="shared" ref="W159:W160" si="101">V159/V$6</f>
        <v>5.3116713194452563E-3</v>
      </c>
      <c r="X159" s="89"/>
      <c r="Y159" s="15">
        <f t="shared" ref="Y159" si="102">SUM(Y160)</f>
        <v>52922.241828239989</v>
      </c>
      <c r="Z159" s="15">
        <f t="shared" ref="Z159" si="103">SUM(Z160)</f>
        <v>56234.219660893526</v>
      </c>
      <c r="AA159" s="15">
        <f t="shared" ref="AA159" si="104">SUM(AA160)</f>
        <v>64495.082128818161</v>
      </c>
      <c r="AB159" s="15">
        <f t="shared" ref="AB159" si="105">SUM(AB160)</f>
        <v>59304.593311906588</v>
      </c>
      <c r="AC159" s="15">
        <f t="shared" ref="AC159" si="106">SUM(AC160)</f>
        <v>67121.950524106505</v>
      </c>
      <c r="AD159" s="15">
        <f t="shared" ref="AD159" si="107">SUM(AD160)</f>
        <v>66403.755163777823</v>
      </c>
      <c r="AE159" s="15">
        <f t="shared" ref="AE159" si="108">SUM(AE160)</f>
        <v>72323.211501982936</v>
      </c>
      <c r="AF159" s="15">
        <f t="shared" ref="AF159" si="109">SUM(AF160)</f>
        <v>60214.071473368458</v>
      </c>
      <c r="AG159" s="15">
        <f t="shared" ref="AG159" si="110">SUM(AG160)</f>
        <v>71647.643121472342</v>
      </c>
      <c r="AH159" s="15">
        <f t="shared" ref="AH159" si="111">SUM(AH160)</f>
        <v>72689.464974788221</v>
      </c>
      <c r="AI159" s="15">
        <f t="shared" ref="AI159" si="112">SUM(AI160)</f>
        <v>68183.726523209683</v>
      </c>
      <c r="AJ159" s="15">
        <f t="shared" ref="AJ159" si="113">SUM(AJ160)</f>
        <v>70840.278206490082</v>
      </c>
      <c r="AK159" s="15">
        <f t="shared" ref="AK159" si="114">SUM(AK160)</f>
        <v>782380.23841905443</v>
      </c>
      <c r="AL159" s="72">
        <f t="shared" ref="AL159:AL160" si="115">AK159/AK$6</f>
        <v>4.8619474170234246E-3</v>
      </c>
      <c r="AM159" s="10">
        <f t="shared" ref="AM159:AM160" si="116">IFERROR(AK159/V159-1,0)</f>
        <v>3.7500000000000311E-2</v>
      </c>
    </row>
    <row r="160" spans="9:39" ht="15" outlineLevel="1">
      <c r="I160" s="251" t="s">
        <v>328</v>
      </c>
      <c r="J160" s="65">
        <v>51009.389713966251</v>
      </c>
      <c r="K160" s="65">
        <v>54201.657504475683</v>
      </c>
      <c r="L160" s="65">
        <v>62163.934581993402</v>
      </c>
      <c r="M160" s="65">
        <v>57161.053794608757</v>
      </c>
      <c r="N160" s="65">
        <v>64695.855926849639</v>
      </c>
      <c r="O160" s="65">
        <v>64003.619434966567</v>
      </c>
      <c r="P160" s="65">
        <v>69709.119519983549</v>
      </c>
      <c r="Q160" s="65">
        <v>58037.659251439472</v>
      </c>
      <c r="R160" s="65">
        <v>69057.969273708281</v>
      </c>
      <c r="S160" s="65">
        <v>70062.134915458519</v>
      </c>
      <c r="T160" s="65">
        <v>65719.2544802021</v>
      </c>
      <c r="U160" s="65">
        <v>68279.786223122966</v>
      </c>
      <c r="V160" s="65">
        <f t="shared" ref="V160" si="117">SUM(J160:U160)</f>
        <v>754101.43462077517</v>
      </c>
      <c r="W160" s="73">
        <f t="shared" si="101"/>
        <v>5.3116713194452563E-3</v>
      </c>
      <c r="X160" s="89"/>
      <c r="Y160" s="65">
        <f>VLOOKUP($E$1,[8]Resumen!$V$8:$AH$14,Y1,0)</f>
        <v>52922.241828239989</v>
      </c>
      <c r="Z160" s="65">
        <f>VLOOKUP($E$1,[8]Resumen!$V$8:$AH$14,Z1,0)</f>
        <v>56234.219660893526</v>
      </c>
      <c r="AA160" s="65">
        <f>VLOOKUP($E$1,[8]Resumen!$V$8:$AH$14,AA1,0)</f>
        <v>64495.082128818161</v>
      </c>
      <c r="AB160" s="65">
        <f>VLOOKUP($E$1,[8]Resumen!$V$8:$AH$14,AB1,0)</f>
        <v>59304.593311906588</v>
      </c>
      <c r="AC160" s="65">
        <f>VLOOKUP($E$1,[8]Resumen!$V$8:$AH$14,AC1,0)</f>
        <v>67121.950524106505</v>
      </c>
      <c r="AD160" s="65">
        <f>VLOOKUP($E$1,[8]Resumen!$V$8:$AH$14,AD1,0)</f>
        <v>66403.755163777823</v>
      </c>
      <c r="AE160" s="65">
        <f>VLOOKUP($E$1,[8]Resumen!$V$8:$AH$14,AE1,0)</f>
        <v>72323.211501982936</v>
      </c>
      <c r="AF160" s="65">
        <f>VLOOKUP($E$1,[8]Resumen!$V$8:$AH$14,AF1,0)</f>
        <v>60214.071473368458</v>
      </c>
      <c r="AG160" s="65">
        <f>VLOOKUP($E$1,[8]Resumen!$V$8:$AH$14,AG1,0)</f>
        <v>71647.643121472342</v>
      </c>
      <c r="AH160" s="65">
        <f>VLOOKUP($E$1,[8]Resumen!$V$8:$AH$14,AH1,0)</f>
        <v>72689.464974788221</v>
      </c>
      <c r="AI160" s="65">
        <f>VLOOKUP($E$1,[8]Resumen!$V$8:$AH$14,AI1,0)</f>
        <v>68183.726523209683</v>
      </c>
      <c r="AJ160" s="65">
        <f>VLOOKUP($E$1,[8]Resumen!$V$8:$AH$14,AJ1,0)</f>
        <v>70840.278206490082</v>
      </c>
      <c r="AK160" s="65">
        <f t="shared" ref="AK159:AK160" si="118">SUM(Y160:AJ160)</f>
        <v>782380.23841905443</v>
      </c>
      <c r="AL160" s="73">
        <f t="shared" si="115"/>
        <v>4.8619474170234246E-3</v>
      </c>
      <c r="AM160" s="14">
        <f t="shared" si="116"/>
        <v>3.7500000000000311E-2</v>
      </c>
    </row>
    <row r="161" spans="9:39" ht="15">
      <c r="I161" s="28" t="s">
        <v>271</v>
      </c>
      <c r="J161" s="27">
        <v>898881</v>
      </c>
      <c r="K161" s="27">
        <v>550208</v>
      </c>
      <c r="L161" s="27">
        <v>735867</v>
      </c>
      <c r="M161" s="27">
        <v>720325</v>
      </c>
      <c r="N161" s="27">
        <v>778462</v>
      </c>
      <c r="O161" s="27">
        <v>643027</v>
      </c>
      <c r="P161" s="27">
        <v>721466</v>
      </c>
      <c r="Q161" s="27">
        <v>769815</v>
      </c>
      <c r="R161" s="27">
        <v>620706</v>
      </c>
      <c r="S161" s="27">
        <v>674960</v>
      </c>
      <c r="T161" s="27">
        <f t="shared" ref="R161:U161" si="119">T50+T92+T109+T114+T151</f>
        <v>741631.86227026535</v>
      </c>
      <c r="U161" s="27">
        <f t="shared" si="119"/>
        <v>703917.75182961847</v>
      </c>
      <c r="V161" s="27">
        <f>V50+V92+V109+V114+V151</f>
        <v>8557743.6140998844</v>
      </c>
      <c r="W161" s="76">
        <f t="shared" si="27"/>
        <v>6.027825863643816E-2</v>
      </c>
      <c r="X161" s="89"/>
      <c r="Y161" s="27">
        <f t="shared" ref="Y161:AJ161" si="120">Y50+Y92+Y109+Y114+Y151+Y159</f>
        <v>844009.08006647986</v>
      </c>
      <c r="Z161" s="27">
        <f t="shared" si="120"/>
        <v>798896.52864435804</v>
      </c>
      <c r="AA161" s="27">
        <f t="shared" si="120"/>
        <v>796559.84919236659</v>
      </c>
      <c r="AB161" s="27">
        <f t="shared" si="120"/>
        <v>762922.54565565812</v>
      </c>
      <c r="AC161" s="27">
        <f t="shared" si="120"/>
        <v>783246.29368239117</v>
      </c>
      <c r="AD161" s="27">
        <f t="shared" si="120"/>
        <v>776413.79402349319</v>
      </c>
      <c r="AE161" s="27">
        <f t="shared" si="120"/>
        <v>819853.94126882311</v>
      </c>
      <c r="AF161" s="27">
        <f t="shared" si="120"/>
        <v>812030.77164467424</v>
      </c>
      <c r="AG161" s="27">
        <f t="shared" si="120"/>
        <v>815587.17868985061</v>
      </c>
      <c r="AH161" s="27">
        <f t="shared" si="120"/>
        <v>832345.35293500195</v>
      </c>
      <c r="AI161" s="27">
        <f t="shared" si="120"/>
        <v>822697.14629845682</v>
      </c>
      <c r="AJ161" s="27">
        <f>AJ50+AJ92+AJ109+AJ114+AJ151+AJ159</f>
        <v>806860.47893104993</v>
      </c>
      <c r="AK161" s="27">
        <f>AK50+AK92+AK109+AK114+AK151+AK159</f>
        <v>9671422.9610326029</v>
      </c>
      <c r="AL161" s="76">
        <f t="shared" si="29"/>
        <v>6.0101147211169527E-2</v>
      </c>
      <c r="AM161" s="10">
        <f t="shared" si="82"/>
        <v>0.13013703110920516</v>
      </c>
    </row>
    <row r="162" spans="9:39" ht="15">
      <c r="I162" s="26" t="s">
        <v>272</v>
      </c>
      <c r="J162" s="17">
        <v>1.51</v>
      </c>
      <c r="K162" s="17">
        <v>0.96</v>
      </c>
      <c r="L162" s="17">
        <v>1.1399999999999999</v>
      </c>
      <c r="M162" s="17">
        <v>1.22</v>
      </c>
      <c r="N162" s="17">
        <v>1.08</v>
      </c>
      <c r="O162" s="17">
        <v>0.91</v>
      </c>
      <c r="P162" s="17">
        <v>1.01</v>
      </c>
      <c r="Q162" s="17">
        <v>1.24</v>
      </c>
      <c r="R162" s="17">
        <v>0.95</v>
      </c>
      <c r="S162" s="17">
        <v>0.94</v>
      </c>
      <c r="T162" s="17">
        <v>1.1586052726944041</v>
      </c>
      <c r="U162" s="17">
        <v>1.1424550495122046</v>
      </c>
      <c r="V162" s="17">
        <f>IFERROR(V161/V39,0)</f>
        <v>1.0771036515008268</v>
      </c>
      <c r="W162" s="73">
        <f t="shared" si="27"/>
        <v>7.5868050517949293E-9</v>
      </c>
      <c r="X162" s="89"/>
      <c r="Y162" s="17">
        <f t="shared" ref="Y162:AK162" si="121">IFERROR(Y161/Y39,0)</f>
        <v>1.3050489389115016</v>
      </c>
      <c r="Z162" s="17">
        <f t="shared" si="121"/>
        <v>1.2759214554165936</v>
      </c>
      <c r="AA162" s="17">
        <f t="shared" si="121"/>
        <v>1.1292426338117427</v>
      </c>
      <c r="AB162" s="17">
        <f t="shared" si="121"/>
        <v>1.1867963600008371</v>
      </c>
      <c r="AC162" s="17">
        <f t="shared" si="121"/>
        <v>1.0306387604674854</v>
      </c>
      <c r="AD162" s="17">
        <f t="shared" si="121"/>
        <v>1.0927064044398405</v>
      </c>
      <c r="AE162" s="17">
        <f t="shared" si="121"/>
        <v>1.1391970860105618</v>
      </c>
      <c r="AF162" s="17">
        <f t="shared" si="121"/>
        <v>1.106980078718943</v>
      </c>
      <c r="AG162" s="17">
        <f t="shared" si="121"/>
        <v>1.1418663545803485</v>
      </c>
      <c r="AH162" s="17">
        <f t="shared" si="121"/>
        <v>1.1088269068505623</v>
      </c>
      <c r="AI162" s="17">
        <f t="shared" si="121"/>
        <v>1.1326440609270956</v>
      </c>
      <c r="AJ162" s="17">
        <f t="shared" si="121"/>
        <v>1.1572239019259563</v>
      </c>
      <c r="AK162" s="17">
        <f t="shared" si="121"/>
        <v>1.1468093640617927</v>
      </c>
      <c r="AL162" s="73">
        <f t="shared" si="29"/>
        <v>7.1266202181758931E-9</v>
      </c>
      <c r="AM162" s="16">
        <f t="shared" si="82"/>
        <v>6.4715881766660655E-2</v>
      </c>
    </row>
    <row r="163" spans="9:39" ht="15">
      <c r="I163" s="26" t="s">
        <v>273</v>
      </c>
      <c r="J163" s="17">
        <v>1.51</v>
      </c>
      <c r="K163" s="17">
        <v>0.96</v>
      </c>
      <c r="L163" s="17">
        <v>1.1399999999999999</v>
      </c>
      <c r="M163" s="17">
        <v>1.22</v>
      </c>
      <c r="N163" s="17">
        <v>1.08</v>
      </c>
      <c r="O163" s="17">
        <v>0.91</v>
      </c>
      <c r="P163" s="17">
        <v>1.01</v>
      </c>
      <c r="Q163" s="17">
        <v>1.24</v>
      </c>
      <c r="R163" s="17">
        <v>0.95</v>
      </c>
      <c r="S163" s="17">
        <v>0.94</v>
      </c>
      <c r="T163" s="17">
        <v>1.870757911358843E-6</v>
      </c>
      <c r="U163" s="17">
        <v>1.8954202017639375E-6</v>
      </c>
      <c r="V163" s="17">
        <f>IFERROR((V161-V152)/V39,0)</f>
        <v>1.0771036515008268</v>
      </c>
      <c r="W163" s="73">
        <f t="shared" si="27"/>
        <v>7.5868050517949293E-9</v>
      </c>
      <c r="X163" s="89"/>
      <c r="Y163" s="17">
        <f t="shared" ref="Y163:AJ163" si="122">IFERROR(Y162/Y40,0)</f>
        <v>2.3044047599827339E-6</v>
      </c>
      <c r="Z163" s="17">
        <f t="shared" si="122"/>
        <v>2.3335829020083467E-6</v>
      </c>
      <c r="AA163" s="17">
        <f t="shared" si="122"/>
        <v>1.8143737478638577E-6</v>
      </c>
      <c r="AB163" s="17">
        <f t="shared" si="122"/>
        <v>2.1031413599590946E-6</v>
      </c>
      <c r="AC163" s="17">
        <f t="shared" si="122"/>
        <v>1.5319833882337597E-6</v>
      </c>
      <c r="AD163" s="17">
        <f t="shared" si="122"/>
        <v>1.7523480306684613E-6</v>
      </c>
      <c r="AE163" s="17">
        <f t="shared" si="122"/>
        <v>1.8017288005481145E-6</v>
      </c>
      <c r="AF163" s="17">
        <f t="shared" si="122"/>
        <v>1.7175183487927398E-6</v>
      </c>
      <c r="AG163" s="17">
        <f t="shared" si="122"/>
        <v>1.8307002920811317E-6</v>
      </c>
      <c r="AH163" s="17">
        <f t="shared" si="122"/>
        <v>1.6716571540464674E-6</v>
      </c>
      <c r="AI163" s="17">
        <f t="shared" si="122"/>
        <v>1.7593104394642678E-6</v>
      </c>
      <c r="AJ163" s="17">
        <f t="shared" si="122"/>
        <v>1.8741287504489367E-6</v>
      </c>
      <c r="AK163" s="17">
        <f>IFERROR((AK161-AK152)/AK39,0)</f>
        <v>1.1468093640617927</v>
      </c>
      <c r="AL163" s="73">
        <f t="shared" si="29"/>
        <v>7.1266202181758931E-9</v>
      </c>
      <c r="AM163" s="16">
        <f t="shared" si="82"/>
        <v>6.4715881766660655E-2</v>
      </c>
    </row>
    <row r="164" spans="9:39" ht="15.75">
      <c r="I164" s="25" t="s">
        <v>274</v>
      </c>
      <c r="J164" s="24">
        <v>571491</v>
      </c>
      <c r="K164" s="24">
        <v>1107424</v>
      </c>
      <c r="L164" s="24">
        <v>911794</v>
      </c>
      <c r="M164" s="24">
        <v>877844</v>
      </c>
      <c r="N164" s="24">
        <v>1118655</v>
      </c>
      <c r="O164" s="24">
        <v>1047632</v>
      </c>
      <c r="P164" s="24">
        <v>911181</v>
      </c>
      <c r="Q164" s="24">
        <v>629112</v>
      </c>
      <c r="R164" s="24">
        <v>1039275</v>
      </c>
      <c r="S164" s="24">
        <v>1364733</v>
      </c>
      <c r="T164" s="24">
        <f t="shared" ref="R164:U164" si="123">T34-T161</f>
        <v>1035808.1377297346</v>
      </c>
      <c r="U164" s="24">
        <f t="shared" si="123"/>
        <v>1121786.5815037144</v>
      </c>
      <c r="V164" s="24">
        <f>V34-V161</f>
        <v>11738259.719233451</v>
      </c>
      <c r="W164" s="77">
        <f t="shared" si="27"/>
        <v>8.2680889636825183E-2</v>
      </c>
      <c r="X164" s="89"/>
      <c r="Y164" s="24">
        <f t="shared" ref="Y164:AK164" si="124">Y34-Y161</f>
        <v>777505.68993351783</v>
      </c>
      <c r="Z164" s="24">
        <f t="shared" si="124"/>
        <v>747500.46135564032</v>
      </c>
      <c r="AA164" s="24">
        <f t="shared" si="124"/>
        <v>1050001.2208076338</v>
      </c>
      <c r="AB164" s="24">
        <f t="shared" si="124"/>
        <v>790206.93434434047</v>
      </c>
      <c r="AC164" s="24">
        <f t="shared" si="124"/>
        <v>1232324.3863176084</v>
      </c>
      <c r="AD164" s="24">
        <f t="shared" si="124"/>
        <v>955085.45597650681</v>
      </c>
      <c r="AE164" s="24">
        <f t="shared" si="124"/>
        <v>992122.82873117458</v>
      </c>
      <c r="AF164" s="24">
        <f t="shared" si="124"/>
        <v>1040055.9983553253</v>
      </c>
      <c r="AG164" s="24">
        <f t="shared" si="124"/>
        <v>957669.82131014753</v>
      </c>
      <c r="AH164" s="24">
        <f t="shared" si="124"/>
        <v>1091894.5470649984</v>
      </c>
      <c r="AI164" s="24">
        <f t="shared" si="124"/>
        <v>978404.54370154266</v>
      </c>
      <c r="AJ164" s="24">
        <f t="shared" si="124"/>
        <v>913493.62106894969</v>
      </c>
      <c r="AK164" s="24">
        <f t="shared" si="124"/>
        <v>11526265.508967366</v>
      </c>
      <c r="AL164" s="77">
        <f t="shared" si="29"/>
        <v>7.1627699764617733E-2</v>
      </c>
      <c r="AM164" s="23">
        <f t="shared" si="82"/>
        <v>-1.806010561503657E-2</v>
      </c>
    </row>
    <row r="165" spans="9:39" ht="15">
      <c r="I165" s="26" t="s">
        <v>309</v>
      </c>
      <c r="J165" s="17">
        <f>+J164/J39</f>
        <v>0.96021795526641218</v>
      </c>
      <c r="K165" s="17">
        <f>+K164/K39</f>
        <v>1.9321814473424794</v>
      </c>
      <c r="L165" s="17">
        <f>+L164/L39</f>
        <v>1.4100074382325152</v>
      </c>
      <c r="M165" s="17">
        <f>+M164/M39</f>
        <v>1.4915292250655421</v>
      </c>
      <c r="N165" s="17">
        <f>+N164/N39</f>
        <v>1.5471721860166632</v>
      </c>
      <c r="O165" s="17">
        <f>+O164/O39</f>
        <v>1.4775879212710592</v>
      </c>
      <c r="P165" s="17">
        <f>+P164/P39</f>
        <v>1.2781706292372197</v>
      </c>
      <c r="Q165" s="17">
        <f>+Q164/Q39</f>
        <v>1.0102581561012582</v>
      </c>
      <c r="R165" s="17">
        <f t="shared" ref="R165:U165" si="125">+R164/R39</f>
        <v>1.5851764967870157</v>
      </c>
      <c r="S165" s="17">
        <f t="shared" si="125"/>
        <v>1.8917027408026548</v>
      </c>
      <c r="T165" s="17">
        <f t="shared" si="125"/>
        <v>1.4581987314836888</v>
      </c>
      <c r="U165" s="17">
        <f t="shared" si="125"/>
        <v>1.6338736165197034</v>
      </c>
      <c r="V165" s="17">
        <f>+V164/V39</f>
        <v>1.477413086437886</v>
      </c>
      <c r="W165" s="73">
        <f t="shared" ref="W165" si="126">V165/V$6</f>
        <v>1.0406468358134878E-8</v>
      </c>
      <c r="X165" s="89"/>
      <c r="Y165" s="17">
        <f>+Y164/Y39</f>
        <v>1.2022180798878008</v>
      </c>
      <c r="Z165" s="17">
        <f>+Z164/Z39</f>
        <v>1.1938365512688842</v>
      </c>
      <c r="AA165" s="17">
        <f>+AA164/AA39</f>
        <v>1.4885336554341109</v>
      </c>
      <c r="AB165" s="17">
        <f>+AB164/AB39</f>
        <v>1.2292397421829011</v>
      </c>
      <c r="AC165" s="17">
        <f>+AC164/AC39</f>
        <v>1.621560533707749</v>
      </c>
      <c r="AD165" s="17">
        <f>+AD164/AD39</f>
        <v>1.3441646742578297</v>
      </c>
      <c r="AE165" s="17">
        <f>+AE164/AE39</f>
        <v>1.3785668136277449</v>
      </c>
      <c r="AF165" s="17">
        <f>+AF164/AF39</f>
        <v>1.4178296083529187</v>
      </c>
      <c r="AG165" s="17">
        <f>+AG164/AG39</f>
        <v>1.3407897724773787</v>
      </c>
      <c r="AH165" s="17">
        <f>+AH164/AH39</f>
        <v>1.4545909927409943</v>
      </c>
      <c r="AI165" s="17">
        <f>+AI164/AI39</f>
        <v>1.3470134187211729</v>
      </c>
      <c r="AJ165" s="17">
        <f>+AJ164/AJ39</f>
        <v>1.3101604058713807</v>
      </c>
      <c r="AK165" s="17">
        <f>+AK164/AK39</f>
        <v>1.3667512290182096</v>
      </c>
      <c r="AL165" s="73">
        <f t="shared" ref="AL165" si="127">AK165/AK$6</f>
        <v>8.4934054840984823E-9</v>
      </c>
      <c r="AM165" s="16">
        <f t="shared" si="82"/>
        <v>-7.49024483643147E-2</v>
      </c>
    </row>
  </sheetData>
  <mergeCells count="4">
    <mergeCell ref="J2:U2"/>
    <mergeCell ref="V2:W2"/>
    <mergeCell ref="Y2:AJ2"/>
    <mergeCell ref="AK2:AL2"/>
  </mergeCells>
  <conditionalFormatting sqref="AM1:AM158 AM161:AM165">
    <cfRule type="cellIs" dxfId="11" priority="4" operator="lessThan">
      <formula>0</formula>
    </cfRule>
  </conditionalFormatting>
  <conditionalFormatting sqref="AO43:AO46">
    <cfRule type="cellIs" dxfId="10" priority="3" operator="lessThan">
      <formula>0</formula>
    </cfRule>
  </conditionalFormatting>
  <conditionalFormatting sqref="AM159">
    <cfRule type="cellIs" dxfId="9" priority="2" operator="lessThan">
      <formula>0</formula>
    </cfRule>
  </conditionalFormatting>
  <conditionalFormatting sqref="AM160">
    <cfRule type="cellIs" dxfId="8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4">
    <outlinePr summaryBelow="0" summaryRight="0"/>
  </sheetPr>
  <dimension ref="A1:AO165"/>
  <sheetViews>
    <sheetView showGridLines="0" zoomScale="70" zoomScaleNormal="70" workbookViewId="0">
      <pane xSplit="9" ySplit="3" topLeftCell="AC60" activePane="bottomRight" state="frozen"/>
      <selection pane="bottomRight" activeCell="AD60" sqref="AD60"/>
      <selection pane="bottomLeft" activeCell="AB112" sqref="AB112"/>
      <selection pane="topRight" activeCell="AB112" sqref="AB112"/>
    </sheetView>
  </sheetViews>
  <sheetFormatPr defaultColWidth="11.42578125" defaultRowHeight="14.45" outlineLevelRow="1" outlineLevelCol="1"/>
  <cols>
    <col min="1" max="1" width="2.5703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0.28515625" style="7" customWidth="1"/>
    <col min="6" max="8" width="10.28515625" style="6" hidden="1" customWidth="1"/>
    <col min="9" max="9" width="32" style="5" customWidth="1"/>
    <col min="10" max="10" width="16" style="4" customWidth="1" outlineLevel="1"/>
    <col min="11" max="12" width="16.42578125" style="4" customWidth="1" outlineLevel="1"/>
    <col min="13" max="14" width="16.42578125" style="3" customWidth="1" outlineLevel="1"/>
    <col min="15" max="15" width="16" style="3" customWidth="1" outlineLevel="1"/>
    <col min="16" max="16" width="16.42578125" style="3" customWidth="1" outlineLevel="1"/>
    <col min="17" max="17" width="17.42578125" style="4" customWidth="1" outlineLevel="1"/>
    <col min="18" max="18" width="16" style="3" customWidth="1" outlineLevel="1"/>
    <col min="19" max="19" width="17.42578125" style="3" customWidth="1" outlineLevel="1"/>
    <col min="20" max="20" width="18.28515625" style="3" customWidth="1" outlineLevel="1"/>
    <col min="21" max="21" width="17.42578125" style="4" customWidth="1" outlineLevel="1"/>
    <col min="22" max="22" width="18" style="4" bestFit="1" customWidth="1"/>
    <col min="23" max="23" width="6.7109375" style="83" bestFit="1" customWidth="1"/>
    <col min="24" max="24" width="1.140625" style="93" customWidth="1"/>
    <col min="25" max="25" width="16" style="4" customWidth="1" outlineLevel="1"/>
    <col min="26" max="27" width="16.42578125" style="4" customWidth="1" outlineLevel="1"/>
    <col min="28" max="28" width="16.42578125" style="3" customWidth="1" outlineLevel="1"/>
    <col min="29" max="29" width="16" style="3" customWidth="1" outlineLevel="1"/>
    <col min="30" max="31" width="16.42578125" style="3" customWidth="1" outlineLevel="1"/>
    <col min="32" max="32" width="16.42578125" style="4" customWidth="1" outlineLevel="1"/>
    <col min="33" max="35" width="16.42578125" style="3" customWidth="1" outlineLevel="1"/>
    <col min="36" max="36" width="16.42578125" style="4" customWidth="1" outlineLevel="1"/>
    <col min="37" max="37" width="18" style="4" bestFit="1" customWidth="1"/>
    <col min="38" max="38" width="6.7109375" style="83" bestFit="1" customWidth="1"/>
    <col min="39" max="39" width="9.140625" style="2" bestFit="1" customWidth="1"/>
    <col min="40" max="40" width="12.5703125" style="1" bestFit="1" customWidth="1"/>
    <col min="41" max="16384" width="11.42578125" style="1"/>
  </cols>
  <sheetData>
    <row r="1" spans="1:40" s="57" customFormat="1" ht="6.75" customHeight="1">
      <c r="A1" s="6"/>
      <c r="B1" s="8"/>
      <c r="C1" s="8"/>
      <c r="D1" s="6"/>
      <c r="E1" s="7" t="s">
        <v>481</v>
      </c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0" s="52" customFormat="1" ht="18" customHeight="1">
      <c r="A2" s="55"/>
      <c r="B2" s="55"/>
      <c r="C2" s="55"/>
      <c r="D2" s="55"/>
      <c r="E2" s="56"/>
      <c r="F2" s="55"/>
      <c r="G2" s="55"/>
      <c r="H2" s="55"/>
      <c r="I2" s="54"/>
      <c r="J2" s="309">
        <v>2025</v>
      </c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1"/>
      <c r="V2" s="312" t="s">
        <v>81</v>
      </c>
      <c r="W2" s="313"/>
      <c r="X2" s="85"/>
      <c r="Y2" s="309">
        <v>2026</v>
      </c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1"/>
      <c r="AK2" s="312" t="s">
        <v>81</v>
      </c>
      <c r="AL2" s="314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2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82</v>
      </c>
      <c r="X3" s="86"/>
      <c r="Y3" s="132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82</v>
      </c>
      <c r="AM3" s="45" t="s">
        <v>83</v>
      </c>
    </row>
    <row r="4" spans="1:40" ht="14.45" customHeight="1">
      <c r="I4" s="43" t="s">
        <v>84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 ht="14.45" customHeight="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0" ht="14.45" customHeight="1">
      <c r="A6" s="12" t="s">
        <v>85</v>
      </c>
      <c r="B6" s="19"/>
      <c r="C6" s="19"/>
      <c r="D6" s="12"/>
      <c r="E6" s="7" t="s">
        <v>86</v>
      </c>
      <c r="I6" s="167" t="s">
        <v>87</v>
      </c>
      <c r="J6" s="15">
        <v>4103858</v>
      </c>
      <c r="K6" s="15">
        <v>4254444</v>
      </c>
      <c r="L6" s="15">
        <v>4165246</v>
      </c>
      <c r="M6" s="15">
        <v>3950583</v>
      </c>
      <c r="N6" s="15">
        <v>4148610</v>
      </c>
      <c r="O6" s="15">
        <v>4038517</v>
      </c>
      <c r="P6" s="15">
        <v>3896144</v>
      </c>
      <c r="Q6" s="15">
        <v>3808961</v>
      </c>
      <c r="R6" s="15">
        <v>4373605</v>
      </c>
      <c r="S6" s="15">
        <v>3992118</v>
      </c>
      <c r="T6" s="15">
        <v>4765430.9482458504</v>
      </c>
      <c r="U6" s="15">
        <v>4615269.6465017637</v>
      </c>
      <c r="V6" s="15">
        <f t="shared" ref="V6" si="1">SUM(V7:V12)</f>
        <v>50112786.59474761</v>
      </c>
      <c r="W6" s="72">
        <f t="shared" ref="W6:W34" si="2">V6/V$6</f>
        <v>1</v>
      </c>
      <c r="X6" s="89"/>
      <c r="Y6" s="15">
        <f t="shared" ref="Y6:AJ6" si="3">SUM(Y7:Y12)</f>
        <v>4021744.08</v>
      </c>
      <c r="Z6" s="15">
        <f t="shared" si="3"/>
        <v>4180233.3184320005</v>
      </c>
      <c r="AA6" s="15">
        <f t="shared" si="3"/>
        <v>4223760.163261584</v>
      </c>
      <c r="AB6" s="15">
        <f t="shared" si="3"/>
        <v>4074110.6581135346</v>
      </c>
      <c r="AC6" s="15">
        <f t="shared" si="3"/>
        <v>4512914.6403414849</v>
      </c>
      <c r="AD6" s="15">
        <f t="shared" si="3"/>
        <v>4467086.8010152625</v>
      </c>
      <c r="AE6" s="15">
        <f t="shared" si="3"/>
        <v>4311816.3042488266</v>
      </c>
      <c r="AF6" s="15">
        <f t="shared" si="3"/>
        <v>4479245.0566895474</v>
      </c>
      <c r="AG6" s="15">
        <f t="shared" si="3"/>
        <v>4686777.750476595</v>
      </c>
      <c r="AH6" s="15">
        <f t="shared" si="3"/>
        <v>4738434.5774244713</v>
      </c>
      <c r="AI6" s="15">
        <f t="shared" si="3"/>
        <v>4799283.22106985</v>
      </c>
      <c r="AJ6" s="15">
        <f t="shared" si="3"/>
        <v>4624370.2085739486</v>
      </c>
      <c r="AK6" s="15">
        <f>SUM(AK7:AK12)</f>
        <v>53119776.779647104</v>
      </c>
      <c r="AL6" s="72">
        <f t="shared" ref="AL6:AL34" si="4">AK6/AK$6</f>
        <v>1</v>
      </c>
      <c r="AM6" s="10">
        <f>IFERROR(AK6/V6-1,0)</f>
        <v>6.0004449746856814E-2</v>
      </c>
      <c r="AN6" s="9"/>
    </row>
    <row r="7" spans="1:40" ht="15" customHeight="1" outlineLevel="1">
      <c r="A7" s="12" t="s">
        <v>85</v>
      </c>
      <c r="B7" s="19" t="s">
        <v>88</v>
      </c>
      <c r="C7" s="19" t="s">
        <v>89</v>
      </c>
      <c r="D7" s="12" t="s">
        <v>90</v>
      </c>
      <c r="E7" s="20"/>
      <c r="F7" s="12"/>
      <c r="G7" s="12"/>
      <c r="H7" s="12"/>
      <c r="I7" s="117" t="s">
        <v>22</v>
      </c>
      <c r="J7" s="65">
        <v>1821596</v>
      </c>
      <c r="K7" s="65">
        <v>1770380</v>
      </c>
      <c r="L7" s="65">
        <v>1844049</v>
      </c>
      <c r="M7" s="65">
        <v>1768911</v>
      </c>
      <c r="N7" s="65">
        <v>1920443</v>
      </c>
      <c r="O7" s="65">
        <v>1933088</v>
      </c>
      <c r="P7" s="65">
        <v>1810303</v>
      </c>
      <c r="Q7" s="65">
        <v>1949722</v>
      </c>
      <c r="R7" s="65">
        <v>2080514</v>
      </c>
      <c r="S7" s="65">
        <v>2073972</v>
      </c>
      <c r="T7" s="65">
        <v>2271592.2815503562</v>
      </c>
      <c r="U7" s="65">
        <v>2220660.9858554616</v>
      </c>
      <c r="V7" s="11">
        <f t="shared" ref="V7:V33" si="5">SUM(J7:U7)</f>
        <v>23465231.267405815</v>
      </c>
      <c r="W7" s="73">
        <f t="shared" si="2"/>
        <v>0.46824838253686812</v>
      </c>
      <c r="X7" s="89"/>
      <c r="Y7" s="65">
        <f>IFERROR(Y40*'[3]Margen ctvs-lit'!W$13,0)</f>
        <v>1786544.9999999998</v>
      </c>
      <c r="Z7" s="65">
        <f>IFERROR(Z40*'[3]Margen ctvs-lit'!X$13,0)</f>
        <v>1751453.4873599999</v>
      </c>
      <c r="AA7" s="65">
        <f>IFERROR(AA40*'[3]Margen ctvs-lit'!Y$13,0)</f>
        <v>1898887.5341881921</v>
      </c>
      <c r="AB7" s="65">
        <f>IFERROR(AB40*'[3]Margen ctvs-lit'!Z$13,0)</f>
        <v>1867453.3182881351</v>
      </c>
      <c r="AC7" s="65">
        <f>IFERROR(AC40*'[3]Margen ctvs-lit'!AA$13,0)</f>
        <v>2131461.9531118684</v>
      </c>
      <c r="AD7" s="65">
        <f>IFERROR(AD40*'[3]Margen ctvs-lit'!AB$13,0)</f>
        <v>2180684.2180790552</v>
      </c>
      <c r="AE7" s="65">
        <f>IFERROR(AE40*'[3]Margen ctvs-lit'!AC$13,0)</f>
        <v>1996111.4553483743</v>
      </c>
      <c r="AF7" s="65">
        <f>IFERROR(AF40*'[3]Margen ctvs-lit'!AD$13,0)</f>
        <v>2236247.5512654227</v>
      </c>
      <c r="AG7" s="65">
        <f>IFERROR(AG40*'[3]Margen ctvs-lit'!AE$13,0)</f>
        <v>2170747.9374499391</v>
      </c>
      <c r="AH7" s="65">
        <f>IFERROR(AH40*'[3]Margen ctvs-lit'!AF$13,0)</f>
        <v>2283796.6431372529</v>
      </c>
      <c r="AI7" s="65">
        <f>IFERROR(AI40*'[3]Margen ctvs-lit'!AG$13,0)</f>
        <v>2304176.7060538065</v>
      </c>
      <c r="AJ7" s="65">
        <f>IFERROR(AJ40*'[3]Margen ctvs-lit'!AH$13,0)</f>
        <v>2180185.1807672088</v>
      </c>
      <c r="AK7" s="65">
        <f t="shared" ref="AK7:AK33" si="6">SUM(Y7:AJ7)</f>
        <v>24787750.985049255</v>
      </c>
      <c r="AL7" s="73">
        <f t="shared" si="4"/>
        <v>0.46663883938884898</v>
      </c>
      <c r="AM7" s="14">
        <f t="shared" ref="AM7:AM46" si="7">IFERROR(AK7/V7-1,0)</f>
        <v>5.6360821786592519E-2</v>
      </c>
      <c r="AN7" s="9"/>
    </row>
    <row r="8" spans="1:40" ht="15" customHeight="1" outlineLevel="1">
      <c r="A8" s="12" t="s">
        <v>85</v>
      </c>
      <c r="B8" s="19" t="s">
        <v>88</v>
      </c>
      <c r="C8" s="19" t="s">
        <v>91</v>
      </c>
      <c r="D8" s="12" t="s">
        <v>92</v>
      </c>
      <c r="E8" s="20"/>
      <c r="F8" s="12"/>
      <c r="G8" s="12"/>
      <c r="H8" s="12"/>
      <c r="I8" s="117" t="s">
        <v>23</v>
      </c>
      <c r="J8" s="65">
        <v>260022</v>
      </c>
      <c r="K8" s="65">
        <v>313162</v>
      </c>
      <c r="L8" s="65">
        <v>375006</v>
      </c>
      <c r="M8" s="65">
        <v>315067</v>
      </c>
      <c r="N8" s="65">
        <v>342569</v>
      </c>
      <c r="O8" s="65">
        <v>382838</v>
      </c>
      <c r="P8" s="65">
        <v>342187</v>
      </c>
      <c r="Q8" s="65">
        <v>343480</v>
      </c>
      <c r="R8" s="65">
        <v>330473</v>
      </c>
      <c r="S8" s="65">
        <v>372758</v>
      </c>
      <c r="T8" s="65">
        <v>426020.40590987861</v>
      </c>
      <c r="U8" s="65">
        <v>421341.77778759348</v>
      </c>
      <c r="V8" s="11">
        <f t="shared" si="5"/>
        <v>4224924.1836974723</v>
      </c>
      <c r="W8" s="73">
        <f t="shared" si="2"/>
        <v>8.4308306737432406E-2</v>
      </c>
      <c r="X8" s="89"/>
      <c r="Y8" s="65">
        <f>IFERROR(Y41*'[3]Margen ctvs-lit'!W$14,0)</f>
        <v>254011.56</v>
      </c>
      <c r="Z8" s="65">
        <f>IFERROR(Z41*'[3]Margen ctvs-lit'!X$14,0)</f>
        <v>300821.353344</v>
      </c>
      <c r="AA8" s="65">
        <f>IFERROR(AA41*'[3]Margen ctvs-lit'!Y$14,0)</f>
        <v>386187.44938787527</v>
      </c>
      <c r="AB8" s="65">
        <f>IFERROR(AB41*'[3]Margen ctvs-lit'!Z$14,0)</f>
        <v>320393.9723509351</v>
      </c>
      <c r="AC8" s="65">
        <f>IFERROR(AC41*'[3]Margen ctvs-lit'!AA$14,0)</f>
        <v>367249.66980484442</v>
      </c>
      <c r="AD8" s="65">
        <f>IFERROR(AD41*'[3]Margen ctvs-lit'!AB$14,0)</f>
        <v>422238.17167430278</v>
      </c>
      <c r="AE8" s="65">
        <f>IFERROR(AE41*'[3]Margen ctvs-lit'!AC$14,0)</f>
        <v>377166.45033758349</v>
      </c>
      <c r="AF8" s="65">
        <f>IFERROR(AF41*'[3]Margen ctvs-lit'!AD$14,0)</f>
        <v>398901.53440920374</v>
      </c>
      <c r="AG8" s="65">
        <f>IFERROR(AG41*'[3]Margen ctvs-lit'!AE$14,0)</f>
        <v>399711.1120550076</v>
      </c>
      <c r="AH8" s="65">
        <f>IFERROR(AH41*'[3]Margen ctvs-lit'!AF$14,0)</f>
        <v>404948.51110377576</v>
      </c>
      <c r="AI8" s="65">
        <f>IFERROR(AI41*'[3]Margen ctvs-lit'!AG$14,0)</f>
        <v>394908.73170413193</v>
      </c>
      <c r="AJ8" s="65">
        <f>IFERROR(AJ41*'[3]Margen ctvs-lit'!AH$14,0)</f>
        <v>379136.44810245273</v>
      </c>
      <c r="AK8" s="65">
        <f t="shared" si="6"/>
        <v>4405674.9642741131</v>
      </c>
      <c r="AL8" s="73">
        <f t="shared" si="4"/>
        <v>8.2938506736386586E-2</v>
      </c>
      <c r="AM8" s="14">
        <f t="shared" si="7"/>
        <v>4.2782017550538676E-2</v>
      </c>
      <c r="AN8" s="9"/>
    </row>
    <row r="9" spans="1:40" ht="15" customHeight="1" outlineLevel="1">
      <c r="A9" s="12" t="s">
        <v>85</v>
      </c>
      <c r="B9" s="19" t="s">
        <v>88</v>
      </c>
      <c r="C9" s="19" t="s">
        <v>93</v>
      </c>
      <c r="D9" s="12" t="s">
        <v>94</v>
      </c>
      <c r="E9" s="20"/>
      <c r="F9" s="12"/>
      <c r="G9" s="12"/>
      <c r="H9" s="12"/>
      <c r="I9" s="117" t="s">
        <v>5</v>
      </c>
      <c r="J9" s="65">
        <v>2018289</v>
      </c>
      <c r="K9" s="65">
        <v>2166408</v>
      </c>
      <c r="L9" s="65">
        <v>1941600</v>
      </c>
      <c r="M9" s="65">
        <v>1860751</v>
      </c>
      <c r="N9" s="65">
        <v>1879972</v>
      </c>
      <c r="O9" s="65">
        <v>1714638</v>
      </c>
      <c r="P9" s="65">
        <v>1735789</v>
      </c>
      <c r="Q9" s="65">
        <v>1507172</v>
      </c>
      <c r="R9" s="65">
        <v>1956143</v>
      </c>
      <c r="S9" s="65">
        <v>1540900</v>
      </c>
      <c r="T9" s="65">
        <v>2062555.0607856154</v>
      </c>
      <c r="U9" s="65">
        <v>1965800.4828587081</v>
      </c>
      <c r="V9" s="11">
        <f t="shared" si="5"/>
        <v>22350017.543644324</v>
      </c>
      <c r="W9" s="73">
        <f t="shared" si="2"/>
        <v>0.44599430728896766</v>
      </c>
      <c r="X9" s="89"/>
      <c r="Y9" s="65">
        <f>IFERROR(Y42*'[3]Margen ctvs-lit'!W$15,0)</f>
        <v>1974947.52</v>
      </c>
      <c r="Z9" s="65">
        <f>IFERROR(Z42*'[3]Margen ctvs-lit'!X$15,0)</f>
        <v>2121778.4777280004</v>
      </c>
      <c r="AA9" s="65">
        <f>IFERROR(AA42*'[3]Margen ctvs-lit'!Y$15,0)</f>
        <v>1932505.179685517</v>
      </c>
      <c r="AB9" s="65">
        <f>IFERROR(AB42*'[3]Margen ctvs-lit'!Z$15,0)</f>
        <v>1880923.3674744642</v>
      </c>
      <c r="AC9" s="65">
        <f>IFERROR(AC42*'[3]Margen ctvs-lit'!AA$15,0)</f>
        <v>2006943.0174247723</v>
      </c>
      <c r="AD9" s="65">
        <f>IFERROR(AD42*'[3]Margen ctvs-lit'!AB$15,0)</f>
        <v>1858944.4112619045</v>
      </c>
      <c r="AE9" s="65">
        <f>IFERROR(AE42*'[3]Margen ctvs-lit'!AC$15,0)</f>
        <v>1932958.3985628688</v>
      </c>
      <c r="AF9" s="65">
        <f>IFERROR(AF42*'[3]Margen ctvs-lit'!AD$15,0)</f>
        <v>1838395.9710149216</v>
      </c>
      <c r="AG9" s="65">
        <f>IFERROR(AG42*'[3]Margen ctvs-lit'!AE$15,0)</f>
        <v>2111158.7009716481</v>
      </c>
      <c r="AH9" s="65">
        <f>IFERROR(AH42*'[3]Margen ctvs-lit'!AF$15,0)</f>
        <v>2043869.4231834428</v>
      </c>
      <c r="AI9" s="65">
        <f>IFERROR(AI42*'[3]Margen ctvs-lit'!AG$15,0)</f>
        <v>2094857.7833119116</v>
      </c>
      <c r="AJ9" s="65">
        <f>IFERROR(AJ42*'[3]Margen ctvs-lit'!AH$15,0)</f>
        <v>2057668.579704287</v>
      </c>
      <c r="AK9" s="65">
        <f t="shared" si="6"/>
        <v>23854950.830323737</v>
      </c>
      <c r="AL9" s="73">
        <f t="shared" si="4"/>
        <v>0.44907852172044116</v>
      </c>
      <c r="AM9" s="14">
        <f t="shared" si="7"/>
        <v>6.7334769815756701E-2</v>
      </c>
      <c r="AN9" s="9"/>
    </row>
    <row r="10" spans="1:40" ht="15" customHeight="1" outlineLevel="1">
      <c r="A10" s="12"/>
      <c r="B10" s="19"/>
      <c r="C10" s="19"/>
      <c r="D10" s="12"/>
      <c r="E10" s="20"/>
      <c r="F10" s="12"/>
      <c r="G10" s="12"/>
      <c r="H10" s="12"/>
      <c r="I10" s="117" t="s">
        <v>95</v>
      </c>
      <c r="J10" s="65">
        <v>3952</v>
      </c>
      <c r="K10" s="65">
        <v>4494</v>
      </c>
      <c r="L10" s="65">
        <v>4591</v>
      </c>
      <c r="M10" s="65">
        <v>5854</v>
      </c>
      <c r="N10" s="65">
        <v>5627</v>
      </c>
      <c r="O10" s="65">
        <v>7953</v>
      </c>
      <c r="P10" s="65">
        <v>7864</v>
      </c>
      <c r="Q10" s="65">
        <v>8587</v>
      </c>
      <c r="R10" s="65">
        <v>6475</v>
      </c>
      <c r="S10" s="65">
        <v>4487</v>
      </c>
      <c r="T10" s="65">
        <v>5263.2</v>
      </c>
      <c r="U10" s="65">
        <v>7466.4</v>
      </c>
      <c r="V10" s="11">
        <f t="shared" si="5"/>
        <v>72613.599999999991</v>
      </c>
      <c r="W10" s="73">
        <f t="shared" si="2"/>
        <v>1.4490034367318685E-3</v>
      </c>
      <c r="X10" s="89"/>
      <c r="Y10" s="65">
        <f>VLOOKUP($E$1,'[3]Resumen x Tipo Combustible'!$C$60:$O$66,Y1,0)</f>
        <v>6240</v>
      </c>
      <c r="Z10" s="65">
        <f>VLOOKUP($E$1,'[3]Resumen x Tipo Combustible'!$C$60:$O$66,Z1,0)</f>
        <v>6180</v>
      </c>
      <c r="AA10" s="65">
        <f>VLOOKUP($E$1,'[3]Resumen x Tipo Combustible'!$C$60:$O$66,AA1,0)</f>
        <v>6180</v>
      </c>
      <c r="AB10" s="65">
        <f>VLOOKUP($E$1,'[3]Resumen x Tipo Combustible'!$C$60:$O$66,AB1,0)</f>
        <v>5340</v>
      </c>
      <c r="AC10" s="65">
        <f>VLOOKUP($E$1,'[3]Resumen x Tipo Combustible'!$C$60:$O$66,AC1,0)</f>
        <v>7260</v>
      </c>
      <c r="AD10" s="65">
        <f>VLOOKUP($E$1,'[3]Resumen x Tipo Combustible'!$C$60:$O$66,AD1,0)</f>
        <v>5220</v>
      </c>
      <c r="AE10" s="65">
        <f>VLOOKUP($E$1,'[3]Resumen x Tipo Combustible'!$C$60:$O$66,AE1,0)</f>
        <v>5580</v>
      </c>
      <c r="AF10" s="65">
        <f>VLOOKUP($E$1,'[3]Resumen x Tipo Combustible'!$C$60:$O$66,AF1,0)</f>
        <v>5700</v>
      </c>
      <c r="AG10" s="65">
        <f>VLOOKUP($E$1,'[3]Resumen x Tipo Combustible'!$C$60:$O$66,AG1,0)</f>
        <v>5160</v>
      </c>
      <c r="AH10" s="65">
        <f>VLOOKUP($E$1,'[3]Resumen x Tipo Combustible'!$C$60:$O$66,AH1,0)</f>
        <v>5820</v>
      </c>
      <c r="AI10" s="65">
        <f>VLOOKUP($E$1,'[3]Resumen x Tipo Combustible'!$C$60:$O$66,AI1,0)</f>
        <v>5340</v>
      </c>
      <c r="AJ10" s="65">
        <f>VLOOKUP($E$1,'[3]Resumen x Tipo Combustible'!$C$60:$O$66,AJ1,0)</f>
        <v>7380</v>
      </c>
      <c r="AK10" s="65">
        <f t="shared" si="6"/>
        <v>71400</v>
      </c>
      <c r="AL10" s="73">
        <f t="shared" si="4"/>
        <v>1.3441321543233025E-3</v>
      </c>
      <c r="AM10" s="14">
        <f t="shared" si="7"/>
        <v>-1.6713122610640285E-2</v>
      </c>
      <c r="AN10" s="9"/>
    </row>
    <row r="11" spans="1:40" ht="15" customHeight="1" outlineLevel="1">
      <c r="A11" s="12"/>
      <c r="B11" s="19"/>
      <c r="C11" s="19"/>
      <c r="D11" s="12"/>
      <c r="E11" s="20"/>
      <c r="F11" s="12"/>
      <c r="G11" s="12"/>
      <c r="H11" s="12"/>
      <c r="I11" s="117" t="s">
        <v>473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11">
        <f t="shared" si="5"/>
        <v>0</v>
      </c>
      <c r="W11" s="73">
        <f t="shared" si="2"/>
        <v>0</v>
      </c>
      <c r="X11" s="89"/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f t="shared" si="6"/>
        <v>0</v>
      </c>
      <c r="AL11" s="73">
        <f t="shared" si="4"/>
        <v>0</v>
      </c>
      <c r="AM11" s="14">
        <f t="shared" si="7"/>
        <v>0</v>
      </c>
      <c r="AN11" s="9"/>
    </row>
    <row r="12" spans="1:40" ht="15" customHeight="1" outlineLevel="1">
      <c r="A12" s="12"/>
      <c r="B12" s="19"/>
      <c r="C12" s="19"/>
      <c r="D12" s="12"/>
      <c r="E12" s="20"/>
      <c r="F12" s="12"/>
      <c r="G12" s="12"/>
      <c r="H12" s="12"/>
      <c r="I12" s="117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11">
        <f t="shared" si="5"/>
        <v>0</v>
      </c>
      <c r="W12" s="73">
        <f t="shared" si="2"/>
        <v>0</v>
      </c>
      <c r="X12" s="89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>
        <f t="shared" si="6"/>
        <v>0</v>
      </c>
      <c r="AL12" s="73">
        <f t="shared" si="4"/>
        <v>0</v>
      </c>
      <c r="AM12" s="14">
        <f t="shared" si="7"/>
        <v>0</v>
      </c>
      <c r="AN12" s="9"/>
    </row>
    <row r="13" spans="1:40" ht="14.45" customHeight="1">
      <c r="A13" s="12" t="s">
        <v>97</v>
      </c>
      <c r="B13" s="19"/>
      <c r="E13" s="7" t="s">
        <v>98</v>
      </c>
      <c r="I13" s="167" t="s">
        <v>99</v>
      </c>
      <c r="J13" s="15">
        <v>3545397</v>
      </c>
      <c r="K13" s="15">
        <v>3623076</v>
      </c>
      <c r="L13" s="15">
        <v>3576007</v>
      </c>
      <c r="M13" s="15">
        <v>3409199</v>
      </c>
      <c r="N13" s="15">
        <v>3574115</v>
      </c>
      <c r="O13" s="15">
        <v>3567782</v>
      </c>
      <c r="P13" s="15">
        <v>3482936</v>
      </c>
      <c r="Q13" s="15">
        <v>3318555</v>
      </c>
      <c r="R13" s="15">
        <v>3822641</v>
      </c>
      <c r="S13" s="15">
        <v>3426722</v>
      </c>
      <c r="T13" s="15">
        <v>4130789.56824585</v>
      </c>
      <c r="U13" s="15">
        <v>4007485.2565017631</v>
      </c>
      <c r="V13" s="15">
        <f t="shared" ref="V13" si="8">SUM(V14:V33)</f>
        <v>43484699.824747607</v>
      </c>
      <c r="W13" s="72">
        <f t="shared" si="2"/>
        <v>0.86773661533532243</v>
      </c>
      <c r="X13" s="89"/>
      <c r="Y13" s="15">
        <f>SUM(Y14:Y33)</f>
        <v>3509220.4899999998</v>
      </c>
      <c r="Z13" s="15">
        <f t="shared" ref="Z13:AK13" si="9">SUM(Z14:Z33)</f>
        <v>3653542.6184320003</v>
      </c>
      <c r="AA13" s="15">
        <f t="shared" si="9"/>
        <v>3696858.2232615845</v>
      </c>
      <c r="AB13" s="15">
        <f t="shared" si="9"/>
        <v>3576042.4681135342</v>
      </c>
      <c r="AC13" s="15">
        <f t="shared" si="9"/>
        <v>3940977.1503414847</v>
      </c>
      <c r="AD13" s="15">
        <f t="shared" si="9"/>
        <v>3927221.5010152627</v>
      </c>
      <c r="AE13" s="15">
        <f t="shared" si="9"/>
        <v>3804028.4042488262</v>
      </c>
      <c r="AF13" s="15">
        <f t="shared" si="9"/>
        <v>3930613.8366895486</v>
      </c>
      <c r="AG13" s="15">
        <f t="shared" si="9"/>
        <v>4131873.4304765947</v>
      </c>
      <c r="AH13" s="15">
        <f t="shared" si="9"/>
        <v>4185657.9574244712</v>
      </c>
      <c r="AI13" s="15">
        <f t="shared" si="9"/>
        <v>4247724.5810698494</v>
      </c>
      <c r="AJ13" s="15">
        <f t="shared" si="9"/>
        <v>4109472.5085739484</v>
      </c>
      <c r="AK13" s="15">
        <f t="shared" si="9"/>
        <v>46713233.169647098</v>
      </c>
      <c r="AL13" s="72">
        <f t="shared" si="4"/>
        <v>0.87939438005216397</v>
      </c>
      <c r="AM13" s="10">
        <f t="shared" si="7"/>
        <v>7.4245271507246358E-2</v>
      </c>
      <c r="AN13" s="9"/>
    </row>
    <row r="14" spans="1:40" ht="14.45" customHeight="1" outlineLevel="1">
      <c r="A14" s="37" t="s">
        <v>97</v>
      </c>
      <c r="B14" s="39"/>
      <c r="C14" s="39" t="s">
        <v>100</v>
      </c>
      <c r="D14" s="37" t="s">
        <v>101</v>
      </c>
      <c r="E14" s="38"/>
      <c r="F14" s="37"/>
      <c r="G14" s="37"/>
      <c r="H14" s="37"/>
      <c r="I14" s="171" t="s">
        <v>102</v>
      </c>
      <c r="J14" s="65">
        <v>1869903</v>
      </c>
      <c r="K14" s="65">
        <v>1816593</v>
      </c>
      <c r="L14" s="65">
        <v>1941068</v>
      </c>
      <c r="M14" s="65">
        <v>1882259</v>
      </c>
      <c r="N14" s="65">
        <v>2063866</v>
      </c>
      <c r="O14" s="65">
        <v>2130374</v>
      </c>
      <c r="P14" s="65">
        <v>1938887</v>
      </c>
      <c r="Q14" s="65">
        <v>2068194</v>
      </c>
      <c r="R14" s="65">
        <v>2235058</v>
      </c>
      <c r="S14" s="65">
        <v>2181031</v>
      </c>
      <c r="T14" s="65">
        <v>1934789.7215503561</v>
      </c>
      <c r="U14" s="65">
        <v>1895036.4058554615</v>
      </c>
      <c r="V14" s="11">
        <f t="shared" si="5"/>
        <v>23957059.127405819</v>
      </c>
      <c r="W14" s="73">
        <f t="shared" si="2"/>
        <v>0.47806280104002019</v>
      </c>
      <c r="X14" s="89"/>
      <c r="Y14" s="65">
        <f>Y7-Y28-Y35</f>
        <v>1528830.7499999998</v>
      </c>
      <c r="Z14" s="65">
        <f>Z7-Z28-Z35</f>
        <v>1504683.56736</v>
      </c>
      <c r="AA14" s="65">
        <f>AA7-AA28-AA35</f>
        <v>1623748.5941881922</v>
      </c>
      <c r="AB14" s="65">
        <f>AB7-AB28-AB35</f>
        <v>1610339.3182881351</v>
      </c>
      <c r="AC14" s="65">
        <f>AC7-AC28-AC35</f>
        <v>1824987.4531118684</v>
      </c>
      <c r="AD14" s="65">
        <f>AD7-AD28-AD35</f>
        <v>1882558.1380790551</v>
      </c>
      <c r="AE14" s="65">
        <f>AE7-AE28-AE35</f>
        <v>1739193.8553483742</v>
      </c>
      <c r="AF14" s="65">
        <f>AF7-AF28-AF35</f>
        <v>1926826.8312654227</v>
      </c>
      <c r="AG14" s="65">
        <f>AG7-AG28-AG35</f>
        <v>1889760.7374499391</v>
      </c>
      <c r="AH14" s="65">
        <f>AH7-AH28-AH35</f>
        <v>1982101.0431372528</v>
      </c>
      <c r="AI14" s="65">
        <f>AI7-AI28-AI35</f>
        <v>2007999.2160538065</v>
      </c>
      <c r="AJ14" s="65">
        <f>AJ7-AJ28-AJ35</f>
        <v>1910884.8207672089</v>
      </c>
      <c r="AK14" s="65">
        <f t="shared" si="6"/>
        <v>21431914.325049255</v>
      </c>
      <c r="AL14" s="73">
        <f t="shared" si="4"/>
        <v>0.40346393799721153</v>
      </c>
      <c r="AM14" s="14">
        <f t="shared" si="7"/>
        <v>-0.10540295404905975</v>
      </c>
      <c r="AN14" s="9"/>
    </row>
    <row r="15" spans="1:40" ht="14.45" customHeight="1" outlineLevel="1">
      <c r="A15" s="37" t="s">
        <v>97</v>
      </c>
      <c r="B15" s="39"/>
      <c r="C15" s="39" t="s">
        <v>103</v>
      </c>
      <c r="D15" s="37" t="s">
        <v>104</v>
      </c>
      <c r="E15" s="38"/>
      <c r="F15" s="37"/>
      <c r="G15" s="37"/>
      <c r="H15" s="37"/>
      <c r="I15" s="172" t="s">
        <v>105</v>
      </c>
      <c r="J15" s="65">
        <v>240154</v>
      </c>
      <c r="K15" s="65">
        <v>297351</v>
      </c>
      <c r="L15" s="65">
        <v>369842</v>
      </c>
      <c r="M15" s="65">
        <v>302701</v>
      </c>
      <c r="N15" s="65">
        <v>339728</v>
      </c>
      <c r="O15" s="65">
        <v>381754</v>
      </c>
      <c r="P15" s="65">
        <v>344125</v>
      </c>
      <c r="Q15" s="65">
        <v>348945</v>
      </c>
      <c r="R15" s="65">
        <v>345294</v>
      </c>
      <c r="S15" s="65">
        <v>390626</v>
      </c>
      <c r="T15" s="65">
        <v>367351.86590987863</v>
      </c>
      <c r="U15" s="65">
        <v>364150.82778759347</v>
      </c>
      <c r="V15" s="11">
        <f t="shared" si="5"/>
        <v>4092022.6936974721</v>
      </c>
      <c r="W15" s="73">
        <f t="shared" si="2"/>
        <v>8.1656259245546772E-2</v>
      </c>
      <c r="X15" s="89"/>
      <c r="Y15" s="65">
        <f>Y8-Y29-Y36</f>
        <v>220782.54</v>
      </c>
      <c r="Z15" s="65">
        <f>Z8-Z29-Z36</f>
        <v>261920.073344</v>
      </c>
      <c r="AA15" s="65">
        <f>AA8-AA29-AA36</f>
        <v>336819.55938787526</v>
      </c>
      <c r="AB15" s="65">
        <f>AB8-AB29-AB36</f>
        <v>279906.38235093514</v>
      </c>
      <c r="AC15" s="65">
        <f>AC8-AC29-AC36</f>
        <v>321373.17980484443</v>
      </c>
      <c r="AD15" s="65">
        <f>AD8-AD29-AD36</f>
        <v>370097.40167430276</v>
      </c>
      <c r="AE15" s="65">
        <f>AE8-AE29-AE36</f>
        <v>331125.51033758349</v>
      </c>
      <c r="AF15" s="65">
        <f>AF8-AF29-AF36</f>
        <v>350004.71440920373</v>
      </c>
      <c r="AG15" s="65">
        <f>AG8-AG29-AG36</f>
        <v>352219.19205500762</v>
      </c>
      <c r="AH15" s="65">
        <f>AH8-AH29-AH36</f>
        <v>357197.29110377579</v>
      </c>
      <c r="AI15" s="65">
        <f>AI8-AI29-AI36</f>
        <v>348875.38170413196</v>
      </c>
      <c r="AJ15" s="65">
        <f>AJ8-AJ29-AJ36</f>
        <v>336311.80810245272</v>
      </c>
      <c r="AK15" s="65">
        <f t="shared" si="6"/>
        <v>3866633.0342741124</v>
      </c>
      <c r="AL15" s="73">
        <f t="shared" si="4"/>
        <v>7.2790837399671016E-2</v>
      </c>
      <c r="AM15" s="14">
        <f t="shared" si="7"/>
        <v>-5.5080256463510002E-2</v>
      </c>
      <c r="AN15" s="9"/>
    </row>
    <row r="16" spans="1:40" ht="14.45" customHeight="1" outlineLevel="1">
      <c r="A16" s="37" t="s">
        <v>97</v>
      </c>
      <c r="B16" s="39"/>
      <c r="C16" s="39" t="s">
        <v>106</v>
      </c>
      <c r="D16" s="37" t="s">
        <v>107</v>
      </c>
      <c r="E16" s="38"/>
      <c r="F16" s="37"/>
      <c r="G16" s="37"/>
      <c r="H16" s="37"/>
      <c r="I16" s="167" t="s">
        <v>5</v>
      </c>
      <c r="J16" s="65">
        <v>1802524</v>
      </c>
      <c r="K16" s="65">
        <v>1920586</v>
      </c>
      <c r="L16" s="65">
        <v>1698062</v>
      </c>
      <c r="M16" s="65">
        <v>1645516</v>
      </c>
      <c r="N16" s="65">
        <v>1645902</v>
      </c>
      <c r="O16" s="65">
        <v>1559750</v>
      </c>
      <c r="P16" s="65">
        <v>1645548</v>
      </c>
      <c r="Q16" s="65">
        <v>1360723</v>
      </c>
      <c r="R16" s="65">
        <v>1756278</v>
      </c>
      <c r="S16" s="65">
        <v>1364937</v>
      </c>
      <c r="T16" s="65">
        <v>1824174.2607856153</v>
      </c>
      <c r="U16" s="65">
        <v>1741951.5828587082</v>
      </c>
      <c r="V16" s="11">
        <f t="shared" si="5"/>
        <v>19965951.843644325</v>
      </c>
      <c r="W16" s="73">
        <f t="shared" si="2"/>
        <v>0.39842030747771234</v>
      </c>
      <c r="X16" s="89"/>
      <c r="Y16" s="65">
        <f>Y9-Y37</f>
        <v>1754303.2</v>
      </c>
      <c r="Z16" s="65">
        <f>Z9-Z37</f>
        <v>1881685.9777280004</v>
      </c>
      <c r="AA16" s="65">
        <f>AA9-AA37</f>
        <v>1731037.0696855169</v>
      </c>
      <c r="AB16" s="65">
        <f>AB9-AB37</f>
        <v>1681257.7674744641</v>
      </c>
      <c r="AC16" s="65">
        <f>AC9-AC37</f>
        <v>1788445.5174247723</v>
      </c>
      <c r="AD16" s="65">
        <f>AD9-AD37</f>
        <v>1670128.9612619046</v>
      </c>
      <c r="AE16" s="65">
        <f>AE9-AE37</f>
        <v>1728966.0385628687</v>
      </c>
      <c r="AF16" s="65">
        <f>AF9-AF37</f>
        <v>1648937.2910149216</v>
      </c>
      <c r="AG16" s="65">
        <f>AG9-AG37</f>
        <v>1885507.5009716481</v>
      </c>
      <c r="AH16" s="65">
        <f>AH9-AH37</f>
        <v>1841412.6231834427</v>
      </c>
      <c r="AI16" s="65">
        <f>AI9-AI37</f>
        <v>1886310.9833119116</v>
      </c>
      <c r="AJ16" s="65">
        <f>AJ9-AJ37</f>
        <v>1856002.879704287</v>
      </c>
      <c r="AK16" s="65">
        <f t="shared" si="6"/>
        <v>21353995.810323734</v>
      </c>
      <c r="AL16" s="73">
        <f t="shared" si="4"/>
        <v>0.40199709232410663</v>
      </c>
      <c r="AM16" s="14">
        <f t="shared" si="7"/>
        <v>6.9520550662915737E-2</v>
      </c>
      <c r="AN16" s="9"/>
    </row>
    <row r="17" spans="1:40" ht="14.45" customHeight="1" outlineLevel="1">
      <c r="A17" s="37" t="s">
        <v>97</v>
      </c>
      <c r="B17" s="39"/>
      <c r="C17" s="39" t="s">
        <v>108</v>
      </c>
      <c r="D17" s="37"/>
      <c r="E17" s="38"/>
      <c r="F17" s="37"/>
      <c r="G17" s="37"/>
      <c r="H17" s="37"/>
      <c r="I17" s="171" t="s">
        <v>109</v>
      </c>
      <c r="J17" s="65">
        <v>20996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11">
        <f t="shared" si="5"/>
        <v>20996</v>
      </c>
      <c r="W17" s="73">
        <f t="shared" si="2"/>
        <v>4.1897490494373384E-4</v>
      </c>
      <c r="X17" s="89"/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5">
        <f t="shared" si="6"/>
        <v>0</v>
      </c>
      <c r="AL17" s="73">
        <f t="shared" si="4"/>
        <v>0</v>
      </c>
      <c r="AM17" s="14">
        <f t="shared" si="7"/>
        <v>-1</v>
      </c>
      <c r="AN17" s="9"/>
    </row>
    <row r="18" spans="1:40" ht="14.45" customHeight="1" outlineLevel="1">
      <c r="A18" s="37" t="s">
        <v>97</v>
      </c>
      <c r="B18" s="39"/>
      <c r="C18" s="39" t="s">
        <v>110</v>
      </c>
      <c r="D18" s="37"/>
      <c r="E18" s="38"/>
      <c r="F18" s="37"/>
      <c r="G18" s="37"/>
      <c r="H18" s="37"/>
      <c r="I18" s="172" t="s">
        <v>111</v>
      </c>
      <c r="J18" s="65">
        <v>0</v>
      </c>
      <c r="K18" s="65">
        <v>0</v>
      </c>
      <c r="L18" s="65">
        <v>727</v>
      </c>
      <c r="M18" s="65">
        <v>47</v>
      </c>
      <c r="N18" s="65">
        <v>0</v>
      </c>
      <c r="O18" s="65">
        <v>0</v>
      </c>
      <c r="P18" s="65">
        <v>4980</v>
      </c>
      <c r="Q18" s="65">
        <v>0</v>
      </c>
      <c r="R18" s="65">
        <v>10470</v>
      </c>
      <c r="S18" s="65">
        <v>1712</v>
      </c>
      <c r="T18" s="65">
        <v>0</v>
      </c>
      <c r="U18" s="65">
        <v>0</v>
      </c>
      <c r="V18" s="11">
        <f t="shared" si="5"/>
        <v>17936</v>
      </c>
      <c r="W18" s="73">
        <f t="shared" si="2"/>
        <v>3.5791264503099687E-4</v>
      </c>
      <c r="X18" s="89"/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5">
        <f t="shared" si="6"/>
        <v>0</v>
      </c>
      <c r="AL18" s="73">
        <f t="shared" si="4"/>
        <v>0</v>
      </c>
      <c r="AM18" s="14">
        <f t="shared" si="7"/>
        <v>-1</v>
      </c>
      <c r="AN18" s="9"/>
    </row>
    <row r="19" spans="1:40" ht="14.45" customHeight="1" outlineLevel="1">
      <c r="A19" s="37" t="s">
        <v>97</v>
      </c>
      <c r="B19" s="39"/>
      <c r="C19" s="39" t="s">
        <v>112</v>
      </c>
      <c r="D19" s="37"/>
      <c r="E19" s="38"/>
      <c r="F19" s="37"/>
      <c r="G19" s="37"/>
      <c r="H19" s="37"/>
      <c r="I19" s="167" t="s">
        <v>113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11">
        <f t="shared" si="5"/>
        <v>0</v>
      </c>
      <c r="W19" s="73">
        <f t="shared" si="2"/>
        <v>0</v>
      </c>
      <c r="X19" s="89"/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5">
        <f t="shared" si="6"/>
        <v>0</v>
      </c>
      <c r="AL19" s="73">
        <f t="shared" si="4"/>
        <v>0</v>
      </c>
      <c r="AM19" s="14">
        <f t="shared" si="7"/>
        <v>0</v>
      </c>
      <c r="AN19" s="9"/>
    </row>
    <row r="20" spans="1:40" ht="14.45" customHeight="1" outlineLevel="1">
      <c r="A20" s="37" t="s">
        <v>97</v>
      </c>
      <c r="B20" s="39"/>
      <c r="C20" s="39" t="s">
        <v>117</v>
      </c>
      <c r="D20" s="37" t="s">
        <v>118</v>
      </c>
      <c r="E20" s="38"/>
      <c r="F20" s="37"/>
      <c r="G20" s="37"/>
      <c r="H20" s="37"/>
      <c r="I20" s="167" t="s">
        <v>114</v>
      </c>
      <c r="J20" s="65">
        <v>0</v>
      </c>
      <c r="K20" s="65">
        <v>-3962</v>
      </c>
      <c r="L20" s="65">
        <v>-15092</v>
      </c>
      <c r="M20" s="65">
        <v>-14504</v>
      </c>
      <c r="N20" s="65">
        <v>-13110</v>
      </c>
      <c r="O20" s="65">
        <v>-27461</v>
      </c>
      <c r="P20" s="65">
        <v>-22167</v>
      </c>
      <c r="Q20" s="65">
        <v>-16340</v>
      </c>
      <c r="R20" s="65">
        <v>-22219</v>
      </c>
      <c r="S20" s="65">
        <v>-35613</v>
      </c>
      <c r="T20" s="65"/>
      <c r="U20" s="65"/>
      <c r="V20" s="11">
        <f t="shared" si="5"/>
        <v>-170468</v>
      </c>
      <c r="W20" s="73">
        <f t="shared" si="2"/>
        <v>-3.4016867067988388E-3</v>
      </c>
      <c r="X20" s="89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5">
        <f t="shared" si="6"/>
        <v>0</v>
      </c>
      <c r="AL20" s="73">
        <f t="shared" si="4"/>
        <v>0</v>
      </c>
      <c r="AM20" s="14">
        <f t="shared" si="7"/>
        <v>-1</v>
      </c>
      <c r="AN20" s="9"/>
    </row>
    <row r="21" spans="1:40" ht="14.45" customHeight="1" outlineLevel="1">
      <c r="A21" s="37" t="s">
        <v>97</v>
      </c>
      <c r="B21" s="39"/>
      <c r="C21" s="39" t="s">
        <v>120</v>
      </c>
      <c r="D21" s="37"/>
      <c r="E21" s="38"/>
      <c r="F21" s="37"/>
      <c r="G21" s="37"/>
      <c r="H21" s="37"/>
      <c r="I21" s="167" t="s">
        <v>115</v>
      </c>
      <c r="J21" s="65">
        <v>-2236</v>
      </c>
      <c r="K21" s="65">
        <v>-8179</v>
      </c>
      <c r="L21" s="65">
        <v>0</v>
      </c>
      <c r="M21" s="65">
        <v>0</v>
      </c>
      <c r="N21" s="65">
        <v>-2696</v>
      </c>
      <c r="O21" s="65">
        <v>-8616</v>
      </c>
      <c r="P21" s="65">
        <v>0</v>
      </c>
      <c r="Q21" s="65">
        <v>-3242</v>
      </c>
      <c r="R21" s="65">
        <v>0</v>
      </c>
      <c r="S21" s="65">
        <v>0</v>
      </c>
      <c r="T21" s="65"/>
      <c r="U21" s="65"/>
      <c r="V21" s="11">
        <f t="shared" si="5"/>
        <v>-24969</v>
      </c>
      <c r="W21" s="73">
        <f t="shared" si="2"/>
        <v>-4.98256067895794E-4</v>
      </c>
      <c r="X21" s="89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5">
        <f t="shared" si="6"/>
        <v>0</v>
      </c>
      <c r="AL21" s="73">
        <f t="shared" si="4"/>
        <v>0</v>
      </c>
      <c r="AM21" s="14">
        <f t="shared" si="7"/>
        <v>-1</v>
      </c>
      <c r="AN21" s="9"/>
    </row>
    <row r="22" spans="1:40" ht="14.45" customHeight="1" outlineLevel="1">
      <c r="A22" s="37" t="s">
        <v>97</v>
      </c>
      <c r="B22" s="39"/>
      <c r="C22" s="39" t="s">
        <v>122</v>
      </c>
      <c r="D22" s="37"/>
      <c r="E22" s="38"/>
      <c r="F22" s="37"/>
      <c r="G22" s="37"/>
      <c r="H22" s="37"/>
      <c r="I22" s="167" t="s">
        <v>116</v>
      </c>
      <c r="J22" s="65">
        <v>-14278</v>
      </c>
      <c r="K22" s="65">
        <v>-26449</v>
      </c>
      <c r="L22" s="65">
        <v>-16528</v>
      </c>
      <c r="M22" s="65">
        <v>-23966</v>
      </c>
      <c r="N22" s="65">
        <v>-31367</v>
      </c>
      <c r="O22" s="65">
        <v>-31708</v>
      </c>
      <c r="P22" s="65">
        <v>-34462</v>
      </c>
      <c r="Q22" s="65">
        <v>-18952</v>
      </c>
      <c r="R22" s="65">
        <v>-58153</v>
      </c>
      <c r="S22" s="65">
        <v>-23066</v>
      </c>
      <c r="T22" s="65"/>
      <c r="U22" s="65"/>
      <c r="V22" s="11">
        <f t="shared" si="5"/>
        <v>-278929</v>
      </c>
      <c r="W22" s="73">
        <f t="shared" si="2"/>
        <v>-5.5660245409149709E-3</v>
      </c>
      <c r="X22" s="89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5">
        <f t="shared" si="6"/>
        <v>0</v>
      </c>
      <c r="AL22" s="73">
        <f t="shared" si="4"/>
        <v>0</v>
      </c>
      <c r="AM22" s="14">
        <f t="shared" si="7"/>
        <v>-1</v>
      </c>
      <c r="AN22" s="9"/>
    </row>
    <row r="23" spans="1:40" ht="14.45" customHeight="1" outlineLevel="1">
      <c r="A23" s="37" t="s">
        <v>97</v>
      </c>
      <c r="B23" s="39"/>
      <c r="C23" s="39" t="s">
        <v>124</v>
      </c>
      <c r="D23" s="37"/>
      <c r="E23" s="38"/>
      <c r="F23" s="37"/>
      <c r="G23" s="37"/>
      <c r="H23" s="37"/>
      <c r="I23" s="171" t="s">
        <v>119</v>
      </c>
      <c r="J23" s="65">
        <v>2904</v>
      </c>
      <c r="K23" s="65">
        <v>4387</v>
      </c>
      <c r="L23" s="65">
        <v>3823</v>
      </c>
      <c r="M23" s="65">
        <v>3783</v>
      </c>
      <c r="N23" s="65">
        <v>3636</v>
      </c>
      <c r="O23" s="65">
        <v>5629</v>
      </c>
      <c r="P23" s="65">
        <v>3773</v>
      </c>
      <c r="Q23" s="65">
        <v>3428</v>
      </c>
      <c r="R23" s="65">
        <v>5820</v>
      </c>
      <c r="S23" s="65">
        <v>3983</v>
      </c>
      <c r="T23" s="65">
        <v>0</v>
      </c>
      <c r="U23" s="65">
        <v>0</v>
      </c>
      <c r="V23" s="11">
        <f t="shared" si="5"/>
        <v>41166</v>
      </c>
      <c r="W23" s="73">
        <f t="shared" si="2"/>
        <v>8.2146699070840862E-4</v>
      </c>
      <c r="X23" s="89"/>
      <c r="Y23" s="65">
        <f>0*Y40</f>
        <v>0</v>
      </c>
      <c r="Z23" s="65">
        <f t="shared" ref="Z23:AJ24" si="10">0*Z40</f>
        <v>0</v>
      </c>
      <c r="AA23" s="65">
        <f t="shared" si="10"/>
        <v>0</v>
      </c>
      <c r="AB23" s="65">
        <f t="shared" si="10"/>
        <v>0</v>
      </c>
      <c r="AC23" s="65">
        <f t="shared" si="10"/>
        <v>0</v>
      </c>
      <c r="AD23" s="65">
        <f t="shared" si="10"/>
        <v>0</v>
      </c>
      <c r="AE23" s="65">
        <f t="shared" si="10"/>
        <v>0</v>
      </c>
      <c r="AF23" s="65">
        <f t="shared" si="10"/>
        <v>0</v>
      </c>
      <c r="AG23" s="65">
        <f t="shared" si="10"/>
        <v>0</v>
      </c>
      <c r="AH23" s="65">
        <f t="shared" si="10"/>
        <v>0</v>
      </c>
      <c r="AI23" s="65">
        <f t="shared" si="10"/>
        <v>0</v>
      </c>
      <c r="AJ23" s="65">
        <f t="shared" si="10"/>
        <v>0</v>
      </c>
      <c r="AK23" s="65">
        <f t="shared" si="6"/>
        <v>0</v>
      </c>
      <c r="AL23" s="73">
        <f t="shared" si="4"/>
        <v>0</v>
      </c>
      <c r="AM23" s="14">
        <f t="shared" si="7"/>
        <v>-1</v>
      </c>
      <c r="AN23" s="9"/>
    </row>
    <row r="24" spans="1:40" ht="14.45" customHeight="1" outlineLevel="1">
      <c r="A24" s="37" t="s">
        <v>97</v>
      </c>
      <c r="B24" s="39"/>
      <c r="C24" s="39" t="s">
        <v>126</v>
      </c>
      <c r="D24" s="37"/>
      <c r="E24" s="38"/>
      <c r="F24" s="37"/>
      <c r="G24" s="37"/>
      <c r="H24" s="37"/>
      <c r="I24" s="172" t="s">
        <v>121</v>
      </c>
      <c r="J24" s="65">
        <v>0</v>
      </c>
      <c r="K24" s="65">
        <v>992</v>
      </c>
      <c r="L24" s="65">
        <v>941</v>
      </c>
      <c r="M24" s="65">
        <v>444</v>
      </c>
      <c r="N24" s="65">
        <v>349</v>
      </c>
      <c r="O24" s="65">
        <v>815</v>
      </c>
      <c r="P24" s="65">
        <v>968</v>
      </c>
      <c r="Q24" s="65">
        <v>0</v>
      </c>
      <c r="R24" s="65">
        <v>1373</v>
      </c>
      <c r="S24" s="65">
        <v>785</v>
      </c>
      <c r="T24" s="65">
        <v>0</v>
      </c>
      <c r="U24" s="65">
        <v>0</v>
      </c>
      <c r="V24" s="11">
        <f t="shared" si="5"/>
        <v>6667</v>
      </c>
      <c r="W24" s="73">
        <f t="shared" si="2"/>
        <v>1.3303989765954817E-4</v>
      </c>
      <c r="X24" s="89"/>
      <c r="Y24" s="65">
        <f>0*Y41</f>
        <v>0</v>
      </c>
      <c r="Z24" s="65">
        <f t="shared" si="10"/>
        <v>0</v>
      </c>
      <c r="AA24" s="65">
        <f t="shared" si="10"/>
        <v>0</v>
      </c>
      <c r="AB24" s="65">
        <f t="shared" si="10"/>
        <v>0</v>
      </c>
      <c r="AC24" s="65">
        <f t="shared" si="10"/>
        <v>0</v>
      </c>
      <c r="AD24" s="65">
        <f t="shared" si="10"/>
        <v>0</v>
      </c>
      <c r="AE24" s="65">
        <f t="shared" si="10"/>
        <v>0</v>
      </c>
      <c r="AF24" s="65">
        <f t="shared" si="10"/>
        <v>0</v>
      </c>
      <c r="AG24" s="65">
        <f t="shared" si="10"/>
        <v>0</v>
      </c>
      <c r="AH24" s="65">
        <f t="shared" si="10"/>
        <v>0</v>
      </c>
      <c r="AI24" s="65">
        <f t="shared" si="10"/>
        <v>0</v>
      </c>
      <c r="AJ24" s="65">
        <f t="shared" si="10"/>
        <v>0</v>
      </c>
      <c r="AK24" s="65">
        <f t="shared" si="6"/>
        <v>0</v>
      </c>
      <c r="AL24" s="73">
        <f t="shared" si="4"/>
        <v>0</v>
      </c>
      <c r="AM24" s="14">
        <f t="shared" si="7"/>
        <v>-1</v>
      </c>
      <c r="AN24" s="9"/>
    </row>
    <row r="25" spans="1:40" ht="14.45" customHeight="1" outlineLevel="1">
      <c r="A25" s="37" t="s">
        <v>97</v>
      </c>
      <c r="B25" s="39"/>
      <c r="C25" s="39" t="s">
        <v>127</v>
      </c>
      <c r="D25" s="37" t="s">
        <v>90</v>
      </c>
      <c r="E25" s="38"/>
      <c r="F25" s="37"/>
      <c r="G25" s="37"/>
      <c r="H25" s="37"/>
      <c r="I25" s="171" t="s">
        <v>123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11">
        <f t="shared" si="5"/>
        <v>0</v>
      </c>
      <c r="W25" s="73">
        <f t="shared" si="2"/>
        <v>0</v>
      </c>
      <c r="X25" s="89"/>
      <c r="Y25" s="65">
        <f>(Y40*'Parametros JRZ'!$N$48)*'Parametros JRZ'!$B$59</f>
        <v>0</v>
      </c>
      <c r="Z25" s="65">
        <f>(Z40*'Parametros JRZ'!$N$48)*'Parametros JRZ'!$B$59</f>
        <v>0</v>
      </c>
      <c r="AA25" s="65">
        <f>(AA40*'Parametros JRZ'!$N$48)*'Parametros JRZ'!$B$59</f>
        <v>0</v>
      </c>
      <c r="AB25" s="65">
        <f>(AB40*'Parametros JRZ'!$N$48)*'Parametros JRZ'!$B$59</f>
        <v>0</v>
      </c>
      <c r="AC25" s="65">
        <f>(AC40*'Parametros JRZ'!$N$48)*'Parametros JRZ'!$B$59</f>
        <v>0</v>
      </c>
      <c r="AD25" s="65">
        <f>(AD40*'Parametros JRZ'!$N$48)*'Parametros JRZ'!$B$59</f>
        <v>0</v>
      </c>
      <c r="AE25" s="65">
        <f>(AE40*'Parametros JRZ'!$N$48)*'Parametros JRZ'!$B$59</f>
        <v>0</v>
      </c>
      <c r="AF25" s="65">
        <f>(AF40*'Parametros JRZ'!$N$48)*'Parametros JRZ'!$B$59</f>
        <v>0</v>
      </c>
      <c r="AG25" s="65">
        <f>(AG40*'Parametros JRZ'!$N$48)*'Parametros JRZ'!$B$59</f>
        <v>0</v>
      </c>
      <c r="AH25" s="65">
        <f>(AH40*'Parametros JRZ'!$N$48)*'Parametros JRZ'!$B$59</f>
        <v>0</v>
      </c>
      <c r="AI25" s="65">
        <f>(AI40*'Parametros JRZ'!$N$48)*'Parametros JRZ'!$B$59</f>
        <v>0</v>
      </c>
      <c r="AJ25" s="65">
        <f>(AJ40*'Parametros JRZ'!$N$48)*'Parametros JRZ'!$B$59</f>
        <v>0</v>
      </c>
      <c r="AK25" s="65">
        <f t="shared" si="6"/>
        <v>0</v>
      </c>
      <c r="AL25" s="73">
        <f t="shared" si="4"/>
        <v>0</v>
      </c>
      <c r="AM25" s="14">
        <f t="shared" si="7"/>
        <v>0</v>
      </c>
      <c r="AN25" s="9"/>
    </row>
    <row r="26" spans="1:40" ht="14.45" customHeight="1" outlineLevel="1">
      <c r="A26" s="37" t="s">
        <v>97</v>
      </c>
      <c r="B26" s="39"/>
      <c r="C26" s="39" t="s">
        <v>129</v>
      </c>
      <c r="D26" s="37" t="s">
        <v>90</v>
      </c>
      <c r="E26" s="38"/>
      <c r="F26" s="37"/>
      <c r="G26" s="37"/>
      <c r="H26" s="37"/>
      <c r="I26" s="172" t="s">
        <v>125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11">
        <f t="shared" si="5"/>
        <v>0</v>
      </c>
      <c r="W26" s="73">
        <f t="shared" si="2"/>
        <v>0</v>
      </c>
      <c r="X26" s="89"/>
      <c r="Y26" s="65">
        <f>(Y41*'Parametros JRZ'!$N$49)*'Parametros JRZ'!$B$60</f>
        <v>0</v>
      </c>
      <c r="Z26" s="65">
        <f>(Z41*'Parametros JRZ'!$N$49)*'Parametros JRZ'!$B$60</f>
        <v>0</v>
      </c>
      <c r="AA26" s="65">
        <f>(AA41*'Parametros JRZ'!$N$49)*'Parametros JRZ'!$B$60</f>
        <v>0</v>
      </c>
      <c r="AB26" s="65">
        <f>(AB41*'Parametros JRZ'!$N$49)*'Parametros JRZ'!$B$60</f>
        <v>0</v>
      </c>
      <c r="AC26" s="65">
        <f>(AC41*'Parametros JRZ'!$N$49)*'Parametros JRZ'!$B$60</f>
        <v>0</v>
      </c>
      <c r="AD26" s="65">
        <f>(AD41*'Parametros JRZ'!$N$49)*'Parametros JRZ'!$B$60</f>
        <v>0</v>
      </c>
      <c r="AE26" s="65">
        <f>(AE41*'Parametros JRZ'!$N$49)*'Parametros JRZ'!$B$60</f>
        <v>0</v>
      </c>
      <c r="AF26" s="65">
        <f>(AF41*'Parametros JRZ'!$N$49)*'Parametros JRZ'!$B$60</f>
        <v>0</v>
      </c>
      <c r="AG26" s="65">
        <f>(AG41*'Parametros JRZ'!$N$49)*'Parametros JRZ'!$B$60</f>
        <v>0</v>
      </c>
      <c r="AH26" s="65">
        <f>(AH41*'Parametros JRZ'!$N$49)*'Parametros JRZ'!$B$60</f>
        <v>0</v>
      </c>
      <c r="AI26" s="65">
        <f>(AI41*'Parametros JRZ'!$N$49)*'Parametros JRZ'!$B$60</f>
        <v>0</v>
      </c>
      <c r="AJ26" s="65">
        <f>(AJ41*'Parametros JRZ'!$N$49)*'Parametros JRZ'!$B$60</f>
        <v>0</v>
      </c>
      <c r="AK26" s="65">
        <f t="shared" si="6"/>
        <v>0</v>
      </c>
      <c r="AL26" s="73">
        <f t="shared" si="4"/>
        <v>0</v>
      </c>
      <c r="AM26" s="14">
        <f t="shared" si="7"/>
        <v>0</v>
      </c>
      <c r="AN26" s="9"/>
    </row>
    <row r="27" spans="1:40" ht="14.45" customHeight="1" outlineLevel="1">
      <c r="A27" s="37"/>
      <c r="B27" s="39"/>
      <c r="C27" s="39"/>
      <c r="D27" s="37"/>
      <c r="E27" s="38"/>
      <c r="F27" s="37"/>
      <c r="G27" s="37"/>
      <c r="H27" s="37"/>
      <c r="I27" s="167" t="s">
        <v>126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11">
        <f t="shared" si="5"/>
        <v>0</v>
      </c>
      <c r="W27" s="73">
        <f t="shared" si="2"/>
        <v>0</v>
      </c>
      <c r="X27" s="89"/>
      <c r="Y27" s="65">
        <f>(Y42*'Parametros JRZ'!$N$50)*'Parametros JRZ'!$B$61</f>
        <v>0</v>
      </c>
      <c r="Z27" s="65">
        <f>(Z42*'Parametros JRZ'!$N$50)*'Parametros JRZ'!$B$61</f>
        <v>0</v>
      </c>
      <c r="AA27" s="65">
        <f>(AA42*'Parametros JRZ'!$N$50)*'Parametros JRZ'!$B$61</f>
        <v>0</v>
      </c>
      <c r="AB27" s="65">
        <f>(AB42*'Parametros JRZ'!$N$50)*'Parametros JRZ'!$B$61</f>
        <v>0</v>
      </c>
      <c r="AC27" s="65">
        <f>(AC42*'Parametros JRZ'!$N$50)*'Parametros JRZ'!$B$61</f>
        <v>0</v>
      </c>
      <c r="AD27" s="65">
        <f>(AD42*'Parametros JRZ'!$N$50)*'Parametros JRZ'!$B$61</f>
        <v>0</v>
      </c>
      <c r="AE27" s="65">
        <f>(AE42*'Parametros JRZ'!$N$50)*'Parametros JRZ'!$B$61</f>
        <v>0</v>
      </c>
      <c r="AF27" s="65">
        <f>(AF42*'Parametros JRZ'!$N$50)*'Parametros JRZ'!$B$61</f>
        <v>0</v>
      </c>
      <c r="AG27" s="65">
        <f>(AG42*'Parametros JRZ'!$N$50)*'Parametros JRZ'!$B$61</f>
        <v>0</v>
      </c>
      <c r="AH27" s="65">
        <f>(AH42*'Parametros JRZ'!$N$50)*'Parametros JRZ'!$B$61</f>
        <v>0</v>
      </c>
      <c r="AI27" s="65">
        <f>(AI42*'Parametros JRZ'!$N$50)*'Parametros JRZ'!$B$61</f>
        <v>0</v>
      </c>
      <c r="AJ27" s="65">
        <f>(AJ42*'Parametros JRZ'!$N$50)*'Parametros JRZ'!$B$61</f>
        <v>0</v>
      </c>
      <c r="AK27" s="65">
        <f t="shared" si="6"/>
        <v>0</v>
      </c>
      <c r="AL27" s="73">
        <f t="shared" si="4"/>
        <v>0</v>
      </c>
      <c r="AM27" s="14">
        <f t="shared" si="7"/>
        <v>0</v>
      </c>
      <c r="AN27" s="9"/>
    </row>
    <row r="28" spans="1:40" ht="15.6" customHeight="1" outlineLevel="1">
      <c r="I28" s="171" t="s">
        <v>128</v>
      </c>
      <c r="J28" s="65">
        <v>-346386</v>
      </c>
      <c r="K28" s="65">
        <v>-333389</v>
      </c>
      <c r="L28" s="65">
        <v>-355600</v>
      </c>
      <c r="M28" s="65">
        <v>-347175</v>
      </c>
      <c r="N28" s="65">
        <v>-386182</v>
      </c>
      <c r="O28" s="65">
        <v>-392189</v>
      </c>
      <c r="P28" s="65">
        <v>-353997</v>
      </c>
      <c r="Q28" s="65">
        <v>-379967</v>
      </c>
      <c r="R28" s="65">
        <v>-406182</v>
      </c>
      <c r="S28" s="65">
        <v>-405549</v>
      </c>
      <c r="T28" s="65">
        <v>0</v>
      </c>
      <c r="U28" s="65">
        <v>0</v>
      </c>
      <c r="V28" s="11">
        <f t="shared" si="5"/>
        <v>-3706616</v>
      </c>
      <c r="W28" s="73">
        <f t="shared" si="2"/>
        <v>-7.3965473721800484E-2</v>
      </c>
      <c r="X28" s="89"/>
      <c r="Y28" s="66">
        <f>+-Y40*'[3]Margen ctvs-lit'!$T$2</f>
        <v>0</v>
      </c>
      <c r="Z28" s="66">
        <f>+-Z40*'[3]Margen ctvs-lit'!$T$2</f>
        <v>0</v>
      </c>
      <c r="AA28" s="66">
        <f>+-AA40*'[3]Margen ctvs-lit'!$T$2</f>
        <v>0</v>
      </c>
      <c r="AB28" s="66">
        <f>+-AB40*'[3]Margen ctvs-lit'!$T$2</f>
        <v>0</v>
      </c>
      <c r="AC28" s="66">
        <f>+-AC40*'[3]Margen ctvs-lit'!$T$2</f>
        <v>0</v>
      </c>
      <c r="AD28" s="66">
        <f>+-AD40*'[3]Margen ctvs-lit'!$T$2</f>
        <v>0</v>
      </c>
      <c r="AE28" s="66">
        <f>+-AE40*'[3]Margen ctvs-lit'!$T$2</f>
        <v>0</v>
      </c>
      <c r="AF28" s="66">
        <f>+-AF40*'[3]Margen ctvs-lit'!$T$2</f>
        <v>0</v>
      </c>
      <c r="AG28" s="66">
        <f>+-AG40*'[3]Margen ctvs-lit'!$T$2</f>
        <v>0</v>
      </c>
      <c r="AH28" s="66">
        <f>+-AH40*'[3]Margen ctvs-lit'!$T$2</f>
        <v>0</v>
      </c>
      <c r="AI28" s="66">
        <f>+-AI40*'[3]Margen ctvs-lit'!$T$2</f>
        <v>0</v>
      </c>
      <c r="AJ28" s="66">
        <f>+-AJ40*'[3]Margen ctvs-lit'!$T$2</f>
        <v>0</v>
      </c>
      <c r="AK28" s="65">
        <f t="shared" si="6"/>
        <v>0</v>
      </c>
      <c r="AL28" s="73">
        <f t="shared" si="4"/>
        <v>0</v>
      </c>
      <c r="AM28" s="14">
        <f t="shared" si="7"/>
        <v>-1</v>
      </c>
      <c r="AN28" s="9"/>
    </row>
    <row r="29" spans="1:40" ht="14.45" customHeight="1" outlineLevel="1">
      <c r="I29" s="172" t="s">
        <v>130</v>
      </c>
      <c r="J29" s="65">
        <v>-36801</v>
      </c>
      <c r="K29" s="65">
        <v>-43075</v>
      </c>
      <c r="L29" s="65">
        <v>-54722</v>
      </c>
      <c r="M29" s="65">
        <v>-44447</v>
      </c>
      <c r="N29" s="65">
        <v>-50339</v>
      </c>
      <c r="O29" s="65">
        <v>-56682</v>
      </c>
      <c r="P29" s="65">
        <v>-50828</v>
      </c>
      <c r="Q29" s="65">
        <v>-50842</v>
      </c>
      <c r="R29" s="65">
        <v>-48932</v>
      </c>
      <c r="S29" s="65">
        <v>-55159</v>
      </c>
      <c r="T29" s="65">
        <v>0</v>
      </c>
      <c r="U29" s="65">
        <v>0</v>
      </c>
      <c r="V29" s="11">
        <f t="shared" si="5"/>
        <v>-491827</v>
      </c>
      <c r="W29" s="73">
        <f t="shared" si="2"/>
        <v>-9.8144013418632967E-3</v>
      </c>
      <c r="X29" s="89"/>
      <c r="Y29" s="66">
        <f>+-Y41*'[3]Margen ctvs-lit'!$T$3</f>
        <v>0</v>
      </c>
      <c r="Z29" s="66">
        <f>+-Z41*'[3]Margen ctvs-lit'!$T$3</f>
        <v>0</v>
      </c>
      <c r="AA29" s="66">
        <f>+-AA41*'[3]Margen ctvs-lit'!$T$3</f>
        <v>0</v>
      </c>
      <c r="AB29" s="66">
        <f>+-AB41*'[3]Margen ctvs-lit'!$T$3</f>
        <v>0</v>
      </c>
      <c r="AC29" s="66">
        <f>+-AC41*'[3]Margen ctvs-lit'!$T$3</f>
        <v>0</v>
      </c>
      <c r="AD29" s="66">
        <f>+-AD41*'[3]Margen ctvs-lit'!$T$3</f>
        <v>0</v>
      </c>
      <c r="AE29" s="66">
        <f>+-AE41*'[3]Margen ctvs-lit'!$T$3</f>
        <v>0</v>
      </c>
      <c r="AF29" s="66">
        <f>+-AF41*'[3]Margen ctvs-lit'!$T$3</f>
        <v>0</v>
      </c>
      <c r="AG29" s="66">
        <f>+-AG41*'[3]Margen ctvs-lit'!$T$3</f>
        <v>0</v>
      </c>
      <c r="AH29" s="66">
        <f>+-AH41*'[3]Margen ctvs-lit'!$T$3</f>
        <v>0</v>
      </c>
      <c r="AI29" s="66">
        <f>+-AI41*'[3]Margen ctvs-lit'!$T$3</f>
        <v>0</v>
      </c>
      <c r="AJ29" s="66">
        <f>+-AJ41*'[3]Margen ctvs-lit'!$T$3</f>
        <v>0</v>
      </c>
      <c r="AK29" s="65">
        <f t="shared" si="6"/>
        <v>0</v>
      </c>
      <c r="AL29" s="73">
        <f t="shared" si="4"/>
        <v>0</v>
      </c>
      <c r="AM29" s="14">
        <f t="shared" si="7"/>
        <v>-1</v>
      </c>
      <c r="AN29" s="9"/>
    </row>
    <row r="30" spans="1:40" ht="14.45" customHeight="1" outlineLevel="1">
      <c r="I30" s="172" t="s">
        <v>131</v>
      </c>
      <c r="J30" s="65">
        <v>8615</v>
      </c>
      <c r="K30" s="65">
        <v>-1779</v>
      </c>
      <c r="L30" s="65">
        <v>3484</v>
      </c>
      <c r="M30" s="65">
        <v>4541</v>
      </c>
      <c r="N30" s="65">
        <v>4327</v>
      </c>
      <c r="O30" s="65">
        <v>6116</v>
      </c>
      <c r="P30" s="65">
        <v>6109</v>
      </c>
      <c r="Q30" s="65">
        <v>6609</v>
      </c>
      <c r="R30" s="65">
        <v>3832</v>
      </c>
      <c r="S30" s="65">
        <v>3036</v>
      </c>
      <c r="T30" s="65">
        <v>4473.7199999999993</v>
      </c>
      <c r="U30" s="65">
        <v>6346.44</v>
      </c>
      <c r="V30" s="11">
        <f t="shared" si="5"/>
        <v>55710.16</v>
      </c>
      <c r="W30" s="73">
        <f t="shared" si="2"/>
        <v>1.1116955129739097E-3</v>
      </c>
      <c r="X30" s="89"/>
      <c r="Y30" s="65">
        <f t="shared" ref="Y30:AJ30" si="11">+Y10*0.85</f>
        <v>5304</v>
      </c>
      <c r="Z30" s="65">
        <f t="shared" si="11"/>
        <v>5253</v>
      </c>
      <c r="AA30" s="65">
        <f t="shared" si="11"/>
        <v>5253</v>
      </c>
      <c r="AB30" s="65">
        <f t="shared" si="11"/>
        <v>4539</v>
      </c>
      <c r="AC30" s="65">
        <f t="shared" si="11"/>
        <v>6171</v>
      </c>
      <c r="AD30" s="65">
        <f t="shared" si="11"/>
        <v>4437</v>
      </c>
      <c r="AE30" s="65">
        <f t="shared" si="11"/>
        <v>4743</v>
      </c>
      <c r="AF30" s="65">
        <f t="shared" si="11"/>
        <v>4845</v>
      </c>
      <c r="AG30" s="65">
        <f t="shared" si="11"/>
        <v>4386</v>
      </c>
      <c r="AH30" s="65">
        <f t="shared" si="11"/>
        <v>4947</v>
      </c>
      <c r="AI30" s="65">
        <f t="shared" si="11"/>
        <v>4539</v>
      </c>
      <c r="AJ30" s="65">
        <f t="shared" si="11"/>
        <v>6273</v>
      </c>
      <c r="AK30" s="65">
        <f t="shared" si="6"/>
        <v>60690</v>
      </c>
      <c r="AL30" s="73">
        <f t="shared" si="4"/>
        <v>1.142512331174807E-3</v>
      </c>
      <c r="AM30" s="14">
        <f t="shared" si="7"/>
        <v>8.9388362912617758E-2</v>
      </c>
      <c r="AN30" s="9"/>
    </row>
    <row r="31" spans="1:40" ht="14.45" customHeight="1" outlineLevel="1">
      <c r="I31" s="172" t="s">
        <v>132</v>
      </c>
      <c r="J31" s="65">
        <v>0</v>
      </c>
      <c r="K31" s="65">
        <v>0</v>
      </c>
      <c r="L31" s="65"/>
      <c r="M31" s="65"/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/>
      <c r="U31" s="65"/>
      <c r="V31" s="11">
        <f t="shared" si="5"/>
        <v>0</v>
      </c>
      <c r="W31" s="73">
        <f t="shared" si="2"/>
        <v>0</v>
      </c>
      <c r="X31" s="89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>
        <f t="shared" si="6"/>
        <v>0</v>
      </c>
      <c r="AL31" s="73">
        <f t="shared" si="4"/>
        <v>0</v>
      </c>
      <c r="AM31" s="14">
        <f t="shared" si="7"/>
        <v>0</v>
      </c>
      <c r="AN31" s="9"/>
    </row>
    <row r="32" spans="1:40" ht="14.25" customHeight="1" outlineLevel="1">
      <c r="I32" s="172" t="s">
        <v>133</v>
      </c>
      <c r="J32" s="65">
        <v>0</v>
      </c>
      <c r="K32" s="65">
        <v>0</v>
      </c>
      <c r="L32" s="65"/>
      <c r="M32" s="65"/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/>
      <c r="U32" s="65"/>
      <c r="V32" s="11">
        <f t="shared" si="5"/>
        <v>0</v>
      </c>
      <c r="W32" s="73">
        <f t="shared" si="2"/>
        <v>0</v>
      </c>
      <c r="X32" s="89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f t="shared" si="6"/>
        <v>0</v>
      </c>
      <c r="AL32" s="73">
        <f t="shared" si="4"/>
        <v>0</v>
      </c>
      <c r="AM32" s="14">
        <f t="shared" si="7"/>
        <v>0</v>
      </c>
      <c r="AN32" s="9"/>
    </row>
    <row r="33" spans="1:41" ht="14.45" customHeight="1" outlineLevel="1">
      <c r="I33" s="172" t="s">
        <v>134</v>
      </c>
      <c r="J33" s="65">
        <v>0</v>
      </c>
      <c r="K33" s="65">
        <v>0</v>
      </c>
      <c r="L33" s="65"/>
      <c r="M33" s="65"/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/>
      <c r="U33" s="65"/>
      <c r="V33" s="11">
        <f t="shared" si="5"/>
        <v>0</v>
      </c>
      <c r="W33" s="73">
        <f t="shared" si="2"/>
        <v>0</v>
      </c>
      <c r="X33" s="89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>
        <f t="shared" si="6"/>
        <v>0</v>
      </c>
      <c r="AL33" s="73">
        <f t="shared" si="4"/>
        <v>0</v>
      </c>
      <c r="AM33" s="14">
        <f t="shared" si="7"/>
        <v>0</v>
      </c>
      <c r="AN33" s="9"/>
    </row>
    <row r="34" spans="1:41" ht="14.45" customHeight="1">
      <c r="E34" s="127"/>
      <c r="I34" s="36" t="s">
        <v>135</v>
      </c>
      <c r="J34" s="35">
        <v>558461</v>
      </c>
      <c r="K34" s="35">
        <v>631368</v>
      </c>
      <c r="L34" s="35">
        <v>589240</v>
      </c>
      <c r="M34" s="35">
        <v>541384</v>
      </c>
      <c r="N34" s="35">
        <v>574495</v>
      </c>
      <c r="O34" s="35">
        <v>470736</v>
      </c>
      <c r="P34" s="35">
        <v>413207</v>
      </c>
      <c r="Q34" s="35">
        <v>490405</v>
      </c>
      <c r="R34" s="228">
        <v>550965</v>
      </c>
      <c r="S34" s="228">
        <v>565396</v>
      </c>
      <c r="T34" s="228">
        <f t="shared" ref="T34:V34" si="12">SUM(T35:T38)</f>
        <v>535589.00000000012</v>
      </c>
      <c r="U34" s="228">
        <f t="shared" si="12"/>
        <v>550650.33333333337</v>
      </c>
      <c r="V34" s="228">
        <f t="shared" si="12"/>
        <v>6471900.333333333</v>
      </c>
      <c r="W34" s="73">
        <f t="shared" si="2"/>
        <v>0.129146686367101</v>
      </c>
      <c r="X34" s="89"/>
      <c r="Y34" s="35">
        <f t="shared" ref="Y34:AJ34" si="13">Y6-Y13</f>
        <v>512523.59000000032</v>
      </c>
      <c r="Z34" s="35">
        <f t="shared" si="13"/>
        <v>526690.70000000019</v>
      </c>
      <c r="AA34" s="35">
        <f t="shared" si="13"/>
        <v>526901.93999999948</v>
      </c>
      <c r="AB34" s="35">
        <f t="shared" si="13"/>
        <v>498068.19000000041</v>
      </c>
      <c r="AC34" s="35">
        <f t="shared" si="13"/>
        <v>571937.49000000022</v>
      </c>
      <c r="AD34" s="35">
        <f t="shared" si="13"/>
        <v>539865.29999999981</v>
      </c>
      <c r="AE34" s="35">
        <f t="shared" si="13"/>
        <v>507787.90000000037</v>
      </c>
      <c r="AF34" s="35">
        <f t="shared" si="13"/>
        <v>548631.21999999881</v>
      </c>
      <c r="AG34" s="35">
        <f t="shared" si="13"/>
        <v>554904.3200000003</v>
      </c>
      <c r="AH34" s="35">
        <f t="shared" si="13"/>
        <v>552776.62000000011</v>
      </c>
      <c r="AI34" s="35">
        <f t="shared" si="13"/>
        <v>551558.6400000006</v>
      </c>
      <c r="AJ34" s="35">
        <f t="shared" si="13"/>
        <v>514897.70000000019</v>
      </c>
      <c r="AK34" s="35">
        <f>AK6-AK13</f>
        <v>6406543.6100000069</v>
      </c>
      <c r="AL34" s="73">
        <f t="shared" si="4"/>
        <v>0.12060561994783608</v>
      </c>
      <c r="AM34" s="34">
        <f t="shared" si="7"/>
        <v>-1.0098536746109721E-2</v>
      </c>
      <c r="AN34" s="9"/>
    </row>
    <row r="35" spans="1:41" ht="14.45" customHeight="1" outlineLevel="1">
      <c r="E35" s="127"/>
      <c r="I35" s="212" t="s">
        <v>136</v>
      </c>
      <c r="J35" s="30">
        <v>274178</v>
      </c>
      <c r="K35" s="30">
        <v>286751</v>
      </c>
      <c r="L35" s="30">
        <v>269850</v>
      </c>
      <c r="M35" s="30">
        <v>244549</v>
      </c>
      <c r="N35" s="30">
        <v>252232</v>
      </c>
      <c r="O35" s="30">
        <v>216736</v>
      </c>
      <c r="P35" s="30">
        <v>243808</v>
      </c>
      <c r="Q35" s="30">
        <v>274407</v>
      </c>
      <c r="R35" s="229">
        <v>268036</v>
      </c>
      <c r="S35" s="229">
        <v>330121</v>
      </c>
      <c r="T35" s="229">
        <f t="shared" ref="S35:U35" si="14">IFERROR(AVERAGE(Q35:S35),0)</f>
        <v>290854.66666666669</v>
      </c>
      <c r="U35" s="229">
        <f t="shared" si="14"/>
        <v>296337.22222222225</v>
      </c>
      <c r="V35" s="30">
        <f t="shared" ref="V35:V38" si="15">SUM(J35:U35)</f>
        <v>3247859.888888889</v>
      </c>
      <c r="W35" s="74">
        <f t="shared" ref="W35:W46" si="16">V35/V$39</f>
        <v>1.2977999539232727</v>
      </c>
      <c r="X35" s="90"/>
      <c r="Y35" s="30">
        <f>+Y40*Y44</f>
        <v>257714.24999999997</v>
      </c>
      <c r="Z35" s="30">
        <f t="shared" ref="Z35:AJ35" si="17">+Z40*Z44</f>
        <v>246769.91999999998</v>
      </c>
      <c r="AA35" s="30">
        <f t="shared" si="17"/>
        <v>275138.94</v>
      </c>
      <c r="AB35" s="30">
        <f t="shared" si="17"/>
        <v>257114</v>
      </c>
      <c r="AC35" s="30">
        <f t="shared" si="17"/>
        <v>306474.5</v>
      </c>
      <c r="AD35" s="30">
        <f t="shared" si="17"/>
        <v>298126.08000000002</v>
      </c>
      <c r="AE35" s="30">
        <f t="shared" si="17"/>
        <v>256917.59999999998</v>
      </c>
      <c r="AF35" s="30">
        <f t="shared" si="17"/>
        <v>309420.71999999997</v>
      </c>
      <c r="AG35" s="30">
        <f t="shared" si="17"/>
        <v>280987.2</v>
      </c>
      <c r="AH35" s="30">
        <f t="shared" si="17"/>
        <v>301695.59999999998</v>
      </c>
      <c r="AI35" s="30">
        <f t="shared" si="17"/>
        <v>296177.49</v>
      </c>
      <c r="AJ35" s="30">
        <f t="shared" si="17"/>
        <v>269300.36</v>
      </c>
      <c r="AK35" s="30">
        <f t="shared" ref="AK35:AK42" si="18">SUM(Y35:AJ35)</f>
        <v>3355836.6599999997</v>
      </c>
      <c r="AL35" s="74">
        <f t="shared" ref="AL35:AL46" si="19">AK35/AK$39</f>
        <v>1.3045486726076536</v>
      </c>
      <c r="AM35" s="29">
        <f>IFERROR(AK35/V35-1,0)</f>
        <v>3.3245513909176072E-2</v>
      </c>
      <c r="AN35" s="9"/>
    </row>
    <row r="36" spans="1:41" ht="14.45" customHeight="1" outlineLevel="1">
      <c r="E36" s="127"/>
      <c r="I36" s="212" t="s">
        <v>137</v>
      </c>
      <c r="J36" s="30">
        <v>58904</v>
      </c>
      <c r="K36" s="30">
        <v>66074</v>
      </c>
      <c r="L36" s="30">
        <v>58217</v>
      </c>
      <c r="M36" s="30">
        <v>56322</v>
      </c>
      <c r="N36" s="30">
        <v>55527</v>
      </c>
      <c r="O36" s="30">
        <v>65567</v>
      </c>
      <c r="P36" s="30">
        <v>42942</v>
      </c>
      <c r="Q36" s="30">
        <v>48619</v>
      </c>
      <c r="R36" s="229">
        <v>22268</v>
      </c>
      <c r="S36" s="229">
        <v>34794</v>
      </c>
      <c r="T36" s="229">
        <f t="shared" ref="R36:U36" si="20">IFERROR(AVERAGE(Q36:S36),0)</f>
        <v>35227</v>
      </c>
      <c r="U36" s="229">
        <f t="shared" si="20"/>
        <v>30763</v>
      </c>
      <c r="V36" s="30">
        <f t="shared" si="15"/>
        <v>575224</v>
      </c>
      <c r="W36" s="74">
        <f t="shared" si="16"/>
        <v>0.22985156571854187</v>
      </c>
      <c r="X36" s="90"/>
      <c r="Y36" s="30">
        <f t="shared" ref="Y36:AJ37" si="21">+Y41*Y45</f>
        <v>33229.019999999997</v>
      </c>
      <c r="Z36" s="30">
        <f t="shared" si="21"/>
        <v>38901.279999999999</v>
      </c>
      <c r="AA36" s="30">
        <f t="shared" si="21"/>
        <v>49367.89</v>
      </c>
      <c r="AB36" s="30">
        <f t="shared" si="21"/>
        <v>40487.589999999997</v>
      </c>
      <c r="AC36" s="30">
        <f t="shared" si="21"/>
        <v>45876.49</v>
      </c>
      <c r="AD36" s="30">
        <f t="shared" si="21"/>
        <v>52140.77</v>
      </c>
      <c r="AE36" s="30">
        <f t="shared" si="21"/>
        <v>46040.939999999995</v>
      </c>
      <c r="AF36" s="30">
        <f t="shared" si="21"/>
        <v>48896.82</v>
      </c>
      <c r="AG36" s="30">
        <f t="shared" si="21"/>
        <v>47491.92</v>
      </c>
      <c r="AH36" s="30">
        <f t="shared" si="21"/>
        <v>47751.219999999994</v>
      </c>
      <c r="AI36" s="30">
        <f t="shared" si="21"/>
        <v>46033.35</v>
      </c>
      <c r="AJ36" s="30">
        <f t="shared" si="21"/>
        <v>42824.639999999999</v>
      </c>
      <c r="AK36" s="30">
        <f t="shared" si="18"/>
        <v>539041.92999999982</v>
      </c>
      <c r="AL36" s="74">
        <f t="shared" si="19"/>
        <v>0.20954727703027345</v>
      </c>
      <c r="AM36" s="29">
        <f>IFERROR(AK36/V36-1,0)</f>
        <v>-6.2900835152914669E-2</v>
      </c>
      <c r="AN36" s="9"/>
    </row>
    <row r="37" spans="1:41" ht="14.45" customHeight="1" outlineLevel="1">
      <c r="I37" s="212" t="s">
        <v>138</v>
      </c>
      <c r="J37" s="30">
        <v>230042</v>
      </c>
      <c r="K37" s="30">
        <v>272271</v>
      </c>
      <c r="L37" s="30">
        <v>260066</v>
      </c>
      <c r="M37" s="30">
        <v>239201</v>
      </c>
      <c r="N37" s="30">
        <v>265436</v>
      </c>
      <c r="O37" s="30">
        <v>186597</v>
      </c>
      <c r="P37" s="30">
        <v>124703</v>
      </c>
      <c r="Q37" s="30">
        <v>165401</v>
      </c>
      <c r="R37" s="229">
        <v>258018</v>
      </c>
      <c r="S37" s="229">
        <v>199030</v>
      </c>
      <c r="T37" s="229">
        <f t="shared" ref="R37:U37" si="22">IFERROR(AVERAGE(Q37:S37),0)</f>
        <v>207483</v>
      </c>
      <c r="U37" s="229">
        <f t="shared" si="22"/>
        <v>221510.33333333334</v>
      </c>
      <c r="V37" s="30">
        <f t="shared" si="15"/>
        <v>2629758.3333333335</v>
      </c>
      <c r="W37" s="74">
        <f t="shared" si="16"/>
        <v>1.0508151092062394</v>
      </c>
      <c r="X37" s="90"/>
      <c r="Y37" s="30">
        <f t="shared" si="21"/>
        <v>220644.32</v>
      </c>
      <c r="Z37" s="30">
        <f t="shared" si="21"/>
        <v>240092.5</v>
      </c>
      <c r="AA37" s="30">
        <f t="shared" si="21"/>
        <v>201468.11000000002</v>
      </c>
      <c r="AB37" s="30">
        <f t="shared" si="21"/>
        <v>199665.6</v>
      </c>
      <c r="AC37" s="30">
        <f t="shared" si="21"/>
        <v>218497.50000000003</v>
      </c>
      <c r="AD37" s="30">
        <f t="shared" si="21"/>
        <v>188815.45</v>
      </c>
      <c r="AE37" s="30">
        <f t="shared" si="21"/>
        <v>203992.36000000002</v>
      </c>
      <c r="AF37" s="30">
        <f t="shared" si="21"/>
        <v>189458.68</v>
      </c>
      <c r="AG37" s="30">
        <f t="shared" si="21"/>
        <v>225651.20000000001</v>
      </c>
      <c r="AH37" s="30">
        <f t="shared" si="21"/>
        <v>202456.8</v>
      </c>
      <c r="AI37" s="30">
        <f t="shared" si="21"/>
        <v>208546.8</v>
      </c>
      <c r="AJ37" s="30">
        <f t="shared" si="21"/>
        <v>201665.7</v>
      </c>
      <c r="AK37" s="30">
        <f t="shared" si="18"/>
        <v>2500955.02</v>
      </c>
      <c r="AL37" s="74">
        <f t="shared" si="19"/>
        <v>0.97222179806345177</v>
      </c>
      <c r="AM37" s="29">
        <f>IFERROR(AK37/V37-1,0)</f>
        <v>-4.8979144471450242E-2</v>
      </c>
      <c r="AN37" s="9"/>
    </row>
    <row r="38" spans="1:41" ht="14.45" customHeight="1" outlineLevel="1">
      <c r="I38" s="212" t="s">
        <v>139</v>
      </c>
      <c r="J38" s="32">
        <v>-4663</v>
      </c>
      <c r="K38" s="32">
        <v>6273</v>
      </c>
      <c r="L38" s="32">
        <v>1107</v>
      </c>
      <c r="M38" s="32">
        <v>1313</v>
      </c>
      <c r="N38" s="32">
        <v>1300</v>
      </c>
      <c r="O38" s="32">
        <v>1836</v>
      </c>
      <c r="P38" s="32">
        <v>1755</v>
      </c>
      <c r="Q38" s="32">
        <v>1978</v>
      </c>
      <c r="R38" s="229">
        <v>2643</v>
      </c>
      <c r="S38" s="229">
        <v>1452</v>
      </c>
      <c r="T38" s="229">
        <f t="shared" ref="R38:U38" si="23">IFERROR(AVERAGE(Q38:S38),0)</f>
        <v>2024.3333333333333</v>
      </c>
      <c r="U38" s="229">
        <f t="shared" si="23"/>
        <v>2039.7777777777776</v>
      </c>
      <c r="V38" s="30">
        <f t="shared" si="15"/>
        <v>19058.111111111109</v>
      </c>
      <c r="W38" s="74">
        <f t="shared" si="16"/>
        <v>7.6153579797206454E-3</v>
      </c>
      <c r="X38" s="90"/>
      <c r="Y38" s="32">
        <f>Y10-Y30</f>
        <v>936</v>
      </c>
      <c r="Z38" s="32">
        <f t="shared" ref="Z38:AJ38" si="24">Z10-Z30</f>
        <v>927</v>
      </c>
      <c r="AA38" s="32">
        <f t="shared" si="24"/>
        <v>927</v>
      </c>
      <c r="AB38" s="32">
        <f t="shared" si="24"/>
        <v>801</v>
      </c>
      <c r="AC38" s="32">
        <f t="shared" si="24"/>
        <v>1089</v>
      </c>
      <c r="AD38" s="32">
        <f t="shared" si="24"/>
        <v>783</v>
      </c>
      <c r="AE38" s="32">
        <f t="shared" si="24"/>
        <v>837</v>
      </c>
      <c r="AF38" s="32">
        <f t="shared" si="24"/>
        <v>855</v>
      </c>
      <c r="AG38" s="32">
        <f t="shared" si="24"/>
        <v>774</v>
      </c>
      <c r="AH38" s="32">
        <f t="shared" si="24"/>
        <v>873</v>
      </c>
      <c r="AI38" s="32">
        <f t="shared" si="24"/>
        <v>801</v>
      </c>
      <c r="AJ38" s="32">
        <f t="shared" si="24"/>
        <v>1107</v>
      </c>
      <c r="AK38" s="30">
        <f t="shared" si="18"/>
        <v>10710</v>
      </c>
      <c r="AL38" s="74">
        <f t="shared" si="19"/>
        <v>4.1634077278445286E-3</v>
      </c>
      <c r="AM38" s="29">
        <f>IFERROR(AK38/V38-1,0)</f>
        <v>-0.43803454930242591</v>
      </c>
      <c r="AN38" s="9"/>
    </row>
    <row r="39" spans="1:41" ht="14.45" customHeight="1">
      <c r="I39" s="18" t="s">
        <v>140</v>
      </c>
      <c r="J39" s="33">
        <v>203627</v>
      </c>
      <c r="K39" s="33">
        <v>208404</v>
      </c>
      <c r="L39" s="33">
        <v>208866</v>
      </c>
      <c r="M39" s="33">
        <v>199954</v>
      </c>
      <c r="N39" s="33">
        <v>216318</v>
      </c>
      <c r="O39" s="33">
        <v>213310</v>
      </c>
      <c r="P39" s="33">
        <v>203001</v>
      </c>
      <c r="Q39" s="33">
        <f t="shared" ref="Q39:T39" si="25">SUM(Q40:Q42)</f>
        <v>197226</v>
      </c>
      <c r="R39" s="33">
        <v>223767</v>
      </c>
      <c r="S39" s="33">
        <v>206859</v>
      </c>
      <c r="T39" s="33">
        <f t="shared" si="25"/>
        <v>215783</v>
      </c>
      <c r="U39" s="33">
        <f>SUM(U40:U42)</f>
        <v>205474</v>
      </c>
      <c r="V39" s="33">
        <f>SUM(J39:U39)</f>
        <v>2502589</v>
      </c>
      <c r="W39" s="74">
        <f t="shared" si="16"/>
        <v>1</v>
      </c>
      <c r="X39" s="90"/>
      <c r="Y39" s="33">
        <f t="shared" ref="Y39:AJ39" si="26">SUM(Y40:Y42)</f>
        <v>206237</v>
      </c>
      <c r="Z39" s="33">
        <f t="shared" si="26"/>
        <v>210917</v>
      </c>
      <c r="AA39" s="33">
        <f t="shared" si="26"/>
        <v>212623</v>
      </c>
      <c r="AB39" s="33">
        <f t="shared" si="26"/>
        <v>202872</v>
      </c>
      <c r="AC39" s="33">
        <f t="shared" si="26"/>
        <v>222858</v>
      </c>
      <c r="AD39" s="33">
        <f t="shared" si="26"/>
        <v>219260</v>
      </c>
      <c r="AE39" s="33">
        <f t="shared" si="26"/>
        <v>207835</v>
      </c>
      <c r="AF39" s="33">
        <f t="shared" si="26"/>
        <v>215225</v>
      </c>
      <c r="AG39" s="33">
        <f t="shared" si="26"/>
        <v>220751</v>
      </c>
      <c r="AH39" s="33">
        <f t="shared" si="26"/>
        <v>221543</v>
      </c>
      <c r="AI39" s="33">
        <f t="shared" si="26"/>
        <v>221664</v>
      </c>
      <c r="AJ39" s="33">
        <f t="shared" si="26"/>
        <v>210627</v>
      </c>
      <c r="AK39" s="33">
        <f t="shared" si="18"/>
        <v>2572412</v>
      </c>
      <c r="AL39" s="74">
        <f t="shared" si="19"/>
        <v>1</v>
      </c>
      <c r="AM39" s="16">
        <f>IFERROR(AK39/V39-1,0)</f>
        <v>2.790030644264796E-2</v>
      </c>
      <c r="AN39" s="9"/>
    </row>
    <row r="40" spans="1:41" ht="14.45" customHeight="1" outlineLevel="1">
      <c r="I40" s="31" t="s">
        <v>141</v>
      </c>
      <c r="J40" s="32">
        <v>101579</v>
      </c>
      <c r="K40" s="32">
        <v>97923</v>
      </c>
      <c r="L40" s="32">
        <v>104302</v>
      </c>
      <c r="M40" s="32">
        <v>101981</v>
      </c>
      <c r="N40" s="32">
        <v>113573</v>
      </c>
      <c r="O40" s="32">
        <v>115012</v>
      </c>
      <c r="P40" s="32">
        <v>104497</v>
      </c>
      <c r="Q40" s="32">
        <v>111778</v>
      </c>
      <c r="R40" s="32">
        <v>119320</v>
      </c>
      <c r="S40" s="32">
        <v>118934</v>
      </c>
      <c r="T40" s="32">
        <v>114495</v>
      </c>
      <c r="U40" s="32">
        <v>106663</v>
      </c>
      <c r="V40" s="32">
        <f>SUM(J40:U40)</f>
        <v>1310057</v>
      </c>
      <c r="W40" s="74">
        <f t="shared" si="16"/>
        <v>0.52348068340426657</v>
      </c>
      <c r="X40" s="90"/>
      <c r="Y40" s="32">
        <f>VLOOKUP($E$1,'[3]Resumen x Tipo Combustible'!$C$4:$O$10,Y$1,0)</f>
        <v>102675</v>
      </c>
      <c r="Z40" s="32">
        <f>VLOOKUP($E$1,'[3]Resumen x Tipo Combustible'!$C$4:$O$10,Z$1,0)</f>
        <v>99504</v>
      </c>
      <c r="AA40" s="32">
        <f>VLOOKUP($E$1,'[3]Resumen x Tipo Combustible'!$C$4:$O$10,AA$1,0)</f>
        <v>106643</v>
      </c>
      <c r="AB40" s="32">
        <f>VLOOKUP($E$1,'[3]Resumen x Tipo Combustible'!$C$4:$O$10,AB$1,0)</f>
        <v>103675</v>
      </c>
      <c r="AC40" s="32">
        <f>VLOOKUP($E$1,'[3]Resumen x Tipo Combustible'!$C$4:$O$10,AC$1,0)</f>
        <v>116975</v>
      </c>
      <c r="AD40" s="32">
        <f>VLOOKUP($E$1,'[3]Resumen x Tipo Combustible'!$C$4:$O$10,AD$1,0)</f>
        <v>118304</v>
      </c>
      <c r="AE40" s="32">
        <f>VLOOKUP($E$1,'[3]Resumen x Tipo Combustible'!$C$4:$O$10,AE$1,0)</f>
        <v>107049</v>
      </c>
      <c r="AF40" s="32">
        <f>VLOOKUP($E$1,'[3]Resumen x Tipo Combustible'!$C$4:$O$10,AF$1,0)</f>
        <v>118552</v>
      </c>
      <c r="AG40" s="32">
        <f>VLOOKUP($E$1,'[3]Resumen x Tipo Combustible'!$C$4:$O$10,AG$1,0)</f>
        <v>113760</v>
      </c>
      <c r="AH40" s="32">
        <f>VLOOKUP($E$1,'[3]Resumen x Tipo Combustible'!$C$4:$O$10,AH$1,0)</f>
        <v>118312</v>
      </c>
      <c r="AI40" s="32">
        <f>VLOOKUP($E$1,'[3]Resumen x Tipo Combustible'!$C$4:$O$10,AI$1,0)</f>
        <v>117999</v>
      </c>
      <c r="AJ40" s="32">
        <f>VLOOKUP($E$1,'[3]Resumen x Tipo Combustible'!$C$4:$O$10,AJ$1,0)</f>
        <v>110369</v>
      </c>
      <c r="AK40" s="32">
        <f t="shared" si="18"/>
        <v>1333817</v>
      </c>
      <c r="AL40" s="74">
        <f t="shared" si="19"/>
        <v>0.51850831048836654</v>
      </c>
      <c r="AM40" s="29">
        <f t="shared" si="7"/>
        <v>1.8136615429710234E-2</v>
      </c>
      <c r="AN40" s="9"/>
    </row>
    <row r="41" spans="1:41" ht="14.45" customHeight="1" outlineLevel="1">
      <c r="I41" s="31" t="s">
        <v>142</v>
      </c>
      <c r="J41" s="32">
        <v>12868</v>
      </c>
      <c r="K41" s="32">
        <v>15488</v>
      </c>
      <c r="L41" s="32">
        <v>19134</v>
      </c>
      <c r="M41" s="32">
        <v>15566</v>
      </c>
      <c r="N41" s="32">
        <v>17601</v>
      </c>
      <c r="O41" s="32">
        <v>20043</v>
      </c>
      <c r="P41" s="32">
        <v>17772</v>
      </c>
      <c r="Q41" s="32">
        <v>17777</v>
      </c>
      <c r="R41" s="32">
        <v>17109</v>
      </c>
      <c r="S41" s="32">
        <v>19286</v>
      </c>
      <c r="T41" s="32">
        <v>17821</v>
      </c>
      <c r="U41" s="32">
        <v>17047</v>
      </c>
      <c r="V41" s="32">
        <f>SUM(J41:U41)</f>
        <v>207512</v>
      </c>
      <c r="W41" s="74">
        <f t="shared" si="16"/>
        <v>8.2918929156965041E-2</v>
      </c>
      <c r="X41" s="90"/>
      <c r="Y41" s="32">
        <f>VLOOKUP($E$1,'[3]Resumen x Tipo Combustible'!$C$15:$O$21,Y$1,0)</f>
        <v>13134</v>
      </c>
      <c r="Z41" s="32">
        <f>VLOOKUP($E$1,'[3]Resumen x Tipo Combustible'!$C$15:$O$21,Z$1,0)</f>
        <v>15376</v>
      </c>
      <c r="AA41" s="32">
        <f>VLOOKUP($E$1,'[3]Resumen x Tipo Combustible'!$C$15:$O$21,AA$1,0)</f>
        <v>19513</v>
      </c>
      <c r="AB41" s="32">
        <f>VLOOKUP($E$1,'[3]Resumen x Tipo Combustible'!$C$15:$O$21,AB$1,0)</f>
        <v>16003</v>
      </c>
      <c r="AC41" s="32">
        <f>VLOOKUP($E$1,'[3]Resumen x Tipo Combustible'!$C$15:$O$21,AC$1,0)</f>
        <v>18133</v>
      </c>
      <c r="AD41" s="32">
        <f>VLOOKUP($E$1,'[3]Resumen x Tipo Combustible'!$C$15:$O$21,AD$1,0)</f>
        <v>20609</v>
      </c>
      <c r="AE41" s="32">
        <f>VLOOKUP($E$1,'[3]Resumen x Tipo Combustible'!$C$15:$O$21,AE$1,0)</f>
        <v>18198</v>
      </c>
      <c r="AF41" s="32">
        <f>VLOOKUP($E$1,'[3]Resumen x Tipo Combustible'!$C$15:$O$21,AF$1,0)</f>
        <v>19026</v>
      </c>
      <c r="AG41" s="32">
        <f>VLOOKUP($E$1,'[3]Resumen x Tipo Combustible'!$C$15:$O$21,AG$1,0)</f>
        <v>18846</v>
      </c>
      <c r="AH41" s="32">
        <f>VLOOKUP($E$1,'[3]Resumen x Tipo Combustible'!$C$15:$O$21,AH$1,0)</f>
        <v>18874</v>
      </c>
      <c r="AI41" s="32">
        <f>VLOOKUP($E$1,'[3]Resumen x Tipo Combustible'!$C$15:$O$21,AI$1,0)</f>
        <v>18195</v>
      </c>
      <c r="AJ41" s="32">
        <f>VLOOKUP($E$1,'[3]Resumen x Tipo Combustible'!$C$15:$O$21,AJ$1,0)</f>
        <v>17268</v>
      </c>
      <c r="AK41" s="32">
        <f t="shared" si="18"/>
        <v>213175</v>
      </c>
      <c r="AL41" s="74">
        <f t="shared" si="19"/>
        <v>8.2869695834104334E-2</v>
      </c>
      <c r="AM41" s="29">
        <f t="shared" si="7"/>
        <v>2.728998804888394E-2</v>
      </c>
      <c r="AN41" s="9"/>
    </row>
    <row r="42" spans="1:41" ht="14.45" customHeight="1" outlineLevel="1">
      <c r="A42" s="21"/>
      <c r="B42" s="21"/>
      <c r="C42" s="21"/>
      <c r="D42" s="21"/>
      <c r="E42" s="7" t="s">
        <v>98</v>
      </c>
      <c r="I42" s="31" t="s">
        <v>143</v>
      </c>
      <c r="J42" s="32">
        <v>89180</v>
      </c>
      <c r="K42" s="32">
        <v>94993</v>
      </c>
      <c r="L42" s="32">
        <v>85430</v>
      </c>
      <c r="M42" s="32">
        <v>82406</v>
      </c>
      <c r="N42" s="32">
        <v>85144</v>
      </c>
      <c r="O42" s="32">
        <v>78255</v>
      </c>
      <c r="P42" s="32">
        <v>80732</v>
      </c>
      <c r="Q42" s="32">
        <v>67671</v>
      </c>
      <c r="R42" s="32">
        <v>87337</v>
      </c>
      <c r="S42" s="32">
        <v>68639</v>
      </c>
      <c r="T42" s="32">
        <v>83467</v>
      </c>
      <c r="U42" s="32">
        <v>81764</v>
      </c>
      <c r="V42" s="32">
        <f>SUM(J42:U42)</f>
        <v>985018</v>
      </c>
      <c r="W42" s="74">
        <f t="shared" si="16"/>
        <v>0.3935995882663913</v>
      </c>
      <c r="X42" s="90"/>
      <c r="Y42" s="32">
        <f>VLOOKUP($E$1,'[3]Resumen x Tipo Combustible'!$C$26:$O$32,Y$1,0)</f>
        <v>90428</v>
      </c>
      <c r="Z42" s="32">
        <f>VLOOKUP($E$1,'[3]Resumen x Tipo Combustible'!$C$26:$O$32,Z$1,0)</f>
        <v>96037</v>
      </c>
      <c r="AA42" s="32">
        <f>VLOOKUP($E$1,'[3]Resumen x Tipo Combustible'!$C$26:$O$32,AA$1,0)</f>
        <v>86467</v>
      </c>
      <c r="AB42" s="32">
        <f>VLOOKUP($E$1,'[3]Resumen x Tipo Combustible'!$C$26:$O$32,AB$1,0)</f>
        <v>83194</v>
      </c>
      <c r="AC42" s="32">
        <f>VLOOKUP($E$1,'[3]Resumen x Tipo Combustible'!$C$26:$O$32,AC$1,0)</f>
        <v>87750</v>
      </c>
      <c r="AD42" s="32">
        <f>VLOOKUP($E$1,'[3]Resumen x Tipo Combustible'!$C$26:$O$32,AD$1,0)</f>
        <v>80347</v>
      </c>
      <c r="AE42" s="32">
        <f>VLOOKUP($E$1,'[3]Resumen x Tipo Combustible'!$C$26:$O$32,AE$1,0)</f>
        <v>82588</v>
      </c>
      <c r="AF42" s="32">
        <f>VLOOKUP($E$1,'[3]Resumen x Tipo Combustible'!$C$26:$O$32,AF$1,0)</f>
        <v>77647</v>
      </c>
      <c r="AG42" s="32">
        <f>VLOOKUP($E$1,'[3]Resumen x Tipo Combustible'!$C$26:$O$32,AG$1,0)</f>
        <v>88145</v>
      </c>
      <c r="AH42" s="32">
        <f>VLOOKUP($E$1,'[3]Resumen x Tipo Combustible'!$C$26:$O$32,AH$1,0)</f>
        <v>84357</v>
      </c>
      <c r="AI42" s="32">
        <f>VLOOKUP($E$1,'[3]Resumen x Tipo Combustible'!$C$26:$O$32,AI$1,0)</f>
        <v>85470</v>
      </c>
      <c r="AJ42" s="32">
        <f>VLOOKUP($E$1,'[3]Resumen x Tipo Combustible'!$C$26:$O$32,AJ$1,0)</f>
        <v>82990</v>
      </c>
      <c r="AK42" s="32">
        <f t="shared" si="18"/>
        <v>1025420</v>
      </c>
      <c r="AL42" s="74">
        <f t="shared" si="19"/>
        <v>0.3986219936775291</v>
      </c>
      <c r="AM42" s="29">
        <f t="shared" si="7"/>
        <v>4.1016509342976404E-2</v>
      </c>
      <c r="AN42" s="9"/>
    </row>
    <row r="43" spans="1:41" ht="15.75" customHeight="1">
      <c r="A43" s="21"/>
      <c r="B43" s="21"/>
      <c r="C43" s="21"/>
      <c r="D43" s="21"/>
      <c r="E43" s="22"/>
      <c r="F43" s="21"/>
      <c r="G43" s="21"/>
      <c r="H43" s="21"/>
      <c r="I43" s="18" t="s">
        <v>359</v>
      </c>
      <c r="J43" s="17">
        <v>2.74</v>
      </c>
      <c r="K43" s="17">
        <v>3.03</v>
      </c>
      <c r="L43" s="17">
        <v>2.82</v>
      </c>
      <c r="M43" s="17">
        <v>2.71</v>
      </c>
      <c r="N43" s="17">
        <v>2.66</v>
      </c>
      <c r="O43" s="17">
        <v>2.21</v>
      </c>
      <c r="P43" s="17">
        <v>2.04</v>
      </c>
      <c r="Q43" s="17">
        <v>2.4900000000000002</v>
      </c>
      <c r="R43" s="17">
        <v>2.46</v>
      </c>
      <c r="S43" s="17">
        <v>2.73</v>
      </c>
      <c r="T43" s="17">
        <f t="shared" ref="R43:U46" si="27">+T34/T39</f>
        <v>2.4820722670460609</v>
      </c>
      <c r="U43" s="17">
        <f t="shared" si="27"/>
        <v>2.6799027289746311</v>
      </c>
      <c r="V43" s="17">
        <f>+V34/V39</f>
        <v>2.5860819868277742</v>
      </c>
      <c r="W43" s="74">
        <f t="shared" si="16"/>
        <v>1.0333626443765933E-6</v>
      </c>
      <c r="X43" s="90"/>
      <c r="Y43" s="17">
        <f>+Y34/Y39</f>
        <v>2.4851194984411156</v>
      </c>
      <c r="Z43" s="17">
        <f t="shared" ref="Z43:AK43" si="28">+Z34/Z39</f>
        <v>2.4971467449281004</v>
      </c>
      <c r="AA43" s="17">
        <f t="shared" si="28"/>
        <v>2.4781041561825368</v>
      </c>
      <c r="AB43" s="17">
        <f t="shared" si="28"/>
        <v>2.4550859162427559</v>
      </c>
      <c r="AC43" s="17">
        <f t="shared" si="28"/>
        <v>2.566376302398838</v>
      </c>
      <c r="AD43" s="17">
        <f t="shared" si="28"/>
        <v>2.4622151783270994</v>
      </c>
      <c r="AE43" s="17">
        <f t="shared" si="28"/>
        <v>2.4432261168715588</v>
      </c>
      <c r="AF43" s="17">
        <f t="shared" si="28"/>
        <v>2.5491054477871939</v>
      </c>
      <c r="AG43" s="17">
        <f t="shared" si="28"/>
        <v>2.5137114667657237</v>
      </c>
      <c r="AH43" s="17">
        <f t="shared" si="28"/>
        <v>2.4951211277268976</v>
      </c>
      <c r="AI43" s="17">
        <f t="shared" si="28"/>
        <v>2.4882644001732377</v>
      </c>
      <c r="AJ43" s="17">
        <f t="shared" si="28"/>
        <v>2.4445949474663751</v>
      </c>
      <c r="AK43" s="17">
        <f>+AK34/AK39</f>
        <v>2.4904811554292263</v>
      </c>
      <c r="AL43" s="74">
        <f t="shared" si="19"/>
        <v>9.6815018567368928E-7</v>
      </c>
      <c r="AM43" s="16">
        <f t="shared" si="7"/>
        <v>-3.6967440276639119E-2</v>
      </c>
      <c r="AN43" s="173" t="s">
        <v>447</v>
      </c>
      <c r="AO43" s="291">
        <f>+AK43-V43</f>
        <v>-9.5600831398547914E-2</v>
      </c>
    </row>
    <row r="44" spans="1:41" ht="14.45" customHeight="1" outlineLevel="1">
      <c r="A44" s="12" t="s">
        <v>146</v>
      </c>
      <c r="B44" s="19" t="s">
        <v>88</v>
      </c>
      <c r="I44" s="31" t="s">
        <v>141</v>
      </c>
      <c r="J44" s="30">
        <v>2.7</v>
      </c>
      <c r="K44" s="30">
        <v>2.93</v>
      </c>
      <c r="L44" s="30">
        <v>2.59</v>
      </c>
      <c r="M44" s="30">
        <v>2.4</v>
      </c>
      <c r="N44" s="30">
        <v>2.2200000000000002</v>
      </c>
      <c r="O44" s="30">
        <v>1.88</v>
      </c>
      <c r="P44" s="30">
        <v>2.33</v>
      </c>
      <c r="Q44" s="30">
        <v>2.4500000000000002</v>
      </c>
      <c r="R44" s="30">
        <v>2.25</v>
      </c>
      <c r="S44" s="30">
        <v>2.78</v>
      </c>
      <c r="T44" s="30">
        <f t="shared" si="27"/>
        <v>2.5403263606853286</v>
      </c>
      <c r="U44" s="30">
        <f t="shared" si="27"/>
        <v>2.778256960916365</v>
      </c>
      <c r="V44" s="30">
        <f t="shared" ref="V44:V46" si="29">+V35/V40</f>
        <v>2.4791744854528384</v>
      </c>
      <c r="W44" s="74">
        <f t="shared" si="16"/>
        <v>9.9064388337551166E-7</v>
      </c>
      <c r="X44" s="90"/>
      <c r="Y44" s="30">
        <f>VLOOKUP(Y3,'[3]Margen ctvs-lit'!$J$28:$O$39,$Y$1,0)</f>
        <v>2.5099999999999998</v>
      </c>
      <c r="Z44" s="30">
        <f>VLOOKUP(Z3,'[3]Margen ctvs-lit'!$J$28:$O$39,$Y$1,0)</f>
        <v>2.48</v>
      </c>
      <c r="AA44" s="30">
        <f>VLOOKUP(AA3,'[3]Margen ctvs-lit'!$J$28:$O$39,$Y$1,0)</f>
        <v>2.58</v>
      </c>
      <c r="AB44" s="30">
        <f>VLOOKUP(AB3,'[3]Margen ctvs-lit'!$J$28:$O$39,$Y$1,0)</f>
        <v>2.48</v>
      </c>
      <c r="AC44" s="30">
        <f>VLOOKUP(AC3,'[3]Margen ctvs-lit'!$J$28:$O$39,$Y$1,0)</f>
        <v>2.62</v>
      </c>
      <c r="AD44" s="30">
        <f>VLOOKUP(AD3,'[3]Margen ctvs-lit'!$J$28:$O$39,$Y$1,0)</f>
        <v>2.52</v>
      </c>
      <c r="AE44" s="30">
        <f>VLOOKUP(AE3,'[3]Margen ctvs-lit'!$J$28:$O$39,$Y$1,0)</f>
        <v>2.4</v>
      </c>
      <c r="AF44" s="30">
        <f>VLOOKUP(AF3,'[3]Margen ctvs-lit'!$J$28:$O$39,$Y$1,0)</f>
        <v>2.61</v>
      </c>
      <c r="AG44" s="30">
        <f>VLOOKUP(AG3,'[3]Margen ctvs-lit'!$J$28:$O$39,$Y$1,0)</f>
        <v>2.4700000000000002</v>
      </c>
      <c r="AH44" s="30">
        <f>VLOOKUP(AH3,'[3]Margen ctvs-lit'!$J$28:$O$39,$Y$1,0)</f>
        <v>2.5499999999999998</v>
      </c>
      <c r="AI44" s="30">
        <f>VLOOKUP(AI3,'[3]Margen ctvs-lit'!$J$28:$O$39,$Y$1,0)</f>
        <v>2.5099999999999998</v>
      </c>
      <c r="AJ44" s="30">
        <f>VLOOKUP(AJ3,'[3]Margen ctvs-lit'!$J$28:$O$39,$Y$1,0)</f>
        <v>2.44</v>
      </c>
      <c r="AK44" s="30">
        <f>+AK35/AK40</f>
        <v>2.5159648287583676</v>
      </c>
      <c r="AL44" s="74">
        <f t="shared" si="19"/>
        <v>9.780567143825979E-7</v>
      </c>
      <c r="AM44" s="29">
        <f t="shared" si="7"/>
        <v>1.4839755540162924E-2</v>
      </c>
      <c r="AN44" s="9"/>
      <c r="AO44" s="291">
        <f>+AK44-V44</f>
        <v>3.6790343305529216E-2</v>
      </c>
    </row>
    <row r="45" spans="1:41" ht="14.45" customHeight="1" outlineLevel="1">
      <c r="A45" s="12" t="s">
        <v>146</v>
      </c>
      <c r="B45" s="8" t="s">
        <v>88</v>
      </c>
      <c r="C45" s="19" t="s">
        <v>148</v>
      </c>
      <c r="D45" s="12"/>
      <c r="E45" s="20"/>
      <c r="F45" s="12"/>
      <c r="G45" s="12"/>
      <c r="H45" s="12"/>
      <c r="I45" s="31" t="s">
        <v>142</v>
      </c>
      <c r="J45" s="30">
        <v>4.58</v>
      </c>
      <c r="K45" s="30">
        <v>4.2699999999999996</v>
      </c>
      <c r="L45" s="30">
        <v>3.04</v>
      </c>
      <c r="M45" s="30">
        <v>3.62</v>
      </c>
      <c r="N45" s="30">
        <v>3.15</v>
      </c>
      <c r="O45" s="30">
        <v>3.27</v>
      </c>
      <c r="P45" s="30">
        <v>2.42</v>
      </c>
      <c r="Q45" s="30">
        <v>2.73</v>
      </c>
      <c r="R45" s="30">
        <v>1.3</v>
      </c>
      <c r="S45" s="30">
        <v>1.8</v>
      </c>
      <c r="T45" s="30">
        <f t="shared" si="27"/>
        <v>1.9767128668424891</v>
      </c>
      <c r="U45" s="30">
        <f t="shared" si="27"/>
        <v>1.8045990496861617</v>
      </c>
      <c r="V45" s="30">
        <f t="shared" si="29"/>
        <v>2.7720035467828366</v>
      </c>
      <c r="W45" s="74">
        <f t="shared" si="16"/>
        <v>1.1076543318870324E-6</v>
      </c>
      <c r="X45" s="90"/>
      <c r="Y45" s="30">
        <f>VLOOKUP(Y3,'[3]Margen ctvs-lit'!$J$28:$O$39,$AA$1,0)</f>
        <v>2.5299999999999998</v>
      </c>
      <c r="Z45" s="30">
        <f>VLOOKUP(Z3,'[3]Margen ctvs-lit'!$J$28:$O$39,$AA$1,0)</f>
        <v>2.5299999999999998</v>
      </c>
      <c r="AA45" s="30">
        <f>VLOOKUP(AA3,'[3]Margen ctvs-lit'!$J$28:$O$39,$AA$1,0)</f>
        <v>2.5299999999999998</v>
      </c>
      <c r="AB45" s="30">
        <f>VLOOKUP(AB3,'[3]Margen ctvs-lit'!$J$28:$O$39,$AA$1,0)</f>
        <v>2.5299999999999998</v>
      </c>
      <c r="AC45" s="30">
        <f>VLOOKUP(AC3,'[3]Margen ctvs-lit'!$J$28:$O$39,$AA$1,0)</f>
        <v>2.5299999999999998</v>
      </c>
      <c r="AD45" s="30">
        <f>VLOOKUP(AD3,'[3]Margen ctvs-lit'!$J$28:$O$39,$AA$1,0)</f>
        <v>2.5299999999999998</v>
      </c>
      <c r="AE45" s="30">
        <f>VLOOKUP(AE3,'[3]Margen ctvs-lit'!$J$28:$O$39,$AA$1,0)</f>
        <v>2.5299999999999998</v>
      </c>
      <c r="AF45" s="30">
        <f>VLOOKUP(AF3,'[3]Margen ctvs-lit'!$J$28:$O$39,$AA$1,0)</f>
        <v>2.57</v>
      </c>
      <c r="AG45" s="30">
        <f>VLOOKUP(AG3,'[3]Margen ctvs-lit'!$J$28:$O$39,$AA$1,0)</f>
        <v>2.52</v>
      </c>
      <c r="AH45" s="30">
        <f>VLOOKUP(AH3,'[3]Margen ctvs-lit'!$J$28:$O$39,$AA$1,0)</f>
        <v>2.5299999999999998</v>
      </c>
      <c r="AI45" s="30">
        <f>VLOOKUP(AI3,'[3]Margen ctvs-lit'!$J$28:$O$39,$AA$1,0)</f>
        <v>2.5299999999999998</v>
      </c>
      <c r="AJ45" s="30">
        <f>VLOOKUP(AJ3,'[3]Margen ctvs-lit'!$J$28:$O$39,$AA$1,0)</f>
        <v>2.48</v>
      </c>
      <c r="AK45" s="30">
        <f>+AK36/AK41</f>
        <v>2.528635768734607</v>
      </c>
      <c r="AL45" s="74">
        <f t="shared" si="19"/>
        <v>9.8298241834302094E-7</v>
      </c>
      <c r="AM45" s="29">
        <f t="shared" si="7"/>
        <v>-8.7794901392056368E-2</v>
      </c>
      <c r="AN45" s="9"/>
      <c r="AO45" s="291">
        <f>+AK45-V45</f>
        <v>-0.24336777804822951</v>
      </c>
    </row>
    <row r="46" spans="1:41" ht="14.45" customHeight="1" outlineLevel="1">
      <c r="A46" s="12" t="s">
        <v>146</v>
      </c>
      <c r="B46" s="8" t="s">
        <v>88</v>
      </c>
      <c r="I46" s="31" t="s">
        <v>143</v>
      </c>
      <c r="J46" s="30">
        <v>2.58</v>
      </c>
      <c r="K46" s="30">
        <v>2.87</v>
      </c>
      <c r="L46" s="30">
        <v>3.04</v>
      </c>
      <c r="M46" s="30">
        <v>2.9</v>
      </c>
      <c r="N46" s="30">
        <v>3.12</v>
      </c>
      <c r="O46" s="30">
        <v>2.38</v>
      </c>
      <c r="P46" s="30">
        <v>1.54</v>
      </c>
      <c r="Q46" s="30">
        <v>2.44</v>
      </c>
      <c r="R46" s="30">
        <v>2.95</v>
      </c>
      <c r="S46" s="30">
        <v>2.9</v>
      </c>
      <c r="T46" s="30">
        <f t="shared" si="27"/>
        <v>2.4858087627445578</v>
      </c>
      <c r="U46" s="30">
        <f t="shared" si="27"/>
        <v>2.7091425729334833</v>
      </c>
      <c r="V46" s="30">
        <f t="shared" si="29"/>
        <v>2.6697566271208584</v>
      </c>
      <c r="W46" s="74">
        <f t="shared" si="16"/>
        <v>1.0667978749690254E-6</v>
      </c>
      <c r="X46" s="90"/>
      <c r="Y46" s="30">
        <f>VLOOKUP(Y3,'[3]Margen ctvs-lit'!$J$28:$O$39,$AC$1,0)</f>
        <v>2.44</v>
      </c>
      <c r="Z46" s="30">
        <f>VLOOKUP(Z3,'[3]Margen ctvs-lit'!$J$28:$O$39,$AC$1,0)</f>
        <v>2.5</v>
      </c>
      <c r="AA46" s="30">
        <f>VLOOKUP(AA3,'[3]Margen ctvs-lit'!$J$28:$O$39,$AC$1,0)</f>
        <v>2.33</v>
      </c>
      <c r="AB46" s="30">
        <f>VLOOKUP(AB3,'[3]Margen ctvs-lit'!$J$28:$O$39,$AC$1,0)</f>
        <v>2.4</v>
      </c>
      <c r="AC46" s="30">
        <f>VLOOKUP(AC3,'[3]Margen ctvs-lit'!$J$28:$O$39,$AC$1,0)</f>
        <v>2.4900000000000002</v>
      </c>
      <c r="AD46" s="30">
        <f>VLOOKUP(AD3,'[3]Margen ctvs-lit'!$J$28:$O$39,$AC$1,0)</f>
        <v>2.35</v>
      </c>
      <c r="AE46" s="30">
        <f>VLOOKUP(AE3,'[3]Margen ctvs-lit'!$J$28:$O$39,$AC$1,0)</f>
        <v>2.4700000000000002</v>
      </c>
      <c r="AF46" s="30">
        <f>VLOOKUP(AF3,'[3]Margen ctvs-lit'!$J$28:$O$39,$AC$1,0)</f>
        <v>2.44</v>
      </c>
      <c r="AG46" s="30">
        <f>VLOOKUP(AG3,'[3]Margen ctvs-lit'!$J$28:$O$39,$AC$1,0)</f>
        <v>2.56</v>
      </c>
      <c r="AH46" s="30">
        <f>VLOOKUP(AH3,'[3]Margen ctvs-lit'!$J$28:$O$39,$AC$1,0)</f>
        <v>2.4</v>
      </c>
      <c r="AI46" s="30">
        <f>VLOOKUP(AI3,'[3]Margen ctvs-lit'!$J$28:$O$39,$AC$1,0)</f>
        <v>2.44</v>
      </c>
      <c r="AJ46" s="30">
        <f>VLOOKUP(AJ3,'[3]Margen ctvs-lit'!$J$28:$O$39,$AC$1,0)</f>
        <v>2.4300000000000002</v>
      </c>
      <c r="AK46" s="30">
        <f>IFERROR(+AK37/AK42,0)</f>
        <v>2.4389567396774003</v>
      </c>
      <c r="AL46" s="74">
        <f t="shared" si="19"/>
        <v>9.481205730953674E-7</v>
      </c>
      <c r="AM46" s="29">
        <f t="shared" si="7"/>
        <v>-8.6449785384504985E-2</v>
      </c>
      <c r="AN46" s="9"/>
      <c r="AO46" s="291">
        <f>+AK46-V46</f>
        <v>-0.23079988744345803</v>
      </c>
    </row>
    <row r="47" spans="1:41" ht="14.45" customHeight="1">
      <c r="A47" s="12" t="s">
        <v>146</v>
      </c>
      <c r="B47" s="8" t="s">
        <v>88</v>
      </c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1" ht="14.45" customHeight="1">
      <c r="A48" s="12" t="s">
        <v>146</v>
      </c>
      <c r="B48" s="8" t="s">
        <v>88</v>
      </c>
      <c r="I48" s="139" t="s">
        <v>145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14.45" customHeight="1">
      <c r="A49" s="12" t="s">
        <v>146</v>
      </c>
      <c r="B49" s="8" t="s">
        <v>88</v>
      </c>
      <c r="C49" s="8" t="s">
        <v>155</v>
      </c>
      <c r="I49" s="139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ht="14.45" customHeight="1">
      <c r="A50" s="12" t="s">
        <v>146</v>
      </c>
      <c r="B50" s="8" t="s">
        <v>88</v>
      </c>
      <c r="I50" s="166" t="s">
        <v>147</v>
      </c>
      <c r="J50" s="15">
        <v>243368</v>
      </c>
      <c r="K50" s="15">
        <v>198563</v>
      </c>
      <c r="L50" s="15">
        <v>250488</v>
      </c>
      <c r="M50" s="15">
        <v>202416</v>
      </c>
      <c r="N50" s="15">
        <v>216367</v>
      </c>
      <c r="O50" s="15">
        <v>236651</v>
      </c>
      <c r="P50" s="15">
        <v>280001</v>
      </c>
      <c r="Q50" s="15">
        <v>222092</v>
      </c>
      <c r="R50" s="15">
        <v>214546</v>
      </c>
      <c r="S50" s="15">
        <v>222341</v>
      </c>
      <c r="T50" s="15">
        <f t="shared" ref="R50:U50" si="30">SUM(T51:T91)</f>
        <v>236436.21026666666</v>
      </c>
      <c r="U50" s="15">
        <f t="shared" si="30"/>
        <v>213302.38804444444</v>
      </c>
      <c r="V50" s="15">
        <f>SUM(V51:V91)</f>
        <v>2740476.5983111113</v>
      </c>
      <c r="W50" s="72">
        <f t="shared" ref="W50:W164" si="31">V50/V$6</f>
        <v>5.4686174617923654E-2</v>
      </c>
      <c r="X50" s="89"/>
      <c r="Y50" s="15">
        <f t="shared" ref="Y50:AK50" si="32">SUM(Y51:Y91)</f>
        <v>241783.35287329103</v>
      </c>
      <c r="Z50" s="15">
        <f t="shared" si="32"/>
        <v>209312.41801550088</v>
      </c>
      <c r="AA50" s="15">
        <f t="shared" si="32"/>
        <v>240710.27358245206</v>
      </c>
      <c r="AB50" s="15">
        <f t="shared" si="32"/>
        <v>212045.66315456948</v>
      </c>
      <c r="AC50" s="15">
        <f t="shared" si="32"/>
        <v>207280.27906989539</v>
      </c>
      <c r="AD50" s="15">
        <f t="shared" si="32"/>
        <v>248261.12896519221</v>
      </c>
      <c r="AE50" s="15">
        <f t="shared" si="32"/>
        <v>235514.50579097515</v>
      </c>
      <c r="AF50" s="15">
        <f t="shared" si="32"/>
        <v>242639.85505133952</v>
      </c>
      <c r="AG50" s="15">
        <f t="shared" si="32"/>
        <v>239705.50479876096</v>
      </c>
      <c r="AH50" s="15">
        <f t="shared" si="32"/>
        <v>255017.59804101964</v>
      </c>
      <c r="AI50" s="15">
        <f t="shared" si="32"/>
        <v>256745.53562807222</v>
      </c>
      <c r="AJ50" s="15">
        <f t="shared" si="32"/>
        <v>226207.25955630949</v>
      </c>
      <c r="AK50" s="15">
        <f t="shared" si="32"/>
        <v>2815223.374527378</v>
      </c>
      <c r="AL50" s="72">
        <f t="shared" ref="AL50:AL164" si="33">AK50/AK$6</f>
        <v>5.2997650690543442E-2</v>
      </c>
      <c r="AM50" s="10">
        <f t="shared" ref="AM50:AM144" si="34">IFERROR(AK50/V50-1,0)</f>
        <v>2.727510107633524E-2</v>
      </c>
      <c r="AN50" s="9"/>
    </row>
    <row r="51" spans="1:40" ht="14.45" customHeight="1" outlineLevel="1">
      <c r="A51" s="12" t="s">
        <v>146</v>
      </c>
      <c r="B51" s="8" t="s">
        <v>88</v>
      </c>
      <c r="I51" s="246" t="s">
        <v>149</v>
      </c>
      <c r="J51" s="65">
        <v>8410</v>
      </c>
      <c r="K51" s="65">
        <v>11970</v>
      </c>
      <c r="L51" s="65">
        <v>14765</v>
      </c>
      <c r="M51" s="65">
        <v>8630</v>
      </c>
      <c r="N51" s="65">
        <v>11439</v>
      </c>
      <c r="O51" s="65">
        <v>11513</v>
      </c>
      <c r="P51" s="65">
        <v>11823</v>
      </c>
      <c r="Q51" s="65">
        <v>15879</v>
      </c>
      <c r="R51" s="225">
        <v>12116</v>
      </c>
      <c r="S51" s="225">
        <v>13039</v>
      </c>
      <c r="T51" s="225">
        <f t="shared" ref="S51:U51" si="35">+AVERAGE(Q51:S51)</f>
        <v>13678</v>
      </c>
      <c r="U51" s="225">
        <f t="shared" si="35"/>
        <v>12944.333333333334</v>
      </c>
      <c r="V51" s="65">
        <f>SUM(J51:U51)</f>
        <v>146206.33333333334</v>
      </c>
      <c r="W51" s="73">
        <f t="shared" si="31"/>
        <v>2.9175454663033533E-3</v>
      </c>
      <c r="X51" s="89"/>
      <c r="Y51" s="65">
        <f>VLOOKUP($E$1,'[4]PPTO 2025'!$C$1:$P$9,Y1,0)</f>
        <v>12236.064738561792</v>
      </c>
      <c r="Z51" s="65">
        <f>VLOOKUP($E$1,'[4]PPTO 2025'!$C$1:$P$9,Z1,0)</f>
        <v>11736.629175079361</v>
      </c>
      <c r="AA51" s="65">
        <f>VLOOKUP($E$1,'[4]PPTO 2025'!$C$1:$P$9,AA1,0)</f>
        <v>12572.197742030536</v>
      </c>
      <c r="AB51" s="65">
        <f>VLOOKUP($E$1,'[4]PPTO 2025'!$C$1:$P$9,AB1,0)</f>
        <v>12326.111833569479</v>
      </c>
      <c r="AC51" s="65">
        <f>VLOOKUP($E$1,'[4]PPTO 2025'!$C$1:$P$9,AC1,0)</f>
        <v>12695.288748895398</v>
      </c>
      <c r="AD51" s="65">
        <f>VLOOKUP($E$1,'[4]PPTO 2025'!$C$1:$P$9,AD1,0)</f>
        <v>12411.588242192171</v>
      </c>
      <c r="AE51" s="65">
        <f>VLOOKUP($E$1,'[4]PPTO 2025'!$C$1:$P$9,AE1,0)</f>
        <v>12292.311469975146</v>
      </c>
      <c r="AF51" s="65">
        <f>VLOOKUP($E$1,'[4]PPTO 2025'!$C$1:$P$9,AF1,0)</f>
        <v>12603.782632339517</v>
      </c>
      <c r="AG51" s="65">
        <f>VLOOKUP($E$1,'[4]PPTO 2025'!$C$1:$P$9,AG1,0)</f>
        <v>12585.537477760947</v>
      </c>
      <c r="AH51" s="65">
        <f>VLOOKUP($E$1,'[4]PPTO 2025'!$C$1:$P$9,AH1,0)</f>
        <v>12684.621416019609</v>
      </c>
      <c r="AI51" s="65">
        <f>VLOOKUP($E$1,'[4]PPTO 2025'!$C$1:$P$9,AI1,0)</f>
        <v>12659.144723738846</v>
      </c>
      <c r="AJ51" s="65">
        <f>VLOOKUP($E$1,'[4]PPTO 2025'!$C$1:$P$9,AJ1,0)</f>
        <v>12673.754055531739</v>
      </c>
      <c r="AK51" s="65">
        <f>SUM(Y51:AJ51)</f>
        <v>149477.03225569456</v>
      </c>
      <c r="AL51" s="73">
        <f t="shared" si="33"/>
        <v>2.8139619802198951E-3</v>
      </c>
      <c r="AM51" s="14">
        <f t="shared" si="34"/>
        <v>2.2370432578350918E-2</v>
      </c>
      <c r="AN51" s="9"/>
    </row>
    <row r="52" spans="1:40" ht="14.45" customHeight="1" outlineLevel="1">
      <c r="A52" s="12" t="s">
        <v>146</v>
      </c>
      <c r="B52" s="8" t="s">
        <v>88</v>
      </c>
      <c r="I52" s="246" t="s">
        <v>148</v>
      </c>
      <c r="J52" s="65">
        <v>60887</v>
      </c>
      <c r="K52" s="65">
        <v>60887</v>
      </c>
      <c r="L52" s="65">
        <v>60887</v>
      </c>
      <c r="M52" s="65">
        <v>60887</v>
      </c>
      <c r="N52" s="65">
        <v>60887</v>
      </c>
      <c r="O52" s="65">
        <v>60887</v>
      </c>
      <c r="P52" s="65">
        <v>60887</v>
      </c>
      <c r="Q52" s="65">
        <v>60887</v>
      </c>
      <c r="R52" s="225">
        <v>63054</v>
      </c>
      <c r="S52" s="225">
        <v>63054</v>
      </c>
      <c r="T52" s="225">
        <v>63054</v>
      </c>
      <c r="U52" s="225">
        <v>63054</v>
      </c>
      <c r="V52" s="65">
        <f t="shared" ref="V52:V87" si="36">SUM(J52:U52)</f>
        <v>739312</v>
      </c>
      <c r="W52" s="73">
        <f t="shared" si="31"/>
        <v>1.4752961274707647E-2</v>
      </c>
      <c r="X52" s="89"/>
      <c r="Y52" s="65">
        <f>VLOOKUP($E$1,[5]Resumen!$V$8:$AI$14,Y1,0)+VLOOKUP($E$1,[6]Resumen!$C$9:$O$15,Y1,0)</f>
        <v>64434</v>
      </c>
      <c r="Z52" s="65">
        <f>VLOOKUP($E$1,[5]Resumen!$V$8:$AI$14,Z1,0)+VLOOKUP($E$1,[6]Resumen!$C$9:$O$15,Z1,0)</f>
        <v>64434</v>
      </c>
      <c r="AA52" s="65">
        <f>VLOOKUP($E$1,[5]Resumen!$V$8:$AI$14,AA1,0)+VLOOKUP($E$1,[6]Resumen!$C$9:$O$15,AA1,0)</f>
        <v>64434</v>
      </c>
      <c r="AB52" s="65">
        <f>VLOOKUP($E$1,[5]Resumen!$V$8:$AI$14,AB1,0)+VLOOKUP($E$1,[6]Resumen!$C$9:$O$15,AB1,0)</f>
        <v>64434</v>
      </c>
      <c r="AC52" s="65">
        <f>VLOOKUP($E$1,[5]Resumen!$V$8:$AI$14,AC1,0)+VLOOKUP($E$1,[6]Resumen!$C$9:$O$15,AC1,0)</f>
        <v>64434</v>
      </c>
      <c r="AD52" s="65">
        <f>VLOOKUP($E$1,[5]Resumen!$V$8:$AI$14,AD1,0)+VLOOKUP($E$1,[6]Resumen!$C$9:$O$15,AD1,0)</f>
        <v>64434</v>
      </c>
      <c r="AE52" s="65">
        <f>VLOOKUP($E$1,[5]Resumen!$V$8:$AI$14,AE1,0)+VLOOKUP($E$1,[6]Resumen!$C$9:$O$15,AE1,0)</f>
        <v>64434</v>
      </c>
      <c r="AF52" s="65">
        <f>VLOOKUP($E$1,[5]Resumen!$V$8:$AI$14,AF1,0)+VLOOKUP($E$1,[6]Resumen!$C$9:$O$15,AF1,0)</f>
        <v>64434</v>
      </c>
      <c r="AG52" s="65">
        <f>VLOOKUP($E$1,[5]Resumen!$V$8:$AI$14,AG1,0)+VLOOKUP($E$1,[6]Resumen!$C$9:$O$15,AG1,0)</f>
        <v>66956.160000000003</v>
      </c>
      <c r="AH52" s="65">
        <f>VLOOKUP($E$1,[5]Resumen!$V$8:$AI$14,AH1,0)+VLOOKUP($E$1,[6]Resumen!$C$9:$O$15,AH1,0)</f>
        <v>66956.160000000003</v>
      </c>
      <c r="AI52" s="65">
        <f>VLOOKUP($E$1,[5]Resumen!$V$8:$AI$14,AI1,0)+VLOOKUP($E$1,[6]Resumen!$C$9:$O$15,AI1,0)</f>
        <v>66956.160000000003</v>
      </c>
      <c r="AJ52" s="65">
        <f>VLOOKUP($E$1,[5]Resumen!$V$8:$AI$14,AJ1,0)+VLOOKUP($E$1,[6]Resumen!$C$9:$O$15,AJ1,0)</f>
        <v>66956.160000000003</v>
      </c>
      <c r="AK52" s="65">
        <f t="shared" ref="AK52:AK91" si="37">SUM(Y52:AJ52)</f>
        <v>783296.64000000013</v>
      </c>
      <c r="AL52" s="73">
        <f t="shared" si="33"/>
        <v>1.4745857145621911E-2</v>
      </c>
      <c r="AM52" s="14">
        <f t="shared" si="34"/>
        <v>5.9494016058173171E-2</v>
      </c>
      <c r="AN52" s="9"/>
    </row>
    <row r="53" spans="1:40" ht="14.45" customHeight="1" outlineLevel="1">
      <c r="A53" s="12" t="s">
        <v>146</v>
      </c>
      <c r="B53" s="8" t="s">
        <v>88</v>
      </c>
      <c r="I53" s="246" t="s">
        <v>152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/>
      <c r="U53" s="65"/>
      <c r="V53" s="65">
        <f t="shared" si="36"/>
        <v>0</v>
      </c>
      <c r="W53" s="73">
        <f t="shared" si="31"/>
        <v>0</v>
      </c>
      <c r="X53" s="89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>
        <f t="shared" si="37"/>
        <v>0</v>
      </c>
      <c r="AL53" s="73">
        <f t="shared" si="33"/>
        <v>0</v>
      </c>
      <c r="AM53" s="14">
        <f t="shared" si="34"/>
        <v>0</v>
      </c>
      <c r="AN53" s="9"/>
    </row>
    <row r="54" spans="1:40" ht="14.45" customHeight="1" outlineLevel="1">
      <c r="A54" s="12" t="s">
        <v>146</v>
      </c>
      <c r="B54" s="8" t="s">
        <v>88</v>
      </c>
      <c r="I54" s="246" t="s">
        <v>153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225">
        <v>0</v>
      </c>
      <c r="S54" s="225">
        <v>0</v>
      </c>
      <c r="T54" s="225">
        <f t="shared" ref="T54" si="38">+AVERAGE(Q54:S54)</f>
        <v>0</v>
      </c>
      <c r="U54" s="225">
        <f t="shared" ref="U54" si="39">+AVERAGE(R54:T54)</f>
        <v>0</v>
      </c>
      <c r="V54" s="65">
        <f t="shared" si="36"/>
        <v>0</v>
      </c>
      <c r="W54" s="73">
        <f t="shared" si="31"/>
        <v>0</v>
      </c>
      <c r="X54" s="89"/>
      <c r="Y54" s="65">
        <f>VLOOKUP($E$1,[7]Resumen!$C$9:$O$15,Y1,0)</f>
        <v>0</v>
      </c>
      <c r="Z54" s="65">
        <f>VLOOKUP($E$1,[7]Resumen!$C$9:$O$15,Z1,0)</f>
        <v>0</v>
      </c>
      <c r="AA54" s="65">
        <f>VLOOKUP($E$1,[7]Resumen!$C$9:$O$15,AA1,0)</f>
        <v>0</v>
      </c>
      <c r="AB54" s="65">
        <f>VLOOKUP($E$1,[7]Resumen!$C$9:$O$15,AB1,0)</f>
        <v>0</v>
      </c>
      <c r="AC54" s="65">
        <f>VLOOKUP($E$1,[7]Resumen!$C$9:$O$15,AC1,0)</f>
        <v>0</v>
      </c>
      <c r="AD54" s="65">
        <f>VLOOKUP($E$1,[7]Resumen!$C$9:$O$15,AD1,0)</f>
        <v>0</v>
      </c>
      <c r="AE54" s="65">
        <f>VLOOKUP($E$1,[7]Resumen!$C$9:$O$15,AE1,0)</f>
        <v>0</v>
      </c>
      <c r="AF54" s="65">
        <f>VLOOKUP($E$1,[7]Resumen!$C$9:$O$15,AF1,0)</f>
        <v>0</v>
      </c>
      <c r="AG54" s="65">
        <f>VLOOKUP($E$1,[7]Resumen!$C$9:$O$15,AG1,0)</f>
        <v>0</v>
      </c>
      <c r="AH54" s="65">
        <f>VLOOKUP($E$1,[7]Resumen!$C$9:$O$15,AH1,0)</f>
        <v>0</v>
      </c>
      <c r="AI54" s="65">
        <f>VLOOKUP($E$1,[7]Resumen!$C$9:$O$15,AI1,0)</f>
        <v>0</v>
      </c>
      <c r="AJ54" s="65">
        <f>VLOOKUP($E$1,[7]Resumen!$C$9:$O$15,AJ1,0)</f>
        <v>1242.1199999999999</v>
      </c>
      <c r="AK54" s="65">
        <f t="shared" si="37"/>
        <v>1242.1199999999999</v>
      </c>
      <c r="AL54" s="73">
        <f t="shared" si="33"/>
        <v>2.3383381393950425E-5</v>
      </c>
      <c r="AM54" s="14">
        <f t="shared" si="34"/>
        <v>0</v>
      </c>
      <c r="AN54" s="9"/>
    </row>
    <row r="55" spans="1:40" ht="14.45" customHeight="1" outlineLevel="1">
      <c r="A55" s="12" t="s">
        <v>146</v>
      </c>
      <c r="B55" s="8" t="s">
        <v>88</v>
      </c>
      <c r="I55" s="246" t="s">
        <v>156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f t="shared" si="36"/>
        <v>0</v>
      </c>
      <c r="W55" s="73">
        <f t="shared" si="31"/>
        <v>0</v>
      </c>
      <c r="X55" s="89"/>
      <c r="Y55" s="65">
        <f>VLOOKUP($E$1,[8]Resumen!$V$140:$AH$146,Y1,0)</f>
        <v>0</v>
      </c>
      <c r="Z55" s="65">
        <f>VLOOKUP($E$1,[8]Resumen!$V$140:$AH$146,Z1,0)</f>
        <v>0</v>
      </c>
      <c r="AA55" s="65">
        <f>VLOOKUP($E$1,[8]Resumen!$V$140:$AH$146,AA1,0)</f>
        <v>0</v>
      </c>
      <c r="AB55" s="65">
        <f>VLOOKUP($E$1,[8]Resumen!$V$140:$AH$146,AB1,0)</f>
        <v>0</v>
      </c>
      <c r="AC55" s="65">
        <f>VLOOKUP($E$1,[8]Resumen!$V$140:$AH$146,AC1,0)</f>
        <v>0</v>
      </c>
      <c r="AD55" s="65">
        <f>VLOOKUP($E$1,[8]Resumen!$V$140:$AH$146,AD1,0)</f>
        <v>0</v>
      </c>
      <c r="AE55" s="65">
        <f>VLOOKUP($E$1,[8]Resumen!$V$140:$AH$146,AE1,0)</f>
        <v>0</v>
      </c>
      <c r="AF55" s="65">
        <f>VLOOKUP($E$1,[8]Resumen!$V$140:$AH$146,AF1,0)</f>
        <v>0</v>
      </c>
      <c r="AG55" s="65">
        <f>VLOOKUP($E$1,[8]Resumen!$V$140:$AH$146,AG1,0)</f>
        <v>0</v>
      </c>
      <c r="AH55" s="65">
        <f>VLOOKUP($E$1,[8]Resumen!$V$140:$AH$146,AH1,0)</f>
        <v>0</v>
      </c>
      <c r="AI55" s="65">
        <f>VLOOKUP($E$1,[8]Resumen!$V$140:$AH$146,AI1,0)</f>
        <v>0</v>
      </c>
      <c r="AJ55" s="65">
        <f>VLOOKUP($E$1,[8]Resumen!$V$140:$AH$146,AJ1,0)</f>
        <v>0</v>
      </c>
      <c r="AK55" s="65">
        <f t="shared" si="37"/>
        <v>0</v>
      </c>
      <c r="AL55" s="73">
        <f t="shared" si="33"/>
        <v>0</v>
      </c>
      <c r="AM55" s="14">
        <f t="shared" si="34"/>
        <v>0</v>
      </c>
      <c r="AN55" s="9"/>
    </row>
    <row r="56" spans="1:40" ht="14.45" customHeight="1" outlineLevel="1">
      <c r="A56" s="12" t="s">
        <v>146</v>
      </c>
      <c r="B56" s="8" t="s">
        <v>88</v>
      </c>
      <c r="I56" s="246" t="s">
        <v>158</v>
      </c>
      <c r="J56" s="65">
        <v>2133</v>
      </c>
      <c r="K56" s="65">
        <v>1623</v>
      </c>
      <c r="L56" s="65">
        <v>2403</v>
      </c>
      <c r="M56" s="65">
        <v>375</v>
      </c>
      <c r="N56" s="65">
        <v>2424</v>
      </c>
      <c r="O56" s="65">
        <v>2386</v>
      </c>
      <c r="P56" s="65">
        <v>0</v>
      </c>
      <c r="Q56" s="65">
        <v>3446</v>
      </c>
      <c r="R56" s="225">
        <v>3476</v>
      </c>
      <c r="S56" s="225">
        <v>3027</v>
      </c>
      <c r="T56" s="225">
        <f t="shared" ref="T56" si="40">+AVERAGE(Q56:S56)</f>
        <v>3316.3333333333335</v>
      </c>
      <c r="U56" s="225">
        <f t="shared" ref="U56" si="41">+AVERAGE(R56:T56)</f>
        <v>3273.1111111111113</v>
      </c>
      <c r="V56" s="65">
        <f t="shared" si="36"/>
        <v>27882.444444444445</v>
      </c>
      <c r="W56" s="73">
        <f t="shared" si="31"/>
        <v>5.5639381361735814E-4</v>
      </c>
      <c r="X56" s="89"/>
      <c r="Y56" s="65">
        <f>VLOOKUP($E$1,[9]Resumen!$V$238:$AH$244,Y1,0)</f>
        <v>2507.0121999999997</v>
      </c>
      <c r="Z56" s="65">
        <f>VLOOKUP($E$1,[9]Resumen!$V$238:$AH$244,Z1,0)</f>
        <v>2507.0121999999997</v>
      </c>
      <c r="AA56" s="65">
        <f>VLOOKUP($E$1,[9]Resumen!$V$238:$AH$244,AA1,0)</f>
        <v>2507.0121999999997</v>
      </c>
      <c r="AB56" s="65">
        <f>VLOOKUP($E$1,[9]Resumen!$V$238:$AH$244,AB1,0)</f>
        <v>2507.0121999999997</v>
      </c>
      <c r="AC56" s="65">
        <f>VLOOKUP($E$1,[9]Resumen!$V$238:$AH$244,AC1,0)</f>
        <v>2507.0121999999997</v>
      </c>
      <c r="AD56" s="65">
        <f>VLOOKUP($E$1,[9]Resumen!$V$238:$AH$244,AD1,0)</f>
        <v>2507.0121999999997</v>
      </c>
      <c r="AE56" s="65">
        <f>VLOOKUP($E$1,[9]Resumen!$V$238:$AH$244,AE1,0)</f>
        <v>2507.0121999999997</v>
      </c>
      <c r="AF56" s="65">
        <f>VLOOKUP($E$1,[9]Resumen!$V$238:$AH$244,AF1,0)</f>
        <v>2507.0121999999997</v>
      </c>
      <c r="AG56" s="65">
        <f>VLOOKUP($E$1,[9]Resumen!$V$238:$AH$244,AG1,0)</f>
        <v>2507.0121999999997</v>
      </c>
      <c r="AH56" s="65">
        <f>VLOOKUP($E$1,[9]Resumen!$V$238:$AH$244,AH1,0)</f>
        <v>2507.0121999999997</v>
      </c>
      <c r="AI56" s="65">
        <f>VLOOKUP($E$1,[9]Resumen!$V$238:$AH$244,AI1,0)</f>
        <v>2507.0121999999997</v>
      </c>
      <c r="AJ56" s="65">
        <f>VLOOKUP($E$1,[9]Resumen!$V$238:$AH$244,AJ1,0)</f>
        <v>2507.0121999999997</v>
      </c>
      <c r="AK56" s="65">
        <f t="shared" si="37"/>
        <v>30084.146400000001</v>
      </c>
      <c r="AL56" s="73">
        <f t="shared" si="33"/>
        <v>5.6634549736147937E-4</v>
      </c>
      <c r="AM56" s="14">
        <f t="shared" si="34"/>
        <v>7.8963735046345462E-2</v>
      </c>
      <c r="AN56" s="9"/>
    </row>
    <row r="57" spans="1:40" ht="14.45" customHeight="1" outlineLevel="1">
      <c r="A57" s="12" t="s">
        <v>146</v>
      </c>
      <c r="B57" s="8" t="s">
        <v>88</v>
      </c>
      <c r="I57" s="246" t="s">
        <v>159</v>
      </c>
      <c r="J57" s="65">
        <v>20030</v>
      </c>
      <c r="K57" s="65">
        <v>6169</v>
      </c>
      <c r="L57" s="65">
        <v>43824</v>
      </c>
      <c r="M57" s="65">
        <v>25856</v>
      </c>
      <c r="N57" s="65">
        <v>28019</v>
      </c>
      <c r="O57" s="65">
        <v>8107</v>
      </c>
      <c r="P57" s="65">
        <v>52055</v>
      </c>
      <c r="Q57" s="65">
        <v>0</v>
      </c>
      <c r="R57" s="65">
        <v>1150</v>
      </c>
      <c r="S57" s="65">
        <v>0</v>
      </c>
      <c r="T57" s="65">
        <v>0</v>
      </c>
      <c r="U57" s="65">
        <v>0</v>
      </c>
      <c r="V57" s="65">
        <f t="shared" si="36"/>
        <v>185210</v>
      </c>
      <c r="W57" s="73">
        <f t="shared" si="31"/>
        <v>3.6958631236725542E-3</v>
      </c>
      <c r="X57" s="89"/>
      <c r="Y57" s="65">
        <f>VLOOKUP($E$1,[10]Resumen!$V$8:$AH$14,Y1,0)</f>
        <v>25877.499999999996</v>
      </c>
      <c r="Z57" s="65">
        <f>VLOOKUP($E$1,[10]Resumen!$V$8:$AH$14,Z1,0)</f>
        <v>1552.6499999999999</v>
      </c>
      <c r="AA57" s="65">
        <f>VLOOKUP($E$1,[10]Resumen!$V$8:$AH$14,AA1,0)</f>
        <v>21550.781999999999</v>
      </c>
      <c r="AB57" s="65">
        <f>VLOOKUP($E$1,[10]Resumen!$V$8:$AH$14,AB1,0)</f>
        <v>8073.7799999999988</v>
      </c>
      <c r="AC57" s="65">
        <f>VLOOKUP($E$1,[10]Resumen!$V$8:$AH$14,AC1,0)</f>
        <v>1863.1799999999998</v>
      </c>
      <c r="AD57" s="65">
        <f>VLOOKUP($E$1,[10]Resumen!$V$8:$AH$14,AD1,0)</f>
        <v>26912.6</v>
      </c>
      <c r="AE57" s="65">
        <f>VLOOKUP($E$1,[10]Resumen!$V$8:$AH$14,AE1,0)</f>
        <v>6645.3419999999996</v>
      </c>
      <c r="AF57" s="65">
        <f>VLOOKUP($E$1,[10]Resumen!$V$8:$AH$14,AF1,0)</f>
        <v>9315.9</v>
      </c>
      <c r="AG57" s="65">
        <f>VLOOKUP($E$1,[10]Resumen!$V$8:$AH$14,AG1,0)</f>
        <v>2484.2399999999998</v>
      </c>
      <c r="AH57" s="65">
        <f>VLOOKUP($E$1,[10]Resumen!$V$8:$AH$14,AH1,0)</f>
        <v>30742.469999999998</v>
      </c>
      <c r="AI57" s="65">
        <f>VLOOKUP($E$1,[10]Resumen!$V$8:$AH$14,AI1,0)</f>
        <v>26933.301999999996</v>
      </c>
      <c r="AJ57" s="65">
        <f>VLOOKUP($E$1,[10]Resumen!$V$8:$AH$14,AJ1,0)</f>
        <v>8798.3499999999985</v>
      </c>
      <c r="AK57" s="65">
        <f t="shared" si="37"/>
        <v>170750.09599999999</v>
      </c>
      <c r="AL57" s="73">
        <f t="shared" si="33"/>
        <v>3.2144354956217184E-3</v>
      </c>
      <c r="AM57" s="14">
        <f t="shared" si="34"/>
        <v>-7.8073019815344757E-2</v>
      </c>
      <c r="AN57" s="9"/>
    </row>
    <row r="58" spans="1:40" ht="14.45" customHeight="1" outlineLevel="1">
      <c r="A58" s="12" t="s">
        <v>146</v>
      </c>
      <c r="B58" s="8" t="s">
        <v>88</v>
      </c>
      <c r="I58" s="246" t="s">
        <v>160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758.33333333333337</v>
      </c>
      <c r="U58" s="65">
        <v>0</v>
      </c>
      <c r="V58" s="65">
        <f t="shared" si="36"/>
        <v>758.33333333333337</v>
      </c>
      <c r="W58" s="73">
        <f t="shared" si="31"/>
        <v>1.5132531732186997E-5</v>
      </c>
      <c r="X58" s="89"/>
      <c r="Y58" s="65">
        <f>VLOOKUP($E$1,[11]Resumen!$V$8:$AH$14,Y1,0)</f>
        <v>497.64423076923072</v>
      </c>
      <c r="Z58" s="65">
        <f>VLOOKUP($E$1,[11]Resumen!$V$8:$AH$14,Z1,0)</f>
        <v>1592.4615384615383</v>
      </c>
      <c r="AA58" s="65">
        <f>VLOOKUP($E$1,[11]Resumen!$V$8:$AH$14,AA1,0)</f>
        <v>298.58653846153845</v>
      </c>
      <c r="AB58" s="65">
        <f>VLOOKUP($E$1,[11]Resumen!$V$8:$AH$14,AB1,0)</f>
        <v>0</v>
      </c>
      <c r="AC58" s="65">
        <f>VLOOKUP($E$1,[11]Resumen!$V$8:$AH$14,AC1,0)</f>
        <v>0</v>
      </c>
      <c r="AD58" s="65">
        <f>VLOOKUP($E$1,[11]Resumen!$V$8:$AH$14,AD1,0)</f>
        <v>0</v>
      </c>
      <c r="AE58" s="65">
        <f>VLOOKUP($E$1,[11]Resumen!$V$8:$AH$14,AE1,0)</f>
        <v>0</v>
      </c>
      <c r="AF58" s="65">
        <f>VLOOKUP($E$1,[11]Resumen!$V$8:$AH$14,AF1,0)</f>
        <v>0</v>
      </c>
      <c r="AG58" s="65">
        <f>VLOOKUP($E$1,[11]Resumen!$V$8:$AH$14,AG1,0)</f>
        <v>0</v>
      </c>
      <c r="AH58" s="65">
        <f>VLOOKUP($E$1,[11]Resumen!$V$8:$AH$14,AH1,0)</f>
        <v>0</v>
      </c>
      <c r="AI58" s="65">
        <f>VLOOKUP($E$1,[11]Resumen!$V$8:$AH$14,AI1,0)</f>
        <v>0</v>
      </c>
      <c r="AJ58" s="65">
        <f>VLOOKUP($E$1,[11]Resumen!$V$8:$AH$14,AJ1,0)</f>
        <v>0</v>
      </c>
      <c r="AK58" s="65">
        <f t="shared" si="37"/>
        <v>2388.6923076923076</v>
      </c>
      <c r="AL58" s="73">
        <f t="shared" si="33"/>
        <v>4.4968041142212359E-5</v>
      </c>
      <c r="AM58" s="14">
        <f t="shared" si="34"/>
        <v>2.1499239222316144</v>
      </c>
      <c r="AN58" s="9"/>
    </row>
    <row r="59" spans="1:40" ht="14.45" customHeight="1" outlineLevel="1">
      <c r="A59" s="12" t="s">
        <v>146</v>
      </c>
      <c r="B59" s="8" t="s">
        <v>88</v>
      </c>
      <c r="I59" s="246" t="s">
        <v>161</v>
      </c>
      <c r="J59" s="65"/>
      <c r="K59" s="65">
        <v>0</v>
      </c>
      <c r="L59" s="65"/>
      <c r="M59" s="65">
        <v>0</v>
      </c>
      <c r="N59" s="65"/>
      <c r="O59" s="65"/>
      <c r="P59" s="65">
        <v>0</v>
      </c>
      <c r="Q59" s="65">
        <v>0</v>
      </c>
      <c r="R59" s="65">
        <v>0</v>
      </c>
      <c r="S59" s="65">
        <v>0</v>
      </c>
      <c r="T59" s="65"/>
      <c r="U59" s="65"/>
      <c r="V59" s="65">
        <f t="shared" si="36"/>
        <v>0</v>
      </c>
      <c r="W59" s="73">
        <f t="shared" si="31"/>
        <v>0</v>
      </c>
      <c r="X59" s="89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>
        <f t="shared" si="37"/>
        <v>0</v>
      </c>
      <c r="AL59" s="73">
        <f t="shared" si="33"/>
        <v>0</v>
      </c>
      <c r="AM59" s="14">
        <f t="shared" si="34"/>
        <v>0</v>
      </c>
      <c r="AN59" s="9"/>
    </row>
    <row r="60" spans="1:40" ht="14.45" customHeight="1" outlineLevel="1">
      <c r="A60" s="12" t="s">
        <v>146</v>
      </c>
      <c r="B60" s="8" t="s">
        <v>88</v>
      </c>
      <c r="I60" s="246" t="s">
        <v>162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20625</v>
      </c>
      <c r="P60" s="65">
        <v>27480</v>
      </c>
      <c r="Q60" s="65">
        <v>25000</v>
      </c>
      <c r="R60" s="65">
        <v>15000</v>
      </c>
      <c r="S60" s="65">
        <v>15000</v>
      </c>
      <c r="T60" s="65">
        <v>15000</v>
      </c>
      <c r="U60" s="65">
        <v>15000</v>
      </c>
      <c r="V60" s="65">
        <f t="shared" si="36"/>
        <v>133105</v>
      </c>
      <c r="W60" s="73">
        <f t="shared" si="31"/>
        <v>2.6561085312695608E-3</v>
      </c>
      <c r="X60" s="89"/>
      <c r="Y60" s="65">
        <f>+J60*1.0375</f>
        <v>0</v>
      </c>
      <c r="Z60" s="65">
        <f>+K60*1.0375</f>
        <v>0</v>
      </c>
      <c r="AA60" s="65">
        <f>+L60*1.0375</f>
        <v>0</v>
      </c>
      <c r="AB60" s="65">
        <f>+M60*1.0375</f>
        <v>0</v>
      </c>
      <c r="AC60" s="65">
        <f>+N60*1.0375</f>
        <v>0</v>
      </c>
      <c r="AD60" s="65">
        <f>+O60*1.0375</f>
        <v>21398.437500000004</v>
      </c>
      <c r="AE60" s="65">
        <f>+P60*1.0375</f>
        <v>28510.500000000004</v>
      </c>
      <c r="AF60" s="65">
        <f>+Q60*1.0375</f>
        <v>25937.500000000004</v>
      </c>
      <c r="AG60" s="65">
        <f>+R60*1.0375</f>
        <v>15562.500000000002</v>
      </c>
      <c r="AH60" s="65">
        <f>+S60*1.0375</f>
        <v>15562.500000000002</v>
      </c>
      <c r="AI60" s="65">
        <f>+T60*1.0375</f>
        <v>15562.500000000002</v>
      </c>
      <c r="AJ60" s="65">
        <f>+U60*1.0375</f>
        <v>15562.500000000002</v>
      </c>
      <c r="AK60" s="65">
        <f t="shared" si="37"/>
        <v>138096.43750000003</v>
      </c>
      <c r="AL60" s="73">
        <f t="shared" si="33"/>
        <v>2.5997179557597804E-3</v>
      </c>
      <c r="AM60" s="14">
        <f t="shared" si="34"/>
        <v>3.7500000000000311E-2</v>
      </c>
      <c r="AN60" s="9"/>
    </row>
    <row r="61" spans="1:40" ht="14.45" customHeight="1" outlineLevel="1">
      <c r="A61" s="12" t="s">
        <v>146</v>
      </c>
      <c r="B61" s="8" t="s">
        <v>88</v>
      </c>
      <c r="I61" s="289" t="s">
        <v>278</v>
      </c>
      <c r="J61" s="65">
        <v>0</v>
      </c>
      <c r="K61" s="65">
        <v>0</v>
      </c>
      <c r="L61" s="65"/>
      <c r="M61" s="65"/>
      <c r="N61" s="65"/>
      <c r="O61" s="65"/>
      <c r="P61" s="65">
        <v>0</v>
      </c>
      <c r="Q61" s="65"/>
      <c r="R61" s="65"/>
      <c r="S61" s="65"/>
      <c r="T61" s="65"/>
      <c r="U61" s="65"/>
      <c r="V61" s="65">
        <f t="shared" ref="V61" si="42">SUM(J61:U61)</f>
        <v>0</v>
      </c>
      <c r="W61" s="73">
        <f t="shared" ref="W61" si="43">V61/V$6</f>
        <v>0</v>
      </c>
      <c r="X61" s="89"/>
      <c r="Y61" s="65">
        <f>+J61*1.0375</f>
        <v>0</v>
      </c>
      <c r="Z61" s="65">
        <f>+K61*1.0375</f>
        <v>0</v>
      </c>
      <c r="AA61" s="65">
        <f>+L61*1.0375</f>
        <v>0</v>
      </c>
      <c r="AB61" s="65">
        <f>+M61*1.0375</f>
        <v>0</v>
      </c>
      <c r="AC61" s="65">
        <f>+N61*1.0375</f>
        <v>0</v>
      </c>
      <c r="AD61" s="65">
        <f>+O61*1.0375</f>
        <v>0</v>
      </c>
      <c r="AE61" s="65">
        <f>+P61*1.0375</f>
        <v>0</v>
      </c>
      <c r="AF61" s="65">
        <f>+Q61*1.0375</f>
        <v>0</v>
      </c>
      <c r="AG61" s="65">
        <f>+R61*1.0375</f>
        <v>0</v>
      </c>
      <c r="AH61" s="65">
        <f>+S61*1.0375</f>
        <v>0</v>
      </c>
      <c r="AI61" s="65">
        <f>+T61*1.0375</f>
        <v>0</v>
      </c>
      <c r="AJ61" s="65">
        <f>+U61*1.0375</f>
        <v>0</v>
      </c>
      <c r="AK61" s="65">
        <f t="shared" ref="AK61" si="44">SUM(Y61:AJ61)</f>
        <v>0</v>
      </c>
      <c r="AL61" s="73">
        <f t="shared" ref="AL61" si="45">AK61/AK$6</f>
        <v>0</v>
      </c>
      <c r="AM61" s="14">
        <f t="shared" ref="AM61" si="46">IFERROR(AK61/V61-1,0)</f>
        <v>0</v>
      </c>
      <c r="AN61" s="9"/>
    </row>
    <row r="62" spans="1:40" ht="14.45" customHeight="1" outlineLevel="1">
      <c r="A62" s="12" t="s">
        <v>146</v>
      </c>
      <c r="B62" s="8" t="s">
        <v>88</v>
      </c>
      <c r="I62" s="246" t="s">
        <v>163</v>
      </c>
      <c r="J62" s="65">
        <v>0</v>
      </c>
      <c r="K62" s="65">
        <v>0</v>
      </c>
      <c r="L62" s="65">
        <v>0</v>
      </c>
      <c r="M62" s="65">
        <v>0</v>
      </c>
      <c r="N62" s="65">
        <v>2390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/>
      <c r="U62" s="65"/>
      <c r="V62" s="65">
        <f t="shared" si="36"/>
        <v>2390</v>
      </c>
      <c r="W62" s="73">
        <f t="shared" si="31"/>
        <v>4.7692418690013524E-5</v>
      </c>
      <c r="X62" s="89"/>
      <c r="Y62" s="65">
        <f>+J62*1.0375</f>
        <v>0</v>
      </c>
      <c r="Z62" s="65">
        <f>+K62*1.0375</f>
        <v>0</v>
      </c>
      <c r="AA62" s="65">
        <f>+L62*1.0375</f>
        <v>0</v>
      </c>
      <c r="AB62" s="65">
        <f>+M62*1.0375</f>
        <v>0</v>
      </c>
      <c r="AC62" s="65">
        <f>+N62*1.0375</f>
        <v>2479.625</v>
      </c>
      <c r="AD62" s="65">
        <f>+O62*1.0375</f>
        <v>0</v>
      </c>
      <c r="AE62" s="65">
        <f>+P62*1.0375</f>
        <v>0</v>
      </c>
      <c r="AF62" s="65">
        <f>+Q62*1.0375</f>
        <v>0</v>
      </c>
      <c r="AG62" s="65">
        <f>+R62*1.0375</f>
        <v>0</v>
      </c>
      <c r="AH62" s="65">
        <f>+S62*1.0375</f>
        <v>0</v>
      </c>
      <c r="AI62" s="65">
        <f>+T62*1.0375</f>
        <v>0</v>
      </c>
      <c r="AJ62" s="65">
        <f>+U62*1.0375</f>
        <v>0</v>
      </c>
      <c r="AK62" s="65">
        <f t="shared" si="37"/>
        <v>2479.625</v>
      </c>
      <c r="AL62" s="73">
        <f t="shared" si="33"/>
        <v>4.6679883657757967E-5</v>
      </c>
      <c r="AM62" s="14">
        <f t="shared" si="34"/>
        <v>3.7500000000000089E-2</v>
      </c>
      <c r="AN62" s="9"/>
    </row>
    <row r="63" spans="1:40" ht="14.45" customHeight="1" outlineLevel="1">
      <c r="A63" s="12" t="s">
        <v>146</v>
      </c>
      <c r="B63" s="8" t="s">
        <v>88</v>
      </c>
      <c r="I63" s="246" t="s">
        <v>164</v>
      </c>
      <c r="J63" s="65">
        <v>510</v>
      </c>
      <c r="K63" s="65">
        <v>-3500</v>
      </c>
      <c r="L63" s="65">
        <v>36</v>
      </c>
      <c r="M63" s="65">
        <v>217</v>
      </c>
      <c r="N63" s="65">
        <v>83</v>
      </c>
      <c r="O63" s="65">
        <v>122</v>
      </c>
      <c r="P63" s="65">
        <v>186</v>
      </c>
      <c r="Q63" s="65">
        <v>124</v>
      </c>
      <c r="R63" s="65">
        <v>82</v>
      </c>
      <c r="S63" s="65">
        <v>2</v>
      </c>
      <c r="T63" s="65"/>
      <c r="U63" s="65"/>
      <c r="V63" s="65">
        <f t="shared" si="36"/>
        <v>-2138</v>
      </c>
      <c r="W63" s="73">
        <f t="shared" si="31"/>
        <v>-4.2663761991317539E-5</v>
      </c>
      <c r="X63" s="89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>
        <f t="shared" si="37"/>
        <v>0</v>
      </c>
      <c r="AL63" s="73">
        <f t="shared" si="33"/>
        <v>0</v>
      </c>
      <c r="AM63" s="14">
        <f t="shared" si="34"/>
        <v>-1</v>
      </c>
      <c r="AN63" s="9"/>
    </row>
    <row r="64" spans="1:40" ht="14.45" customHeight="1" outlineLevel="1">
      <c r="A64" s="12" t="s">
        <v>146</v>
      </c>
      <c r="B64" s="8" t="s">
        <v>88</v>
      </c>
      <c r="I64" s="246" t="s">
        <v>165</v>
      </c>
      <c r="J64" s="65">
        <v>392</v>
      </c>
      <c r="K64" s="65">
        <v>813</v>
      </c>
      <c r="L64" s="65">
        <v>494</v>
      </c>
      <c r="M64" s="65">
        <v>776</v>
      </c>
      <c r="N64" s="65">
        <v>539</v>
      </c>
      <c r="O64" s="65">
        <v>729</v>
      </c>
      <c r="P64" s="65">
        <v>294</v>
      </c>
      <c r="Q64" s="65">
        <v>1257</v>
      </c>
      <c r="R64" s="225">
        <v>365</v>
      </c>
      <c r="S64" s="225">
        <v>657</v>
      </c>
      <c r="T64" s="225">
        <f t="shared" ref="T64" si="47">+AVERAGE(Q64:S64)</f>
        <v>759.66666666666663</v>
      </c>
      <c r="U64" s="225">
        <f t="shared" ref="U64" si="48">+AVERAGE(R64:T64)</f>
        <v>593.8888888888888</v>
      </c>
      <c r="V64" s="65">
        <f t="shared" si="36"/>
        <v>7669.5555555555557</v>
      </c>
      <c r="W64" s="73">
        <f t="shared" si="31"/>
        <v>1.530458806367677E-4</v>
      </c>
      <c r="X64" s="89"/>
      <c r="Y64" s="65">
        <f>VLOOKUP($E$1,[9]Resumen!$V$226:$AH$232,Y1,0)</f>
        <v>1012.3277999999999</v>
      </c>
      <c r="Z64" s="65">
        <f>VLOOKUP($E$1,[9]Resumen!$V$226:$AH$232,Z1,0)</f>
        <v>1012.3277999999999</v>
      </c>
      <c r="AA64" s="65">
        <f>VLOOKUP($E$1,[9]Resumen!$V$226:$AH$232,AA1,0)</f>
        <v>1012.3277999999999</v>
      </c>
      <c r="AB64" s="65">
        <f>VLOOKUP($E$1,[9]Resumen!$V$226:$AH$232,AB1,0)</f>
        <v>1012.3277999999999</v>
      </c>
      <c r="AC64" s="65">
        <f>VLOOKUP($E$1,[9]Resumen!$V$226:$AH$232,AC1,0)</f>
        <v>1012.3277999999999</v>
      </c>
      <c r="AD64" s="65">
        <f>VLOOKUP($E$1,[9]Resumen!$V$226:$AH$232,AD1,0)</f>
        <v>1012.3277999999999</v>
      </c>
      <c r="AE64" s="65">
        <f>VLOOKUP($E$1,[9]Resumen!$V$226:$AH$232,AE1,0)</f>
        <v>1012.3277999999999</v>
      </c>
      <c r="AF64" s="65">
        <f>VLOOKUP($E$1,[9]Resumen!$V$226:$AH$232,AF1,0)</f>
        <v>1012.3277999999999</v>
      </c>
      <c r="AG64" s="65">
        <f>VLOOKUP($E$1,[9]Resumen!$V$226:$AH$232,AG1,0)</f>
        <v>1012.3277999999999</v>
      </c>
      <c r="AH64" s="65">
        <f>VLOOKUP($E$1,[9]Resumen!$V$226:$AH$232,AH1,0)</f>
        <v>1012.3277999999999</v>
      </c>
      <c r="AI64" s="65">
        <f>VLOOKUP($E$1,[9]Resumen!$V$226:$AH$232,AI1,0)</f>
        <v>1012.3277999999999</v>
      </c>
      <c r="AJ64" s="65">
        <f>VLOOKUP($E$1,[9]Resumen!$V$226:$AH$232,AJ1,0)</f>
        <v>1012.3277999999999</v>
      </c>
      <c r="AK64" s="65">
        <f t="shared" si="37"/>
        <v>12147.933599999997</v>
      </c>
      <c r="AL64" s="73">
        <f t="shared" si="33"/>
        <v>2.286894700328351E-4</v>
      </c>
      <c r="AM64" s="14">
        <f t="shared" si="34"/>
        <v>0.58391624025729394</v>
      </c>
      <c r="AN64" s="9"/>
    </row>
    <row r="65" spans="1:40" ht="14.45" customHeight="1" outlineLevel="1">
      <c r="A65" s="12" t="s">
        <v>146</v>
      </c>
      <c r="B65" s="8" t="s">
        <v>88</v>
      </c>
      <c r="I65" s="252" t="s">
        <v>167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/>
      <c r="U65" s="65"/>
      <c r="V65" s="65">
        <f t="shared" si="36"/>
        <v>0</v>
      </c>
      <c r="W65" s="73">
        <f t="shared" si="31"/>
        <v>0</v>
      </c>
      <c r="X65" s="89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>
        <f t="shared" si="37"/>
        <v>0</v>
      </c>
      <c r="AL65" s="73">
        <f t="shared" si="33"/>
        <v>0</v>
      </c>
      <c r="AM65" s="14">
        <f t="shared" si="34"/>
        <v>0</v>
      </c>
      <c r="AN65" s="9"/>
    </row>
    <row r="66" spans="1:40" ht="14.45" customHeight="1" outlineLevel="1">
      <c r="A66" s="12" t="s">
        <v>146</v>
      </c>
      <c r="B66" s="8" t="s">
        <v>88</v>
      </c>
      <c r="I66" s="246" t="s">
        <v>168</v>
      </c>
      <c r="J66" s="65">
        <v>0</v>
      </c>
      <c r="K66" s="65">
        <v>0</v>
      </c>
      <c r="L66" s="65">
        <v>0</v>
      </c>
      <c r="M66" s="65">
        <v>640</v>
      </c>
      <c r="N66" s="65">
        <v>0</v>
      </c>
      <c r="O66" s="65">
        <v>0</v>
      </c>
      <c r="P66" s="65">
        <v>0</v>
      </c>
      <c r="Q66" s="65">
        <v>0</v>
      </c>
      <c r="R66" s="65">
        <v>5431</v>
      </c>
      <c r="S66" s="65">
        <v>0</v>
      </c>
      <c r="T66" s="65">
        <v>0</v>
      </c>
      <c r="U66" s="65">
        <v>0</v>
      </c>
      <c r="V66" s="65">
        <f t="shared" si="36"/>
        <v>6071</v>
      </c>
      <c r="W66" s="73">
        <f t="shared" si="31"/>
        <v>1.2114672546739417E-4</v>
      </c>
      <c r="X66" s="89"/>
      <c r="Y66" s="65">
        <f>VLOOKUP($E$1,[8]Resumen!$V$32:$AH$38,Y1,0)</f>
        <v>0</v>
      </c>
      <c r="Z66" s="65">
        <f>VLOOKUP($E$1,[8]Resumen!$V$32:$AH$38,Z1,0)</f>
        <v>0</v>
      </c>
      <c r="AA66" s="65">
        <f>VLOOKUP($E$1,[8]Resumen!$V$32:$AH$38,AA1,0)</f>
        <v>0</v>
      </c>
      <c r="AB66" s="65">
        <f>VLOOKUP($E$1,[8]Resumen!$V$32:$AH$38,AB1,0)</f>
        <v>3560.7439999999997</v>
      </c>
      <c r="AC66" s="65">
        <f>VLOOKUP($E$1,[8]Resumen!$V$32:$AH$38,AC1,0)</f>
        <v>0</v>
      </c>
      <c r="AD66" s="65">
        <f>VLOOKUP($E$1,[8]Resumen!$V$32:$AH$38,AD1,0)</f>
        <v>0</v>
      </c>
      <c r="AE66" s="65">
        <f>VLOOKUP($E$1,[8]Resumen!$V$32:$AH$38,AE1,0)</f>
        <v>0</v>
      </c>
      <c r="AF66" s="65">
        <f>VLOOKUP($E$1,[8]Resumen!$V$32:$AH$38,AF1,0)</f>
        <v>2184.0609999999997</v>
      </c>
      <c r="AG66" s="65">
        <f>VLOOKUP($E$1,[8]Resumen!$V$32:$AH$38,AG1,0)</f>
        <v>0</v>
      </c>
      <c r="AH66" s="65">
        <f>VLOOKUP($E$1,[8]Resumen!$V$32:$AH$38,AH1,0)</f>
        <v>0</v>
      </c>
      <c r="AI66" s="65">
        <f>VLOOKUP($E$1,[8]Resumen!$V$32:$AH$38,AI1,0)</f>
        <v>0</v>
      </c>
      <c r="AJ66" s="65">
        <f>VLOOKUP($E$1,[8]Resumen!$V$32:$AH$38,AJ1,0)</f>
        <v>0</v>
      </c>
      <c r="AK66" s="65">
        <f t="shared" si="37"/>
        <v>5744.8049999999994</v>
      </c>
      <c r="AL66" s="73">
        <f t="shared" si="33"/>
        <v>1.0814813894702071E-4</v>
      </c>
      <c r="AM66" s="14">
        <f t="shared" si="34"/>
        <v>-5.3730028001976682E-2</v>
      </c>
      <c r="AN66" s="9"/>
    </row>
    <row r="67" spans="1:40" ht="14.45" customHeight="1" outlineLevel="1">
      <c r="A67" s="12"/>
      <c r="I67" s="246" t="s">
        <v>170</v>
      </c>
      <c r="J67" s="65">
        <v>3298</v>
      </c>
      <c r="K67" s="65">
        <v>3298</v>
      </c>
      <c r="L67" s="65">
        <v>3298</v>
      </c>
      <c r="M67" s="65">
        <v>3298</v>
      </c>
      <c r="N67" s="65">
        <v>3298</v>
      </c>
      <c r="O67" s="65">
        <v>3298</v>
      </c>
      <c r="P67" s="65">
        <v>3298</v>
      </c>
      <c r="Q67" s="65">
        <v>3298</v>
      </c>
      <c r="R67" s="225">
        <v>3298</v>
      </c>
      <c r="S67" s="225">
        <v>3298</v>
      </c>
      <c r="T67" s="225">
        <f t="shared" ref="T67" si="49">+AVERAGE(Q67:S67)</f>
        <v>3298</v>
      </c>
      <c r="U67" s="225">
        <f t="shared" ref="U67" si="50">+AVERAGE(R67:T67)</f>
        <v>3298</v>
      </c>
      <c r="V67" s="65">
        <f t="shared" si="36"/>
        <v>39576</v>
      </c>
      <c r="W67" s="73">
        <f t="shared" si="31"/>
        <v>7.8973856153806486E-4</v>
      </c>
      <c r="X67" s="89"/>
      <c r="Y67" s="65">
        <f>VLOOKUP($E$1,[12]Resumen!$V$8:$AH$14,Y1,0)</f>
        <v>4942.6025</v>
      </c>
      <c r="Z67" s="65">
        <f>VLOOKUP($E$1,[12]Resumen!$V$8:$AH$14,Z1,0)</f>
        <v>4942.6025</v>
      </c>
      <c r="AA67" s="65">
        <f>VLOOKUP($E$1,[12]Resumen!$V$8:$AH$14,AA1,0)</f>
        <v>4942.6025</v>
      </c>
      <c r="AB67" s="65">
        <f>VLOOKUP($E$1,[12]Resumen!$V$8:$AH$14,AB1,0)</f>
        <v>4942.6025</v>
      </c>
      <c r="AC67" s="65">
        <f>VLOOKUP($E$1,[12]Resumen!$V$8:$AH$14,AC1,0)</f>
        <v>4942.6025</v>
      </c>
      <c r="AD67" s="65">
        <f>VLOOKUP($E$1,[12]Resumen!$V$8:$AH$14,AD1,0)</f>
        <v>4942.6025</v>
      </c>
      <c r="AE67" s="65">
        <f>VLOOKUP($E$1,[12]Resumen!$V$8:$AH$14,AE1,0)</f>
        <v>4942.6025</v>
      </c>
      <c r="AF67" s="65">
        <f>VLOOKUP($E$1,[12]Resumen!$V$8:$AH$14,AF1,0)</f>
        <v>4942.6025</v>
      </c>
      <c r="AG67" s="65">
        <f>VLOOKUP($E$1,[12]Resumen!$V$8:$AH$14,AG1,0)</f>
        <v>4942.6025</v>
      </c>
      <c r="AH67" s="65">
        <f>VLOOKUP($E$1,[12]Resumen!$V$8:$AH$14,AH1,0)</f>
        <v>4942.6025</v>
      </c>
      <c r="AI67" s="65">
        <f>VLOOKUP($E$1,[12]Resumen!$V$8:$AH$14,AI1,0)</f>
        <v>4942.6025</v>
      </c>
      <c r="AJ67" s="65">
        <f>VLOOKUP($E$1,[12]Resumen!$V$8:$AH$14,AJ1,0)</f>
        <v>4942.6025</v>
      </c>
      <c r="AK67" s="65">
        <f t="shared" si="37"/>
        <v>59311.23</v>
      </c>
      <c r="AL67" s="73">
        <f t="shared" si="33"/>
        <v>1.1165564615611329E-3</v>
      </c>
      <c r="AM67" s="14">
        <f t="shared" si="34"/>
        <v>0.4986666161309885</v>
      </c>
      <c r="AN67" s="9"/>
    </row>
    <row r="68" spans="1:40" ht="14.45" customHeight="1" outlineLevel="1">
      <c r="A68" s="12"/>
      <c r="I68" s="246" t="s">
        <v>171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/>
      <c r="U68" s="65"/>
      <c r="V68" s="65">
        <f t="shared" si="36"/>
        <v>0</v>
      </c>
      <c r="W68" s="73">
        <f t="shared" si="31"/>
        <v>0</v>
      </c>
      <c r="X68" s="89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>
        <f t="shared" si="37"/>
        <v>0</v>
      </c>
      <c r="AL68" s="73">
        <f t="shared" si="33"/>
        <v>0</v>
      </c>
      <c r="AM68" s="14">
        <f t="shared" si="34"/>
        <v>0</v>
      </c>
      <c r="AN68" s="9"/>
    </row>
    <row r="69" spans="1:40" ht="14.45" customHeight="1" outlineLevel="1">
      <c r="A69" s="12"/>
      <c r="I69" s="246" t="s">
        <v>172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/>
      <c r="U69" s="65"/>
      <c r="V69" s="65">
        <f t="shared" si="36"/>
        <v>0</v>
      </c>
      <c r="W69" s="73">
        <f t="shared" si="31"/>
        <v>0</v>
      </c>
      <c r="X69" s="89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>
        <f t="shared" si="37"/>
        <v>0</v>
      </c>
      <c r="AL69" s="73">
        <f t="shared" si="33"/>
        <v>0</v>
      </c>
      <c r="AM69" s="14">
        <f t="shared" si="34"/>
        <v>0</v>
      </c>
      <c r="AN69" s="9"/>
    </row>
    <row r="70" spans="1:40" ht="14.45" customHeight="1" outlineLevel="1">
      <c r="A70" s="12"/>
      <c r="I70" s="246" t="s">
        <v>173</v>
      </c>
      <c r="J70" s="65">
        <v>2168</v>
      </c>
      <c r="K70" s="65">
        <v>2168</v>
      </c>
      <c r="L70" s="65">
        <v>2168</v>
      </c>
      <c r="M70" s="65">
        <v>0</v>
      </c>
      <c r="N70" s="65">
        <v>1400</v>
      </c>
      <c r="O70" s="65">
        <v>2300</v>
      </c>
      <c r="P70" s="65">
        <v>1400</v>
      </c>
      <c r="Q70" s="65">
        <v>1400</v>
      </c>
      <c r="R70" s="225">
        <v>1400</v>
      </c>
      <c r="S70" s="225">
        <v>2300</v>
      </c>
      <c r="T70" s="225">
        <f t="shared" ref="T70" si="51">+AVERAGE(Q70:S70)</f>
        <v>1700</v>
      </c>
      <c r="U70" s="225">
        <f t="shared" ref="U70" si="52">+AVERAGE(R70:T70)</f>
        <v>1800</v>
      </c>
      <c r="V70" s="65">
        <f t="shared" si="36"/>
        <v>20204</v>
      </c>
      <c r="W70" s="73">
        <f t="shared" si="31"/>
        <v>4.0317055531926074E-4</v>
      </c>
      <c r="X70" s="89"/>
      <c r="Y70" s="65">
        <f>VLOOKUP($E$1,[8]Resumen!$V$44:$AH$50,Y1,0)</f>
        <v>1500</v>
      </c>
      <c r="Z70" s="65">
        <f>VLOOKUP($E$1,[8]Resumen!$V$44:$AH$50,Z1,0)</f>
        <v>1500</v>
      </c>
      <c r="AA70" s="65">
        <f>VLOOKUP($E$1,[8]Resumen!$V$44:$AH$50,AA1,0)</f>
        <v>1500</v>
      </c>
      <c r="AB70" s="65">
        <f>VLOOKUP($E$1,[8]Resumen!$V$44:$AH$50,AB1,0)</f>
        <v>1500</v>
      </c>
      <c r="AC70" s="65">
        <f>VLOOKUP($E$1,[8]Resumen!$V$44:$AH$50,AC1,0)</f>
        <v>1500</v>
      </c>
      <c r="AD70" s="65">
        <f>VLOOKUP($E$1,[8]Resumen!$V$44:$AH$50,AD1,0)</f>
        <v>1500</v>
      </c>
      <c r="AE70" s="65">
        <f>VLOOKUP($E$1,[8]Resumen!$V$44:$AH$50,AE1,0)</f>
        <v>1500</v>
      </c>
      <c r="AF70" s="65">
        <f>VLOOKUP($E$1,[8]Resumen!$V$44:$AH$50,AF1,0)</f>
        <v>1500</v>
      </c>
      <c r="AG70" s="65">
        <f>VLOOKUP($E$1,[8]Resumen!$V$44:$AH$50,AG1,0)</f>
        <v>1500</v>
      </c>
      <c r="AH70" s="65">
        <f>VLOOKUP($E$1,[8]Resumen!$V$44:$AH$50,AH1,0)</f>
        <v>1500</v>
      </c>
      <c r="AI70" s="65">
        <f>VLOOKUP($E$1,[8]Resumen!$V$44:$AH$50,AI1,0)</f>
        <v>1500</v>
      </c>
      <c r="AJ70" s="65">
        <f>VLOOKUP($E$1,[8]Resumen!$V$44:$AH$50,AJ1,0)</f>
        <v>1500</v>
      </c>
      <c r="AK70" s="65">
        <f t="shared" si="37"/>
        <v>18000</v>
      </c>
      <c r="AL70" s="73">
        <f t="shared" si="33"/>
        <v>3.3885684562772329E-4</v>
      </c>
      <c r="AM70" s="14">
        <f t="shared" si="34"/>
        <v>-0.10908730944367451</v>
      </c>
      <c r="AN70" s="9"/>
    </row>
    <row r="71" spans="1:40" ht="14.45" customHeight="1" outlineLevel="1">
      <c r="A71" s="12"/>
      <c r="I71" s="246" t="s">
        <v>174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/>
      <c r="U71" s="65"/>
      <c r="V71" s="65">
        <f t="shared" si="36"/>
        <v>0</v>
      </c>
      <c r="W71" s="73">
        <f t="shared" si="31"/>
        <v>0</v>
      </c>
      <c r="X71" s="89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>
        <f t="shared" si="37"/>
        <v>0</v>
      </c>
      <c r="AL71" s="73">
        <f t="shared" si="33"/>
        <v>0</v>
      </c>
      <c r="AM71" s="14">
        <f t="shared" si="34"/>
        <v>0</v>
      </c>
      <c r="AN71" s="9"/>
    </row>
    <row r="72" spans="1:40" ht="14.45" customHeight="1" outlineLevel="1">
      <c r="A72" s="12"/>
      <c r="I72" s="246" t="s">
        <v>175</v>
      </c>
      <c r="J72" s="65">
        <v>902</v>
      </c>
      <c r="K72" s="65">
        <v>902</v>
      </c>
      <c r="L72" s="65">
        <v>902</v>
      </c>
      <c r="M72" s="65">
        <v>902</v>
      </c>
      <c r="N72" s="65">
        <v>902</v>
      </c>
      <c r="O72" s="65">
        <v>902</v>
      </c>
      <c r="P72" s="65">
        <v>902</v>
      </c>
      <c r="Q72" s="65">
        <v>902</v>
      </c>
      <c r="R72" s="225">
        <v>902</v>
      </c>
      <c r="S72" s="225">
        <v>902</v>
      </c>
      <c r="T72" s="225">
        <f t="shared" ref="T72" si="53">+AVERAGE(Q72:S72)</f>
        <v>902</v>
      </c>
      <c r="U72" s="225">
        <f t="shared" ref="U72" si="54">+AVERAGE(R72:T72)</f>
        <v>902</v>
      </c>
      <c r="V72" s="65">
        <f t="shared" si="36"/>
        <v>10824</v>
      </c>
      <c r="W72" s="73">
        <f t="shared" si="31"/>
        <v>2.1599277820113236E-4</v>
      </c>
      <c r="X72" s="89"/>
      <c r="Y72" s="65">
        <f>U72*1.0375</f>
        <v>935.82500000000005</v>
      </c>
      <c r="Z72" s="65">
        <f>+Y72</f>
        <v>935.82500000000005</v>
      </c>
      <c r="AA72" s="65">
        <f>+Z72</f>
        <v>935.82500000000005</v>
      </c>
      <c r="AB72" s="65">
        <f>+AA72</f>
        <v>935.82500000000005</v>
      </c>
      <c r="AC72" s="65">
        <f>+AB72</f>
        <v>935.82500000000005</v>
      </c>
      <c r="AD72" s="65">
        <f>+AC72</f>
        <v>935.82500000000005</v>
      </c>
      <c r="AE72" s="65">
        <f>+AD72</f>
        <v>935.82500000000005</v>
      </c>
      <c r="AF72" s="65">
        <f>+AE72</f>
        <v>935.82500000000005</v>
      </c>
      <c r="AG72" s="65">
        <f>+AF72</f>
        <v>935.82500000000005</v>
      </c>
      <c r="AH72" s="65">
        <f>+AG72</f>
        <v>935.82500000000005</v>
      </c>
      <c r="AI72" s="65">
        <f>+AH72</f>
        <v>935.82500000000005</v>
      </c>
      <c r="AJ72" s="65">
        <f>+AI72</f>
        <v>935.82500000000005</v>
      </c>
      <c r="AK72" s="65">
        <f t="shared" si="37"/>
        <v>11229.900000000001</v>
      </c>
      <c r="AL72" s="73">
        <f t="shared" si="33"/>
        <v>2.114071383730428E-4</v>
      </c>
      <c r="AM72" s="14">
        <f t="shared" si="34"/>
        <v>3.7500000000000089E-2</v>
      </c>
      <c r="AN72" s="9"/>
    </row>
    <row r="73" spans="1:40" ht="14.45" customHeight="1" outlineLevel="1">
      <c r="A73" s="12" t="s">
        <v>146</v>
      </c>
      <c r="B73" s="8" t="s">
        <v>88</v>
      </c>
      <c r="I73" s="246" t="s">
        <v>176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22400</v>
      </c>
      <c r="P73" s="65">
        <v>0</v>
      </c>
      <c r="Q73" s="65">
        <v>0</v>
      </c>
      <c r="R73" s="65">
        <v>0</v>
      </c>
      <c r="S73" s="65">
        <v>0</v>
      </c>
      <c r="T73" s="65"/>
      <c r="U73" s="65"/>
      <c r="V73" s="65">
        <f t="shared" si="36"/>
        <v>22400</v>
      </c>
      <c r="W73" s="73">
        <f t="shared" si="31"/>
        <v>4.4699170655075436E-4</v>
      </c>
      <c r="X73" s="89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>
        <f t="shared" si="37"/>
        <v>0</v>
      </c>
      <c r="AL73" s="73">
        <f t="shared" si="33"/>
        <v>0</v>
      </c>
      <c r="AM73" s="14">
        <f t="shared" si="34"/>
        <v>-1</v>
      </c>
      <c r="AN73" s="9"/>
    </row>
    <row r="74" spans="1:40" ht="14.45" customHeight="1" outlineLevel="1">
      <c r="A74" s="12" t="s">
        <v>146</v>
      </c>
      <c r="B74" s="8" t="s">
        <v>88</v>
      </c>
      <c r="I74" s="251" t="s">
        <v>177</v>
      </c>
      <c r="J74" s="65">
        <v>1300</v>
      </c>
      <c r="K74" s="65">
        <v>1300</v>
      </c>
      <c r="L74" s="65">
        <v>16800</v>
      </c>
      <c r="M74" s="65">
        <v>1300</v>
      </c>
      <c r="N74" s="65">
        <v>1300</v>
      </c>
      <c r="O74" s="65">
        <v>1300</v>
      </c>
      <c r="P74" s="65">
        <v>1300</v>
      </c>
      <c r="Q74" s="65">
        <v>1300</v>
      </c>
      <c r="R74" s="65">
        <v>1300</v>
      </c>
      <c r="S74" s="65">
        <v>1300</v>
      </c>
      <c r="T74" s="65">
        <v>1300</v>
      </c>
      <c r="U74" s="65">
        <v>1300</v>
      </c>
      <c r="V74" s="65">
        <f t="shared" si="36"/>
        <v>31100</v>
      </c>
      <c r="W74" s="73">
        <f t="shared" si="31"/>
        <v>6.206000925771634E-4</v>
      </c>
      <c r="X74" s="89"/>
      <c r="Y74" s="65">
        <f>+J74*1.0375</f>
        <v>1348.7500000000002</v>
      </c>
      <c r="Z74" s="65">
        <f>+K74*1.0375</f>
        <v>1348.7500000000002</v>
      </c>
      <c r="AA74" s="65">
        <f>+L74*1.0375</f>
        <v>17430</v>
      </c>
      <c r="AB74" s="65">
        <f>+M74*1.0375</f>
        <v>1348.7500000000002</v>
      </c>
      <c r="AC74" s="65">
        <f>+N74*1.0375</f>
        <v>1348.7500000000002</v>
      </c>
      <c r="AD74" s="65">
        <f>+O74*1.0375</f>
        <v>1348.7500000000002</v>
      </c>
      <c r="AE74" s="65">
        <f>+P74*1.0375</f>
        <v>1348.7500000000002</v>
      </c>
      <c r="AF74" s="65">
        <f>+Q74*1.0375</f>
        <v>1348.7500000000002</v>
      </c>
      <c r="AG74" s="65">
        <f>+R74*1.0375</f>
        <v>1348.7500000000002</v>
      </c>
      <c r="AH74" s="65">
        <f>+S74*1.0375</f>
        <v>1348.7500000000002</v>
      </c>
      <c r="AI74" s="65">
        <f>+T74*1.0375</f>
        <v>1348.7500000000002</v>
      </c>
      <c r="AJ74" s="65">
        <f>+U74*1.0375</f>
        <v>1348.7500000000002</v>
      </c>
      <c r="AK74" s="65">
        <f t="shared" si="37"/>
        <v>32266.25</v>
      </c>
      <c r="AL74" s="73">
        <f t="shared" si="33"/>
        <v>6.0742442751308479E-4</v>
      </c>
      <c r="AM74" s="14">
        <f t="shared" si="34"/>
        <v>3.7500000000000089E-2</v>
      </c>
      <c r="AN74" s="9"/>
    </row>
    <row r="75" spans="1:40" ht="14.45" customHeight="1" outlineLevel="1">
      <c r="A75" s="12"/>
      <c r="I75" s="246" t="s">
        <v>178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/>
      <c r="U75" s="65"/>
      <c r="V75" s="65">
        <f t="shared" si="36"/>
        <v>0</v>
      </c>
      <c r="W75" s="73">
        <f t="shared" si="31"/>
        <v>0</v>
      </c>
      <c r="X75" s="89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>
        <f t="shared" si="37"/>
        <v>0</v>
      </c>
      <c r="AL75" s="73">
        <f t="shared" si="33"/>
        <v>0</v>
      </c>
      <c r="AM75" s="14">
        <f t="shared" si="34"/>
        <v>0</v>
      </c>
      <c r="AN75" s="9"/>
    </row>
    <row r="76" spans="1:40" ht="14.45" customHeight="1" outlineLevel="1">
      <c r="A76" s="12" t="s">
        <v>146</v>
      </c>
      <c r="B76" s="8" t="s">
        <v>88</v>
      </c>
      <c r="I76" s="246" t="s">
        <v>179</v>
      </c>
      <c r="J76" s="65">
        <v>911</v>
      </c>
      <c r="K76" s="65">
        <v>846</v>
      </c>
      <c r="L76" s="65">
        <v>773</v>
      </c>
      <c r="M76" s="65">
        <v>788</v>
      </c>
      <c r="N76" s="65">
        <v>722</v>
      </c>
      <c r="O76" s="65">
        <v>776</v>
      </c>
      <c r="P76" s="65">
        <v>776</v>
      </c>
      <c r="Q76" s="65">
        <v>815</v>
      </c>
      <c r="R76" s="225">
        <v>741</v>
      </c>
      <c r="S76" s="225">
        <v>718</v>
      </c>
      <c r="T76" s="225">
        <f t="shared" ref="T76:T77" si="55">+AVERAGE(Q76:S76)</f>
        <v>758</v>
      </c>
      <c r="U76" s="225">
        <f t="shared" ref="U76:U77" si="56">+AVERAGE(R76:T76)</f>
        <v>739</v>
      </c>
      <c r="V76" s="65">
        <f t="shared" si="36"/>
        <v>9363</v>
      </c>
      <c r="W76" s="73">
        <f t="shared" si="31"/>
        <v>1.868385423408354E-4</v>
      </c>
      <c r="X76" s="89"/>
      <c r="Y76" s="65">
        <f>VLOOKUP($E$1,[13]Resumen!$V$10:$AH$16,Y1,0)</f>
        <v>828.07999999999993</v>
      </c>
      <c r="Z76" s="65">
        <f>VLOOKUP($E$1,[13]Resumen!$V$10:$AH$16,Z1,0)</f>
        <v>828.07999999999993</v>
      </c>
      <c r="AA76" s="65">
        <f>VLOOKUP($E$1,[13]Resumen!$V$10:$AH$16,AA1,0)</f>
        <v>828.07999999999993</v>
      </c>
      <c r="AB76" s="65">
        <f>VLOOKUP($E$1,[13]Resumen!$V$10:$AH$16,AB1,0)</f>
        <v>828.07999999999993</v>
      </c>
      <c r="AC76" s="65">
        <f>VLOOKUP($E$1,[13]Resumen!$V$10:$AH$16,AC1,0)</f>
        <v>828.07999999999993</v>
      </c>
      <c r="AD76" s="65">
        <f>VLOOKUP($E$1,[13]Resumen!$V$10:$AH$16,AD1,0)</f>
        <v>828.07999999999993</v>
      </c>
      <c r="AE76" s="65">
        <f>VLOOKUP($E$1,[13]Resumen!$V$10:$AH$16,AE1,0)</f>
        <v>828.07999999999993</v>
      </c>
      <c r="AF76" s="65">
        <f>VLOOKUP($E$1,[13]Resumen!$V$10:$AH$16,AF1,0)</f>
        <v>828.07999999999993</v>
      </c>
      <c r="AG76" s="65">
        <f>VLOOKUP($E$1,[13]Resumen!$V$10:$AH$16,AG1,0)</f>
        <v>828.07999999999993</v>
      </c>
      <c r="AH76" s="65">
        <f>VLOOKUP($E$1,[13]Resumen!$V$10:$AH$16,AH1,0)</f>
        <v>828.07999999999993</v>
      </c>
      <c r="AI76" s="65">
        <f>VLOOKUP($E$1,[13]Resumen!$V$10:$AH$16,AI1,0)</f>
        <v>828.07999999999993</v>
      </c>
      <c r="AJ76" s="65">
        <f>VLOOKUP($E$1,[13]Resumen!$V$10:$AH$16,AJ1,0)</f>
        <v>828.07999999999993</v>
      </c>
      <c r="AK76" s="65">
        <f t="shared" si="37"/>
        <v>9936.9599999999991</v>
      </c>
      <c r="AL76" s="73">
        <f t="shared" si="33"/>
        <v>1.870670511516034E-4</v>
      </c>
      <c r="AM76" s="14">
        <f t="shared" si="34"/>
        <v>6.1300865107337232E-2</v>
      </c>
      <c r="AN76" s="9"/>
    </row>
    <row r="77" spans="1:40" ht="14.45" customHeight="1" outlineLevel="1">
      <c r="A77" s="12"/>
      <c r="I77" s="246" t="s">
        <v>180</v>
      </c>
      <c r="J77" s="65">
        <v>340</v>
      </c>
      <c r="K77" s="65">
        <v>329</v>
      </c>
      <c r="L77" s="65">
        <v>324</v>
      </c>
      <c r="M77" s="65">
        <v>320</v>
      </c>
      <c r="N77" s="65">
        <v>324</v>
      </c>
      <c r="O77" s="65">
        <v>315</v>
      </c>
      <c r="P77" s="65">
        <v>302</v>
      </c>
      <c r="Q77" s="65">
        <v>557</v>
      </c>
      <c r="R77" s="225">
        <v>260</v>
      </c>
      <c r="S77" s="225">
        <v>303</v>
      </c>
      <c r="T77" s="225">
        <f t="shared" si="55"/>
        <v>373.33333333333331</v>
      </c>
      <c r="U77" s="225">
        <f t="shared" si="56"/>
        <v>312.11111111111109</v>
      </c>
      <c r="V77" s="65">
        <f t="shared" si="36"/>
        <v>4059.4444444444443</v>
      </c>
      <c r="W77" s="73">
        <f t="shared" si="31"/>
        <v>8.1006160708491115E-5</v>
      </c>
      <c r="X77" s="89"/>
      <c r="Y77" s="65">
        <f>J77*1.0375</f>
        <v>352.75000000000006</v>
      </c>
      <c r="Z77" s="65">
        <f t="shared" ref="Z77:AJ77" si="57">K77*1.0375</f>
        <v>341.33750000000003</v>
      </c>
      <c r="AA77" s="65">
        <f t="shared" si="57"/>
        <v>336.15000000000003</v>
      </c>
      <c r="AB77" s="65">
        <f t="shared" si="57"/>
        <v>332</v>
      </c>
      <c r="AC77" s="65">
        <f t="shared" si="57"/>
        <v>336.15000000000003</v>
      </c>
      <c r="AD77" s="65">
        <f t="shared" si="57"/>
        <v>326.8125</v>
      </c>
      <c r="AE77" s="65">
        <f t="shared" si="57"/>
        <v>313.32500000000005</v>
      </c>
      <c r="AF77" s="65">
        <f t="shared" si="57"/>
        <v>577.88750000000005</v>
      </c>
      <c r="AG77" s="65">
        <f t="shared" si="57"/>
        <v>269.75</v>
      </c>
      <c r="AH77" s="65">
        <f t="shared" si="57"/>
        <v>314.36250000000001</v>
      </c>
      <c r="AI77" s="65">
        <f t="shared" si="57"/>
        <v>387.33333333333337</v>
      </c>
      <c r="AJ77" s="65">
        <f t="shared" si="57"/>
        <v>323.81527777777779</v>
      </c>
      <c r="AK77" s="65">
        <f t="shared" si="37"/>
        <v>4211.6736111111122</v>
      </c>
      <c r="AL77" s="73">
        <f t="shared" si="33"/>
        <v>7.9286357481924121E-5</v>
      </c>
      <c r="AM77" s="14">
        <f t="shared" si="34"/>
        <v>3.7500000000000311E-2</v>
      </c>
      <c r="AN77" s="9"/>
    </row>
    <row r="78" spans="1:40" ht="14.45" customHeight="1" outlineLevel="1">
      <c r="A78" s="12"/>
      <c r="I78" s="246" t="s">
        <v>181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/>
      <c r="U78" s="65"/>
      <c r="V78" s="65">
        <f t="shared" si="36"/>
        <v>0</v>
      </c>
      <c r="W78" s="73">
        <f t="shared" si="31"/>
        <v>0</v>
      </c>
      <c r="X78" s="89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>
        <f t="shared" si="37"/>
        <v>0</v>
      </c>
      <c r="AL78" s="73">
        <f t="shared" si="33"/>
        <v>0</v>
      </c>
      <c r="AM78" s="14">
        <f t="shared" si="34"/>
        <v>0</v>
      </c>
      <c r="AN78" s="9"/>
    </row>
    <row r="79" spans="1:40" ht="14.45" customHeight="1" outlineLevel="1">
      <c r="A79" s="12"/>
      <c r="I79" s="246" t="s">
        <v>182</v>
      </c>
      <c r="J79" s="65">
        <v>2641</v>
      </c>
      <c r="K79" s="65">
        <v>13331</v>
      </c>
      <c r="L79" s="65">
        <v>5386</v>
      </c>
      <c r="M79" s="65">
        <v>0</v>
      </c>
      <c r="N79" s="65">
        <v>3483</v>
      </c>
      <c r="O79" s="65">
        <v>2564</v>
      </c>
      <c r="P79" s="65">
        <v>2641</v>
      </c>
      <c r="Q79" s="65">
        <v>6393</v>
      </c>
      <c r="R79" s="65">
        <v>5138</v>
      </c>
      <c r="S79" s="65">
        <v>2576</v>
      </c>
      <c r="T79" s="65">
        <v>21615.193600000002</v>
      </c>
      <c r="U79" s="65">
        <v>8752.4736000000012</v>
      </c>
      <c r="V79" s="65">
        <f t="shared" si="36"/>
        <v>74520.667199999996</v>
      </c>
      <c r="W79" s="73">
        <f t="shared" si="31"/>
        <v>1.487058937724501E-3</v>
      </c>
      <c r="X79" s="89"/>
      <c r="Y79" s="65">
        <f>VLOOKUP($E$1,[14]Resumen!$V$8:$AH$14,Y1,0)</f>
        <v>4978.2405789599989</v>
      </c>
      <c r="Z79" s="65">
        <f>VLOOKUP($E$1,[14]Resumen!$V$8:$AH$14,Z1,0)</f>
        <v>7838.2011769599994</v>
      </c>
      <c r="AA79" s="65">
        <f>VLOOKUP($E$1,[14]Resumen!$V$8:$AH$14,AA1,0)</f>
        <v>7838.2011769599994</v>
      </c>
      <c r="AB79" s="65">
        <f>VLOOKUP($E$1,[14]Resumen!$V$8:$AH$14,AB1,0)</f>
        <v>5719.9211959999993</v>
      </c>
      <c r="AC79" s="65">
        <f>VLOOKUP($E$1,[14]Resumen!$V$8:$AH$14,AC1,0)</f>
        <v>5719.9211959999993</v>
      </c>
      <c r="AD79" s="65">
        <f>VLOOKUP($E$1,[14]Resumen!$V$8:$AH$14,AD1,0)</f>
        <v>2859.9605979999997</v>
      </c>
      <c r="AE79" s="65">
        <f>VLOOKUP($E$1,[14]Resumen!$V$8:$AH$14,AE1,0)</f>
        <v>5719.9211959999993</v>
      </c>
      <c r="AF79" s="65">
        <f>VLOOKUP($E$1,[14]Resumen!$V$8:$AH$14,AF1,0)</f>
        <v>8579.881793999999</v>
      </c>
      <c r="AG79" s="65">
        <f>VLOOKUP($E$1,[14]Resumen!$V$8:$AH$14,AG1,0)</f>
        <v>5719.9211959999993</v>
      </c>
      <c r="AH79" s="65">
        <f>VLOOKUP($E$1,[14]Resumen!$V$8:$AH$14,AH1,0)</f>
        <v>9709.2379999999994</v>
      </c>
      <c r="AI79" s="65">
        <f>VLOOKUP($E$1,[14]Resumen!$V$8:$AH$14,AI1,0)</f>
        <v>6933.575945999999</v>
      </c>
      <c r="AJ79" s="65">
        <f>VLOOKUP($E$1,[14]Resumen!$V$8:$AH$14,AJ1,0)</f>
        <v>2859.9605979999997</v>
      </c>
      <c r="AK79" s="65">
        <f t="shared" si="37"/>
        <v>74476.944652879989</v>
      </c>
      <c r="AL79" s="73">
        <f t="shared" si="33"/>
        <v>1.402056807614747E-3</v>
      </c>
      <c r="AM79" s="14">
        <f t="shared" si="34"/>
        <v>-5.86717064712583E-4</v>
      </c>
      <c r="AN79" s="9"/>
    </row>
    <row r="80" spans="1:40" ht="14.45" customHeight="1" outlineLevel="1">
      <c r="A80" s="12"/>
      <c r="I80" s="246" t="s">
        <v>183</v>
      </c>
      <c r="J80" s="65">
        <v>0</v>
      </c>
      <c r="K80" s="65">
        <v>0</v>
      </c>
      <c r="L80" s="65">
        <v>0</v>
      </c>
      <c r="M80" s="65">
        <v>0</v>
      </c>
      <c r="N80" s="65">
        <v>730</v>
      </c>
      <c r="O80" s="65">
        <v>0</v>
      </c>
      <c r="P80" s="65">
        <v>730</v>
      </c>
      <c r="Q80" s="65">
        <v>0</v>
      </c>
      <c r="R80" s="65">
        <v>0</v>
      </c>
      <c r="S80" s="65">
        <v>0</v>
      </c>
      <c r="T80" s="65">
        <v>250.12</v>
      </c>
      <c r="U80" s="65">
        <v>500.24</v>
      </c>
      <c r="V80" s="65">
        <f t="shared" si="36"/>
        <v>2210.3599999999997</v>
      </c>
      <c r="W80" s="73">
        <f t="shared" si="31"/>
        <v>4.410770484337166E-5</v>
      </c>
      <c r="X80" s="89"/>
      <c r="Y80" s="65">
        <f>VLOOKUP($E$1,[15]Resumen!$V$8:$AH$14,Y1,0)</f>
        <v>0</v>
      </c>
      <c r="Z80" s="65">
        <f>VLOOKUP($E$1,[15]Resumen!$V$8:$AH$14,Z1,0)</f>
        <v>1361.1564999999998</v>
      </c>
      <c r="AA80" s="65">
        <f>VLOOKUP($E$1,[15]Resumen!$V$8:$AH$14,AA1,0)</f>
        <v>0</v>
      </c>
      <c r="AB80" s="65">
        <f>VLOOKUP($E$1,[15]Resumen!$V$8:$AH$14,AB1,0)</f>
        <v>0</v>
      </c>
      <c r="AC80" s="65">
        <f>VLOOKUP($E$1,[15]Resumen!$V$8:$AH$14,AC1,0)</f>
        <v>786.67599999999993</v>
      </c>
      <c r="AD80" s="65">
        <f>VLOOKUP($E$1,[15]Resumen!$V$8:$AH$14,AD1,0)</f>
        <v>786.67599999999993</v>
      </c>
      <c r="AE80" s="65">
        <f>VLOOKUP($E$1,[15]Resumen!$V$8:$AH$14,AE1,0)</f>
        <v>0</v>
      </c>
      <c r="AF80" s="65">
        <f>VLOOKUP($E$1,[15]Resumen!$V$8:$AH$14,AF1,0)</f>
        <v>0</v>
      </c>
      <c r="AG80" s="65">
        <f>VLOOKUP($E$1,[15]Resumen!$V$8:$AH$14,AG1,0)</f>
        <v>0</v>
      </c>
      <c r="AH80" s="65">
        <f>VLOOKUP($E$1,[15]Resumen!$V$8:$AH$14,AH1,0)</f>
        <v>786.67599999999993</v>
      </c>
      <c r="AI80" s="65">
        <f>VLOOKUP($E$1,[15]Resumen!$V$8:$AH$14,AI1,0)</f>
        <v>191.49349999999998</v>
      </c>
      <c r="AJ80" s="65">
        <f>VLOOKUP($E$1,[15]Resumen!$V$8:$AH$14,AJ1,0)</f>
        <v>191.49349999999998</v>
      </c>
      <c r="AK80" s="65">
        <f t="shared" si="37"/>
        <v>4104.1714999999995</v>
      </c>
      <c r="AL80" s="73">
        <f t="shared" si="33"/>
        <v>7.7262589355844529E-5</v>
      </c>
      <c r="AM80" s="14">
        <f t="shared" si="34"/>
        <v>0.85678871315079896</v>
      </c>
      <c r="AN80" s="9"/>
    </row>
    <row r="81" spans="1:40" ht="14.45" customHeight="1" outlineLevel="1">
      <c r="A81" s="12"/>
      <c r="I81" s="246" t="s">
        <v>184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/>
      <c r="U81" s="65"/>
      <c r="V81" s="65">
        <f t="shared" si="36"/>
        <v>0</v>
      </c>
      <c r="W81" s="73">
        <f t="shared" si="31"/>
        <v>0</v>
      </c>
      <c r="X81" s="89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>
        <f t="shared" si="37"/>
        <v>0</v>
      </c>
      <c r="AL81" s="73">
        <f t="shared" si="33"/>
        <v>0</v>
      </c>
      <c r="AM81" s="14">
        <f t="shared" si="34"/>
        <v>0</v>
      </c>
      <c r="AN81" s="9"/>
    </row>
    <row r="82" spans="1:40" ht="14.45" customHeight="1" outlineLevel="1">
      <c r="A82" s="12"/>
      <c r="I82" s="246" t="s">
        <v>185</v>
      </c>
      <c r="J82" s="65">
        <v>5740</v>
      </c>
      <c r="K82" s="65">
        <v>2735</v>
      </c>
      <c r="L82" s="65">
        <v>2735</v>
      </c>
      <c r="M82" s="65">
        <v>2735</v>
      </c>
      <c r="N82" s="65">
        <v>2735</v>
      </c>
      <c r="O82" s="65">
        <v>2735</v>
      </c>
      <c r="P82" s="65">
        <v>2735</v>
      </c>
      <c r="Q82" s="65">
        <v>5141</v>
      </c>
      <c r="R82" s="65">
        <v>5141</v>
      </c>
      <c r="S82" s="65">
        <f>+R82</f>
        <v>5141</v>
      </c>
      <c r="T82" s="65">
        <f>+S82</f>
        <v>5141</v>
      </c>
      <c r="U82" s="65">
        <f>+T82</f>
        <v>5141</v>
      </c>
      <c r="V82" s="65">
        <f t="shared" si="36"/>
        <v>47855</v>
      </c>
      <c r="W82" s="73">
        <f t="shared" si="31"/>
        <v>9.5494589807974773E-4</v>
      </c>
      <c r="X82" s="89"/>
      <c r="Y82" s="65">
        <f>+U82*1.02</f>
        <v>5243.82</v>
      </c>
      <c r="Z82" s="65">
        <f>+Y82</f>
        <v>5243.82</v>
      </c>
      <c r="AA82" s="65">
        <f t="shared" ref="AA82:AJ82" si="58">+Z82</f>
        <v>5243.82</v>
      </c>
      <c r="AB82" s="65">
        <f t="shared" si="58"/>
        <v>5243.82</v>
      </c>
      <c r="AC82" s="65">
        <f t="shared" si="58"/>
        <v>5243.82</v>
      </c>
      <c r="AD82" s="65">
        <f t="shared" si="58"/>
        <v>5243.82</v>
      </c>
      <c r="AE82" s="65">
        <f t="shared" si="58"/>
        <v>5243.82</v>
      </c>
      <c r="AF82" s="65">
        <f t="shared" si="58"/>
        <v>5243.82</v>
      </c>
      <c r="AG82" s="65">
        <f t="shared" si="58"/>
        <v>5243.82</v>
      </c>
      <c r="AH82" s="65">
        <f t="shared" si="58"/>
        <v>5243.82</v>
      </c>
      <c r="AI82" s="65">
        <f t="shared" si="58"/>
        <v>5243.82</v>
      </c>
      <c r="AJ82" s="65">
        <f t="shared" si="58"/>
        <v>5243.82</v>
      </c>
      <c r="AK82" s="65">
        <f t="shared" si="37"/>
        <v>62925.84</v>
      </c>
      <c r="AL82" s="73">
        <f t="shared" si="33"/>
        <v>1.1846028694930454E-3</v>
      </c>
      <c r="AM82" s="14">
        <f t="shared" si="34"/>
        <v>0.31492717584369445</v>
      </c>
      <c r="AN82" s="9"/>
    </row>
    <row r="83" spans="1:40" ht="14.45" customHeight="1" outlineLevel="1">
      <c r="A83" s="12" t="s">
        <v>195</v>
      </c>
      <c r="B83" s="8" t="s">
        <v>88</v>
      </c>
      <c r="I83" s="246" t="s">
        <v>186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/>
      <c r="U83" s="65"/>
      <c r="V83" s="65">
        <f t="shared" si="36"/>
        <v>0</v>
      </c>
      <c r="W83" s="73">
        <f t="shared" si="31"/>
        <v>0</v>
      </c>
      <c r="X83" s="89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>
        <f t="shared" si="37"/>
        <v>0</v>
      </c>
      <c r="AL83" s="73">
        <f t="shared" si="33"/>
        <v>0</v>
      </c>
      <c r="AM83" s="14">
        <f t="shared" si="34"/>
        <v>0</v>
      </c>
      <c r="AN83" s="9"/>
    </row>
    <row r="84" spans="1:40" ht="14.45" customHeight="1" outlineLevel="1">
      <c r="A84" s="12" t="s">
        <v>195</v>
      </c>
      <c r="B84" s="8" t="s">
        <v>88</v>
      </c>
      <c r="I84" s="246" t="s">
        <v>187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/>
      <c r="U84" s="65"/>
      <c r="V84" s="65">
        <f t="shared" si="36"/>
        <v>0</v>
      </c>
      <c r="W84" s="73">
        <f t="shared" si="31"/>
        <v>0</v>
      </c>
      <c r="X84" s="89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>
        <f t="shared" si="37"/>
        <v>0</v>
      </c>
      <c r="AL84" s="73">
        <f t="shared" si="33"/>
        <v>0</v>
      </c>
      <c r="AM84" s="14">
        <f t="shared" si="34"/>
        <v>0</v>
      </c>
      <c r="AN84" s="9"/>
    </row>
    <row r="85" spans="1:40" ht="14.45" customHeight="1" outlineLevel="1">
      <c r="A85" s="12" t="s">
        <v>195</v>
      </c>
      <c r="B85" s="8" t="s">
        <v>88</v>
      </c>
      <c r="I85" s="246" t="s">
        <v>188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/>
      <c r="U85" s="65"/>
      <c r="V85" s="65">
        <f t="shared" si="36"/>
        <v>0</v>
      </c>
      <c r="W85" s="73">
        <f t="shared" si="31"/>
        <v>0</v>
      </c>
      <c r="X85" s="89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>
        <f t="shared" si="37"/>
        <v>0</v>
      </c>
      <c r="AL85" s="73">
        <f t="shared" si="33"/>
        <v>0</v>
      </c>
      <c r="AM85" s="14">
        <f t="shared" si="34"/>
        <v>0</v>
      </c>
      <c r="AN85" s="9"/>
    </row>
    <row r="86" spans="1:40" ht="14.45" customHeight="1" outlineLevel="1">
      <c r="A86" s="12" t="s">
        <v>195</v>
      </c>
      <c r="B86" s="8" t="s">
        <v>88</v>
      </c>
      <c r="I86" s="253" t="s">
        <v>189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f t="shared" si="36"/>
        <v>0</v>
      </c>
      <c r="W86" s="73">
        <f t="shared" si="31"/>
        <v>0</v>
      </c>
      <c r="X86" s="89"/>
      <c r="Y86" s="65">
        <f>VLOOKUP($E$1,[9]Resumen!$V$202:$AH$208,Y1,0)</f>
        <v>0</v>
      </c>
      <c r="Z86" s="65">
        <f>VLOOKUP($E$1,[9]Resumen!$V$202:$AH$208,Z1,0)</f>
        <v>0</v>
      </c>
      <c r="AA86" s="65">
        <f>VLOOKUP($E$1,[9]Resumen!$V$202:$AH$208,AA1,0)</f>
        <v>0</v>
      </c>
      <c r="AB86" s="65">
        <f>VLOOKUP($E$1,[9]Resumen!$V$202:$AH$208,AB1,0)</f>
        <v>0</v>
      </c>
      <c r="AC86" s="65">
        <f>VLOOKUP($E$1,[9]Resumen!$V$202:$AH$208,AC1,0)</f>
        <v>0</v>
      </c>
      <c r="AD86" s="65">
        <f>VLOOKUP($E$1,[9]Resumen!$V$202:$AH$208,AD1,0)</f>
        <v>0</v>
      </c>
      <c r="AE86" s="65">
        <f>VLOOKUP($E$1,[9]Resumen!$V$202:$AH$208,AE1,0)</f>
        <v>0</v>
      </c>
      <c r="AF86" s="65">
        <f>VLOOKUP($E$1,[9]Resumen!$V$202:$AH$208,AF1,0)</f>
        <v>0</v>
      </c>
      <c r="AG86" s="65">
        <f>VLOOKUP($E$1,[9]Resumen!$V$202:$AH$208,AG1,0)</f>
        <v>0</v>
      </c>
      <c r="AH86" s="65">
        <f>VLOOKUP($E$1,[9]Resumen!$V$202:$AH$208,AH1,0)</f>
        <v>0</v>
      </c>
      <c r="AI86" s="65">
        <f>VLOOKUP($E$1,[9]Resumen!$V$202:$AH$208,AI1,0)</f>
        <v>0</v>
      </c>
      <c r="AJ86" s="65">
        <f>VLOOKUP($E$1,[9]Resumen!$V$202:$AH$208,AJ1,0)</f>
        <v>0</v>
      </c>
      <c r="AK86" s="65">
        <f t="shared" si="37"/>
        <v>0</v>
      </c>
      <c r="AL86" s="73">
        <f t="shared" si="33"/>
        <v>0</v>
      </c>
      <c r="AM86" s="14">
        <f t="shared" si="34"/>
        <v>0</v>
      </c>
      <c r="AN86" s="9"/>
    </row>
    <row r="87" spans="1:40" ht="14.45" customHeight="1" outlineLevel="1">
      <c r="A87" s="12" t="s">
        <v>195</v>
      </c>
      <c r="B87" s="8" t="s">
        <v>88</v>
      </c>
      <c r="I87" s="246" t="s">
        <v>190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/>
      <c r="U87" s="65"/>
      <c r="V87" s="65">
        <f t="shared" si="36"/>
        <v>0</v>
      </c>
      <c r="W87" s="73">
        <f t="shared" si="31"/>
        <v>0</v>
      </c>
      <c r="X87" s="89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>
        <f t="shared" si="37"/>
        <v>0</v>
      </c>
      <c r="AL87" s="73">
        <f t="shared" si="33"/>
        <v>0</v>
      </c>
      <c r="AM87" s="14">
        <f t="shared" si="34"/>
        <v>0</v>
      </c>
      <c r="AN87" s="9"/>
    </row>
    <row r="88" spans="1:40" ht="14.45" customHeight="1" outlineLevel="1">
      <c r="A88" s="12" t="s">
        <v>195</v>
      </c>
      <c r="B88" s="8" t="s">
        <v>88</v>
      </c>
      <c r="I88" s="251" t="s">
        <v>191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17500</v>
      </c>
      <c r="Q88" s="65">
        <v>0</v>
      </c>
      <c r="R88" s="65">
        <v>0</v>
      </c>
      <c r="S88" s="65">
        <v>19240</v>
      </c>
      <c r="T88" s="65">
        <v>0</v>
      </c>
      <c r="U88" s="65">
        <v>0</v>
      </c>
      <c r="V88" s="65">
        <f t="shared" ref="V88:V91" si="59">SUM(J88:U88)</f>
        <v>36740</v>
      </c>
      <c r="W88" s="73">
        <f t="shared" ref="W88:W91" si="60">V88/V$6</f>
        <v>7.3314621869083546E-4</v>
      </c>
      <c r="X88" s="89"/>
      <c r="Y88" s="65">
        <f>VLOOKUP($E$1,[9]Resumen!$V$10:$AH$16,Y1,0)</f>
        <v>0</v>
      </c>
      <c r="Z88" s="65">
        <f>VLOOKUP($E$1,[9]Resumen!$V$10:$AH$16,Z1,0)</f>
        <v>0</v>
      </c>
      <c r="AA88" s="65">
        <f>VLOOKUP($E$1,[9]Resumen!$V$10:$AH$16,AA1,0)</f>
        <v>0</v>
      </c>
      <c r="AB88" s="65">
        <f>VLOOKUP($E$1,[9]Resumen!$V$10:$AH$16,AB1,0)</f>
        <v>0</v>
      </c>
      <c r="AC88" s="65">
        <f>VLOOKUP($E$1,[9]Resumen!$V$10:$AH$16,AC1,0)</f>
        <v>0</v>
      </c>
      <c r="AD88" s="65">
        <f>VLOOKUP($E$1,[9]Resumen!$V$10:$AH$16,AD1,0)</f>
        <v>0</v>
      </c>
      <c r="AE88" s="65">
        <f>VLOOKUP($E$1,[9]Resumen!$V$10:$AH$16,AE1,0)</f>
        <v>0</v>
      </c>
      <c r="AF88" s="65">
        <f>VLOOKUP($E$1,[9]Resumen!$V$10:$AH$16,AF1,0)</f>
        <v>0</v>
      </c>
      <c r="AG88" s="65">
        <f>VLOOKUP($E$1,[9]Resumen!$V$10:$AH$16,AG1,0)</f>
        <v>18528.289999999997</v>
      </c>
      <c r="AH88" s="65">
        <f>VLOOKUP($E$1,[9]Resumen!$V$10:$AH$16,AH1,0)</f>
        <v>0</v>
      </c>
      <c r="AI88" s="65">
        <f>VLOOKUP($E$1,[9]Resumen!$V$10:$AH$16,AI1,0)</f>
        <v>0</v>
      </c>
      <c r="AJ88" s="65">
        <f>VLOOKUP($E$1,[9]Resumen!$V$10:$AH$16,AJ1,0)</f>
        <v>0</v>
      </c>
      <c r="AK88" s="65">
        <f t="shared" si="37"/>
        <v>18528.289999999997</v>
      </c>
      <c r="AL88" s="73">
        <f t="shared" si="33"/>
        <v>3.4880210579309379E-4</v>
      </c>
      <c r="AM88" s="14">
        <f t="shared" si="34"/>
        <v>-0.49569161676646711</v>
      </c>
      <c r="AN88" s="9"/>
    </row>
    <row r="89" spans="1:40" ht="14.45" customHeight="1" outlineLevel="1">
      <c r="A89" s="12" t="s">
        <v>195</v>
      </c>
      <c r="B89" s="8" t="s">
        <v>88</v>
      </c>
      <c r="I89" s="246" t="s">
        <v>192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8840</v>
      </c>
      <c r="U89" s="65">
        <v>0</v>
      </c>
      <c r="V89" s="65">
        <f t="shared" si="59"/>
        <v>8840</v>
      </c>
      <c r="W89" s="73">
        <f t="shared" si="60"/>
        <v>1.7640208419235126E-4</v>
      </c>
      <c r="X89" s="89"/>
      <c r="Y89" s="65">
        <f>VLOOKUP($E$1,[16]Resumen!$V$8:$AH$14,Y1,0)</f>
        <v>0</v>
      </c>
      <c r="Z89" s="65">
        <f>VLOOKUP($E$1,[16]Resumen!$V$8:$AH$14,Z1,0)</f>
        <v>2856.8759999999997</v>
      </c>
      <c r="AA89" s="65">
        <f>VLOOKUP($E$1,[16]Resumen!$V$8:$AH$14,AA1,0)</f>
        <v>0</v>
      </c>
      <c r="AB89" s="65">
        <f>VLOOKUP($E$1,[16]Resumen!$V$8:$AH$14,AB1,0)</f>
        <v>0</v>
      </c>
      <c r="AC89" s="65">
        <f>VLOOKUP($E$1,[16]Resumen!$V$8:$AH$14,AC1,0)</f>
        <v>1366.3319999999999</v>
      </c>
      <c r="AD89" s="65">
        <f>VLOOKUP($E$1,[16]Resumen!$V$8:$AH$14,AD1,0)</f>
        <v>1531.9479999999999</v>
      </c>
      <c r="AE89" s="65">
        <f>VLOOKUP($E$1,[16]Resumen!$V$8:$AH$14,AE1,0)</f>
        <v>0</v>
      </c>
      <c r="AF89" s="65">
        <f>VLOOKUP($E$1,[16]Resumen!$V$8:$AH$14,AF1,0)</f>
        <v>1407.7359999999999</v>
      </c>
      <c r="AG89" s="65">
        <f>VLOOKUP($E$1,[16]Resumen!$V$8:$AH$14,AG1,0)</f>
        <v>0</v>
      </c>
      <c r="AH89" s="65">
        <f>VLOOKUP($E$1,[16]Resumen!$V$8:$AH$14,AH1,0)</f>
        <v>662.46399999999994</v>
      </c>
      <c r="AI89" s="65">
        <f>VLOOKUP($E$1,[16]Resumen!$V$8:$AH$14,AI1,0)</f>
        <v>9522.9199999999983</v>
      </c>
      <c r="AJ89" s="65">
        <f>VLOOKUP($E$1,[16]Resumen!$V$8:$AH$14,AJ1,0)</f>
        <v>0</v>
      </c>
      <c r="AK89" s="65">
        <f t="shared" si="37"/>
        <v>17348.275999999998</v>
      </c>
      <c r="AL89" s="73">
        <f t="shared" si="33"/>
        <v>3.2658789346884094E-4</v>
      </c>
      <c r="AM89" s="14">
        <f t="shared" si="34"/>
        <v>0.96247466063348397</v>
      </c>
      <c r="AN89" s="9"/>
    </row>
    <row r="90" spans="1:40" ht="14.45" customHeight="1" outlineLevel="1">
      <c r="A90" s="12" t="s">
        <v>195</v>
      </c>
      <c r="B90" s="8" t="s">
        <v>88</v>
      </c>
      <c r="I90" s="246" t="s">
        <v>193</v>
      </c>
      <c r="J90" s="65">
        <v>95692</v>
      </c>
      <c r="K90" s="65">
        <v>95692</v>
      </c>
      <c r="L90" s="65">
        <v>95692</v>
      </c>
      <c r="M90" s="65">
        <v>95692</v>
      </c>
      <c r="N90" s="65">
        <v>95692</v>
      </c>
      <c r="O90" s="65">
        <v>95692</v>
      </c>
      <c r="P90" s="65">
        <v>95692</v>
      </c>
      <c r="Q90" s="65">
        <v>95692</v>
      </c>
      <c r="R90" s="65">
        <v>95692</v>
      </c>
      <c r="S90" s="65">
        <v>95692</v>
      </c>
      <c r="T90" s="65">
        <v>95692.23</v>
      </c>
      <c r="U90" s="65">
        <v>95692.23</v>
      </c>
      <c r="V90" s="65">
        <f t="shared" si="59"/>
        <v>1148304.46</v>
      </c>
      <c r="W90" s="73">
        <f t="shared" si="60"/>
        <v>2.2914400456037608E-2</v>
      </c>
      <c r="X90" s="89"/>
      <c r="Y90" s="65">
        <f>U90*1.0375</f>
        <v>99280.68862500001</v>
      </c>
      <c r="Z90" s="65">
        <f>+Y90</f>
        <v>99280.68862500001</v>
      </c>
      <c r="AA90" s="65">
        <f t="shared" ref="AA90:AJ90" si="61">+Z90</f>
        <v>99280.68862500001</v>
      </c>
      <c r="AB90" s="65">
        <f t="shared" si="61"/>
        <v>99280.68862500001</v>
      </c>
      <c r="AC90" s="65">
        <f t="shared" si="61"/>
        <v>99280.68862500001</v>
      </c>
      <c r="AD90" s="65">
        <f t="shared" si="61"/>
        <v>99280.68862500001</v>
      </c>
      <c r="AE90" s="65">
        <f t="shared" si="61"/>
        <v>99280.68862500001</v>
      </c>
      <c r="AF90" s="65">
        <f t="shared" si="61"/>
        <v>99280.68862500001</v>
      </c>
      <c r="AG90" s="65">
        <f t="shared" si="61"/>
        <v>99280.68862500001</v>
      </c>
      <c r="AH90" s="65">
        <f t="shared" si="61"/>
        <v>99280.68862500001</v>
      </c>
      <c r="AI90" s="65">
        <f t="shared" si="61"/>
        <v>99280.68862500001</v>
      </c>
      <c r="AJ90" s="65">
        <f t="shared" si="61"/>
        <v>99280.68862500001</v>
      </c>
      <c r="AK90" s="65">
        <f t="shared" si="37"/>
        <v>1191368.2634999999</v>
      </c>
      <c r="AL90" s="73">
        <f t="shared" si="33"/>
        <v>2.2427960652810459E-2</v>
      </c>
      <c r="AM90" s="14">
        <f t="shared" si="34"/>
        <v>3.7502078063861077E-2</v>
      </c>
      <c r="AN90" s="9"/>
    </row>
    <row r="91" spans="1:40" ht="14.45" customHeight="1" outlineLevel="1">
      <c r="A91" s="12" t="s">
        <v>195</v>
      </c>
      <c r="B91" s="8" t="s">
        <v>88</v>
      </c>
      <c r="I91" s="251" t="s">
        <v>194</v>
      </c>
      <c r="J91" s="65">
        <v>38013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f t="shared" si="59"/>
        <v>38013</v>
      </c>
      <c r="W91" s="73">
        <f t="shared" si="60"/>
        <v>7.5854891701401003E-4</v>
      </c>
      <c r="X91" s="89"/>
      <c r="Y91" s="65">
        <f>VLOOKUP($E$1,[8]Resumen!$V$56:$AH$62,Y1,0)</f>
        <v>15808.047199999999</v>
      </c>
      <c r="Z91" s="65">
        <f>VLOOKUP($E$1,[8]Resumen!$V$56:$AH$62,Z1,0)</f>
        <v>0</v>
      </c>
      <c r="AA91" s="65">
        <f>VLOOKUP($E$1,[8]Resumen!$V$56:$AH$62,AA1,0)</f>
        <v>0</v>
      </c>
      <c r="AB91" s="65">
        <f>VLOOKUP($E$1,[8]Resumen!$V$56:$AH$62,AB1,0)</f>
        <v>0</v>
      </c>
      <c r="AC91" s="65">
        <f>VLOOKUP($E$1,[8]Resumen!$V$56:$AH$62,AC1,0)</f>
        <v>0</v>
      </c>
      <c r="AD91" s="65">
        <f>VLOOKUP($E$1,[8]Resumen!$V$56:$AH$62,AD1,0)</f>
        <v>0</v>
      </c>
      <c r="AE91" s="65">
        <f>VLOOKUP($E$1,[8]Resumen!$V$56:$AH$62,AE1,0)</f>
        <v>0</v>
      </c>
      <c r="AF91" s="65">
        <f>VLOOKUP($E$1,[8]Resumen!$V$56:$AH$62,AF1,0)</f>
        <v>0</v>
      </c>
      <c r="AG91" s="65">
        <f>VLOOKUP($E$1,[8]Resumen!$V$56:$AH$62,AG1,0)</f>
        <v>0</v>
      </c>
      <c r="AH91" s="65">
        <f>VLOOKUP($E$1,[8]Resumen!$V$56:$AH$62,AH1,0)</f>
        <v>0</v>
      </c>
      <c r="AI91" s="65">
        <f>VLOOKUP($E$1,[8]Resumen!$V$56:$AH$62,AI1,0)</f>
        <v>0</v>
      </c>
      <c r="AJ91" s="65">
        <f>VLOOKUP($E$1,[8]Resumen!$V$56:$AH$62,AJ1,0)</f>
        <v>0</v>
      </c>
      <c r="AK91" s="65">
        <f t="shared" si="37"/>
        <v>15808.047199999999</v>
      </c>
      <c r="AL91" s="73">
        <f t="shared" si="33"/>
        <v>2.9759250054034242E-4</v>
      </c>
      <c r="AM91" s="14">
        <f t="shared" si="34"/>
        <v>-0.58414102543866575</v>
      </c>
      <c r="AN91" s="9"/>
    </row>
    <row r="92" spans="1:40" ht="14.45" customHeight="1">
      <c r="A92" s="12" t="s">
        <v>195</v>
      </c>
      <c r="B92" s="8" t="s">
        <v>88</v>
      </c>
      <c r="I92" s="167" t="s">
        <v>196</v>
      </c>
      <c r="J92" s="15">
        <v>115402</v>
      </c>
      <c r="K92" s="15">
        <v>94747</v>
      </c>
      <c r="L92" s="15">
        <v>243693</v>
      </c>
      <c r="M92" s="15">
        <v>244239</v>
      </c>
      <c r="N92" s="15">
        <v>146149</v>
      </c>
      <c r="O92" s="15">
        <v>131272</v>
      </c>
      <c r="P92" s="15">
        <v>150160</v>
      </c>
      <c r="Q92" s="15">
        <v>133268</v>
      </c>
      <c r="R92" s="15">
        <v>140880</v>
      </c>
      <c r="S92" s="15">
        <v>133948</v>
      </c>
      <c r="T92" s="15">
        <f t="shared" ref="R92:U92" si="62">SUM(T93:T108)</f>
        <v>145190.33333333334</v>
      </c>
      <c r="U92" s="15">
        <f t="shared" si="62"/>
        <v>149164.77777777778</v>
      </c>
      <c r="V92" s="15">
        <f t="shared" ref="V92" si="63">SUM(V93:V108)</f>
        <v>1828115.1111111112</v>
      </c>
      <c r="W92" s="72">
        <f t="shared" si="31"/>
        <v>3.6480013093159708E-2</v>
      </c>
      <c r="X92" s="89"/>
      <c r="Y92" s="15">
        <f t="shared" ref="Y92:AK92" si="64">SUM(Y93:Y108)</f>
        <v>152973.64580229</v>
      </c>
      <c r="Z92" s="15">
        <f t="shared" si="64"/>
        <v>139728.47488451999</v>
      </c>
      <c r="AA92" s="15">
        <f t="shared" si="64"/>
        <v>152973.64580229</v>
      </c>
      <c r="AB92" s="15">
        <f t="shared" si="64"/>
        <v>144303.14917769999</v>
      </c>
      <c r="AC92" s="15">
        <f t="shared" si="64"/>
        <v>152973.64580229</v>
      </c>
      <c r="AD92" s="15">
        <f t="shared" si="64"/>
        <v>144303.14917769999</v>
      </c>
      <c r="AE92" s="15">
        <f t="shared" si="64"/>
        <v>148718.20615029</v>
      </c>
      <c r="AF92" s="15">
        <f t="shared" si="64"/>
        <v>148718.20615029</v>
      </c>
      <c r="AG92" s="15">
        <f t="shared" si="64"/>
        <v>148558.58882969999</v>
      </c>
      <c r="AH92" s="15">
        <f t="shared" si="64"/>
        <v>148718.20615029</v>
      </c>
      <c r="AI92" s="15">
        <f t="shared" si="64"/>
        <v>148558.58882969999</v>
      </c>
      <c r="AJ92" s="15">
        <f t="shared" si="64"/>
        <v>152973.64580229</v>
      </c>
      <c r="AK92" s="15">
        <f t="shared" si="64"/>
        <v>1783501.1525593498</v>
      </c>
      <c r="AL92" s="72">
        <f t="shared" si="33"/>
        <v>3.3575087484981676E-2</v>
      </c>
      <c r="AM92" s="10">
        <f t="shared" si="34"/>
        <v>-2.4404348654306296E-2</v>
      </c>
      <c r="AN92" s="9"/>
    </row>
    <row r="93" spans="1:40" ht="14.45" customHeight="1" outlineLevel="1">
      <c r="A93" s="12" t="s">
        <v>195</v>
      </c>
      <c r="B93" s="8" t="s">
        <v>88</v>
      </c>
      <c r="I93" s="246" t="s">
        <v>197</v>
      </c>
      <c r="J93" s="65">
        <v>3499</v>
      </c>
      <c r="K93" s="65">
        <v>2704</v>
      </c>
      <c r="L93" s="65">
        <v>4728</v>
      </c>
      <c r="M93" s="65">
        <v>3833</v>
      </c>
      <c r="N93" s="65">
        <v>4450</v>
      </c>
      <c r="O93" s="65">
        <v>3641</v>
      </c>
      <c r="P93" s="65">
        <v>4706</v>
      </c>
      <c r="Q93" s="65">
        <v>4535</v>
      </c>
      <c r="R93" s="225">
        <v>4389</v>
      </c>
      <c r="S93" s="225">
        <v>4065</v>
      </c>
      <c r="T93" s="225">
        <f t="shared" ref="T93:T108" si="65">+AVERAGE(Q93:S93)</f>
        <v>4329.666666666667</v>
      </c>
      <c r="U93" s="225">
        <f t="shared" ref="U93:U108" si="66">+AVERAGE(R93:T93)</f>
        <v>4261.2222222222226</v>
      </c>
      <c r="V93" s="65">
        <f t="shared" ref="V93:V108" si="67">SUM(J93:U93)</f>
        <v>49140.888888888891</v>
      </c>
      <c r="W93" s="73">
        <f t="shared" si="31"/>
        <v>9.8060579401185025E-4</v>
      </c>
      <c r="X93" s="89"/>
      <c r="Y93" s="65">
        <f>VLOOKUP($I93,'[17]Resumen OPE'!$A$3:$M$24,Y$1,0)</f>
        <v>4517.7612743835616</v>
      </c>
      <c r="Z93" s="65">
        <f>VLOOKUP($I93,'[17]Resumen OPE'!$A$3:$M$24,Z$1,0)</f>
        <v>4080.5585704109585</v>
      </c>
      <c r="AA93" s="65">
        <f>VLOOKUP($I93,'[17]Resumen OPE'!$A$3:$M$24,AA$1,0)</f>
        <v>4517.7612743835616</v>
      </c>
      <c r="AB93" s="65">
        <f>VLOOKUP($I93,'[17]Resumen OPE'!$A$3:$M$24,AB$1,0)</f>
        <v>4372.0270397260274</v>
      </c>
      <c r="AC93" s="65">
        <f>VLOOKUP($I93,'[17]Resumen OPE'!$A$3:$M$24,AC$1,0)</f>
        <v>4517.7612743835616</v>
      </c>
      <c r="AD93" s="65">
        <f>VLOOKUP($I93,'[17]Resumen OPE'!$A$3:$M$24,AD$1,0)</f>
        <v>4372.0270397260274</v>
      </c>
      <c r="AE93" s="65">
        <f>VLOOKUP($I93,'[17]Resumen OPE'!$A$3:$M$24,AE$1,0)</f>
        <v>4517.7612743835616</v>
      </c>
      <c r="AF93" s="65">
        <f>VLOOKUP($I93,'[17]Resumen OPE'!$A$3:$M$24,AF$1,0)</f>
        <v>4517.7612743835616</v>
      </c>
      <c r="AG93" s="65">
        <f>VLOOKUP($I93,'[17]Resumen OPE'!$A$3:$M$24,AG$1,0)</f>
        <v>4372.0270397260274</v>
      </c>
      <c r="AH93" s="65">
        <f>VLOOKUP($I93,'[17]Resumen OPE'!$A$3:$M$24,AH$1,0)</f>
        <v>4517.7612743835616</v>
      </c>
      <c r="AI93" s="65">
        <f>VLOOKUP($I93,'[17]Resumen OPE'!$A$3:$M$24,AI$1,0)</f>
        <v>4372.0270397260274</v>
      </c>
      <c r="AJ93" s="65">
        <f>VLOOKUP($I93,'[17]Resumen OPE'!$A$3:$M$24,AJ$1,0)</f>
        <v>4517.7612743835616</v>
      </c>
      <c r="AK93" s="65">
        <f t="shared" ref="AK93:AK158" si="68">SUM(Y93:AJ93)</f>
        <v>53192.995649999997</v>
      </c>
      <c r="AL93" s="73">
        <f t="shared" si="33"/>
        <v>1.0013783730804559E-3</v>
      </c>
      <c r="AM93" s="14">
        <f t="shared" si="34"/>
        <v>8.2458963456546686E-2</v>
      </c>
      <c r="AN93" s="9"/>
    </row>
    <row r="94" spans="1:40" ht="14.45" customHeight="1" outlineLevel="1">
      <c r="A94" s="12" t="s">
        <v>195</v>
      </c>
      <c r="B94" s="8" t="s">
        <v>88</v>
      </c>
      <c r="I94" s="246" t="s">
        <v>198</v>
      </c>
      <c r="J94" s="65">
        <v>13260</v>
      </c>
      <c r="K94" s="65">
        <v>6815</v>
      </c>
      <c r="L94" s="65">
        <v>25568</v>
      </c>
      <c r="M94" s="65">
        <v>95942</v>
      </c>
      <c r="N94" s="65">
        <v>12548</v>
      </c>
      <c r="O94" s="65">
        <v>13336</v>
      </c>
      <c r="P94" s="65">
        <v>17715</v>
      </c>
      <c r="Q94" s="65">
        <v>0</v>
      </c>
      <c r="R94" s="225">
        <v>15976</v>
      </c>
      <c r="S94" s="225">
        <v>13155</v>
      </c>
      <c r="T94" s="225">
        <f t="shared" si="65"/>
        <v>9710.3333333333339</v>
      </c>
      <c r="U94" s="225">
        <f t="shared" si="66"/>
        <v>12947.111111111111</v>
      </c>
      <c r="V94" s="65">
        <f t="shared" si="67"/>
        <v>236972.44444444447</v>
      </c>
      <c r="W94" s="73">
        <f t="shared" si="31"/>
        <v>4.7287820244520558E-3</v>
      </c>
      <c r="X94" s="89"/>
      <c r="Y94" s="65">
        <f>VLOOKUP($I94,'[17]Resumen OPE'!$A$3:$M$24,Y$1,0)</f>
        <v>11851.439999999999</v>
      </c>
      <c r="Z94" s="65">
        <f>VLOOKUP($I94,'[17]Resumen OPE'!$A$3:$M$24,Z$1,0)</f>
        <v>11851.439999999999</v>
      </c>
      <c r="AA94" s="65">
        <f>VLOOKUP($I94,'[17]Resumen OPE'!$A$3:$M$24,AA$1,0)</f>
        <v>11851.439999999999</v>
      </c>
      <c r="AB94" s="65">
        <f>VLOOKUP($I94,'[17]Resumen OPE'!$A$3:$M$24,AB$1,0)</f>
        <v>11851.439999999999</v>
      </c>
      <c r="AC94" s="65">
        <f>VLOOKUP($I94,'[17]Resumen OPE'!$A$3:$M$24,AC$1,0)</f>
        <v>11851.439999999999</v>
      </c>
      <c r="AD94" s="65">
        <f>VLOOKUP($I94,'[17]Resumen OPE'!$A$3:$M$24,AD$1,0)</f>
        <v>11851.439999999999</v>
      </c>
      <c r="AE94" s="65">
        <f>VLOOKUP($I94,'[17]Resumen OPE'!$A$3:$M$24,AE$1,0)</f>
        <v>11851.439999999999</v>
      </c>
      <c r="AF94" s="65">
        <f>VLOOKUP($I94,'[17]Resumen OPE'!$A$3:$M$24,AF$1,0)</f>
        <v>11851.439999999999</v>
      </c>
      <c r="AG94" s="65">
        <f>VLOOKUP($I94,'[17]Resumen OPE'!$A$3:$M$24,AG$1,0)</f>
        <v>11851.439999999999</v>
      </c>
      <c r="AH94" s="65">
        <f>VLOOKUP($I94,'[17]Resumen OPE'!$A$3:$M$24,AH$1,0)</f>
        <v>11851.439999999999</v>
      </c>
      <c r="AI94" s="65">
        <f>VLOOKUP($I94,'[17]Resumen OPE'!$A$3:$M$24,AI$1,0)</f>
        <v>11851.439999999999</v>
      </c>
      <c r="AJ94" s="65">
        <f>VLOOKUP($I94,'[17]Resumen OPE'!$A$3:$M$24,AJ$1,0)</f>
        <v>11851.439999999999</v>
      </c>
      <c r="AK94" s="65">
        <f t="shared" si="68"/>
        <v>142217.28</v>
      </c>
      <c r="AL94" s="73">
        <f t="shared" si="33"/>
        <v>2.6772943830308169E-3</v>
      </c>
      <c r="AM94" s="14">
        <f t="shared" si="34"/>
        <v>-0.39985731111727951</v>
      </c>
      <c r="AN94" s="9"/>
    </row>
    <row r="95" spans="1:40" ht="14.45" customHeight="1" outlineLevel="1">
      <c r="A95" s="12" t="s">
        <v>195</v>
      </c>
      <c r="B95" s="8" t="s">
        <v>88</v>
      </c>
      <c r="I95" s="246" t="s">
        <v>199</v>
      </c>
      <c r="J95" s="65">
        <v>1803</v>
      </c>
      <c r="K95" s="65">
        <v>2720</v>
      </c>
      <c r="L95" s="65">
        <v>3560</v>
      </c>
      <c r="M95" s="65">
        <v>0</v>
      </c>
      <c r="N95" s="65">
        <v>4200</v>
      </c>
      <c r="O95" s="65">
        <v>0</v>
      </c>
      <c r="P95" s="65">
        <v>0</v>
      </c>
      <c r="Q95" s="65">
        <v>0</v>
      </c>
      <c r="R95" s="225">
        <v>5240</v>
      </c>
      <c r="S95" s="225">
        <v>0</v>
      </c>
      <c r="T95" s="225">
        <f t="shared" si="65"/>
        <v>1746.6666666666667</v>
      </c>
      <c r="U95" s="225">
        <f t="shared" si="66"/>
        <v>2328.8888888888891</v>
      </c>
      <c r="V95" s="65">
        <f t="shared" si="67"/>
        <v>21598.555555555558</v>
      </c>
      <c r="W95" s="73">
        <f t="shared" si="31"/>
        <v>4.3099889316111856E-4</v>
      </c>
      <c r="X95" s="89"/>
      <c r="Y95" s="65">
        <f>VLOOKUP($I95,'[17]Resumen OPE'!$A$3:$M$24,Y$1,0)</f>
        <v>4255.4396519999991</v>
      </c>
      <c r="Z95" s="65">
        <f>VLOOKUP($I95,'[17]Resumen OPE'!$A$3:$M$24,Z$1,0)</f>
        <v>4255.4396519999991</v>
      </c>
      <c r="AA95" s="65">
        <f>VLOOKUP($I95,'[17]Resumen OPE'!$A$3:$M$24,AA$1,0)</f>
        <v>4255.4396519999991</v>
      </c>
      <c r="AB95" s="65">
        <f>VLOOKUP($I95,'[17]Resumen OPE'!$A$3:$M$24,AB$1,0)</f>
        <v>0</v>
      </c>
      <c r="AC95" s="65">
        <f>VLOOKUP($I95,'[17]Resumen OPE'!$A$3:$M$24,AC$1,0)</f>
        <v>4255.4396519999991</v>
      </c>
      <c r="AD95" s="65">
        <f>VLOOKUP($I95,'[17]Resumen OPE'!$A$3:$M$24,AD$1,0)</f>
        <v>0</v>
      </c>
      <c r="AE95" s="65">
        <f>VLOOKUP($I95,'[17]Resumen OPE'!$A$3:$M$24,AE$1,0)</f>
        <v>0</v>
      </c>
      <c r="AF95" s="65">
        <f>VLOOKUP($I95,'[17]Resumen OPE'!$A$3:$M$24,AF$1,0)</f>
        <v>0</v>
      </c>
      <c r="AG95" s="65">
        <f>VLOOKUP($I95,'[17]Resumen OPE'!$A$3:$M$24,AG$1,0)</f>
        <v>4255.4396519999991</v>
      </c>
      <c r="AH95" s="65">
        <f>VLOOKUP($I95,'[17]Resumen OPE'!$A$3:$M$24,AH$1,0)</f>
        <v>0</v>
      </c>
      <c r="AI95" s="65">
        <f>VLOOKUP($I95,'[17]Resumen OPE'!$A$3:$M$24,AI$1,0)</f>
        <v>4255.4396519999991</v>
      </c>
      <c r="AJ95" s="65">
        <f>VLOOKUP($I95,'[17]Resumen OPE'!$A$3:$M$24,AJ$1,0)</f>
        <v>4255.4396519999991</v>
      </c>
      <c r="AK95" s="65">
        <f t="shared" si="68"/>
        <v>29788.077563999999</v>
      </c>
      <c r="AL95" s="73">
        <f t="shared" si="33"/>
        <v>5.6077188892505537E-4</v>
      </c>
      <c r="AM95" s="14">
        <f t="shared" si="34"/>
        <v>0.3791698934393759</v>
      </c>
      <c r="AN95" s="9"/>
    </row>
    <row r="96" spans="1:40" ht="14.45" customHeight="1" outlineLevel="1">
      <c r="A96" s="12" t="s">
        <v>195</v>
      </c>
      <c r="B96" s="8" t="s">
        <v>88</v>
      </c>
      <c r="I96" s="246" t="s">
        <v>200</v>
      </c>
      <c r="J96" s="65">
        <v>4568</v>
      </c>
      <c r="K96" s="65">
        <v>3654</v>
      </c>
      <c r="L96" s="65">
        <v>6278</v>
      </c>
      <c r="M96" s="65">
        <v>4581</v>
      </c>
      <c r="N96" s="65">
        <v>5828</v>
      </c>
      <c r="O96" s="65">
        <v>5330</v>
      </c>
      <c r="P96" s="65">
        <v>5837</v>
      </c>
      <c r="Q96" s="65">
        <v>5391</v>
      </c>
      <c r="R96" s="225">
        <v>5334</v>
      </c>
      <c r="S96" s="225">
        <v>5470</v>
      </c>
      <c r="T96" s="225">
        <f t="shared" si="65"/>
        <v>5398.333333333333</v>
      </c>
      <c r="U96" s="225">
        <f t="shared" si="66"/>
        <v>5400.7777777777774</v>
      </c>
      <c r="V96" s="65">
        <f t="shared" si="67"/>
        <v>63070.111111111109</v>
      </c>
      <c r="W96" s="73">
        <f t="shared" si="31"/>
        <v>1.2585632409777344E-3</v>
      </c>
      <c r="X96" s="89"/>
      <c r="Y96" s="65">
        <f>VLOOKUP($I96,'[17]Resumen OPE'!$A$3:$M$24,Y$1,0)</f>
        <v>5936.3383145399994</v>
      </c>
      <c r="Z96" s="65">
        <f>VLOOKUP($I96,'[17]Resumen OPE'!$A$3:$M$24,Z$1,0)</f>
        <v>5361.8539615199998</v>
      </c>
      <c r="AA96" s="65">
        <f>VLOOKUP($I96,'[17]Resumen OPE'!$A$3:$M$24,AA$1,0)</f>
        <v>5936.3383145399994</v>
      </c>
      <c r="AB96" s="65">
        <f>VLOOKUP($I96,'[17]Resumen OPE'!$A$3:$M$24,AB$1,0)</f>
        <v>5744.8435301999989</v>
      </c>
      <c r="AC96" s="65">
        <f>VLOOKUP($I96,'[17]Resumen OPE'!$A$3:$M$24,AC$1,0)</f>
        <v>5936.3383145399994</v>
      </c>
      <c r="AD96" s="65">
        <f>VLOOKUP($I96,'[17]Resumen OPE'!$A$3:$M$24,AD$1,0)</f>
        <v>5744.8435301999989</v>
      </c>
      <c r="AE96" s="65">
        <f>VLOOKUP($I96,'[17]Resumen OPE'!$A$3:$M$24,AE$1,0)</f>
        <v>5936.3383145399994</v>
      </c>
      <c r="AF96" s="65">
        <f>VLOOKUP($I96,'[17]Resumen OPE'!$A$3:$M$24,AF$1,0)</f>
        <v>5936.3383145399994</v>
      </c>
      <c r="AG96" s="65">
        <f>VLOOKUP($I96,'[17]Resumen OPE'!$A$3:$M$24,AG$1,0)</f>
        <v>5744.8435301999989</v>
      </c>
      <c r="AH96" s="65">
        <f>VLOOKUP($I96,'[17]Resumen OPE'!$A$3:$M$24,AH$1,0)</f>
        <v>5936.3383145399994</v>
      </c>
      <c r="AI96" s="65">
        <f>VLOOKUP($I96,'[17]Resumen OPE'!$A$3:$M$24,AI$1,0)</f>
        <v>5744.8435301999989</v>
      </c>
      <c r="AJ96" s="65">
        <f>VLOOKUP($I96,'[17]Resumen OPE'!$A$3:$M$24,AJ$1,0)</f>
        <v>5936.3383145399994</v>
      </c>
      <c r="AK96" s="65">
        <f t="shared" si="68"/>
        <v>69895.5962841</v>
      </c>
      <c r="AL96" s="73">
        <f t="shared" si="33"/>
        <v>1.3158111822277191E-3</v>
      </c>
      <c r="AM96" s="14">
        <f t="shared" si="34"/>
        <v>0.10822059851717047</v>
      </c>
      <c r="AN96" s="9"/>
    </row>
    <row r="97" spans="1:40" ht="14.45" customHeight="1" outlineLevel="1">
      <c r="A97" s="12" t="s">
        <v>195</v>
      </c>
      <c r="B97" s="8" t="s">
        <v>88</v>
      </c>
      <c r="I97" s="246" t="s">
        <v>201</v>
      </c>
      <c r="J97" s="65"/>
      <c r="K97" s="65"/>
      <c r="L97" s="65">
        <v>0</v>
      </c>
      <c r="M97" s="65"/>
      <c r="N97" s="65">
        <v>0</v>
      </c>
      <c r="O97" s="65"/>
      <c r="P97" s="65">
        <v>0</v>
      </c>
      <c r="Q97" s="65">
        <v>13738</v>
      </c>
      <c r="R97" s="225"/>
      <c r="S97" s="225"/>
      <c r="T97" s="225">
        <f t="shared" si="65"/>
        <v>13738</v>
      </c>
      <c r="U97" s="225">
        <f t="shared" si="66"/>
        <v>13738</v>
      </c>
      <c r="V97" s="65">
        <f t="shared" si="67"/>
        <v>41214</v>
      </c>
      <c r="W97" s="73">
        <f t="shared" si="31"/>
        <v>8.2242483007958882E-4</v>
      </c>
      <c r="X97" s="89"/>
      <c r="Y97" s="65">
        <f>VLOOKUP($I97,'[17]Resumen OPE'!$A$3:$M$24,Y$1,0)</f>
        <v>0</v>
      </c>
      <c r="Z97" s="65">
        <f>VLOOKUP($I97,'[17]Resumen OPE'!$A$3:$M$24,Z$1,0)</f>
        <v>0</v>
      </c>
      <c r="AA97" s="65">
        <f>VLOOKUP($I97,'[17]Resumen OPE'!$A$3:$M$24,AA$1,0)</f>
        <v>0</v>
      </c>
      <c r="AB97" s="65">
        <f>VLOOKUP($I97,'[17]Resumen OPE'!$A$3:$M$24,AB$1,0)</f>
        <v>0</v>
      </c>
      <c r="AC97" s="65">
        <f>VLOOKUP($I97,'[17]Resumen OPE'!$A$3:$M$24,AC$1,0)</f>
        <v>0</v>
      </c>
      <c r="AD97" s="65">
        <f>VLOOKUP($I97,'[17]Resumen OPE'!$A$3:$M$24,AD$1,0)</f>
        <v>0</v>
      </c>
      <c r="AE97" s="65">
        <f>VLOOKUP($I97,'[17]Resumen OPE'!$A$3:$M$24,AE$1,0)</f>
        <v>0</v>
      </c>
      <c r="AF97" s="65">
        <f>VLOOKUP($I97,'[17]Resumen OPE'!$A$3:$M$24,AF$1,0)</f>
        <v>0</v>
      </c>
      <c r="AG97" s="65">
        <f>VLOOKUP($I97,'[17]Resumen OPE'!$A$3:$M$24,AG$1,0)</f>
        <v>0</v>
      </c>
      <c r="AH97" s="65">
        <f>VLOOKUP($I97,'[17]Resumen OPE'!$A$3:$M$24,AH$1,0)</f>
        <v>0</v>
      </c>
      <c r="AI97" s="65">
        <f>VLOOKUP($I97,'[17]Resumen OPE'!$A$3:$M$24,AI$1,0)</f>
        <v>0</v>
      </c>
      <c r="AJ97" s="65">
        <f>VLOOKUP($I97,'[17]Resumen OPE'!$A$3:$M$24,AJ$1,0)</f>
        <v>0</v>
      </c>
      <c r="AK97" s="65">
        <f t="shared" si="68"/>
        <v>0</v>
      </c>
      <c r="AL97" s="73">
        <f t="shared" si="33"/>
        <v>0</v>
      </c>
      <c r="AM97" s="14">
        <f t="shared" si="34"/>
        <v>-1</v>
      </c>
      <c r="AN97" s="9"/>
    </row>
    <row r="98" spans="1:40" ht="14.45" customHeight="1" outlineLevel="1">
      <c r="A98" s="12" t="s">
        <v>195</v>
      </c>
      <c r="B98" s="8" t="s">
        <v>88</v>
      </c>
      <c r="I98" s="246" t="s">
        <v>202</v>
      </c>
      <c r="J98" s="65">
        <v>6252</v>
      </c>
      <c r="K98" s="65">
        <v>7344</v>
      </c>
      <c r="L98" s="65">
        <v>9202</v>
      </c>
      <c r="M98" s="65">
        <v>7756</v>
      </c>
      <c r="N98" s="65">
        <v>9957</v>
      </c>
      <c r="O98" s="65">
        <v>8542</v>
      </c>
      <c r="P98" s="65">
        <v>8873</v>
      </c>
      <c r="Q98" s="65">
        <v>8902</v>
      </c>
      <c r="R98" s="225">
        <v>9703</v>
      </c>
      <c r="S98" s="225">
        <v>8978</v>
      </c>
      <c r="T98" s="225">
        <f t="shared" si="65"/>
        <v>9194.3333333333339</v>
      </c>
      <c r="U98" s="225">
        <f t="shared" si="66"/>
        <v>9291.7777777777792</v>
      </c>
      <c r="V98" s="65">
        <f t="shared" si="67"/>
        <v>103995.11111111111</v>
      </c>
      <c r="W98" s="73">
        <f t="shared" si="31"/>
        <v>2.0752210798433424E-3</v>
      </c>
      <c r="X98" s="89"/>
      <c r="Y98" s="65">
        <f>VLOOKUP($I98,'[17]Resumen OPE'!$A$3:$M$24,Y$1,0)</f>
        <v>9098.8130999999976</v>
      </c>
      <c r="Z98" s="65">
        <f>VLOOKUP($I98,'[17]Resumen OPE'!$A$3:$M$24,Z$1,0)</f>
        <v>8218.2828000000009</v>
      </c>
      <c r="AA98" s="65">
        <f>VLOOKUP($I98,'[17]Resumen OPE'!$A$3:$M$24,AA$1,0)</f>
        <v>9098.8130999999976</v>
      </c>
      <c r="AB98" s="65">
        <f>VLOOKUP($I98,'[17]Resumen OPE'!$A$3:$M$24,AB$1,0)</f>
        <v>8805.3029999999981</v>
      </c>
      <c r="AC98" s="65">
        <f>VLOOKUP($I98,'[17]Resumen OPE'!$A$3:$M$24,AC$1,0)</f>
        <v>9098.8130999999976</v>
      </c>
      <c r="AD98" s="65">
        <f>VLOOKUP($I98,'[17]Resumen OPE'!$A$3:$M$24,AD$1,0)</f>
        <v>8805.3029999999981</v>
      </c>
      <c r="AE98" s="65">
        <f>VLOOKUP($I98,'[17]Resumen OPE'!$A$3:$M$24,AE$1,0)</f>
        <v>9098.8130999999976</v>
      </c>
      <c r="AF98" s="65">
        <f>VLOOKUP($I98,'[17]Resumen OPE'!$A$3:$M$24,AF$1,0)</f>
        <v>9098.8130999999976</v>
      </c>
      <c r="AG98" s="65">
        <f>VLOOKUP($I98,'[17]Resumen OPE'!$A$3:$M$24,AG$1,0)</f>
        <v>8805.3029999999981</v>
      </c>
      <c r="AH98" s="65">
        <f>VLOOKUP($I98,'[17]Resumen OPE'!$A$3:$M$24,AH$1,0)</f>
        <v>9098.8130999999976</v>
      </c>
      <c r="AI98" s="65">
        <f>VLOOKUP($I98,'[17]Resumen OPE'!$A$3:$M$24,AI$1,0)</f>
        <v>8805.3029999999981</v>
      </c>
      <c r="AJ98" s="65">
        <f>VLOOKUP($I98,'[17]Resumen OPE'!$A$3:$M$24,AJ$1,0)</f>
        <v>9098.8130999999976</v>
      </c>
      <c r="AK98" s="65">
        <f t="shared" si="68"/>
        <v>107131.1865</v>
      </c>
      <c r="AL98" s="73">
        <f t="shared" si="33"/>
        <v>2.0167853292080741E-3</v>
      </c>
      <c r="AM98" s="14">
        <f t="shared" si="34"/>
        <v>3.0155988636217934E-2</v>
      </c>
      <c r="AN98" s="9"/>
    </row>
    <row r="99" spans="1:40" ht="14.45" customHeight="1" outlineLevel="1">
      <c r="A99" s="12" t="s">
        <v>215</v>
      </c>
      <c r="B99" s="8" t="s">
        <v>88</v>
      </c>
      <c r="I99" s="246" t="s">
        <v>203</v>
      </c>
      <c r="J99" s="65">
        <v>1968</v>
      </c>
      <c r="K99" s="65">
        <v>2429</v>
      </c>
      <c r="L99" s="65">
        <v>1982</v>
      </c>
      <c r="M99" s="65">
        <v>3023</v>
      </c>
      <c r="N99" s="65">
        <v>2927</v>
      </c>
      <c r="O99" s="65">
        <v>3469</v>
      </c>
      <c r="P99" s="65">
        <v>2606</v>
      </c>
      <c r="Q99" s="65">
        <v>3505</v>
      </c>
      <c r="R99" s="225">
        <v>3811</v>
      </c>
      <c r="S99" s="225">
        <v>3869</v>
      </c>
      <c r="T99" s="225">
        <f t="shared" si="65"/>
        <v>3728.3333333333335</v>
      </c>
      <c r="U99" s="225">
        <f t="shared" si="66"/>
        <v>3802.7777777777778</v>
      </c>
      <c r="V99" s="65">
        <f t="shared" si="67"/>
        <v>37120.111111111117</v>
      </c>
      <c r="W99" s="73">
        <f t="shared" si="31"/>
        <v>7.4073133093344537E-4</v>
      </c>
      <c r="X99" s="89"/>
      <c r="Y99" s="65">
        <f>VLOOKUP($I99,'[17]Resumen OPE'!$A$3:$M$24,Y$1,0)</f>
        <v>3654.5093999999999</v>
      </c>
      <c r="Z99" s="65">
        <f>VLOOKUP($I99,'[17]Resumen OPE'!$A$3:$M$24,Z$1,0)</f>
        <v>3300.8471999999997</v>
      </c>
      <c r="AA99" s="65">
        <f>VLOOKUP($I99,'[17]Resumen OPE'!$A$3:$M$24,AA$1,0)</f>
        <v>3654.5093999999999</v>
      </c>
      <c r="AB99" s="65">
        <f>VLOOKUP($I99,'[17]Resumen OPE'!$A$3:$M$24,AB$1,0)</f>
        <v>3536.6219999999994</v>
      </c>
      <c r="AC99" s="65">
        <f>VLOOKUP($I99,'[17]Resumen OPE'!$A$3:$M$24,AC$1,0)</f>
        <v>3654.5093999999999</v>
      </c>
      <c r="AD99" s="65">
        <f>VLOOKUP($I99,'[17]Resumen OPE'!$A$3:$M$24,AD$1,0)</f>
        <v>3536.6219999999994</v>
      </c>
      <c r="AE99" s="65">
        <f>VLOOKUP($I99,'[17]Resumen OPE'!$A$3:$M$24,AE$1,0)</f>
        <v>3654.5093999999999</v>
      </c>
      <c r="AF99" s="65">
        <f>VLOOKUP($I99,'[17]Resumen OPE'!$A$3:$M$24,AF$1,0)</f>
        <v>3654.5093999999999</v>
      </c>
      <c r="AG99" s="65">
        <f>VLOOKUP($I99,'[17]Resumen OPE'!$A$3:$M$24,AG$1,0)</f>
        <v>3536.6219999999994</v>
      </c>
      <c r="AH99" s="65">
        <f>VLOOKUP($I99,'[17]Resumen OPE'!$A$3:$M$24,AH$1,0)</f>
        <v>3654.5093999999999</v>
      </c>
      <c r="AI99" s="65">
        <f>VLOOKUP($I99,'[17]Resumen OPE'!$A$3:$M$24,AI$1,0)</f>
        <v>3536.6219999999994</v>
      </c>
      <c r="AJ99" s="65">
        <f>VLOOKUP($I99,'[17]Resumen OPE'!$A$3:$M$24,AJ$1,0)</f>
        <v>3654.5093999999999</v>
      </c>
      <c r="AK99" s="65">
        <f t="shared" si="68"/>
        <v>43028.900999999991</v>
      </c>
      <c r="AL99" s="73">
        <f t="shared" si="33"/>
        <v>8.1003542576042146E-4</v>
      </c>
      <c r="AM99" s="14">
        <f t="shared" si="34"/>
        <v>0.15918028561935538</v>
      </c>
      <c r="AN99" s="221"/>
    </row>
    <row r="100" spans="1:40" ht="15" customHeight="1" outlineLevel="1">
      <c r="A100" s="12" t="s">
        <v>215</v>
      </c>
      <c r="B100" s="8" t="s">
        <v>88</v>
      </c>
      <c r="I100" s="246" t="s">
        <v>204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225">
        <v>0</v>
      </c>
      <c r="S100" s="225">
        <v>0</v>
      </c>
      <c r="T100" s="225">
        <f t="shared" si="65"/>
        <v>0</v>
      </c>
      <c r="U100" s="225">
        <f t="shared" si="66"/>
        <v>0</v>
      </c>
      <c r="V100" s="65">
        <f t="shared" si="67"/>
        <v>0</v>
      </c>
      <c r="W100" s="73">
        <f t="shared" si="31"/>
        <v>0</v>
      </c>
      <c r="X100" s="89"/>
      <c r="Y100" s="65">
        <f>VLOOKUP($I100,'[17]Resumen OPE'!$A$3:$M$24,Y$1,0)</f>
        <v>0</v>
      </c>
      <c r="Z100" s="65">
        <f>VLOOKUP($I100,'[17]Resumen OPE'!$A$3:$M$24,Z$1,0)</f>
        <v>0</v>
      </c>
      <c r="AA100" s="65">
        <f>VLOOKUP($I100,'[17]Resumen OPE'!$A$3:$M$24,AA$1,0)</f>
        <v>0</v>
      </c>
      <c r="AB100" s="65">
        <f>VLOOKUP($I100,'[17]Resumen OPE'!$A$3:$M$24,AB$1,0)</f>
        <v>0</v>
      </c>
      <c r="AC100" s="65">
        <f>VLOOKUP($I100,'[17]Resumen OPE'!$A$3:$M$24,AC$1,0)</f>
        <v>0</v>
      </c>
      <c r="AD100" s="65">
        <f>VLOOKUP($I100,'[17]Resumen OPE'!$A$3:$M$24,AD$1,0)</f>
        <v>0</v>
      </c>
      <c r="AE100" s="65">
        <f>VLOOKUP($I100,'[17]Resumen OPE'!$A$3:$M$24,AE$1,0)</f>
        <v>0</v>
      </c>
      <c r="AF100" s="65">
        <f>VLOOKUP($I100,'[17]Resumen OPE'!$A$3:$M$24,AF$1,0)</f>
        <v>0</v>
      </c>
      <c r="AG100" s="65">
        <f>VLOOKUP($I100,'[17]Resumen OPE'!$A$3:$M$24,AG$1,0)</f>
        <v>0</v>
      </c>
      <c r="AH100" s="65">
        <f>VLOOKUP($I100,'[17]Resumen OPE'!$A$3:$M$24,AH$1,0)</f>
        <v>0</v>
      </c>
      <c r="AI100" s="65">
        <f>VLOOKUP($I100,'[17]Resumen OPE'!$A$3:$M$24,AI$1,0)</f>
        <v>0</v>
      </c>
      <c r="AJ100" s="65">
        <f>VLOOKUP($I100,'[17]Resumen OPE'!$A$3:$M$24,AJ$1,0)</f>
        <v>0</v>
      </c>
      <c r="AK100" s="65">
        <f t="shared" si="68"/>
        <v>0</v>
      </c>
      <c r="AL100" s="73">
        <f t="shared" si="33"/>
        <v>0</v>
      </c>
      <c r="AM100" s="14">
        <f t="shared" si="34"/>
        <v>0</v>
      </c>
      <c r="AN100" s="9"/>
    </row>
    <row r="101" spans="1:40" ht="15" customHeight="1" outlineLevel="1">
      <c r="A101" s="12" t="s">
        <v>215</v>
      </c>
      <c r="B101" s="8" t="s">
        <v>88</v>
      </c>
      <c r="I101" s="246" t="s">
        <v>205</v>
      </c>
      <c r="J101" s="65">
        <v>2601</v>
      </c>
      <c r="K101" s="65">
        <v>1469</v>
      </c>
      <c r="L101" s="65">
        <v>3121</v>
      </c>
      <c r="M101" s="65">
        <v>1893</v>
      </c>
      <c r="N101" s="65">
        <v>2173</v>
      </c>
      <c r="O101" s="65">
        <v>2097</v>
      </c>
      <c r="P101" s="65">
        <v>2425</v>
      </c>
      <c r="Q101" s="65">
        <v>1737</v>
      </c>
      <c r="R101" s="225">
        <v>2000</v>
      </c>
      <c r="S101" s="225">
        <v>1951</v>
      </c>
      <c r="T101" s="225">
        <f t="shared" si="65"/>
        <v>1896</v>
      </c>
      <c r="U101" s="225">
        <f t="shared" si="66"/>
        <v>1949</v>
      </c>
      <c r="V101" s="65">
        <f t="shared" si="67"/>
        <v>25312</v>
      </c>
      <c r="W101" s="73">
        <f t="shared" si="31"/>
        <v>5.0510062840235237E-4</v>
      </c>
      <c r="X101" s="89"/>
      <c r="Y101" s="65">
        <f>VLOOKUP($I101,'[17]Resumen OPE'!$A$3:$M$24,Y$1,0)</f>
        <v>2748.3047752499997</v>
      </c>
      <c r="Z101" s="65">
        <f>VLOOKUP($I101,'[17]Resumen OPE'!$A$3:$M$24,Z$1,0)</f>
        <v>2482.3397969999996</v>
      </c>
      <c r="AA101" s="65">
        <f>VLOOKUP($I101,'[17]Resumen OPE'!$A$3:$M$24,AA$1,0)</f>
        <v>2748.3047752499997</v>
      </c>
      <c r="AB101" s="65">
        <f>VLOOKUP($I101,'[17]Resumen OPE'!$A$3:$M$24,AB$1,0)</f>
        <v>2659.6497825000001</v>
      </c>
      <c r="AC101" s="65">
        <f>VLOOKUP($I101,'[17]Resumen OPE'!$A$3:$M$24,AC$1,0)</f>
        <v>2748.3047752499997</v>
      </c>
      <c r="AD101" s="65">
        <f>VLOOKUP($I101,'[17]Resumen OPE'!$A$3:$M$24,AD$1,0)</f>
        <v>2659.6497825000001</v>
      </c>
      <c r="AE101" s="65">
        <f>VLOOKUP($I101,'[17]Resumen OPE'!$A$3:$M$24,AE$1,0)</f>
        <v>2748.3047752499997</v>
      </c>
      <c r="AF101" s="65">
        <f>VLOOKUP($I101,'[17]Resumen OPE'!$A$3:$M$24,AF$1,0)</f>
        <v>2748.3047752499997</v>
      </c>
      <c r="AG101" s="65">
        <f>VLOOKUP($I101,'[17]Resumen OPE'!$A$3:$M$24,AG$1,0)</f>
        <v>2659.6497825000001</v>
      </c>
      <c r="AH101" s="65">
        <f>VLOOKUP($I101,'[17]Resumen OPE'!$A$3:$M$24,AH$1,0)</f>
        <v>2748.3047752499997</v>
      </c>
      <c r="AI101" s="65">
        <f>VLOOKUP($I101,'[17]Resumen OPE'!$A$3:$M$24,AI$1,0)</f>
        <v>2659.6497825000001</v>
      </c>
      <c r="AJ101" s="65">
        <f>VLOOKUP($I101,'[17]Resumen OPE'!$A$3:$M$24,AJ$1,0)</f>
        <v>2748.3047752499997</v>
      </c>
      <c r="AK101" s="65">
        <f t="shared" si="68"/>
        <v>32359.072353749994</v>
      </c>
      <c r="AL101" s="73">
        <f t="shared" si="33"/>
        <v>6.0917184362394396E-4</v>
      </c>
      <c r="AM101" s="14">
        <f t="shared" si="34"/>
        <v>0.27840835784410545</v>
      </c>
      <c r="AN101" s="9"/>
    </row>
    <row r="102" spans="1:40" ht="15" customHeight="1" outlineLevel="1">
      <c r="A102" s="12" t="s">
        <v>215</v>
      </c>
      <c r="B102" s="8" t="s">
        <v>88</v>
      </c>
      <c r="I102" s="246" t="s">
        <v>207</v>
      </c>
      <c r="J102" s="65">
        <v>998</v>
      </c>
      <c r="K102" s="65">
        <v>808</v>
      </c>
      <c r="L102" s="65">
        <v>1261</v>
      </c>
      <c r="M102" s="65">
        <v>1252</v>
      </c>
      <c r="N102" s="65">
        <v>1197</v>
      </c>
      <c r="O102" s="65">
        <v>954</v>
      </c>
      <c r="P102" s="65">
        <v>1156</v>
      </c>
      <c r="Q102" s="65">
        <v>1123</v>
      </c>
      <c r="R102" s="225">
        <v>1105</v>
      </c>
      <c r="S102" s="225">
        <v>1058</v>
      </c>
      <c r="T102" s="225">
        <f t="shared" si="65"/>
        <v>1095.3333333333333</v>
      </c>
      <c r="U102" s="225">
        <f t="shared" si="66"/>
        <v>1086.1111111111111</v>
      </c>
      <c r="V102" s="65">
        <f t="shared" si="67"/>
        <v>13093.444444444445</v>
      </c>
      <c r="W102" s="73">
        <f t="shared" si="31"/>
        <v>2.6127951235936235E-4</v>
      </c>
      <c r="X102" s="89"/>
      <c r="Y102" s="65">
        <f>VLOOKUP($I102,'[17]Resumen OPE'!$A$3:$M$24,Y$1,0)</f>
        <v>978.84827611643834</v>
      </c>
      <c r="Z102" s="65">
        <f>VLOOKUP($I102,'[17]Resumen OPE'!$A$3:$M$24,Z$1,0)</f>
        <v>884.1210235890411</v>
      </c>
      <c r="AA102" s="65">
        <f>VLOOKUP($I102,'[17]Resumen OPE'!$A$3:$M$24,AA$1,0)</f>
        <v>978.84827611643834</v>
      </c>
      <c r="AB102" s="65">
        <f>VLOOKUP($I102,'[17]Resumen OPE'!$A$3:$M$24,AB$1,0)</f>
        <v>947.27252527397263</v>
      </c>
      <c r="AC102" s="65">
        <f>VLOOKUP($I102,'[17]Resumen OPE'!$A$3:$M$24,AC$1,0)</f>
        <v>978.84827611643834</v>
      </c>
      <c r="AD102" s="65">
        <f>VLOOKUP($I102,'[17]Resumen OPE'!$A$3:$M$24,AD$1,0)</f>
        <v>947.27252527397263</v>
      </c>
      <c r="AE102" s="65">
        <f>VLOOKUP($I102,'[17]Resumen OPE'!$A$3:$M$24,AE$1,0)</f>
        <v>978.84827611643834</v>
      </c>
      <c r="AF102" s="65">
        <f>VLOOKUP($I102,'[17]Resumen OPE'!$A$3:$M$24,AF$1,0)</f>
        <v>978.84827611643834</v>
      </c>
      <c r="AG102" s="65">
        <f>VLOOKUP($I102,'[17]Resumen OPE'!$A$3:$M$24,AG$1,0)</f>
        <v>947.27252527397263</v>
      </c>
      <c r="AH102" s="65">
        <f>VLOOKUP($I102,'[17]Resumen OPE'!$A$3:$M$24,AH$1,0)</f>
        <v>978.84827611643834</v>
      </c>
      <c r="AI102" s="65">
        <f>VLOOKUP($I102,'[17]Resumen OPE'!$A$3:$M$24,AI$1,0)</f>
        <v>947.27252527397263</v>
      </c>
      <c r="AJ102" s="65">
        <f>VLOOKUP($I102,'[17]Resumen OPE'!$A$3:$M$24,AJ$1,0)</f>
        <v>978.84827611643834</v>
      </c>
      <c r="AK102" s="65">
        <f t="shared" si="68"/>
        <v>11525.149057500001</v>
      </c>
      <c r="AL102" s="73">
        <f t="shared" si="33"/>
        <v>2.1696531416743215E-4</v>
      </c>
      <c r="AM102" s="14">
        <f t="shared" si="34"/>
        <v>-0.11977714447857701</v>
      </c>
      <c r="AN102" s="9"/>
    </row>
    <row r="103" spans="1:40" ht="15" customHeight="1" outlineLevel="1">
      <c r="A103" s="12" t="s">
        <v>215</v>
      </c>
      <c r="B103" s="8" t="s">
        <v>88</v>
      </c>
      <c r="I103" s="246" t="s">
        <v>208</v>
      </c>
      <c r="J103" s="65">
        <v>0</v>
      </c>
      <c r="K103" s="65">
        <v>0</v>
      </c>
      <c r="L103" s="65">
        <v>48937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225">
        <v>0</v>
      </c>
      <c r="S103" s="225">
        <v>0</v>
      </c>
      <c r="T103" s="225">
        <f t="shared" si="65"/>
        <v>0</v>
      </c>
      <c r="U103" s="225">
        <f t="shared" si="66"/>
        <v>0</v>
      </c>
      <c r="V103" s="65">
        <f t="shared" si="67"/>
        <v>48937</v>
      </c>
      <c r="W103" s="73">
        <f t="shared" si="31"/>
        <v>9.7653719390510116E-4</v>
      </c>
      <c r="X103" s="89"/>
      <c r="Y103" s="65">
        <f>VLOOKUP($I103,'[17]Resumen OPE'!$A$3:$M$24,Y$1,0)</f>
        <v>0</v>
      </c>
      <c r="Z103" s="65">
        <f>VLOOKUP($I103,'[17]Resumen OPE'!$A$3:$M$24,Z$1,0)</f>
        <v>0</v>
      </c>
      <c r="AA103" s="65">
        <f>VLOOKUP($I103,'[17]Resumen OPE'!$A$3:$M$24,AA$1,0)</f>
        <v>0</v>
      </c>
      <c r="AB103" s="65">
        <f>VLOOKUP($I103,'[17]Resumen OPE'!$A$3:$M$24,AB$1,0)</f>
        <v>0</v>
      </c>
      <c r="AC103" s="65">
        <f>VLOOKUP($I103,'[17]Resumen OPE'!$A$3:$M$24,AC$1,0)</f>
        <v>0</v>
      </c>
      <c r="AD103" s="65">
        <f>VLOOKUP($I103,'[17]Resumen OPE'!$A$3:$M$24,AD$1,0)</f>
        <v>0</v>
      </c>
      <c r="AE103" s="65">
        <f>VLOOKUP($I103,'[17]Resumen OPE'!$A$3:$M$24,AE$1,0)</f>
        <v>0</v>
      </c>
      <c r="AF103" s="65">
        <f>VLOOKUP($I103,'[17]Resumen OPE'!$A$3:$M$24,AF$1,0)</f>
        <v>0</v>
      </c>
      <c r="AG103" s="65">
        <f>VLOOKUP($I103,'[17]Resumen OPE'!$A$3:$M$24,AG$1,0)</f>
        <v>0</v>
      </c>
      <c r="AH103" s="65">
        <f>VLOOKUP($I103,'[17]Resumen OPE'!$A$3:$M$24,AH$1,0)</f>
        <v>0</v>
      </c>
      <c r="AI103" s="65">
        <f>VLOOKUP($I103,'[17]Resumen OPE'!$A$3:$M$24,AI$1,0)</f>
        <v>0</v>
      </c>
      <c r="AJ103" s="65">
        <f>VLOOKUP($I103,'[17]Resumen OPE'!$A$3:$M$24,AJ$1,0)</f>
        <v>0</v>
      </c>
      <c r="AK103" s="65">
        <f t="shared" si="68"/>
        <v>0</v>
      </c>
      <c r="AL103" s="73">
        <f t="shared" si="33"/>
        <v>0</v>
      </c>
      <c r="AM103" s="14">
        <f t="shared" si="34"/>
        <v>-1</v>
      </c>
      <c r="AN103" s="9"/>
    </row>
    <row r="104" spans="1:40" ht="14.45" customHeight="1" outlineLevel="1">
      <c r="A104" s="12" t="s">
        <v>221</v>
      </c>
      <c r="B104" s="8" t="s">
        <v>88</v>
      </c>
      <c r="C104" s="8" t="s">
        <v>222</v>
      </c>
      <c r="I104" s="246" t="s">
        <v>209</v>
      </c>
      <c r="J104" s="65"/>
      <c r="K104" s="65"/>
      <c r="L104" s="65">
        <v>27500</v>
      </c>
      <c r="M104" s="65"/>
      <c r="N104" s="65"/>
      <c r="O104" s="65"/>
      <c r="P104" s="65"/>
      <c r="Q104" s="65"/>
      <c r="R104" s="225"/>
      <c r="S104" s="225"/>
      <c r="T104" s="225"/>
      <c r="U104" s="225"/>
      <c r="V104" s="65">
        <f t="shared" si="67"/>
        <v>27500</v>
      </c>
      <c r="W104" s="73">
        <f t="shared" si="31"/>
        <v>5.4876213973864931E-4</v>
      </c>
      <c r="X104" s="89"/>
      <c r="Y104" s="65">
        <f>VLOOKUP($I104,'[17]Resumen OPE'!$A$3:$M$24,Y$1,0)</f>
        <v>0</v>
      </c>
      <c r="Z104" s="65">
        <f>VLOOKUP($I104,'[17]Resumen OPE'!$A$3:$M$24,Z$1,0)</f>
        <v>0</v>
      </c>
      <c r="AA104" s="65">
        <f>VLOOKUP($I104,'[17]Resumen OPE'!$A$3:$M$24,AA$1,0)</f>
        <v>0</v>
      </c>
      <c r="AB104" s="65">
        <f>VLOOKUP($I104,'[17]Resumen OPE'!$A$3:$M$24,AB$1,0)</f>
        <v>0</v>
      </c>
      <c r="AC104" s="65">
        <f>VLOOKUP($I104,'[17]Resumen OPE'!$A$3:$M$24,AC$1,0)</f>
        <v>0</v>
      </c>
      <c r="AD104" s="65">
        <f>VLOOKUP($I104,'[17]Resumen OPE'!$A$3:$M$24,AD$1,0)</f>
        <v>0</v>
      </c>
      <c r="AE104" s="65">
        <f>VLOOKUP($I104,'[17]Resumen OPE'!$A$3:$M$24,AE$1,0)</f>
        <v>0</v>
      </c>
      <c r="AF104" s="65">
        <f>VLOOKUP($I104,'[17]Resumen OPE'!$A$3:$M$24,AF$1,0)</f>
        <v>0</v>
      </c>
      <c r="AG104" s="65">
        <f>VLOOKUP($I104,'[17]Resumen OPE'!$A$3:$M$24,AG$1,0)</f>
        <v>0</v>
      </c>
      <c r="AH104" s="65">
        <f>VLOOKUP($I104,'[17]Resumen OPE'!$A$3:$M$24,AH$1,0)</f>
        <v>0</v>
      </c>
      <c r="AI104" s="65">
        <f>VLOOKUP($I104,'[17]Resumen OPE'!$A$3:$M$24,AI$1,0)</f>
        <v>0</v>
      </c>
      <c r="AJ104" s="65">
        <f>VLOOKUP($I104,'[17]Resumen OPE'!$A$3:$M$24,AJ$1,0)</f>
        <v>0</v>
      </c>
      <c r="AK104" s="65">
        <f t="shared" si="68"/>
        <v>0</v>
      </c>
      <c r="AL104" s="73">
        <f t="shared" si="33"/>
        <v>0</v>
      </c>
      <c r="AM104" s="14">
        <f t="shared" si="34"/>
        <v>-1</v>
      </c>
      <c r="AN104" s="221"/>
    </row>
    <row r="105" spans="1:40" ht="14.45" customHeight="1" outlineLevel="1">
      <c r="A105" s="12" t="s">
        <v>221</v>
      </c>
      <c r="B105" s="8" t="s">
        <v>88</v>
      </c>
      <c r="I105" s="246" t="s">
        <v>210</v>
      </c>
      <c r="J105" s="65">
        <v>0</v>
      </c>
      <c r="K105" s="65"/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225"/>
      <c r="S105" s="225"/>
      <c r="T105" s="225">
        <f t="shared" si="65"/>
        <v>0</v>
      </c>
      <c r="U105" s="225">
        <f t="shared" si="66"/>
        <v>0</v>
      </c>
      <c r="V105" s="65">
        <f t="shared" si="67"/>
        <v>0</v>
      </c>
      <c r="W105" s="73">
        <f t="shared" si="31"/>
        <v>0</v>
      </c>
      <c r="X105" s="89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>
        <f t="shared" si="68"/>
        <v>0</v>
      </c>
      <c r="AL105" s="73">
        <f t="shared" si="33"/>
        <v>0</v>
      </c>
      <c r="AM105" s="14">
        <f t="shared" si="34"/>
        <v>0</v>
      </c>
      <c r="AN105" s="9"/>
    </row>
    <row r="106" spans="1:40" ht="14.45" customHeight="1" outlineLevel="1">
      <c r="A106" s="12"/>
      <c r="I106" s="246" t="s">
        <v>211</v>
      </c>
      <c r="J106" s="65">
        <v>76249</v>
      </c>
      <c r="K106" s="65">
        <v>61156</v>
      </c>
      <c r="L106" s="65">
        <v>104625</v>
      </c>
      <c r="M106" s="65">
        <v>76344</v>
      </c>
      <c r="N106" s="65">
        <v>97557</v>
      </c>
      <c r="O106" s="65">
        <v>89248</v>
      </c>
      <c r="P106" s="65">
        <v>97283</v>
      </c>
      <c r="Q106" s="65">
        <v>89844</v>
      </c>
      <c r="R106" s="225">
        <v>88901</v>
      </c>
      <c r="S106" s="225">
        <v>91171</v>
      </c>
      <c r="T106" s="225">
        <f t="shared" si="65"/>
        <v>89972</v>
      </c>
      <c r="U106" s="225">
        <f t="shared" si="66"/>
        <v>90014.666666666672</v>
      </c>
      <c r="V106" s="65">
        <f t="shared" ref="V106" si="69">SUM(J106:U106)</f>
        <v>1052364.6666666667</v>
      </c>
      <c r="W106" s="73">
        <f t="shared" ref="W106" si="70">V106/V$6</f>
        <v>2.0999923136921835E-2</v>
      </c>
      <c r="X106" s="89"/>
      <c r="Y106" s="65">
        <f>VLOOKUP($I106,'[17]Resumen OPE'!$A$3:$M$24,Y$1,0)</f>
        <v>109932.19101</v>
      </c>
      <c r="Z106" s="65">
        <f>VLOOKUP($I106,'[17]Resumen OPE'!$A$3:$M$24,Z$1,0)</f>
        <v>99293.591879999993</v>
      </c>
      <c r="AA106" s="65">
        <f>VLOOKUP($I106,'[17]Resumen OPE'!$A$3:$M$24,AA$1,0)</f>
        <v>109932.19101</v>
      </c>
      <c r="AB106" s="65">
        <f>VLOOKUP($I106,'[17]Resumen OPE'!$A$3:$M$24,AB$1,0)</f>
        <v>106385.99129999999</v>
      </c>
      <c r="AC106" s="65">
        <f>VLOOKUP($I106,'[17]Resumen OPE'!$A$3:$M$24,AC$1,0)</f>
        <v>109932.19101</v>
      </c>
      <c r="AD106" s="65">
        <f>VLOOKUP($I106,'[17]Resumen OPE'!$A$3:$M$24,AD$1,0)</f>
        <v>106385.99129999999</v>
      </c>
      <c r="AE106" s="65">
        <f>VLOOKUP($I106,'[17]Resumen OPE'!$A$3:$M$24,AE$1,0)</f>
        <v>109932.19101</v>
      </c>
      <c r="AF106" s="65">
        <f>VLOOKUP($I106,'[17]Resumen OPE'!$A$3:$M$24,AF$1,0)</f>
        <v>109932.19101</v>
      </c>
      <c r="AG106" s="65">
        <f>VLOOKUP($I106,'[17]Resumen OPE'!$A$3:$M$24,AG$1,0)</f>
        <v>106385.99129999999</v>
      </c>
      <c r="AH106" s="65">
        <f>VLOOKUP($I106,'[17]Resumen OPE'!$A$3:$M$24,AH$1,0)</f>
        <v>109932.19101</v>
      </c>
      <c r="AI106" s="65">
        <f>VLOOKUP($I106,'[17]Resumen OPE'!$A$3:$M$24,AI$1,0)</f>
        <v>106385.99129999999</v>
      </c>
      <c r="AJ106" s="65">
        <f>VLOOKUP($I106,'[17]Resumen OPE'!$A$3:$M$24,AJ$1,0)</f>
        <v>109932.19101</v>
      </c>
      <c r="AK106" s="65">
        <f t="shared" ref="AK106" si="71">SUM(Y106:AJ106)</f>
        <v>1294362.8941499998</v>
      </c>
      <c r="AL106" s="73">
        <f t="shared" ref="AL106" si="72">AK106/AK$6</f>
        <v>2.4366873744957759E-2</v>
      </c>
      <c r="AM106" s="14">
        <f t="shared" ref="AM106" si="73">IFERROR(AK106/V106-1,0)</f>
        <v>0.22995662544415829</v>
      </c>
      <c r="AN106" s="9"/>
    </row>
    <row r="107" spans="1:40" ht="14.45" customHeight="1" outlineLevel="1">
      <c r="A107" s="12"/>
      <c r="I107" s="246" t="s">
        <v>213</v>
      </c>
      <c r="J107" s="65">
        <v>210</v>
      </c>
      <c r="K107" s="65">
        <v>2415</v>
      </c>
      <c r="L107" s="65">
        <v>1890</v>
      </c>
      <c r="M107" s="65">
        <v>840</v>
      </c>
      <c r="N107" s="65">
        <v>525</v>
      </c>
      <c r="O107" s="65">
        <v>840</v>
      </c>
      <c r="P107" s="65">
        <v>4935</v>
      </c>
      <c r="Q107" s="65">
        <v>0</v>
      </c>
      <c r="R107" s="225">
        <v>0</v>
      </c>
      <c r="S107" s="225">
        <v>0</v>
      </c>
      <c r="T107" s="225">
        <f t="shared" si="65"/>
        <v>0</v>
      </c>
      <c r="U107" s="225">
        <f t="shared" si="66"/>
        <v>0</v>
      </c>
      <c r="V107" s="65">
        <f t="shared" si="67"/>
        <v>11655</v>
      </c>
      <c r="W107" s="73">
        <f t="shared" si="31"/>
        <v>2.3257537231468936E-4</v>
      </c>
      <c r="X107" s="89"/>
      <c r="Y107" s="65">
        <f>VLOOKUP($I107,'[17]Resumen OPE'!$A$3:$M$24,Y$1,0)</f>
        <v>0</v>
      </c>
      <c r="Z107" s="65">
        <f>VLOOKUP($I107,'[17]Resumen OPE'!$A$3:$M$24,Z$1,0)</f>
        <v>0</v>
      </c>
      <c r="AA107" s="65">
        <f>VLOOKUP($I107,'[17]Resumen OPE'!$A$3:$M$24,AA$1,0)</f>
        <v>0</v>
      </c>
      <c r="AB107" s="65">
        <f>VLOOKUP($I107,'[17]Resumen OPE'!$A$3:$M$24,AB$1,0)</f>
        <v>0</v>
      </c>
      <c r="AC107" s="65">
        <f>VLOOKUP($I107,'[17]Resumen OPE'!$A$3:$M$24,AC$1,0)</f>
        <v>0</v>
      </c>
      <c r="AD107" s="65">
        <f>VLOOKUP($I107,'[17]Resumen OPE'!$A$3:$M$24,AD$1,0)</f>
        <v>0</v>
      </c>
      <c r="AE107" s="65">
        <f>VLOOKUP($I107,'[17]Resumen OPE'!$A$3:$M$24,AE$1,0)</f>
        <v>0</v>
      </c>
      <c r="AF107" s="65">
        <f>VLOOKUP($I107,'[17]Resumen OPE'!$A$3:$M$24,AF$1,0)</f>
        <v>0</v>
      </c>
      <c r="AG107" s="65">
        <f>VLOOKUP($I107,'[17]Resumen OPE'!$A$3:$M$24,AG$1,0)</f>
        <v>0</v>
      </c>
      <c r="AH107" s="65">
        <f>VLOOKUP($I107,'[17]Resumen OPE'!$A$3:$M$24,AH$1,0)</f>
        <v>0</v>
      </c>
      <c r="AI107" s="65">
        <f>VLOOKUP($I107,'[17]Resumen OPE'!$A$3:$M$24,AI$1,0)</f>
        <v>0</v>
      </c>
      <c r="AJ107" s="65">
        <f>VLOOKUP($I107,'[17]Resumen OPE'!$A$3:$M$24,AJ$1,0)</f>
        <v>0</v>
      </c>
      <c r="AK107" s="65">
        <f t="shared" si="68"/>
        <v>0</v>
      </c>
      <c r="AL107" s="73">
        <f t="shared" si="33"/>
        <v>0</v>
      </c>
      <c r="AM107" s="14">
        <f t="shared" si="34"/>
        <v>-1</v>
      </c>
      <c r="AN107" s="9"/>
    </row>
    <row r="108" spans="1:40" ht="14.45" customHeight="1" outlineLevel="1">
      <c r="A108" s="12"/>
      <c r="I108" s="246" t="s">
        <v>214</v>
      </c>
      <c r="J108" s="65">
        <v>3993</v>
      </c>
      <c r="K108" s="65">
        <v>3233</v>
      </c>
      <c r="L108" s="65">
        <v>5042</v>
      </c>
      <c r="M108" s="65">
        <v>48776</v>
      </c>
      <c r="N108" s="65">
        <v>4787</v>
      </c>
      <c r="O108" s="65">
        <v>3817</v>
      </c>
      <c r="P108" s="65">
        <v>4624</v>
      </c>
      <c r="Q108" s="65">
        <v>4492</v>
      </c>
      <c r="R108" s="225">
        <v>4421</v>
      </c>
      <c r="S108" s="225">
        <v>4231</v>
      </c>
      <c r="T108" s="225">
        <f t="shared" si="65"/>
        <v>4381.333333333333</v>
      </c>
      <c r="U108" s="225">
        <f t="shared" si="66"/>
        <v>4344.4444444444443</v>
      </c>
      <c r="V108" s="65">
        <f t="shared" si="67"/>
        <v>96141.777777777766</v>
      </c>
      <c r="W108" s="73">
        <f t="shared" si="31"/>
        <v>1.9185079160585837E-3</v>
      </c>
      <c r="X108" s="89"/>
      <c r="Y108" s="65">
        <f>VLOOKUP($I108,'[17]Resumen OPE'!$A$3:$M$24,Y$1,0)</f>
        <v>0</v>
      </c>
      <c r="Z108" s="65">
        <f>VLOOKUP($I108,'[17]Resumen OPE'!$A$3:$M$24,Z$1,0)</f>
        <v>0</v>
      </c>
      <c r="AA108" s="65">
        <f>VLOOKUP($I108,'[17]Resumen OPE'!$A$3:$M$24,AA$1,0)</f>
        <v>0</v>
      </c>
      <c r="AB108" s="65">
        <f>VLOOKUP($I108,'[17]Resumen OPE'!$A$3:$M$24,AB$1,0)</f>
        <v>0</v>
      </c>
      <c r="AC108" s="65">
        <f>VLOOKUP($I108,'[17]Resumen OPE'!$A$3:$M$24,AC$1,0)</f>
        <v>0</v>
      </c>
      <c r="AD108" s="65">
        <f>VLOOKUP($I108,'[17]Resumen OPE'!$A$3:$M$24,AD$1,0)</f>
        <v>0</v>
      </c>
      <c r="AE108" s="65">
        <f>VLOOKUP($I108,'[17]Resumen OPE'!$A$3:$M$24,AE$1,0)</f>
        <v>0</v>
      </c>
      <c r="AF108" s="65">
        <f>VLOOKUP($I108,'[17]Resumen OPE'!$A$3:$M$24,AF$1,0)</f>
        <v>0</v>
      </c>
      <c r="AG108" s="65">
        <f>VLOOKUP($I108,'[17]Resumen OPE'!$A$3:$M$24,AG$1,0)</f>
        <v>0</v>
      </c>
      <c r="AH108" s="65">
        <f>VLOOKUP($I108,'[17]Resumen OPE'!$A$3:$M$24,AH$1,0)</f>
        <v>0</v>
      </c>
      <c r="AI108" s="65">
        <f>VLOOKUP($I108,'[17]Resumen OPE'!$A$3:$M$24,AI$1,0)</f>
        <v>0</v>
      </c>
      <c r="AJ108" s="65">
        <f>VLOOKUP($I108,'[17]Resumen OPE'!$A$3:$M$24,AJ$1,0)</f>
        <v>0</v>
      </c>
      <c r="AK108" s="65">
        <f t="shared" si="68"/>
        <v>0</v>
      </c>
      <c r="AL108" s="73">
        <f t="shared" si="33"/>
        <v>0</v>
      </c>
      <c r="AM108" s="14">
        <f t="shared" si="34"/>
        <v>-1</v>
      </c>
      <c r="AN108" s="9"/>
    </row>
    <row r="109" spans="1:40" ht="14.45" customHeight="1">
      <c r="A109" s="12"/>
      <c r="E109" s="7" t="s">
        <v>474</v>
      </c>
      <c r="I109" s="167" t="s">
        <v>216</v>
      </c>
      <c r="J109" s="15">
        <v>27485</v>
      </c>
      <c r="K109" s="15">
        <v>21463</v>
      </c>
      <c r="L109" s="15">
        <v>36709</v>
      </c>
      <c r="M109" s="15">
        <v>29254</v>
      </c>
      <c r="N109" s="15">
        <v>33651</v>
      </c>
      <c r="O109" s="15">
        <v>29629</v>
      </c>
      <c r="P109" s="15">
        <v>29954</v>
      </c>
      <c r="Q109" s="15">
        <v>32775</v>
      </c>
      <c r="R109" s="15">
        <v>31697</v>
      </c>
      <c r="S109" s="15">
        <v>31277</v>
      </c>
      <c r="T109" s="15">
        <f t="shared" ref="R109:U109" si="74">SUM(T110:T113)</f>
        <v>31916.666666666668</v>
      </c>
      <c r="U109" s="15">
        <f t="shared" si="74"/>
        <v>31630.555555555555</v>
      </c>
      <c r="V109" s="15">
        <f t="shared" ref="V109" si="75">SUM(V110:V113)</f>
        <v>367441.22222222225</v>
      </c>
      <c r="W109" s="72">
        <f t="shared" si="31"/>
        <v>7.3322847758127713E-3</v>
      </c>
      <c r="X109" s="89"/>
      <c r="Y109" s="15">
        <f>SUM(Y110:Y113)</f>
        <v>39317.130238161233</v>
      </c>
      <c r="Z109" s="15">
        <f t="shared" ref="Z109:AK109" si="76">SUM(Z110:Z113)</f>
        <v>36369.696203225176</v>
      </c>
      <c r="AA109" s="15">
        <f t="shared" si="76"/>
        <v>39317.130238161233</v>
      </c>
      <c r="AB109" s="15">
        <f t="shared" si="76"/>
        <v>37424.571987308133</v>
      </c>
      <c r="AC109" s="15">
        <f t="shared" si="76"/>
        <v>39317.130238161233</v>
      </c>
      <c r="AD109" s="15">
        <f t="shared" si="76"/>
        <v>37424.571987308133</v>
      </c>
      <c r="AE109" s="15">
        <f t="shared" si="76"/>
        <v>38407.049998953487</v>
      </c>
      <c r="AF109" s="15">
        <f t="shared" si="76"/>
        <v>38407.049998953487</v>
      </c>
      <c r="AG109" s="15">
        <f t="shared" si="76"/>
        <v>38334.652226515878</v>
      </c>
      <c r="AH109" s="15">
        <f t="shared" si="76"/>
        <v>38407.049998953487</v>
      </c>
      <c r="AI109" s="15">
        <f t="shared" si="76"/>
        <v>38334.652226515878</v>
      </c>
      <c r="AJ109" s="15">
        <f t="shared" si="76"/>
        <v>39317.130238161233</v>
      </c>
      <c r="AK109" s="15">
        <f t="shared" si="76"/>
        <v>460377.81558037858</v>
      </c>
      <c r="AL109" s="72">
        <f t="shared" si="33"/>
        <v>8.6667874658082674E-3</v>
      </c>
      <c r="AM109" s="10">
        <f t="shared" si="34"/>
        <v>0.25292914277851453</v>
      </c>
      <c r="AN109" s="9"/>
    </row>
    <row r="110" spans="1:40" ht="14.45" customHeight="1" outlineLevel="1">
      <c r="A110" s="12"/>
      <c r="I110" s="246" t="s">
        <v>217</v>
      </c>
      <c r="J110" s="65">
        <v>5133</v>
      </c>
      <c r="K110" s="65">
        <v>3917</v>
      </c>
      <c r="L110" s="65">
        <v>6665</v>
      </c>
      <c r="M110" s="65">
        <v>5339</v>
      </c>
      <c r="N110" s="65">
        <v>6133</v>
      </c>
      <c r="O110" s="65">
        <v>5377</v>
      </c>
      <c r="P110" s="65">
        <v>6756</v>
      </c>
      <c r="Q110" s="65">
        <v>6744</v>
      </c>
      <c r="R110" s="225">
        <v>6410</v>
      </c>
      <c r="S110" s="225">
        <v>5977</v>
      </c>
      <c r="T110" s="225">
        <f t="shared" ref="T110:T113" si="77">+AVERAGE(Q110:S110)</f>
        <v>6377</v>
      </c>
      <c r="U110" s="225">
        <f t="shared" ref="U110:U113" si="78">+AVERAGE(R110:T110)</f>
        <v>6254.666666666667</v>
      </c>
      <c r="V110" s="65">
        <f t="shared" ref="V110:V113" si="79">SUM(J110:U110)</f>
        <v>71082.666666666672</v>
      </c>
      <c r="W110" s="73">
        <f t="shared" si="31"/>
        <v>1.4184536821210604E-3</v>
      </c>
      <c r="X110" s="89"/>
      <c r="Y110" s="65">
        <f>VLOOKUP($I110,'[17]Resumen OPE'!$A$3:$M$24,Y$1,0)</f>
        <v>6822.9257043874995</v>
      </c>
      <c r="Z110" s="65">
        <f>VLOOKUP($I110,'[17]Resumen OPE'!$A$3:$M$24,Z$1,0)</f>
        <v>6240.57908615</v>
      </c>
      <c r="AA110" s="65">
        <f>VLOOKUP($I110,'[17]Resumen OPE'!$A$3:$M$24,AA$1,0)</f>
        <v>6822.9257043874995</v>
      </c>
      <c r="AB110" s="65">
        <f>VLOOKUP($I110,'[17]Resumen OPE'!$A$3:$M$24,AB$1,0)</f>
        <v>6416.0381823749995</v>
      </c>
      <c r="AC110" s="65">
        <f>VLOOKUP($I110,'[17]Resumen OPE'!$A$3:$M$24,AC$1,0)</f>
        <v>6822.9257043874995</v>
      </c>
      <c r="AD110" s="65">
        <f>VLOOKUP($I110,'[17]Resumen OPE'!$A$3:$M$24,AD$1,0)</f>
        <v>6416.0381823749995</v>
      </c>
      <c r="AE110" s="65">
        <f>VLOOKUP($I110,'[17]Resumen OPE'!$A$3:$M$24,AE$1,0)</f>
        <v>6610.1537217875002</v>
      </c>
      <c r="AF110" s="65">
        <f>VLOOKUP($I110,'[17]Resumen OPE'!$A$3:$M$24,AF$1,0)</f>
        <v>6610.1537217875002</v>
      </c>
      <c r="AG110" s="65">
        <f>VLOOKUP($I110,'[17]Resumen OPE'!$A$3:$M$24,AG$1,0)</f>
        <v>6628.8101649749997</v>
      </c>
      <c r="AH110" s="65">
        <f>VLOOKUP($I110,'[17]Resumen OPE'!$A$3:$M$24,AH$1,0)</f>
        <v>6610.1537217875002</v>
      </c>
      <c r="AI110" s="65">
        <f>VLOOKUP($I110,'[17]Resumen OPE'!$A$3:$M$24,AI$1,0)</f>
        <v>6628.8101649749997</v>
      </c>
      <c r="AJ110" s="65">
        <f>VLOOKUP($I110,'[17]Resumen OPE'!$A$3:$M$24,AJ$1,0)</f>
        <v>6822.9257043874995</v>
      </c>
      <c r="AK110" s="65">
        <f t="shared" si="68"/>
        <v>79452.439763762493</v>
      </c>
      <c r="AL110" s="73">
        <f t="shared" si="33"/>
        <v>1.4957223953208473E-3</v>
      </c>
      <c r="AM110" s="14">
        <f t="shared" si="34"/>
        <v>0.11774703299110634</v>
      </c>
      <c r="AN110" s="9"/>
    </row>
    <row r="111" spans="1:40" ht="14.45" customHeight="1" outlineLevel="1">
      <c r="A111" s="12"/>
      <c r="I111" s="246" t="s">
        <v>218</v>
      </c>
      <c r="J111" s="65">
        <v>8643</v>
      </c>
      <c r="K111" s="65">
        <v>6527</v>
      </c>
      <c r="L111" s="65">
        <v>10944</v>
      </c>
      <c r="M111" s="65">
        <v>8737</v>
      </c>
      <c r="N111" s="65">
        <v>10331</v>
      </c>
      <c r="O111" s="65">
        <v>9057</v>
      </c>
      <c r="P111" s="65">
        <v>10942</v>
      </c>
      <c r="Q111" s="65">
        <v>10222</v>
      </c>
      <c r="R111" s="225">
        <v>9746</v>
      </c>
      <c r="S111" s="225">
        <v>9787</v>
      </c>
      <c r="T111" s="225">
        <f t="shared" si="77"/>
        <v>9918.3333333333339</v>
      </c>
      <c r="U111" s="225">
        <f t="shared" si="78"/>
        <v>9817.1111111111113</v>
      </c>
      <c r="V111" s="65">
        <f t="shared" si="79"/>
        <v>114671.44444444444</v>
      </c>
      <c r="W111" s="73">
        <f t="shared" si="31"/>
        <v>2.2882671716456357E-3</v>
      </c>
      <c r="X111" s="89"/>
      <c r="Y111" s="65">
        <f>VLOOKUP($I111,'[17]Resumen OPE'!$A$3:$M$24,Y$1,0)</f>
        <v>12981.298445167657</v>
      </c>
      <c r="Z111" s="65">
        <f>VLOOKUP($I111,'[17]Resumen OPE'!$A$3:$M$24,Z$1,0)</f>
        <v>11873.325769308991</v>
      </c>
      <c r="AA111" s="65">
        <f>VLOOKUP($I111,'[17]Resumen OPE'!$A$3:$M$24,AA$1,0)</f>
        <v>12981.298445167657</v>
      </c>
      <c r="AB111" s="65">
        <f>VLOOKUP($I111,'[17]Resumen OPE'!$A$3:$M$24,AB$1,0)</f>
        <v>12207.154245786673</v>
      </c>
      <c r="AC111" s="65">
        <f>VLOOKUP($I111,'[17]Resumen OPE'!$A$3:$M$24,AC$1,0)</f>
        <v>12981.298445167657</v>
      </c>
      <c r="AD111" s="65">
        <f>VLOOKUP($I111,'[17]Resumen OPE'!$A$3:$M$24,AD$1,0)</f>
        <v>12207.154245786673</v>
      </c>
      <c r="AE111" s="65">
        <f>VLOOKUP($I111,'[17]Resumen OPE'!$A$3:$M$24,AE$1,0)</f>
        <v>12576.478471072896</v>
      </c>
      <c r="AF111" s="65">
        <f>VLOOKUP($I111,'[17]Resumen OPE'!$A$3:$M$24,AF$1,0)</f>
        <v>12576.478471072896</v>
      </c>
      <c r="AG111" s="65">
        <f>VLOOKUP($I111,'[17]Resumen OPE'!$A$3:$M$24,AG$1,0)</f>
        <v>12611.974219881435</v>
      </c>
      <c r="AH111" s="65">
        <f>VLOOKUP($I111,'[17]Resumen OPE'!$A$3:$M$24,AH$1,0)</f>
        <v>12576.478471072896</v>
      </c>
      <c r="AI111" s="65">
        <f>VLOOKUP($I111,'[17]Resumen OPE'!$A$3:$M$24,AI$1,0)</f>
        <v>12611.974219881435</v>
      </c>
      <c r="AJ111" s="65">
        <f>VLOOKUP($I111,'[17]Resumen OPE'!$A$3:$M$24,AJ$1,0)</f>
        <v>12981.298445167657</v>
      </c>
      <c r="AK111" s="65">
        <f t="shared" si="68"/>
        <v>151166.21189453453</v>
      </c>
      <c r="AL111" s="73">
        <f t="shared" si="33"/>
        <v>2.8457614293374441E-3</v>
      </c>
      <c r="AM111" s="14">
        <f t="shared" si="34"/>
        <v>0.31825506015816285</v>
      </c>
      <c r="AN111" s="9"/>
    </row>
    <row r="112" spans="1:40" ht="14.45" customHeight="1" outlineLevel="1">
      <c r="A112" s="12"/>
      <c r="I112" s="246" t="s">
        <v>219</v>
      </c>
      <c r="J112" s="65">
        <v>10007</v>
      </c>
      <c r="K112" s="65">
        <v>7797</v>
      </c>
      <c r="L112" s="65">
        <v>13335</v>
      </c>
      <c r="M112" s="65">
        <v>10790</v>
      </c>
      <c r="N112" s="65">
        <v>12420</v>
      </c>
      <c r="O112" s="65">
        <v>10488</v>
      </c>
      <c r="P112" s="65">
        <v>12643</v>
      </c>
      <c r="Q112" s="65">
        <v>11324</v>
      </c>
      <c r="R112" s="225">
        <v>10948</v>
      </c>
      <c r="S112" s="225">
        <v>11335</v>
      </c>
      <c r="T112" s="225">
        <f t="shared" si="77"/>
        <v>11202.333333333334</v>
      </c>
      <c r="U112" s="225">
        <f t="shared" si="78"/>
        <v>11161.777777777779</v>
      </c>
      <c r="V112" s="65">
        <f t="shared" si="79"/>
        <v>133451.11111111109</v>
      </c>
      <c r="W112" s="73">
        <f t="shared" si="31"/>
        <v>2.6630151739575839E-3</v>
      </c>
      <c r="X112" s="89"/>
      <c r="Y112" s="65">
        <f>VLOOKUP($I112,'[17]Resumen OPE'!$A$3:$M$24,Y$1,0)</f>
        <v>14097.256593090504</v>
      </c>
      <c r="Z112" s="65">
        <f>VLOOKUP($I112,'[17]Resumen OPE'!$A$3:$M$24,Z$1,0)</f>
        <v>12840.141852250616</v>
      </c>
      <c r="AA112" s="65">
        <f>VLOOKUP($I112,'[17]Resumen OPE'!$A$3:$M$24,AA$1,0)</f>
        <v>14097.256593090504</v>
      </c>
      <c r="AB112" s="65">
        <f>VLOOKUP($I112,'[17]Resumen OPE'!$A$3:$M$24,AB$1,0)</f>
        <v>13385.730063630888</v>
      </c>
      <c r="AC112" s="65">
        <f>VLOOKUP($I112,'[17]Resumen OPE'!$A$3:$M$24,AC$1,0)</f>
        <v>14097.256593090504</v>
      </c>
      <c r="AD112" s="65">
        <f>VLOOKUP($I112,'[17]Resumen OPE'!$A$3:$M$24,AD$1,0)</f>
        <v>13385.730063630888</v>
      </c>
      <c r="AE112" s="65">
        <f>VLOOKUP($I112,'[17]Resumen OPE'!$A$3:$M$24,AE$1,0)</f>
        <v>13804.768310577516</v>
      </c>
      <c r="AF112" s="65">
        <f>VLOOKUP($I112,'[17]Resumen OPE'!$A$3:$M$24,AF$1,0)</f>
        <v>13804.768310577516</v>
      </c>
      <c r="AG112" s="65">
        <f>VLOOKUP($I112,'[17]Resumen OPE'!$A$3:$M$24,AG$1,0)</f>
        <v>13678.218346143873</v>
      </c>
      <c r="AH112" s="65">
        <f>VLOOKUP($I112,'[17]Resumen OPE'!$A$3:$M$24,AH$1,0)</f>
        <v>13804.768310577516</v>
      </c>
      <c r="AI112" s="65">
        <f>VLOOKUP($I112,'[17]Resumen OPE'!$A$3:$M$24,AI$1,0)</f>
        <v>13678.218346143873</v>
      </c>
      <c r="AJ112" s="65">
        <f>VLOOKUP($I112,'[17]Resumen OPE'!$A$3:$M$24,AJ$1,0)</f>
        <v>14097.256593090504</v>
      </c>
      <c r="AK112" s="65">
        <f t="shared" si="68"/>
        <v>164771.36997589472</v>
      </c>
      <c r="AL112" s="73">
        <f t="shared" si="33"/>
        <v>3.1018837044327909E-3</v>
      </c>
      <c r="AM112" s="14">
        <f t="shared" si="34"/>
        <v>0.23469462789790074</v>
      </c>
      <c r="AN112" s="9"/>
    </row>
    <row r="113" spans="1:40" ht="14.45" customHeight="1" outlineLevel="1">
      <c r="A113" s="12"/>
      <c r="I113" s="246" t="s">
        <v>220</v>
      </c>
      <c r="J113" s="65">
        <v>3701</v>
      </c>
      <c r="K113" s="65">
        <v>3222</v>
      </c>
      <c r="L113" s="65">
        <v>5765</v>
      </c>
      <c r="M113" s="65">
        <v>4387</v>
      </c>
      <c r="N113" s="65">
        <v>4768</v>
      </c>
      <c r="O113" s="65">
        <v>4708</v>
      </c>
      <c r="P113" s="65">
        <v>-388</v>
      </c>
      <c r="Q113" s="65">
        <v>4485</v>
      </c>
      <c r="R113" s="225">
        <v>4593</v>
      </c>
      <c r="S113" s="225">
        <v>4179</v>
      </c>
      <c r="T113" s="225">
        <f t="shared" si="77"/>
        <v>4419</v>
      </c>
      <c r="U113" s="225">
        <f t="shared" si="78"/>
        <v>4397</v>
      </c>
      <c r="V113" s="65">
        <f t="shared" si="79"/>
        <v>48236</v>
      </c>
      <c r="W113" s="73">
        <f t="shared" si="31"/>
        <v>9.6254874808849049E-4</v>
      </c>
      <c r="X113" s="89"/>
      <c r="Y113" s="65">
        <f>VLOOKUP($I113,'[17]Resumen OPE'!$A$3:$M$24,Y$1,0)</f>
        <v>5415.6494955155713</v>
      </c>
      <c r="Z113" s="65">
        <f>VLOOKUP($I113,'[17]Resumen OPE'!$A$3:$M$24,Z$1,0)</f>
        <v>5415.6494955155713</v>
      </c>
      <c r="AA113" s="65">
        <f>VLOOKUP($I113,'[17]Resumen OPE'!$A$3:$M$24,AA$1,0)</f>
        <v>5415.6494955155713</v>
      </c>
      <c r="AB113" s="65">
        <f>VLOOKUP($I113,'[17]Resumen OPE'!$A$3:$M$24,AB$1,0)</f>
        <v>5415.6494955155713</v>
      </c>
      <c r="AC113" s="65">
        <f>VLOOKUP($I113,'[17]Resumen OPE'!$A$3:$M$24,AC$1,0)</f>
        <v>5415.6494955155713</v>
      </c>
      <c r="AD113" s="65">
        <f>VLOOKUP($I113,'[17]Resumen OPE'!$A$3:$M$24,AD$1,0)</f>
        <v>5415.6494955155713</v>
      </c>
      <c r="AE113" s="65">
        <f>VLOOKUP($I113,'[17]Resumen OPE'!$A$3:$M$24,AE$1,0)</f>
        <v>5415.6494955155713</v>
      </c>
      <c r="AF113" s="65">
        <f>VLOOKUP($I113,'[17]Resumen OPE'!$A$3:$M$24,AF$1,0)</f>
        <v>5415.6494955155713</v>
      </c>
      <c r="AG113" s="65">
        <f>VLOOKUP($I113,'[17]Resumen OPE'!$A$3:$M$24,AG$1,0)</f>
        <v>5415.6494955155713</v>
      </c>
      <c r="AH113" s="65">
        <f>VLOOKUP($I113,'[17]Resumen OPE'!$A$3:$M$24,AH$1,0)</f>
        <v>5415.6494955155713</v>
      </c>
      <c r="AI113" s="65">
        <f>VLOOKUP($I113,'[17]Resumen OPE'!$A$3:$M$24,AI$1,0)</f>
        <v>5415.6494955155713</v>
      </c>
      <c r="AJ113" s="65">
        <f>VLOOKUP($I113,'[17]Resumen OPE'!$A$3:$M$24,AJ$1,0)</f>
        <v>5415.6494955155713</v>
      </c>
      <c r="AK113" s="65">
        <f t="shared" si="68"/>
        <v>64987.793946186859</v>
      </c>
      <c r="AL113" s="73">
        <f t="shared" si="33"/>
        <v>1.2234199367171851E-3</v>
      </c>
      <c r="AM113" s="14">
        <f t="shared" si="34"/>
        <v>0.34728820686182238</v>
      </c>
      <c r="AN113" s="9"/>
    </row>
    <row r="114" spans="1:40" ht="14.45" customHeight="1">
      <c r="A114" s="12"/>
      <c r="I114" s="167" t="s">
        <v>223</v>
      </c>
      <c r="J114" s="15">
        <v>136184</v>
      </c>
      <c r="K114" s="15">
        <v>46590</v>
      </c>
      <c r="L114" s="15">
        <v>72948</v>
      </c>
      <c r="M114" s="15">
        <v>143295</v>
      </c>
      <c r="N114" s="15">
        <v>71003</v>
      </c>
      <c r="O114" s="15">
        <v>87261</v>
      </c>
      <c r="P114" s="15">
        <v>41504</v>
      </c>
      <c r="Q114" s="15">
        <v>115196</v>
      </c>
      <c r="R114" s="15">
        <v>78644</v>
      </c>
      <c r="S114" s="15">
        <v>74379</v>
      </c>
      <c r="T114" s="15">
        <v>61533.65608430939</v>
      </c>
      <c r="U114" s="15">
        <v>68606.965860011042</v>
      </c>
      <c r="V114" s="15">
        <f t="shared" ref="V114" si="80">SUM(V115:V150)</f>
        <v>997144.6219443205</v>
      </c>
      <c r="W114" s="72">
        <f t="shared" si="31"/>
        <v>1.9898007867892795E-2</v>
      </c>
      <c r="X114" s="89"/>
      <c r="Y114" s="15">
        <f>SUM(Y115:Y150)</f>
        <v>126979.91951468759</v>
      </c>
      <c r="Z114" s="15">
        <f t="shared" ref="Z114:AK114" si="81">SUM(Z115:Z150)</f>
        <v>129817.08418819561</v>
      </c>
      <c r="AA114" s="15">
        <f t="shared" si="81"/>
        <v>109575.91368184952</v>
      </c>
      <c r="AB114" s="15">
        <f t="shared" si="81"/>
        <v>72397.630569612462</v>
      </c>
      <c r="AC114" s="15">
        <f t="shared" si="81"/>
        <v>86716.892356111581</v>
      </c>
      <c r="AD114" s="15">
        <f t="shared" si="81"/>
        <v>77108.014467082045</v>
      </c>
      <c r="AE114" s="15">
        <f t="shared" si="81"/>
        <v>119122.50681808082</v>
      </c>
      <c r="AF114" s="15">
        <f t="shared" si="81"/>
        <v>107955.09774718313</v>
      </c>
      <c r="AG114" s="15">
        <f t="shared" si="81"/>
        <v>99184.478785257161</v>
      </c>
      <c r="AH114" s="15">
        <f t="shared" si="81"/>
        <v>73792.843233043706</v>
      </c>
      <c r="AI114" s="15">
        <f t="shared" si="81"/>
        <v>80143.76137799659</v>
      </c>
      <c r="AJ114" s="15">
        <f t="shared" si="81"/>
        <v>75115.040391454939</v>
      </c>
      <c r="AK114" s="15">
        <f t="shared" si="81"/>
        <v>1157909.1831305551</v>
      </c>
      <c r="AL114" s="72">
        <f t="shared" si="33"/>
        <v>2.1798080739944093E-2</v>
      </c>
      <c r="AM114" s="10">
        <f t="shared" si="34"/>
        <v>0.16122491928278326</v>
      </c>
      <c r="AN114" s="9"/>
    </row>
    <row r="115" spans="1:40" ht="14.45" customHeight="1" outlineLevel="1">
      <c r="A115" s="12"/>
      <c r="I115" s="246" t="s">
        <v>225</v>
      </c>
      <c r="J115" s="65">
        <v>0</v>
      </c>
      <c r="K115" s="65">
        <v>0</v>
      </c>
      <c r="L115" s="65">
        <v>0</v>
      </c>
      <c r="M115" s="65">
        <v>11499</v>
      </c>
      <c r="N115" s="65">
        <v>0</v>
      </c>
      <c r="O115" s="65">
        <v>3250</v>
      </c>
      <c r="P115" s="65">
        <v>0</v>
      </c>
      <c r="Q115" s="65">
        <v>9500</v>
      </c>
      <c r="R115" s="65">
        <v>6000</v>
      </c>
      <c r="S115" s="65">
        <v>2500</v>
      </c>
      <c r="T115" s="65">
        <v>1592.24</v>
      </c>
      <c r="U115" s="65">
        <v>1592.24</v>
      </c>
      <c r="V115" s="65">
        <f t="shared" ref="V115:V150" si="82">SUM(J115:U115)</f>
        <v>35933.479999999996</v>
      </c>
      <c r="W115" s="73">
        <f t="shared" si="31"/>
        <v>7.1705212265658024E-4</v>
      </c>
      <c r="X115" s="89"/>
      <c r="Y115" s="65">
        <f>VLOOKUP($E$1,[18]Resumen!$V$8:$AI$14,Y1,0)+VLOOKUP($E$1,[6]Resumen!$C$32:$O$39,Y1,0)</f>
        <v>5483.0180999999993</v>
      </c>
      <c r="Z115" s="65">
        <f>VLOOKUP($E$1,[18]Resumen!$V$8:$AI$14,Z1,0)+VLOOKUP($E$1,[6]Resumen!$C$32:$O$39,Z1,0)</f>
        <v>5483.0180999999993</v>
      </c>
      <c r="AA115" s="65">
        <f>VLOOKUP($E$1,[18]Resumen!$V$8:$AI$14,AA1,0)+VLOOKUP($E$1,[6]Resumen!$C$32:$O$39,AA1,0)</f>
        <v>5483.0180999999993</v>
      </c>
      <c r="AB115" s="65">
        <f>VLOOKUP($E$1,[18]Resumen!$V$8:$AI$14,AB1,0)+VLOOKUP($E$1,[6]Resumen!$C$32:$O$39,AB1,0)</f>
        <v>5483.0180999999993</v>
      </c>
      <c r="AC115" s="65">
        <f>VLOOKUP($E$1,[18]Resumen!$V$8:$AI$14,AC1,0)+VLOOKUP($E$1,[6]Resumen!$C$32:$O$39,AC1,0)</f>
        <v>5483.0180999999993</v>
      </c>
      <c r="AD115" s="65">
        <f>VLOOKUP($E$1,[18]Resumen!$V$8:$AI$14,AD1,0)+VLOOKUP($E$1,[6]Resumen!$C$32:$O$39,AD1,0)</f>
        <v>5483.0180999999993</v>
      </c>
      <c r="AE115" s="65">
        <f>VLOOKUP($E$1,[18]Resumen!$V$8:$AI$14,AE1,0)+VLOOKUP($E$1,[6]Resumen!$C$32:$O$39,AE1,0)</f>
        <v>5483.0180999999993</v>
      </c>
      <c r="AF115" s="65">
        <f>VLOOKUP($E$1,[18]Resumen!$V$8:$AI$14,AF1,0)+VLOOKUP($E$1,[6]Resumen!$C$32:$O$39,AF1,0)</f>
        <v>5483.0180999999993</v>
      </c>
      <c r="AG115" s="65">
        <f>VLOOKUP($E$1,[18]Resumen!$V$8:$AI$14,AG1,0)+VLOOKUP($E$1,[6]Resumen!$C$32:$O$39,AG1,0)</f>
        <v>5483.0180999999993</v>
      </c>
      <c r="AH115" s="65">
        <f>VLOOKUP($E$1,[18]Resumen!$V$8:$AI$14,AH1,0)+VLOOKUP($E$1,[6]Resumen!$C$32:$O$39,AH1,0)</f>
        <v>5483.0180999999993</v>
      </c>
      <c r="AI115" s="65">
        <f>VLOOKUP($E$1,[18]Resumen!$V$8:$AI$14,AI1,0)+VLOOKUP($E$1,[6]Resumen!$C$32:$O$39,AI1,0)</f>
        <v>5483.0180999999993</v>
      </c>
      <c r="AJ115" s="65">
        <f>VLOOKUP($E$1,[18]Resumen!$V$8:$AI$14,AJ1,0)+VLOOKUP($E$1,[6]Resumen!$C$32:$O$39,AJ1,0)</f>
        <v>5483.0180999999993</v>
      </c>
      <c r="AK115" s="65">
        <f t="shared" si="68"/>
        <v>65796.217199999999</v>
      </c>
      <c r="AL115" s="73">
        <f t="shared" si="33"/>
        <v>1.2386388119238086E-3</v>
      </c>
      <c r="AM115" s="14">
        <f t="shared" si="34"/>
        <v>0.83105608474325354</v>
      </c>
      <c r="AN115" s="9"/>
    </row>
    <row r="116" spans="1:40" ht="14.45" customHeight="1" outlineLevel="1">
      <c r="A116" s="12"/>
      <c r="I116" s="246" t="s">
        <v>227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/>
      <c r="U116" s="65"/>
      <c r="V116" s="65">
        <f t="shared" si="82"/>
        <v>0</v>
      </c>
      <c r="W116" s="73">
        <f t="shared" si="31"/>
        <v>0</v>
      </c>
      <c r="X116" s="89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>
        <f t="shared" si="68"/>
        <v>0</v>
      </c>
      <c r="AL116" s="73">
        <f t="shared" si="33"/>
        <v>0</v>
      </c>
      <c r="AM116" s="14">
        <f t="shared" si="34"/>
        <v>0</v>
      </c>
      <c r="AN116" s="9"/>
    </row>
    <row r="117" spans="1:40" ht="14.45" customHeight="1" outlineLevel="1">
      <c r="A117" s="12"/>
      <c r="I117" s="246" t="s">
        <v>228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/>
      <c r="U117" s="65"/>
      <c r="V117" s="65">
        <f t="shared" si="82"/>
        <v>0</v>
      </c>
      <c r="W117" s="73">
        <f t="shared" si="31"/>
        <v>0</v>
      </c>
      <c r="X117" s="89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>
        <f t="shared" si="68"/>
        <v>0</v>
      </c>
      <c r="AL117" s="73">
        <f t="shared" si="33"/>
        <v>0</v>
      </c>
      <c r="AM117" s="14">
        <f t="shared" si="34"/>
        <v>0</v>
      </c>
      <c r="AN117" s="9"/>
    </row>
    <row r="118" spans="1:40" ht="14.45" customHeight="1" outlineLevel="1">
      <c r="A118" s="12"/>
      <c r="I118" s="246" t="s">
        <v>229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15080</v>
      </c>
      <c r="S118" s="65">
        <v>0</v>
      </c>
      <c r="T118" s="65">
        <v>0</v>
      </c>
      <c r="U118" s="65">
        <v>0</v>
      </c>
      <c r="V118" s="65">
        <f t="shared" si="82"/>
        <v>15080</v>
      </c>
      <c r="W118" s="73">
        <f t="shared" si="31"/>
        <v>3.0092120244577569E-4</v>
      </c>
      <c r="X118" s="89"/>
      <c r="Y118" s="65">
        <f>VLOOKUP($E$1,[9]Resumen!$V$22:$AH$28,Y1,0)</f>
        <v>0</v>
      </c>
      <c r="Z118" s="65">
        <f>VLOOKUP($E$1,[9]Resumen!$V$22:$AH$28,Z1,0)</f>
        <v>36228.5</v>
      </c>
      <c r="AA118" s="65">
        <f>VLOOKUP($E$1,[9]Resumen!$V$22:$AH$28,AA1,0)</f>
        <v>0</v>
      </c>
      <c r="AB118" s="65">
        <f>VLOOKUP($E$1,[9]Resumen!$V$22:$AH$28,AB1,0)</f>
        <v>0</v>
      </c>
      <c r="AC118" s="65">
        <f>VLOOKUP($E$1,[9]Resumen!$V$22:$AH$28,AC1,0)</f>
        <v>0</v>
      </c>
      <c r="AD118" s="65">
        <f>VLOOKUP($E$1,[9]Resumen!$V$22:$AH$28,AD1,0)</f>
        <v>0</v>
      </c>
      <c r="AE118" s="65">
        <f>VLOOKUP($E$1,[9]Resumen!$V$22:$AH$28,AE1,0)</f>
        <v>0</v>
      </c>
      <c r="AF118" s="65">
        <f>VLOOKUP($E$1,[9]Resumen!$V$22:$AH$28,AF1,0)</f>
        <v>0</v>
      </c>
      <c r="AG118" s="65">
        <f>VLOOKUP($E$1,[9]Resumen!$V$22:$AH$28,AG1,0)</f>
        <v>0</v>
      </c>
      <c r="AH118" s="65">
        <f>VLOOKUP($E$1,[9]Resumen!$V$22:$AH$28,AH1,0)</f>
        <v>0</v>
      </c>
      <c r="AI118" s="65">
        <f>VLOOKUP($E$1,[9]Resumen!$V$22:$AH$28,AI1,0)</f>
        <v>0</v>
      </c>
      <c r="AJ118" s="65">
        <f>VLOOKUP($E$1,[9]Resumen!$V$22:$AH$28,AJ1,0)</f>
        <v>0</v>
      </c>
      <c r="AK118" s="65">
        <f t="shared" si="68"/>
        <v>36228.5</v>
      </c>
      <c r="AL118" s="73">
        <f t="shared" si="33"/>
        <v>6.8201529065688746E-4</v>
      </c>
      <c r="AM118" s="14">
        <f t="shared" si="34"/>
        <v>1.402420424403183</v>
      </c>
      <c r="AN118" s="9"/>
    </row>
    <row r="119" spans="1:40" ht="14.45" customHeight="1" outlineLevel="1">
      <c r="A119" s="12"/>
      <c r="I119" s="246" t="s">
        <v>231</v>
      </c>
      <c r="J119" s="65">
        <v>0</v>
      </c>
      <c r="K119" s="65">
        <v>0</v>
      </c>
      <c r="L119" s="65">
        <v>0</v>
      </c>
      <c r="M119" s="65">
        <v>2200</v>
      </c>
      <c r="N119" s="65">
        <v>0</v>
      </c>
      <c r="O119" s="65">
        <v>0</v>
      </c>
      <c r="P119" s="65">
        <v>0</v>
      </c>
      <c r="Q119" s="65">
        <v>6900</v>
      </c>
      <c r="R119" s="65">
        <v>0</v>
      </c>
      <c r="S119" s="65">
        <v>0</v>
      </c>
      <c r="T119" s="65">
        <v>0</v>
      </c>
      <c r="U119" s="65">
        <v>0</v>
      </c>
      <c r="V119" s="65">
        <f t="shared" si="82"/>
        <v>9100</v>
      </c>
      <c r="W119" s="73">
        <f t="shared" si="31"/>
        <v>1.8159038078624395E-4</v>
      </c>
      <c r="X119" s="89"/>
      <c r="Y119" s="65">
        <f>VLOOKUP($E$1,[9]Resumen!$V$34:$AH$40,Y1,0)</f>
        <v>0</v>
      </c>
      <c r="Z119" s="65">
        <f>VLOOKUP($E$1,[9]Resumen!$V$34:$AH$40,Z1,0)</f>
        <v>0</v>
      </c>
      <c r="AA119" s="65">
        <f>VLOOKUP($E$1,[9]Resumen!$V$34:$AH$40,AA1,0)</f>
        <v>0</v>
      </c>
      <c r="AB119" s="65">
        <f>VLOOKUP($E$1,[9]Resumen!$V$34:$AH$40,AB1,0)</f>
        <v>0</v>
      </c>
      <c r="AC119" s="65">
        <f>VLOOKUP($E$1,[9]Resumen!$V$34:$AH$40,AC1,0)</f>
        <v>0</v>
      </c>
      <c r="AD119" s="65">
        <f>VLOOKUP($E$1,[9]Resumen!$V$34:$AH$40,AD1,0)</f>
        <v>0</v>
      </c>
      <c r="AE119" s="65">
        <f>VLOOKUP($E$1,[9]Resumen!$V$34:$AH$40,AE1,0)</f>
        <v>22169.771799999999</v>
      </c>
      <c r="AF119" s="65">
        <f>VLOOKUP($E$1,[9]Resumen!$V$34:$AH$40,AF1,0)</f>
        <v>0</v>
      </c>
      <c r="AG119" s="65">
        <f>VLOOKUP($E$1,[9]Resumen!$V$34:$AH$40,AG1,0)</f>
        <v>0</v>
      </c>
      <c r="AH119" s="65">
        <f>VLOOKUP($E$1,[9]Resumen!$V$34:$AH$40,AH1,0)</f>
        <v>0</v>
      </c>
      <c r="AI119" s="65">
        <f>VLOOKUP($E$1,[9]Resumen!$V$34:$AH$40,AI1,0)</f>
        <v>0</v>
      </c>
      <c r="AJ119" s="65">
        <f>VLOOKUP($E$1,[9]Resumen!$V$34:$AH$40,AJ1,0)</f>
        <v>0</v>
      </c>
      <c r="AK119" s="65">
        <f t="shared" si="68"/>
        <v>22169.771799999999</v>
      </c>
      <c r="AL119" s="73">
        <f t="shared" si="33"/>
        <v>4.1735438557969181E-4</v>
      </c>
      <c r="AM119" s="14">
        <f t="shared" si="34"/>
        <v>1.4362386593406593</v>
      </c>
      <c r="AN119" s="9"/>
    </row>
    <row r="120" spans="1:40" ht="14.45" customHeight="1" outlineLevel="1">
      <c r="A120" s="12"/>
      <c r="I120" s="246" t="s">
        <v>232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/>
      <c r="U120" s="65"/>
      <c r="V120" s="65">
        <f t="shared" si="82"/>
        <v>0</v>
      </c>
      <c r="W120" s="73">
        <f t="shared" si="31"/>
        <v>0</v>
      </c>
      <c r="X120" s="89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>
        <f t="shared" si="68"/>
        <v>0</v>
      </c>
      <c r="AL120" s="73">
        <f t="shared" si="33"/>
        <v>0</v>
      </c>
      <c r="AM120" s="14">
        <f t="shared" si="34"/>
        <v>0</v>
      </c>
      <c r="AN120" s="9"/>
    </row>
    <row r="121" spans="1:40" ht="14.45" customHeight="1" outlineLevel="1">
      <c r="A121" s="12"/>
      <c r="E121" s="7" t="s">
        <v>254</v>
      </c>
      <c r="I121" s="246" t="s">
        <v>233</v>
      </c>
      <c r="J121" s="65">
        <v>37688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f t="shared" si="82"/>
        <v>37688</v>
      </c>
      <c r="W121" s="73">
        <f>V121/V$6</f>
        <v>7.5206354627164421E-4</v>
      </c>
      <c r="X121" s="89"/>
      <c r="Y121" s="65">
        <f>VLOOKUP($E$1,[8]Resumen!$V$68:$AH$74,Y1,0)</f>
        <v>39010.8488</v>
      </c>
      <c r="Z121" s="65">
        <f>VLOOKUP($E$1,[8]Resumen!$V$68:$AH$74,Z1,0)</f>
        <v>0</v>
      </c>
      <c r="AA121" s="65">
        <f>VLOOKUP($E$1,[8]Resumen!$V$68:$AH$74,AA1,0)</f>
        <v>0</v>
      </c>
      <c r="AB121" s="65">
        <f>VLOOKUP($E$1,[8]Resumen!$V$68:$AH$74,AB1,0)</f>
        <v>0</v>
      </c>
      <c r="AC121" s="65">
        <f>VLOOKUP($E$1,[8]Resumen!$V$68:$AH$74,AC1,0)</f>
        <v>0</v>
      </c>
      <c r="AD121" s="65">
        <f>VLOOKUP($E$1,[8]Resumen!$V$68:$AH$74,AD1,0)</f>
        <v>0</v>
      </c>
      <c r="AE121" s="65">
        <f>VLOOKUP($E$1,[8]Resumen!$V$68:$AH$74,AE1,0)</f>
        <v>0</v>
      </c>
      <c r="AF121" s="65">
        <f>VLOOKUP($E$1,[8]Resumen!$V$68:$AH$74,AF1,0)</f>
        <v>0</v>
      </c>
      <c r="AG121" s="65">
        <f>VLOOKUP($E$1,[8]Resumen!$V$68:$AH$74,AG1,0)</f>
        <v>0</v>
      </c>
      <c r="AH121" s="65">
        <f>VLOOKUP($E$1,[8]Resumen!$V$68:$AH$74,AH1,0)</f>
        <v>0</v>
      </c>
      <c r="AI121" s="65">
        <f>VLOOKUP($E$1,[8]Resumen!$V$68:$AH$74,AI1,0)</f>
        <v>0</v>
      </c>
      <c r="AJ121" s="65">
        <f>VLOOKUP($E$1,[8]Resumen!$V$68:$AH$74,AJ1,0)</f>
        <v>0</v>
      </c>
      <c r="AK121" s="65">
        <f t="shared" si="68"/>
        <v>39010.8488</v>
      </c>
      <c r="AL121" s="73">
        <f>AK121/AK$6</f>
        <v>7.3439406497933634E-4</v>
      </c>
      <c r="AM121" s="14">
        <f>IFERROR(AK121/V121-1,0)</f>
        <v>3.5099999999999909E-2</v>
      </c>
      <c r="AN121" s="9"/>
    </row>
    <row r="122" spans="1:40" ht="14.45" customHeight="1" outlineLevel="1">
      <c r="A122" s="12"/>
      <c r="I122" s="246" t="s">
        <v>234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/>
      <c r="U122" s="65"/>
      <c r="V122" s="65">
        <f t="shared" si="82"/>
        <v>0</v>
      </c>
      <c r="W122" s="73">
        <f>V122/V$6</f>
        <v>0</v>
      </c>
      <c r="X122" s="89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>
        <f t="shared" si="68"/>
        <v>0</v>
      </c>
      <c r="AL122" s="73">
        <f>AK122/AK$6</f>
        <v>0</v>
      </c>
      <c r="AM122" s="14">
        <f>IFERROR(AK122/V122-1,0)</f>
        <v>0</v>
      </c>
      <c r="AN122" s="9"/>
    </row>
    <row r="123" spans="1:40" ht="14.45" customHeight="1" outlineLevel="1">
      <c r="A123" s="12"/>
      <c r="I123" s="246" t="s">
        <v>235</v>
      </c>
      <c r="J123" s="65">
        <v>6100</v>
      </c>
      <c r="K123" s="65">
        <v>0</v>
      </c>
      <c r="L123" s="65"/>
      <c r="M123" s="65">
        <v>0</v>
      </c>
      <c r="N123" s="65"/>
      <c r="O123" s="65"/>
      <c r="P123" s="65"/>
      <c r="Q123" s="65"/>
      <c r="R123" s="65"/>
      <c r="S123" s="65"/>
      <c r="T123" s="65">
        <v>0</v>
      </c>
      <c r="U123" s="65">
        <v>0</v>
      </c>
      <c r="V123" s="65">
        <f t="shared" si="82"/>
        <v>6100</v>
      </c>
      <c r="W123" s="73">
        <f>V123/V$6</f>
        <v>1.2172542008748221E-4</v>
      </c>
      <c r="X123" s="89"/>
      <c r="Y123" s="65">
        <f>VLOOKUP($E$1,[9]Resumen!$V$46:$AH$52,Y1,0)</f>
        <v>0</v>
      </c>
      <c r="Z123" s="65">
        <f>VLOOKUP($E$1,[9]Resumen!$V$46:$AH$52,Z1,0)</f>
        <v>6314.11</v>
      </c>
      <c r="AA123" s="65">
        <f>VLOOKUP($E$1,[9]Resumen!$V$46:$AH$52,AA1,0)</f>
        <v>0</v>
      </c>
      <c r="AB123" s="65">
        <f>VLOOKUP($E$1,[9]Resumen!$V$46:$AH$52,AB1,0)</f>
        <v>0</v>
      </c>
      <c r="AC123" s="65">
        <f>VLOOKUP($E$1,[9]Resumen!$V$46:$AH$52,AC1,0)</f>
        <v>0</v>
      </c>
      <c r="AD123" s="65">
        <f>VLOOKUP($E$1,[9]Resumen!$V$46:$AH$52,AD1,0)</f>
        <v>0</v>
      </c>
      <c r="AE123" s="65">
        <f>VLOOKUP($E$1,[9]Resumen!$V$46:$AH$52,AE1,0)</f>
        <v>0</v>
      </c>
      <c r="AF123" s="65">
        <f>VLOOKUP($E$1,[9]Resumen!$V$46:$AH$52,AF1,0)</f>
        <v>0</v>
      </c>
      <c r="AG123" s="65">
        <f>VLOOKUP($E$1,[9]Resumen!$V$46:$AH$52,AG1,0)</f>
        <v>0</v>
      </c>
      <c r="AH123" s="65">
        <f>VLOOKUP($E$1,[9]Resumen!$V$46:$AH$52,AH1,0)</f>
        <v>0</v>
      </c>
      <c r="AI123" s="65">
        <f>VLOOKUP($E$1,[9]Resumen!$V$46:$AH$52,AI1,0)</f>
        <v>0</v>
      </c>
      <c r="AJ123" s="65">
        <f>VLOOKUP($E$1,[9]Resumen!$V$46:$AH$52,AJ1,0)</f>
        <v>0</v>
      </c>
      <c r="AK123" s="65">
        <f t="shared" si="68"/>
        <v>6314.11</v>
      </c>
      <c r="AL123" s="73">
        <f>AK123/AK$6</f>
        <v>1.1886552208591466E-4</v>
      </c>
      <c r="AM123" s="14">
        <f>IFERROR(AK123/V123-1,0)</f>
        <v>3.5099999999999909E-2</v>
      </c>
      <c r="AN123" s="9"/>
    </row>
    <row r="124" spans="1:40" ht="14.45" customHeight="1" outlineLevel="1">
      <c r="A124" s="12"/>
      <c r="I124" s="246" t="s">
        <v>236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/>
      <c r="U124" s="65"/>
      <c r="V124" s="65">
        <f t="shared" si="82"/>
        <v>0</v>
      </c>
      <c r="W124" s="73">
        <f>V124/V$6</f>
        <v>0</v>
      </c>
      <c r="X124" s="89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>
        <f t="shared" si="68"/>
        <v>0</v>
      </c>
      <c r="AL124" s="73">
        <f>AK124/AK$6</f>
        <v>0</v>
      </c>
      <c r="AM124" s="14">
        <f>IFERROR(AK124/V124-1,0)</f>
        <v>0</v>
      </c>
      <c r="AN124" s="9"/>
    </row>
    <row r="125" spans="1:40" ht="14.45" customHeight="1" outlineLevel="1">
      <c r="A125" s="12"/>
      <c r="I125" s="246" t="s">
        <v>237</v>
      </c>
      <c r="J125" s="65">
        <v>6262</v>
      </c>
      <c r="K125" s="65">
        <v>25888</v>
      </c>
      <c r="L125" s="65">
        <v>18570</v>
      </c>
      <c r="M125" s="65">
        <v>21621</v>
      </c>
      <c r="N125" s="65">
        <v>33866</v>
      </c>
      <c r="O125" s="65">
        <v>24374</v>
      </c>
      <c r="P125" s="65">
        <v>8263</v>
      </c>
      <c r="Q125" s="65">
        <v>5285</v>
      </c>
      <c r="R125" s="65">
        <v>20427</v>
      </c>
      <c r="S125" s="65">
        <v>25085</v>
      </c>
      <c r="T125" s="65">
        <v>31921.520800000002</v>
      </c>
      <c r="U125" s="65">
        <v>32815.764799999997</v>
      </c>
      <c r="V125" s="65">
        <f t="shared" ref="V125:V136" si="83">SUM(J125:U125)</f>
        <v>254378.2856</v>
      </c>
      <c r="W125" s="73">
        <f t="shared" ref="W125:W136" si="84">V125/V$6</f>
        <v>5.0761153566874634E-3</v>
      </c>
      <c r="X125" s="89"/>
      <c r="Y125" s="65">
        <f>VLOOKUP($E$1,[9]Resumen!$V$58:$AH$64,Y1,0)</f>
        <v>57980.799677525996</v>
      </c>
      <c r="Z125" s="65">
        <f>VLOOKUP($E$1,[9]Resumen!$V$58:$AH$64,Z1,0)</f>
        <v>40590.040151034002</v>
      </c>
      <c r="AA125" s="65">
        <f>VLOOKUP($E$1,[9]Resumen!$V$58:$AH$64,AA1,0)</f>
        <v>54301.990856949</v>
      </c>
      <c r="AB125" s="65">
        <f>VLOOKUP($E$1,[9]Resumen!$V$58:$AH$64,AB1,0)</f>
        <v>44402.630440057997</v>
      </c>
      <c r="AC125" s="65">
        <f>VLOOKUP($E$1,[9]Resumen!$V$58:$AH$64,AC1,0)</f>
        <v>49954.300178298996</v>
      </c>
      <c r="AD125" s="65">
        <f>VLOOKUP($E$1,[9]Resumen!$V$58:$AH$64,AD1,0)</f>
        <v>43399.314023988998</v>
      </c>
      <c r="AE125" s="65">
        <f>VLOOKUP($E$1,[9]Resumen!$V$58:$AH$64,AE1,0)</f>
        <v>59318.553839699001</v>
      </c>
      <c r="AF125" s="65">
        <f>VLOOKUP($E$1,[9]Resumen!$V$58:$AH$64,AF1,0)</f>
        <v>41727.125303819994</v>
      </c>
      <c r="AG125" s="65">
        <f>VLOOKUP($E$1,[9]Resumen!$V$58:$AH$64,AG1,0)</f>
        <v>65171.217553573995</v>
      </c>
      <c r="AH125" s="65">
        <f>VLOOKUP($E$1,[9]Resumen!$V$58:$AH$64,AH1,0)</f>
        <v>43510.557328545998</v>
      </c>
      <c r="AI125" s="65">
        <f>VLOOKUP($E$1,[9]Resumen!$V$58:$AH$64,AI1,0)</f>
        <v>40886.575205695997</v>
      </c>
      <c r="AJ125" s="65">
        <f>VLOOKUP($E$1,[9]Resumen!$V$58:$AH$64,AJ1,0)</f>
        <v>41727.125303819994</v>
      </c>
      <c r="AK125" s="65">
        <f t="shared" si="68"/>
        <v>582970.22986301</v>
      </c>
      <c r="AL125" s="73">
        <f t="shared" ref="AL125:AL135" si="85">AK125/AK$6</f>
        <v>1.0974636288124909E-2</v>
      </c>
      <c r="AM125" s="14">
        <f t="shared" ref="AM125:AM135" si="86">IFERROR(AK125/V125-1,0)</f>
        <v>1.2917452583972051</v>
      </c>
      <c r="AN125" s="9"/>
    </row>
    <row r="126" spans="1:40" ht="14.45" customHeight="1" outlineLevel="1">
      <c r="A126" s="12"/>
      <c r="I126" s="246" t="s">
        <v>238</v>
      </c>
      <c r="J126" s="65">
        <v>0</v>
      </c>
      <c r="K126" s="65">
        <v>0</v>
      </c>
      <c r="L126" s="65">
        <v>3629</v>
      </c>
      <c r="M126" s="65">
        <v>0</v>
      </c>
      <c r="N126" s="65">
        <v>0</v>
      </c>
      <c r="O126" s="65">
        <v>0</v>
      </c>
      <c r="P126" s="65">
        <v>0</v>
      </c>
      <c r="Q126" s="65">
        <v>861</v>
      </c>
      <c r="R126" s="65">
        <v>0</v>
      </c>
      <c r="S126" s="65">
        <v>0</v>
      </c>
      <c r="T126" s="65">
        <v>0</v>
      </c>
      <c r="U126" s="65">
        <v>0</v>
      </c>
      <c r="V126" s="65">
        <f t="shared" si="83"/>
        <v>4490</v>
      </c>
      <c r="W126" s="73">
        <f t="shared" si="84"/>
        <v>8.9597891179146743E-5</v>
      </c>
      <c r="X126" s="89"/>
      <c r="Y126" s="65">
        <f>VLOOKUP($E$1,[9]Resumen!$V$70:$AH$76,Y1,0)</f>
        <v>455.44399999999996</v>
      </c>
      <c r="Z126" s="65">
        <f>VLOOKUP($E$1,[9]Resumen!$V$70:$AH$76,Z1,0)</f>
        <v>2277.2199999999998</v>
      </c>
      <c r="AA126" s="65">
        <f>VLOOKUP($E$1,[9]Resumen!$V$70:$AH$76,AA1,0)</f>
        <v>455.44399999999996</v>
      </c>
      <c r="AB126" s="65">
        <f>VLOOKUP($E$1,[9]Resumen!$V$70:$AH$76,AB1,0)</f>
        <v>0</v>
      </c>
      <c r="AC126" s="65">
        <f>VLOOKUP($E$1,[9]Resumen!$V$70:$AH$76,AC1,0)</f>
        <v>455.44399999999996</v>
      </c>
      <c r="AD126" s="65">
        <f>VLOOKUP($E$1,[9]Resumen!$V$70:$AH$76,AD1,0)</f>
        <v>0</v>
      </c>
      <c r="AE126" s="65">
        <f>VLOOKUP($E$1,[9]Resumen!$V$70:$AH$76,AE1,0)</f>
        <v>0</v>
      </c>
      <c r="AF126" s="65">
        <f>VLOOKUP($E$1,[9]Resumen!$V$70:$AH$76,AF1,0)</f>
        <v>910.88799999999992</v>
      </c>
      <c r="AG126" s="65">
        <f>VLOOKUP($E$1,[9]Resumen!$V$70:$AH$76,AG1,0)</f>
        <v>0</v>
      </c>
      <c r="AH126" s="65">
        <f>VLOOKUP($E$1,[9]Resumen!$V$70:$AH$76,AH1,0)</f>
        <v>455.44399999999996</v>
      </c>
      <c r="AI126" s="65">
        <f>VLOOKUP($E$1,[9]Resumen!$V$70:$AH$76,AI1,0)</f>
        <v>0</v>
      </c>
      <c r="AJ126" s="65">
        <f>VLOOKUP($E$1,[9]Resumen!$V$70:$AH$76,AJ1,0)</f>
        <v>0</v>
      </c>
      <c r="AK126" s="65">
        <f t="shared" si="68"/>
        <v>5009.884</v>
      </c>
      <c r="AL126" s="73">
        <f t="shared" si="85"/>
        <v>9.4312971622266721E-5</v>
      </c>
      <c r="AM126" s="14">
        <f t="shared" si="86"/>
        <v>0.1157870824053453</v>
      </c>
      <c r="AN126" s="9"/>
    </row>
    <row r="127" spans="1:40" ht="14.45" customHeight="1" outlineLevel="1">
      <c r="A127" s="12"/>
      <c r="I127" s="250" t="s">
        <v>239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3499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f t="shared" si="83"/>
        <v>3499</v>
      </c>
      <c r="W127" s="73">
        <f t="shared" si="84"/>
        <v>6.9822499161655786E-5</v>
      </c>
      <c r="X127" s="89"/>
      <c r="Y127" s="65">
        <f>VLOOKUP($E$1,[8]Resumen!$V$80:$AH$86,Y1,0)</f>
        <v>0</v>
      </c>
      <c r="Z127" s="65">
        <f>VLOOKUP($E$1,[8]Resumen!$V$80:$AH$86,Z1,0)</f>
        <v>0</v>
      </c>
      <c r="AA127" s="65">
        <f>VLOOKUP($E$1,[8]Resumen!$V$80:$AH$86,AA1,0)</f>
        <v>0</v>
      </c>
      <c r="AB127" s="65">
        <f>VLOOKUP($E$1,[8]Resumen!$V$80:$AH$86,AB1,0)</f>
        <v>0</v>
      </c>
      <c r="AC127" s="65">
        <f>VLOOKUP($E$1,[8]Resumen!$V$80:$AH$86,AC1,0)</f>
        <v>0</v>
      </c>
      <c r="AD127" s="65">
        <f>VLOOKUP($E$1,[8]Resumen!$V$80:$AH$86,AD1,0)</f>
        <v>0</v>
      </c>
      <c r="AE127" s="65">
        <f>VLOOKUP($E$1,[8]Resumen!$V$80:$AH$86,AE1,0)</f>
        <v>4201.305284</v>
      </c>
      <c r="AF127" s="65">
        <f>VLOOKUP($E$1,[8]Resumen!$V$80:$AH$86,AF1,0)</f>
        <v>0</v>
      </c>
      <c r="AG127" s="65">
        <f>VLOOKUP($E$1,[8]Resumen!$V$80:$AH$86,AG1,0)</f>
        <v>0</v>
      </c>
      <c r="AH127" s="65">
        <f>VLOOKUP($E$1,[8]Resumen!$V$80:$AH$86,AH1,0)</f>
        <v>0</v>
      </c>
      <c r="AI127" s="65">
        <f>VLOOKUP($E$1,[8]Resumen!$V$80:$AH$86,AI1,0)</f>
        <v>0</v>
      </c>
      <c r="AJ127" s="65">
        <f>VLOOKUP($E$1,[8]Resumen!$V$80:$AH$86,AJ1,0)</f>
        <v>0</v>
      </c>
      <c r="AK127" s="65">
        <f t="shared" si="68"/>
        <v>4201.305284</v>
      </c>
      <c r="AL127" s="73">
        <f t="shared" si="85"/>
        <v>7.9091169780851452E-5</v>
      </c>
      <c r="AM127" s="14">
        <f t="shared" si="86"/>
        <v>0.20071600000000012</v>
      </c>
      <c r="AN127" s="9"/>
    </row>
    <row r="128" spans="1:40" ht="14.45" customHeight="1" outlineLevel="1">
      <c r="A128" s="12"/>
      <c r="I128" s="246" t="s">
        <v>240</v>
      </c>
      <c r="J128" s="65">
        <v>0</v>
      </c>
      <c r="K128" s="65">
        <v>0</v>
      </c>
      <c r="L128" s="65">
        <v>0</v>
      </c>
      <c r="M128" s="65">
        <v>7200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f t="shared" si="83"/>
        <v>7200</v>
      </c>
      <c r="W128" s="73">
        <f t="shared" si="84"/>
        <v>1.4367590567702817E-4</v>
      </c>
      <c r="X128" s="89"/>
      <c r="Y128" s="65">
        <f>VLOOKUP($E$1,[6]Resumen!$C$45:$O$51,Y1,0)+VLOOKUP($E$1,[9]Resumen!$V$82:$AH$88,Y1,0)</f>
        <v>0</v>
      </c>
      <c r="Z128" s="65">
        <f>VLOOKUP($E$1,[6]Resumen!$C$45:$O$51,Z1,0)+VLOOKUP($E$1,[9]Resumen!$V$82:$AH$88,Z1,0)</f>
        <v>7763.2499999999991</v>
      </c>
      <c r="AA128" s="65">
        <f>VLOOKUP($E$1,[6]Resumen!$C$45:$O$51,AA1,0)+VLOOKUP($E$1,[9]Resumen!$V$82:$AH$88,AA1,0)</f>
        <v>0</v>
      </c>
      <c r="AB128" s="65">
        <f>VLOOKUP($E$1,[6]Resumen!$C$45:$O$51,AB1,0)+VLOOKUP($E$1,[9]Resumen!$V$82:$AH$88,AB1,0)</f>
        <v>0</v>
      </c>
      <c r="AC128" s="65">
        <f>VLOOKUP($E$1,[6]Resumen!$C$45:$O$51,AC1,0)+VLOOKUP($E$1,[9]Resumen!$V$82:$AH$88,AC1,0)</f>
        <v>0</v>
      </c>
      <c r="AD128" s="65">
        <f>VLOOKUP($E$1,[6]Resumen!$C$45:$O$51,AD1,0)+VLOOKUP($E$1,[9]Resumen!$V$82:$AH$88,AD1,0)</f>
        <v>0</v>
      </c>
      <c r="AE128" s="65">
        <f>VLOOKUP($E$1,[6]Resumen!$C$45:$O$51,AE1,0)+VLOOKUP($E$1,[9]Resumen!$V$82:$AH$88,AE1,0)</f>
        <v>0</v>
      </c>
      <c r="AF128" s="65">
        <f>VLOOKUP($E$1,[6]Resumen!$C$45:$O$51,AF1,0)+VLOOKUP($E$1,[9]Resumen!$V$82:$AH$88,AF1,0)</f>
        <v>7763.2499999999991</v>
      </c>
      <c r="AG128" s="65">
        <f>VLOOKUP($E$1,[6]Resumen!$C$45:$O$51,AG1,0)+VLOOKUP($E$1,[9]Resumen!$V$82:$AH$88,AG1,0)</f>
        <v>0</v>
      </c>
      <c r="AH128" s="65">
        <f>VLOOKUP($E$1,[6]Resumen!$C$45:$O$51,AH1,0)+VLOOKUP($E$1,[9]Resumen!$V$82:$AH$88,AH1,0)</f>
        <v>0</v>
      </c>
      <c r="AI128" s="65">
        <f>VLOOKUP($E$1,[6]Resumen!$C$45:$O$51,AI1,0)+VLOOKUP($E$1,[9]Resumen!$V$82:$AH$88,AI1,0)</f>
        <v>0</v>
      </c>
      <c r="AJ128" s="65">
        <f>VLOOKUP($E$1,[6]Resumen!$C$45:$O$51,AJ1,0)+VLOOKUP($E$1,[9]Resumen!$V$82:$AH$88,AJ1,0)</f>
        <v>0</v>
      </c>
      <c r="AK128" s="65">
        <f t="shared" si="68"/>
        <v>15526.499999999998</v>
      </c>
      <c r="AL128" s="73">
        <f t="shared" si="85"/>
        <v>2.9229226742438031E-4</v>
      </c>
      <c r="AM128" s="14">
        <f t="shared" si="86"/>
        <v>1.1564583333333331</v>
      </c>
      <c r="AN128" s="9"/>
    </row>
    <row r="129" spans="1:40" ht="14.45" customHeight="1" outlineLevel="1">
      <c r="A129" s="12"/>
      <c r="I129" s="246" t="s">
        <v>241</v>
      </c>
      <c r="J129" s="65">
        <v>0</v>
      </c>
      <c r="K129" s="65">
        <v>0</v>
      </c>
      <c r="L129" s="65">
        <v>0</v>
      </c>
      <c r="M129" s="65">
        <v>2500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f t="shared" si="83"/>
        <v>2500</v>
      </c>
      <c r="W129" s="73">
        <f t="shared" si="84"/>
        <v>4.9887467248968119E-5</v>
      </c>
      <c r="X129" s="89"/>
      <c r="Y129" s="65">
        <f>VLOOKUP($E$1,[9]Resumen!$V$94:$AH$100,Y1,0)</f>
        <v>0</v>
      </c>
      <c r="Z129" s="65">
        <f>VLOOKUP($E$1,[9]Resumen!$V$94:$AH$100,Z1,0)</f>
        <v>0</v>
      </c>
      <c r="AA129" s="65">
        <f>VLOOKUP($E$1,[9]Resumen!$V$94:$AH$100,AA1,0)</f>
        <v>0</v>
      </c>
      <c r="AB129" s="65">
        <f>VLOOKUP($E$1,[9]Resumen!$V$94:$AH$100,AB1,0)</f>
        <v>0</v>
      </c>
      <c r="AC129" s="65">
        <f>VLOOKUP($E$1,[9]Resumen!$V$94:$AH$100,AC1,0)</f>
        <v>0</v>
      </c>
      <c r="AD129" s="65">
        <f>VLOOKUP($E$1,[9]Resumen!$V$94:$AH$100,AD1,0)</f>
        <v>0</v>
      </c>
      <c r="AE129" s="65">
        <f>VLOOKUP($E$1,[9]Resumen!$V$94:$AH$100,AE1,0)</f>
        <v>0</v>
      </c>
      <c r="AF129" s="65">
        <f>VLOOKUP($E$1,[9]Resumen!$V$94:$AH$100,AF1,0)</f>
        <v>0</v>
      </c>
      <c r="AG129" s="65">
        <f>VLOOKUP($E$1,[9]Resumen!$V$94:$AH$100,AG1,0)</f>
        <v>0</v>
      </c>
      <c r="AH129" s="65">
        <f>VLOOKUP($E$1,[9]Resumen!$V$94:$AH$100,AH1,0)</f>
        <v>0</v>
      </c>
      <c r="AI129" s="65">
        <f>VLOOKUP($E$1,[9]Resumen!$V$94:$AH$100,AI1,0)</f>
        <v>0</v>
      </c>
      <c r="AJ129" s="65">
        <f>VLOOKUP($E$1,[9]Resumen!$V$94:$AH$100,AJ1,0)</f>
        <v>0</v>
      </c>
      <c r="AK129" s="65">
        <f t="shared" si="68"/>
        <v>0</v>
      </c>
      <c r="AL129" s="73">
        <f t="shared" si="85"/>
        <v>0</v>
      </c>
      <c r="AM129" s="14">
        <f t="shared" si="86"/>
        <v>-1</v>
      </c>
      <c r="AN129" s="9"/>
    </row>
    <row r="130" spans="1:40" ht="14.45" customHeight="1" outlineLevel="1">
      <c r="A130" s="12" t="s">
        <v>263</v>
      </c>
      <c r="B130" s="8" t="s">
        <v>88</v>
      </c>
      <c r="I130" s="246" t="s">
        <v>242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/>
      <c r="U130" s="65"/>
      <c r="V130" s="65">
        <f t="shared" si="83"/>
        <v>0</v>
      </c>
      <c r="W130" s="73">
        <f t="shared" si="84"/>
        <v>0</v>
      </c>
      <c r="X130" s="89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>
        <f t="shared" si="68"/>
        <v>0</v>
      </c>
      <c r="AL130" s="73">
        <f t="shared" si="85"/>
        <v>0</v>
      </c>
      <c r="AM130" s="14">
        <f t="shared" si="86"/>
        <v>0</v>
      </c>
      <c r="AN130" s="9"/>
    </row>
    <row r="131" spans="1:40" ht="14.45" customHeight="1" outlineLevel="1">
      <c r="A131" s="12" t="s">
        <v>263</v>
      </c>
      <c r="B131" s="8" t="s">
        <v>88</v>
      </c>
      <c r="I131" s="246" t="s">
        <v>243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f t="shared" si="83"/>
        <v>0</v>
      </c>
      <c r="W131" s="73">
        <f t="shared" si="84"/>
        <v>0</v>
      </c>
      <c r="X131" s="89"/>
      <c r="Y131" s="65">
        <f>VLOOKUP($E$1,[9]Resumen!$V$106:$AH$112,Y1,0)</f>
        <v>0</v>
      </c>
      <c r="Z131" s="65">
        <f>VLOOKUP($E$1,[9]Resumen!$V$106:$AH$112,Z1,0)</f>
        <v>0</v>
      </c>
      <c r="AA131" s="65">
        <f>VLOOKUP($E$1,[9]Resumen!$V$106:$AH$112,AA1,0)</f>
        <v>0</v>
      </c>
      <c r="AB131" s="65">
        <f>VLOOKUP($E$1,[9]Resumen!$V$106:$AH$112,AB1,0)</f>
        <v>0</v>
      </c>
      <c r="AC131" s="65">
        <f>VLOOKUP($E$1,[9]Resumen!$V$106:$AH$112,AC1,0)</f>
        <v>0</v>
      </c>
      <c r="AD131" s="65">
        <f>VLOOKUP($E$1,[9]Resumen!$V$106:$AH$112,AD1,0)</f>
        <v>0</v>
      </c>
      <c r="AE131" s="65">
        <f>VLOOKUP($E$1,[9]Resumen!$V$106:$AH$112,AE1,0)</f>
        <v>0</v>
      </c>
      <c r="AF131" s="65">
        <f>VLOOKUP($E$1,[9]Resumen!$V$106:$AH$112,AF1,0)</f>
        <v>0</v>
      </c>
      <c r="AG131" s="65">
        <f>VLOOKUP($E$1,[9]Resumen!$V$106:$AH$112,AG1,0)</f>
        <v>0</v>
      </c>
      <c r="AH131" s="65">
        <f>VLOOKUP($E$1,[9]Resumen!$V$106:$AH$112,AH1,0)</f>
        <v>0</v>
      </c>
      <c r="AI131" s="65">
        <f>VLOOKUP($E$1,[9]Resumen!$V$106:$AH$112,AI1,0)</f>
        <v>0</v>
      </c>
      <c r="AJ131" s="65">
        <f>VLOOKUP($E$1,[9]Resumen!$V$106:$AH$112,AJ1,0)</f>
        <v>0</v>
      </c>
      <c r="AK131" s="65">
        <f t="shared" si="68"/>
        <v>0</v>
      </c>
      <c r="AL131" s="73">
        <f t="shared" si="85"/>
        <v>0</v>
      </c>
      <c r="AM131" s="14">
        <f t="shared" si="86"/>
        <v>0</v>
      </c>
      <c r="AN131" s="9"/>
    </row>
    <row r="132" spans="1:40" ht="14.45" customHeight="1" outlineLevel="1">
      <c r="A132" s="12" t="s">
        <v>263</v>
      </c>
      <c r="B132" s="8" t="s">
        <v>88</v>
      </c>
      <c r="I132" s="246" t="s">
        <v>244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/>
      <c r="U132" s="65"/>
      <c r="V132" s="65">
        <f t="shared" si="83"/>
        <v>0</v>
      </c>
      <c r="W132" s="73">
        <f t="shared" si="84"/>
        <v>0</v>
      </c>
      <c r="X132" s="89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>
        <f t="shared" si="68"/>
        <v>0</v>
      </c>
      <c r="AL132" s="73">
        <f t="shared" si="85"/>
        <v>0</v>
      </c>
      <c r="AM132" s="14">
        <f t="shared" si="86"/>
        <v>0</v>
      </c>
      <c r="AN132" s="9"/>
    </row>
    <row r="133" spans="1:40" ht="14.45" customHeight="1" outlineLevel="1">
      <c r="A133" s="12" t="s">
        <v>263</v>
      </c>
      <c r="B133" s="8" t="s">
        <v>88</v>
      </c>
      <c r="I133" s="246" t="s">
        <v>245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/>
      <c r="U133" s="65"/>
      <c r="V133" s="65">
        <f t="shared" si="83"/>
        <v>0</v>
      </c>
      <c r="W133" s="73">
        <f t="shared" si="84"/>
        <v>0</v>
      </c>
      <c r="X133" s="89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>
        <f t="shared" si="68"/>
        <v>0</v>
      </c>
      <c r="AL133" s="73">
        <f t="shared" si="85"/>
        <v>0</v>
      </c>
      <c r="AM133" s="14">
        <f t="shared" si="86"/>
        <v>0</v>
      </c>
      <c r="AN133" s="9"/>
    </row>
    <row r="134" spans="1:40" ht="14.45" customHeight="1" outlineLevel="1">
      <c r="A134" s="12" t="s">
        <v>263</v>
      </c>
      <c r="B134" s="8" t="s">
        <v>88</v>
      </c>
      <c r="I134" s="246" t="s">
        <v>246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/>
      <c r="U134" s="65"/>
      <c r="V134" s="65">
        <f t="shared" si="83"/>
        <v>0</v>
      </c>
      <c r="W134" s="73">
        <f t="shared" si="84"/>
        <v>0</v>
      </c>
      <c r="X134" s="89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>
        <f t="shared" si="68"/>
        <v>0</v>
      </c>
      <c r="AL134" s="73">
        <f t="shared" si="85"/>
        <v>0</v>
      </c>
      <c r="AM134" s="14">
        <f t="shared" si="86"/>
        <v>0</v>
      </c>
      <c r="AN134" s="9"/>
    </row>
    <row r="135" spans="1:40" ht="14.45" customHeight="1" outlineLevel="1">
      <c r="A135" s="12" t="s">
        <v>263</v>
      </c>
      <c r="B135" s="8" t="s">
        <v>88</v>
      </c>
      <c r="C135" s="19" t="s">
        <v>268</v>
      </c>
      <c r="D135" s="12"/>
      <c r="E135" s="20"/>
      <c r="F135" s="12"/>
      <c r="G135" s="12"/>
      <c r="H135" s="12"/>
      <c r="I135" s="246" t="s">
        <v>247</v>
      </c>
      <c r="J135" s="65">
        <v>3600</v>
      </c>
      <c r="K135" s="65">
        <v>4775</v>
      </c>
      <c r="L135" s="65">
        <v>0</v>
      </c>
      <c r="M135" s="65">
        <v>0</v>
      </c>
      <c r="N135" s="65">
        <v>0</v>
      </c>
      <c r="O135" s="65">
        <v>0</v>
      </c>
      <c r="P135" s="65">
        <v>4775</v>
      </c>
      <c r="Q135" s="65">
        <v>0</v>
      </c>
      <c r="R135" s="65">
        <v>0</v>
      </c>
      <c r="S135" s="65">
        <v>0</v>
      </c>
      <c r="T135" s="65">
        <v>1539.2</v>
      </c>
      <c r="U135" s="65">
        <v>0</v>
      </c>
      <c r="V135" s="65">
        <f t="shared" si="83"/>
        <v>14689.2</v>
      </c>
      <c r="W135" s="73">
        <f t="shared" si="84"/>
        <v>2.9312279356541704E-4</v>
      </c>
      <c r="X135" s="89"/>
      <c r="Y135" s="65">
        <f>VLOOKUP($E$1,[6]Resumen!$C$21:$O$27,Y1,0)+VLOOKUP($E$1,[9]Resumen!$V$118:$AH$124,Y1,0)</f>
        <v>3200</v>
      </c>
      <c r="Z135" s="65">
        <f>VLOOKUP($E$1,[6]Resumen!$C$21:$O$27,Z1,0)+VLOOKUP($E$1,[9]Resumen!$V$118:$AH$124,Z1,0)</f>
        <v>3200</v>
      </c>
      <c r="AA135" s="65">
        <f>VLOOKUP($E$1,[6]Resumen!$C$21:$O$27,AA1,0)+VLOOKUP($E$1,[9]Resumen!$V$118:$AH$124,AA1,0)</f>
        <v>0</v>
      </c>
      <c r="AB135" s="65">
        <f>VLOOKUP($E$1,[6]Resumen!$C$21:$O$27,AB1,0)+VLOOKUP($E$1,[9]Resumen!$V$118:$AH$124,AB1,0)</f>
        <v>0</v>
      </c>
      <c r="AC135" s="65">
        <f>VLOOKUP($E$1,[6]Resumen!$C$21:$O$27,AC1,0)+VLOOKUP($E$1,[9]Resumen!$V$118:$AH$124,AC1,0)</f>
        <v>1600</v>
      </c>
      <c r="AD135" s="65">
        <f>VLOOKUP($E$1,[6]Resumen!$C$21:$O$27,AD1,0)+VLOOKUP($E$1,[9]Resumen!$V$118:$AH$124,AD1,0)</f>
        <v>0</v>
      </c>
      <c r="AE135" s="65">
        <f>VLOOKUP($E$1,[6]Resumen!$C$21:$O$27,AE1,0)+VLOOKUP($E$1,[9]Resumen!$V$118:$AH$124,AE1,0)</f>
        <v>3200</v>
      </c>
      <c r="AF135" s="65">
        <f>VLOOKUP($E$1,[6]Resumen!$C$21:$O$27,AF1,0)+VLOOKUP($E$1,[9]Resumen!$V$118:$AH$124,AF1,0)</f>
        <v>3200</v>
      </c>
      <c r="AG135" s="65">
        <f>VLOOKUP($E$1,[6]Resumen!$C$21:$O$27,AG1,0)+VLOOKUP($E$1,[9]Resumen!$V$118:$AH$124,AG1,0)</f>
        <v>0</v>
      </c>
      <c r="AH135" s="65">
        <f>VLOOKUP($E$1,[6]Resumen!$C$21:$O$27,AH1,0)+VLOOKUP($E$1,[9]Resumen!$V$118:$AH$124,AH1,0)</f>
        <v>0</v>
      </c>
      <c r="AI135" s="65">
        <f>VLOOKUP($E$1,[6]Resumen!$C$21:$O$27,AI1,0)+VLOOKUP($E$1,[9]Resumen!$V$118:$AH$124,AI1,0)</f>
        <v>1600</v>
      </c>
      <c r="AJ135" s="65">
        <f>VLOOKUP($E$1,[6]Resumen!$C$21:$O$27,AJ1,0)+VLOOKUP($E$1,[9]Resumen!$V$118:$AH$124,AJ1,0)</f>
        <v>0</v>
      </c>
      <c r="AK135" s="65">
        <f t="shared" si="68"/>
        <v>16000</v>
      </c>
      <c r="AL135" s="73">
        <f t="shared" si="85"/>
        <v>3.0120608500242073E-4</v>
      </c>
      <c r="AM135" s="14">
        <f t="shared" si="86"/>
        <v>8.9235628897421204E-2</v>
      </c>
      <c r="AN135" s="9"/>
    </row>
    <row r="136" spans="1:40" ht="14.45" customHeight="1" outlineLevel="1">
      <c r="A136" s="12" t="s">
        <v>263</v>
      </c>
      <c r="B136" s="8" t="s">
        <v>88</v>
      </c>
      <c r="I136" s="246" t="s">
        <v>249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/>
      <c r="U136" s="65"/>
      <c r="V136" s="65">
        <f t="shared" si="83"/>
        <v>0</v>
      </c>
      <c r="W136" s="73">
        <f t="shared" si="84"/>
        <v>0</v>
      </c>
      <c r="X136" s="89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>
        <f t="shared" si="68"/>
        <v>0</v>
      </c>
      <c r="AL136" s="73">
        <f t="shared" si="33"/>
        <v>0</v>
      </c>
      <c r="AM136" s="14">
        <f t="shared" si="34"/>
        <v>0</v>
      </c>
      <c r="AN136" s="9"/>
    </row>
    <row r="137" spans="1:40" ht="14.45" customHeight="1" outlineLevel="1">
      <c r="A137" s="12"/>
      <c r="I137" s="246" t="s">
        <v>250</v>
      </c>
      <c r="J137" s="65">
        <v>0</v>
      </c>
      <c r="K137" s="65">
        <v>0</v>
      </c>
      <c r="L137" s="65">
        <v>5892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f t="shared" si="82"/>
        <v>5892</v>
      </c>
      <c r="W137" s="73">
        <f t="shared" si="31"/>
        <v>1.1757478281236806E-4</v>
      </c>
      <c r="X137" s="89"/>
      <c r="Y137" s="65">
        <f>VLOOKUP($E$1,[9]Resumen!$V$130:$AH$136,Y1,0)</f>
        <v>0</v>
      </c>
      <c r="Z137" s="65">
        <f>VLOOKUP($E$1,[9]Resumen!$V$130:$AH$136,Z1,0)</f>
        <v>0</v>
      </c>
      <c r="AA137" s="65">
        <f>VLOOKUP($E$1,[9]Resumen!$V$130:$AH$136,AA1,0)</f>
        <v>18618.364401999999</v>
      </c>
      <c r="AB137" s="65">
        <f>VLOOKUP($E$1,[9]Resumen!$V$130:$AH$136,AB1,0)</f>
        <v>0</v>
      </c>
      <c r="AC137" s="65">
        <f>VLOOKUP($E$1,[9]Resumen!$V$130:$AH$136,AC1,0)</f>
        <v>0</v>
      </c>
      <c r="AD137" s="65">
        <f>VLOOKUP($E$1,[9]Resumen!$V$130:$AH$136,AD1,0)</f>
        <v>0</v>
      </c>
      <c r="AE137" s="65">
        <f>VLOOKUP($E$1,[9]Resumen!$V$130:$AH$136,AE1,0)</f>
        <v>0</v>
      </c>
      <c r="AF137" s="65">
        <f>VLOOKUP($E$1,[9]Resumen!$V$130:$AH$136,AF1,0)</f>
        <v>18618.364401999999</v>
      </c>
      <c r="AG137" s="65">
        <f>VLOOKUP($E$1,[9]Resumen!$V$130:$AH$136,AG1,0)</f>
        <v>0</v>
      </c>
      <c r="AH137" s="65">
        <f>VLOOKUP($E$1,[9]Resumen!$V$130:$AH$136,AH1,0)</f>
        <v>0</v>
      </c>
      <c r="AI137" s="65">
        <f>VLOOKUP($E$1,[9]Resumen!$V$130:$AH$136,AI1,0)</f>
        <v>0</v>
      </c>
      <c r="AJ137" s="65">
        <f>VLOOKUP($E$1,[9]Resumen!$V$130:$AH$136,AJ1,0)</f>
        <v>0</v>
      </c>
      <c r="AK137" s="65">
        <f t="shared" si="68"/>
        <v>37236.728803999998</v>
      </c>
      <c r="AL137" s="73">
        <f t="shared" si="33"/>
        <v>7.00995581334357E-4</v>
      </c>
      <c r="AM137" s="14">
        <f t="shared" si="34"/>
        <v>5.3198792946367952</v>
      </c>
      <c r="AN137" s="9"/>
    </row>
    <row r="138" spans="1:40" ht="14.45" customHeight="1" outlineLevel="1">
      <c r="I138" s="246" t="s">
        <v>251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/>
      <c r="U138" s="65"/>
      <c r="V138" s="65">
        <f t="shared" si="82"/>
        <v>0</v>
      </c>
      <c r="W138" s="73">
        <f t="shared" si="31"/>
        <v>0</v>
      </c>
      <c r="X138" s="89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>
        <f t="shared" si="68"/>
        <v>0</v>
      </c>
      <c r="AL138" s="73">
        <f t="shared" si="33"/>
        <v>0</v>
      </c>
      <c r="AM138" s="14">
        <f t="shared" si="34"/>
        <v>0</v>
      </c>
      <c r="AN138" s="9"/>
    </row>
    <row r="139" spans="1:40" ht="14.45" customHeight="1" outlineLevel="1">
      <c r="I139" s="246" t="s">
        <v>252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/>
      <c r="U139" s="65"/>
      <c r="V139" s="65">
        <f t="shared" si="82"/>
        <v>0</v>
      </c>
      <c r="W139" s="73">
        <f t="shared" si="31"/>
        <v>0</v>
      </c>
      <c r="X139" s="89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>
        <f t="shared" si="68"/>
        <v>0</v>
      </c>
      <c r="AL139" s="73">
        <f t="shared" si="33"/>
        <v>0</v>
      </c>
      <c r="AM139" s="14">
        <f t="shared" si="34"/>
        <v>0</v>
      </c>
      <c r="AN139" s="9"/>
    </row>
    <row r="140" spans="1:40" ht="14.45" customHeight="1" outlineLevel="1">
      <c r="I140" s="246" t="s">
        <v>253</v>
      </c>
      <c r="J140" s="65">
        <v>0</v>
      </c>
      <c r="K140" s="65">
        <v>0</v>
      </c>
      <c r="L140" s="65">
        <v>5850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f t="shared" si="82"/>
        <v>5850</v>
      </c>
      <c r="W140" s="73">
        <f t="shared" si="31"/>
        <v>1.1673667336258539E-4</v>
      </c>
      <c r="X140" s="89"/>
      <c r="Y140" s="65">
        <f>VLOOKUP($E$1,[9]Resumen!$V$142:$AH$148,Y1,0)</f>
        <v>0</v>
      </c>
      <c r="Z140" s="65">
        <f>VLOOKUP($E$1,[9]Resumen!$V$142:$AH$148,Z1,0)</f>
        <v>0</v>
      </c>
      <c r="AA140" s="65">
        <f>VLOOKUP($E$1,[9]Resumen!$V$142:$AH$148,AA1,0)</f>
        <v>6055.3349999999991</v>
      </c>
      <c r="AB140" s="65">
        <f>VLOOKUP($E$1,[9]Resumen!$V$142:$AH$148,AB1,0)</f>
        <v>0</v>
      </c>
      <c r="AC140" s="65">
        <f>VLOOKUP($E$1,[9]Resumen!$V$142:$AH$148,AC1,0)</f>
        <v>0</v>
      </c>
      <c r="AD140" s="65">
        <f>VLOOKUP($E$1,[9]Resumen!$V$142:$AH$148,AD1,0)</f>
        <v>0</v>
      </c>
      <c r="AE140" s="65">
        <f>VLOOKUP($E$1,[9]Resumen!$V$142:$AH$148,AE1,0)</f>
        <v>0</v>
      </c>
      <c r="AF140" s="65">
        <f>VLOOKUP($E$1,[9]Resumen!$V$142:$AH$148,AF1,0)</f>
        <v>0</v>
      </c>
      <c r="AG140" s="65">
        <f>VLOOKUP($E$1,[9]Resumen!$V$142:$AH$148,AG1,0)</f>
        <v>0</v>
      </c>
      <c r="AH140" s="65">
        <f>VLOOKUP($E$1,[9]Resumen!$V$142:$AH$148,AH1,0)</f>
        <v>0</v>
      </c>
      <c r="AI140" s="65">
        <f>VLOOKUP($E$1,[9]Resumen!$V$142:$AH$148,AI1,0)</f>
        <v>0</v>
      </c>
      <c r="AJ140" s="65">
        <f>VLOOKUP($E$1,[9]Resumen!$V$142:$AH$148,AJ1,0)</f>
        <v>0</v>
      </c>
      <c r="AK140" s="65">
        <f t="shared" si="68"/>
        <v>6055.3349999999991</v>
      </c>
      <c r="AL140" s="73">
        <f t="shared" si="33"/>
        <v>1.1399398429550832E-4</v>
      </c>
      <c r="AM140" s="14">
        <f t="shared" si="34"/>
        <v>3.5099999999999909E-2</v>
      </c>
      <c r="AN140" s="9"/>
    </row>
    <row r="141" spans="1:40" ht="15.6" customHeight="1" outlineLevel="1">
      <c r="I141" s="246" t="s">
        <v>254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f t="shared" si="82"/>
        <v>0</v>
      </c>
      <c r="W141" s="73">
        <f t="shared" si="31"/>
        <v>0</v>
      </c>
      <c r="X141" s="89"/>
      <c r="Y141" s="65">
        <f>VLOOKUP($E$1,[9]Resumen!$V$154:$AH$160,Y1,0)</f>
        <v>0</v>
      </c>
      <c r="Z141" s="65">
        <f>VLOOKUP($E$1,[9]Resumen!$V$154:$AH$160,Z1,0)</f>
        <v>0</v>
      </c>
      <c r="AA141" s="65">
        <f>VLOOKUP($E$1,[9]Resumen!$V$154:$AH$160,AA1,0)</f>
        <v>0</v>
      </c>
      <c r="AB141" s="65">
        <f>VLOOKUP($E$1,[9]Resumen!$V$154:$AH$160,AB1,0)</f>
        <v>0</v>
      </c>
      <c r="AC141" s="65">
        <f>VLOOKUP($E$1,[9]Resumen!$V$154:$AH$160,AC1,0)</f>
        <v>0</v>
      </c>
      <c r="AD141" s="65">
        <f>VLOOKUP($E$1,[9]Resumen!$V$154:$AH$160,AD1,0)</f>
        <v>0</v>
      </c>
      <c r="AE141" s="65">
        <f>VLOOKUP($E$1,[9]Resumen!$V$154:$AH$160,AE1,0)</f>
        <v>0</v>
      </c>
      <c r="AF141" s="65">
        <f>VLOOKUP($E$1,[9]Resumen!$V$154:$AH$160,AF1,0)</f>
        <v>0</v>
      </c>
      <c r="AG141" s="65">
        <f>VLOOKUP($E$1,[9]Resumen!$V$154:$AH$160,AG1,0)</f>
        <v>0</v>
      </c>
      <c r="AH141" s="65">
        <f>VLOOKUP($E$1,[9]Resumen!$V$154:$AH$160,AH1,0)</f>
        <v>0</v>
      </c>
      <c r="AI141" s="65">
        <f>VLOOKUP($E$1,[9]Resumen!$V$154:$AH$160,AI1,0)</f>
        <v>0</v>
      </c>
      <c r="AJ141" s="65">
        <f>VLOOKUP($E$1,[9]Resumen!$V$154:$AH$160,AJ1,0)</f>
        <v>0</v>
      </c>
      <c r="AK141" s="65">
        <f t="shared" si="68"/>
        <v>0</v>
      </c>
      <c r="AL141" s="73">
        <f t="shared" si="33"/>
        <v>0</v>
      </c>
      <c r="AM141" s="14">
        <f t="shared" si="34"/>
        <v>0</v>
      </c>
      <c r="AN141" s="9"/>
    </row>
    <row r="142" spans="1:40" ht="14.45" customHeight="1" outlineLevel="1">
      <c r="I142" s="246" t="s">
        <v>255</v>
      </c>
      <c r="J142" s="65">
        <v>0</v>
      </c>
      <c r="K142" s="65">
        <v>0</v>
      </c>
      <c r="L142" s="65">
        <v>0</v>
      </c>
      <c r="M142" s="65">
        <v>4800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f t="shared" si="82"/>
        <v>4800</v>
      </c>
      <c r="W142" s="73">
        <f t="shared" si="31"/>
        <v>9.5783937118018792E-5</v>
      </c>
      <c r="X142" s="89"/>
      <c r="Y142" s="65">
        <f>VLOOKUP($E$1,[9]Resumen!$V$166:$AH$172,Y1,0)</f>
        <v>0</v>
      </c>
      <c r="Z142" s="65">
        <f>VLOOKUP($E$1,[9]Resumen!$V$166:$AH$172,Z1,0)</f>
        <v>0</v>
      </c>
      <c r="AA142" s="65">
        <f>VLOOKUP($E$1,[9]Resumen!$V$166:$AH$172,AA1,0)</f>
        <v>3622.8499999999995</v>
      </c>
      <c r="AB142" s="65">
        <f>VLOOKUP($E$1,[9]Resumen!$V$166:$AH$172,AB1,0)</f>
        <v>0</v>
      </c>
      <c r="AC142" s="65">
        <f>VLOOKUP($E$1,[9]Resumen!$V$166:$AH$172,AC1,0)</f>
        <v>0</v>
      </c>
      <c r="AD142" s="65">
        <f>VLOOKUP($E$1,[9]Resumen!$V$166:$AH$172,AD1,0)</f>
        <v>3622.8499999999995</v>
      </c>
      <c r="AE142" s="65">
        <f>VLOOKUP($E$1,[9]Resumen!$V$166:$AH$172,AE1,0)</f>
        <v>0</v>
      </c>
      <c r="AF142" s="65">
        <f>VLOOKUP($E$1,[9]Resumen!$V$166:$AH$172,AF1,0)</f>
        <v>0</v>
      </c>
      <c r="AG142" s="65">
        <f>VLOOKUP($E$1,[9]Resumen!$V$166:$AH$172,AG1,0)</f>
        <v>3622.8499999999995</v>
      </c>
      <c r="AH142" s="65">
        <f>VLOOKUP($E$1,[9]Resumen!$V$166:$AH$172,AH1,0)</f>
        <v>0</v>
      </c>
      <c r="AI142" s="65">
        <f>VLOOKUP($E$1,[9]Resumen!$V$166:$AH$172,AI1,0)</f>
        <v>0</v>
      </c>
      <c r="AJ142" s="65">
        <f>VLOOKUP($E$1,[9]Resumen!$V$166:$AH$172,AJ1,0)</f>
        <v>0</v>
      </c>
      <c r="AK142" s="65">
        <f t="shared" si="68"/>
        <v>10868.55</v>
      </c>
      <c r="AL142" s="73">
        <f t="shared" si="33"/>
        <v>2.0460458719706622E-4</v>
      </c>
      <c r="AM142" s="14">
        <f t="shared" si="34"/>
        <v>1.2642812499999998</v>
      </c>
      <c r="AN142" s="9"/>
    </row>
    <row r="143" spans="1:40" ht="15" outlineLevel="1">
      <c r="I143" s="246" t="s">
        <v>256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/>
      <c r="U143" s="65"/>
      <c r="V143" s="65">
        <f t="shared" si="82"/>
        <v>0</v>
      </c>
      <c r="W143" s="73">
        <f t="shared" si="31"/>
        <v>0</v>
      </c>
      <c r="X143" s="89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>
        <f t="shared" si="68"/>
        <v>0</v>
      </c>
      <c r="AL143" s="73">
        <f t="shared" si="33"/>
        <v>0</v>
      </c>
      <c r="AM143" s="14">
        <f t="shared" si="34"/>
        <v>0</v>
      </c>
    </row>
    <row r="144" spans="1:40" ht="15" outlineLevel="1">
      <c r="I144" s="246" t="s">
        <v>257</v>
      </c>
      <c r="J144" s="65">
        <v>0</v>
      </c>
      <c r="K144" s="65">
        <v>0</v>
      </c>
      <c r="L144" s="65">
        <v>0</v>
      </c>
      <c r="M144" s="65">
        <v>1960</v>
      </c>
      <c r="N144" s="65">
        <v>0</v>
      </c>
      <c r="O144" s="65">
        <v>0</v>
      </c>
      <c r="P144" s="65">
        <v>3400</v>
      </c>
      <c r="Q144" s="65">
        <v>4260</v>
      </c>
      <c r="R144" s="65">
        <v>0</v>
      </c>
      <c r="S144" s="65">
        <v>4260</v>
      </c>
      <c r="T144" s="65">
        <v>0</v>
      </c>
      <c r="U144" s="65">
        <v>3910.4</v>
      </c>
      <c r="V144" s="65">
        <f t="shared" si="82"/>
        <v>17790.400000000001</v>
      </c>
      <c r="W144" s="73">
        <f t="shared" si="31"/>
        <v>3.5500719893841702E-4</v>
      </c>
      <c r="X144" s="89"/>
      <c r="Y144" s="65">
        <f>VLOOKUP($E$1,[9]Resumen!$V$178:$AH$184,Y1,0)</f>
        <v>0</v>
      </c>
      <c r="Z144" s="65">
        <f>VLOOKUP($E$1,[9]Resumen!$V$178:$AH$184,Z1,0)</f>
        <v>5641.2949999999992</v>
      </c>
      <c r="AA144" s="65">
        <f>VLOOKUP($E$1,[9]Resumen!$V$178:$AH$184,AA1,0)</f>
        <v>0</v>
      </c>
      <c r="AB144" s="65">
        <f>VLOOKUP($E$1,[9]Resumen!$V$178:$AH$184,AB1,0)</f>
        <v>0</v>
      </c>
      <c r="AC144" s="65">
        <f>VLOOKUP($E$1,[9]Resumen!$V$178:$AH$184,AC1,0)</f>
        <v>5641.2949999999992</v>
      </c>
      <c r="AD144" s="65">
        <f>VLOOKUP($E$1,[9]Resumen!$V$178:$AH$184,AD1,0)</f>
        <v>0</v>
      </c>
      <c r="AE144" s="65">
        <f>VLOOKUP($E$1,[9]Resumen!$V$178:$AH$184,AE1,0)</f>
        <v>0</v>
      </c>
      <c r="AF144" s="65">
        <f>VLOOKUP($E$1,[9]Resumen!$V$178:$AH$184,AF1,0)</f>
        <v>5641.2949999999992</v>
      </c>
      <c r="AG144" s="65">
        <f>VLOOKUP($E$1,[9]Resumen!$V$178:$AH$184,AG1,0)</f>
        <v>0</v>
      </c>
      <c r="AH144" s="65">
        <f>VLOOKUP($E$1,[9]Resumen!$V$178:$AH$184,AH1,0)</f>
        <v>0</v>
      </c>
      <c r="AI144" s="65">
        <f>VLOOKUP($E$1,[9]Resumen!$V$178:$AH$184,AI1,0)</f>
        <v>5641.2949999999992</v>
      </c>
      <c r="AJ144" s="65">
        <f>VLOOKUP($E$1,[9]Resumen!$V$178:$AH$184,AJ1,0)</f>
        <v>0</v>
      </c>
      <c r="AK144" s="65">
        <f t="shared" si="68"/>
        <v>22565.179999999997</v>
      </c>
      <c r="AL144" s="73">
        <f t="shared" si="33"/>
        <v>4.2479809532343268E-4</v>
      </c>
      <c r="AM144" s="14">
        <f t="shared" si="34"/>
        <v>0.26839081751956084</v>
      </c>
    </row>
    <row r="145" spans="9:39" ht="15" outlineLevel="1">
      <c r="I145" s="246" t="s">
        <v>258</v>
      </c>
      <c r="J145" s="65">
        <v>0</v>
      </c>
      <c r="K145" s="65">
        <v>0</v>
      </c>
      <c r="L145" s="65">
        <v>1800</v>
      </c>
      <c r="M145" s="65">
        <v>0</v>
      </c>
      <c r="N145" s="65">
        <v>0</v>
      </c>
      <c r="O145" s="65">
        <v>0</v>
      </c>
      <c r="P145" s="65">
        <v>0</v>
      </c>
      <c r="Q145" s="65">
        <v>900</v>
      </c>
      <c r="R145" s="65">
        <v>0</v>
      </c>
      <c r="S145" s="65">
        <v>0</v>
      </c>
      <c r="T145" s="65">
        <v>0</v>
      </c>
      <c r="U145" s="65">
        <v>1040</v>
      </c>
      <c r="V145" s="65">
        <f t="shared" si="82"/>
        <v>3740</v>
      </c>
      <c r="W145" s="73">
        <f t="shared" si="31"/>
        <v>7.46316510044563E-5</v>
      </c>
      <c r="X145" s="89"/>
      <c r="Y145" s="65">
        <f>VLOOKUP($E$1,[9]Resumen!$V$190:$AH$196,Y1,0)</f>
        <v>0</v>
      </c>
      <c r="Z145" s="65">
        <f>VLOOKUP($E$1,[9]Resumen!$V$190:$AH$196,Z1,0)</f>
        <v>1469.8419999999999</v>
      </c>
      <c r="AA145" s="65">
        <f>VLOOKUP($E$1,[9]Resumen!$V$190:$AH$196,AA1,0)</f>
        <v>0</v>
      </c>
      <c r="AB145" s="65">
        <f>VLOOKUP($E$1,[9]Resumen!$V$190:$AH$196,AB1,0)</f>
        <v>0</v>
      </c>
      <c r="AC145" s="65">
        <f>VLOOKUP($E$1,[9]Resumen!$V$190:$AH$196,AC1,0)</f>
        <v>1469.8419999999999</v>
      </c>
      <c r="AD145" s="65">
        <f>VLOOKUP($E$1,[9]Resumen!$V$190:$AH$196,AD1,0)</f>
        <v>0</v>
      </c>
      <c r="AE145" s="65">
        <f>VLOOKUP($E$1,[9]Resumen!$V$190:$AH$196,AE1,0)</f>
        <v>0</v>
      </c>
      <c r="AF145" s="65">
        <f>VLOOKUP($E$1,[9]Resumen!$V$190:$AH$196,AF1,0)</f>
        <v>1469.8419999999999</v>
      </c>
      <c r="AG145" s="65">
        <f>VLOOKUP($E$1,[9]Resumen!$V$190:$AH$196,AG1,0)</f>
        <v>0</v>
      </c>
      <c r="AH145" s="65">
        <f>VLOOKUP($E$1,[9]Resumen!$V$190:$AH$196,AH1,0)</f>
        <v>0</v>
      </c>
      <c r="AI145" s="65">
        <f>VLOOKUP($E$1,[9]Resumen!$V$190:$AH$196,AI1,0)</f>
        <v>1469.8419999999999</v>
      </c>
      <c r="AJ145" s="65">
        <f>VLOOKUP($E$1,[9]Resumen!$V$190:$AH$196,AJ1,0)</f>
        <v>0</v>
      </c>
      <c r="AK145" s="65">
        <f t="shared" si="68"/>
        <v>5879.3679999999995</v>
      </c>
      <c r="AL145" s="73">
        <f t="shared" si="33"/>
        <v>1.1068133859803201E-4</v>
      </c>
      <c r="AM145" s="14">
        <f t="shared" ref="AM145:AM165" si="87">IFERROR(AK145/V145-1,0)</f>
        <v>0.5720235294117646</v>
      </c>
    </row>
    <row r="146" spans="9:39" ht="15" outlineLevel="1">
      <c r="I146" s="246" t="s">
        <v>259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/>
      <c r="U146" s="65"/>
      <c r="V146" s="65">
        <f t="shared" si="82"/>
        <v>0</v>
      </c>
      <c r="W146" s="73">
        <f t="shared" si="31"/>
        <v>0</v>
      </c>
      <c r="X146" s="89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>
        <f t="shared" si="68"/>
        <v>0</v>
      </c>
      <c r="AL146" s="73">
        <f t="shared" si="33"/>
        <v>0</v>
      </c>
      <c r="AM146" s="14">
        <f t="shared" si="87"/>
        <v>0</v>
      </c>
    </row>
    <row r="147" spans="9:39" ht="15" outlineLevel="1">
      <c r="I147" s="251" t="s">
        <v>260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/>
      <c r="U147" s="65"/>
      <c r="V147" s="65">
        <f t="shared" si="82"/>
        <v>0</v>
      </c>
      <c r="W147" s="73">
        <f t="shared" si="31"/>
        <v>0</v>
      </c>
      <c r="X147" s="89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>
        <f t="shared" si="68"/>
        <v>0</v>
      </c>
      <c r="AL147" s="73">
        <f t="shared" si="33"/>
        <v>0</v>
      </c>
      <c r="AM147" s="14">
        <f t="shared" si="87"/>
        <v>0</v>
      </c>
    </row>
    <row r="148" spans="9:39" ht="15" outlineLevel="1">
      <c r="I148" s="251" t="s">
        <v>261</v>
      </c>
      <c r="J148" s="65"/>
      <c r="K148" s="65">
        <v>0</v>
      </c>
      <c r="L148" s="65"/>
      <c r="M148" s="65"/>
      <c r="N148" s="65"/>
      <c r="O148" s="65">
        <v>0</v>
      </c>
      <c r="P148" s="65"/>
      <c r="Q148" s="65"/>
      <c r="R148" s="65"/>
      <c r="S148" s="65"/>
      <c r="T148" s="65">
        <v>0</v>
      </c>
      <c r="U148" s="65">
        <v>3640</v>
      </c>
      <c r="V148" s="65">
        <f t="shared" si="82"/>
        <v>3640</v>
      </c>
      <c r="W148" s="73">
        <f t="shared" si="31"/>
        <v>7.2636152314497576E-5</v>
      </c>
      <c r="X148" s="89"/>
      <c r="Y148" s="65">
        <f>VLOOKUP($E$1,[9]Resumen!$V$214:$AH$220,Y1,0)</f>
        <v>0</v>
      </c>
      <c r="Z148" s="65">
        <f>VLOOKUP($E$1,[9]Resumen!$V$214:$AH$220,Z1,0)</f>
        <v>0</v>
      </c>
      <c r="AA148" s="65">
        <f>VLOOKUP($E$1,[9]Resumen!$V$214:$AH$220,AA1,0)</f>
        <v>0</v>
      </c>
      <c r="AB148" s="65">
        <f>VLOOKUP($E$1,[9]Resumen!$V$214:$AH$220,AB1,0)</f>
        <v>0</v>
      </c>
      <c r="AC148" s="65">
        <f>VLOOKUP($E$1,[9]Resumen!$V$214:$AH$220,AC1,0)</f>
        <v>0</v>
      </c>
      <c r="AD148" s="65">
        <f>VLOOKUP($E$1,[9]Resumen!$V$214:$AH$220,AD1,0)</f>
        <v>0</v>
      </c>
      <c r="AE148" s="65">
        <f>VLOOKUP($E$1,[9]Resumen!$V$214:$AH$220,AE1,0)</f>
        <v>0</v>
      </c>
      <c r="AF148" s="65">
        <f>VLOOKUP($E$1,[9]Resumen!$V$214:$AH$220,AF1,0)</f>
        <v>0</v>
      </c>
      <c r="AG148" s="65">
        <f>VLOOKUP($E$1,[9]Resumen!$V$214:$AH$220,AG1,0)</f>
        <v>0</v>
      </c>
      <c r="AH148" s="65">
        <f>VLOOKUP($E$1,[9]Resumen!$V$214:$AH$220,AH1,0)</f>
        <v>0</v>
      </c>
      <c r="AI148" s="65">
        <f>VLOOKUP($E$1,[9]Resumen!$V$214:$AH$220,AI1,0)</f>
        <v>0</v>
      </c>
      <c r="AJ148" s="65">
        <f>VLOOKUP($E$1,[9]Resumen!$V$214:$AH$220,AJ1,0)</f>
        <v>3208.8099999999995</v>
      </c>
      <c r="AK148" s="65">
        <f t="shared" si="68"/>
        <v>3208.8099999999995</v>
      </c>
      <c r="AL148" s="73">
        <f t="shared" si="33"/>
        <v>6.0407068601038593E-5</v>
      </c>
      <c r="AM148" s="14">
        <f t="shared" si="87"/>
        <v>-0.11845879120879133</v>
      </c>
    </row>
    <row r="149" spans="9:39" ht="15" outlineLevel="1">
      <c r="I149" s="290" t="s">
        <v>464</v>
      </c>
      <c r="J149" s="65"/>
      <c r="K149" s="65"/>
      <c r="L149" s="65"/>
      <c r="M149" s="65"/>
      <c r="N149" s="65"/>
      <c r="O149" s="65">
        <v>22500</v>
      </c>
      <c r="P149" s="65"/>
      <c r="Q149" s="65"/>
      <c r="R149" s="65"/>
      <c r="S149" s="65"/>
      <c r="T149" s="65"/>
      <c r="U149" s="65"/>
      <c r="V149" s="65">
        <f t="shared" ref="V149" si="88">SUM(J149:U149)</f>
        <v>22500</v>
      </c>
      <c r="W149" s="73"/>
      <c r="X149" s="89"/>
      <c r="Y149" s="65">
        <f>VLOOKUP($E$1,[9]Detalle!$C$150:$O$156,Y1,0)</f>
        <v>0</v>
      </c>
      <c r="Z149" s="65">
        <f>VLOOKUP($E$1,[9]Detalle!$C$150:$O$156,Z1,0)</f>
        <v>0</v>
      </c>
      <c r="AA149" s="65">
        <f>VLOOKUP($E$1,[9]Detalle!$C$150:$O$156,AA1,0)</f>
        <v>0</v>
      </c>
      <c r="AB149" s="65">
        <f>VLOOKUP($E$1,[9]Detalle!$C$150:$O$156,AB1,0)</f>
        <v>0</v>
      </c>
      <c r="AC149" s="65">
        <f>VLOOKUP($E$1,[9]Detalle!$C$150:$O$156,AC1,0)</f>
        <v>0</v>
      </c>
      <c r="AD149" s="65">
        <f>VLOOKUP($E$1,[9]Detalle!$C$150:$O$156,AD1,0)</f>
        <v>0</v>
      </c>
      <c r="AE149" s="65">
        <f>VLOOKUP($E$1,[9]Detalle!$C$150:$O$156,AE1,0)</f>
        <v>0</v>
      </c>
      <c r="AF149" s="65">
        <f>VLOOKUP($E$1,[9]Detalle!$C$150:$O$156,AF1,0)</f>
        <v>0</v>
      </c>
      <c r="AG149" s="65">
        <f>VLOOKUP($E$1,[9]Detalle!$C$150:$O$156,AG1,0)</f>
        <v>0</v>
      </c>
      <c r="AH149" s="65">
        <f>VLOOKUP($E$1,[9]Detalle!$C$150:$O$156,AH1,0)</f>
        <v>0</v>
      </c>
      <c r="AI149" s="65">
        <f>VLOOKUP($E$1,[9]Detalle!$C$150:$O$156,AI1,0)</f>
        <v>0</v>
      </c>
      <c r="AJ149" s="65">
        <f>VLOOKUP($E$1,[9]Detalle!$C$150:$O$156,AJ1,0)</f>
        <v>0</v>
      </c>
      <c r="AK149" s="65">
        <f t="shared" ref="AK149" si="89">SUM(Y149:AJ149)</f>
        <v>0</v>
      </c>
      <c r="AL149" s="73">
        <f t="shared" ref="AL149" si="90">AK149/AK$6</f>
        <v>0</v>
      </c>
      <c r="AM149" s="14">
        <f t="shared" ref="AM149" si="91">IFERROR(AK149/V149-1,0)</f>
        <v>-1</v>
      </c>
    </row>
    <row r="150" spans="9:39" ht="15" outlineLevel="1">
      <c r="I150" s="246" t="s">
        <v>262</v>
      </c>
      <c r="J150" s="65">
        <v>82533</v>
      </c>
      <c r="K150" s="65">
        <v>15927</v>
      </c>
      <c r="L150" s="65">
        <v>37207</v>
      </c>
      <c r="M150" s="65">
        <v>91516</v>
      </c>
      <c r="N150" s="65">
        <v>37137</v>
      </c>
      <c r="O150" s="65">
        <v>37137</v>
      </c>
      <c r="P150" s="65">
        <v>21567</v>
      </c>
      <c r="Q150" s="65">
        <v>87490</v>
      </c>
      <c r="R150" s="65">
        <v>37137</v>
      </c>
      <c r="S150" s="65">
        <v>42534</v>
      </c>
      <c r="T150" s="65">
        <v>26480.69528430939</v>
      </c>
      <c r="U150" s="65">
        <v>25608.561060011041</v>
      </c>
      <c r="V150" s="65">
        <f t="shared" si="82"/>
        <v>542274.25634432049</v>
      </c>
      <c r="W150" s="73"/>
      <c r="X150" s="89"/>
      <c r="Y150" s="65">
        <f>+Z150</f>
        <v>20849.808937161601</v>
      </c>
      <c r="Z150" s="65">
        <f>((Y40*3.41*4.5%)+(Y41*2.89*4.5%))+((Z7+Z8)*0.03*5.5%)</f>
        <v>20849.808937161601</v>
      </c>
      <c r="AA150" s="65">
        <f t="shared" ref="AA150:AJ150" si="92">((Z40*3.41*4.5%)+(Z41*2.89*4.5%))+((AA7+AA8)*0.03*5.5%)</f>
        <v>21038.911322900509</v>
      </c>
      <c r="AB150" s="65">
        <f t="shared" si="92"/>
        <v>22511.982029554467</v>
      </c>
      <c r="AC150" s="65">
        <f t="shared" si="92"/>
        <v>22112.993077812578</v>
      </c>
      <c r="AD150" s="65">
        <f t="shared" si="92"/>
        <v>24602.83234309304</v>
      </c>
      <c r="AE150" s="65">
        <f t="shared" si="92"/>
        <v>24749.857794381831</v>
      </c>
      <c r="AF150" s="65">
        <f t="shared" si="92"/>
        <v>23141.314941363133</v>
      </c>
      <c r="AG150" s="65">
        <f t="shared" si="92"/>
        <v>24907.393131683162</v>
      </c>
      <c r="AH150" s="65">
        <f t="shared" si="92"/>
        <v>24343.823804497697</v>
      </c>
      <c r="AI150" s="65">
        <f t="shared" si="92"/>
        <v>25063.031072300597</v>
      </c>
      <c r="AJ150" s="65">
        <f t="shared" si="92"/>
        <v>24696.086987634942</v>
      </c>
      <c r="AK150" s="65">
        <f t="shared" si="68"/>
        <v>278867.84437954513</v>
      </c>
      <c r="AL150" s="73">
        <f t="shared" si="33"/>
        <v>5.2497932274141942E-3</v>
      </c>
      <c r="AM150" s="14">
        <f t="shared" si="87"/>
        <v>-0.48574389966527154</v>
      </c>
    </row>
    <row r="151" spans="9:39" ht="15">
      <c r="I151" s="121" t="s">
        <v>264</v>
      </c>
      <c r="J151" s="15">
        <v>16950</v>
      </c>
      <c r="K151" s="15">
        <v>27633</v>
      </c>
      <c r="L151" s="15">
        <v>27819</v>
      </c>
      <c r="M151" s="15">
        <v>20257</v>
      </c>
      <c r="N151" s="15">
        <v>21593</v>
      </c>
      <c r="O151" s="15">
        <v>19481</v>
      </c>
      <c r="P151" s="15">
        <v>22382</v>
      </c>
      <c r="Q151" s="15">
        <v>22251</v>
      </c>
      <c r="R151" s="15">
        <v>24598</v>
      </c>
      <c r="S151" s="15">
        <v>24578</v>
      </c>
      <c r="T151" s="15">
        <v>18868.72</v>
      </c>
      <c r="U151" s="15">
        <v>19583.2</v>
      </c>
      <c r="V151" s="15">
        <f t="shared" ref="V151" si="93">SUM(V152:V158)</f>
        <v>274974.66666666663</v>
      </c>
      <c r="W151" s="72">
        <f t="shared" si="31"/>
        <v>5.4871158710517029E-3</v>
      </c>
      <c r="X151" s="89"/>
      <c r="Y151" s="15">
        <f>SUM(Y152:Y158)</f>
        <v>17828.382299999997</v>
      </c>
      <c r="Z151" s="15">
        <f t="shared" ref="Z151:AJ151" si="94">SUM(Z152:Z158)</f>
        <v>28880.521199999996</v>
      </c>
      <c r="AA151" s="15">
        <f t="shared" si="94"/>
        <v>29092.844999999998</v>
      </c>
      <c r="AB151" s="15">
        <f t="shared" si="94"/>
        <v>21247.87</v>
      </c>
      <c r="AC151" s="15">
        <f t="shared" si="94"/>
        <v>22629.232399999997</v>
      </c>
      <c r="AD151" s="15">
        <f t="shared" si="94"/>
        <v>20443.489999999998</v>
      </c>
      <c r="AE151" s="15">
        <f t="shared" si="94"/>
        <v>25626.569899999999</v>
      </c>
      <c r="AF151" s="15">
        <f t="shared" si="94"/>
        <v>23310.721799999996</v>
      </c>
      <c r="AG151" s="15">
        <f t="shared" si="94"/>
        <v>25743.915099999998</v>
      </c>
      <c r="AH151" s="15">
        <f t="shared" si="94"/>
        <v>25886.623099999997</v>
      </c>
      <c r="AI151" s="15">
        <f t="shared" si="94"/>
        <v>24430.199166666662</v>
      </c>
      <c r="AJ151" s="15">
        <f t="shared" si="94"/>
        <v>25356.11523333333</v>
      </c>
      <c r="AK151" s="15">
        <f t="shared" ref="AK151" si="95">SUM(AK152:AK158)</f>
        <v>290476.48519999994</v>
      </c>
      <c r="AL151" s="72">
        <f t="shared" si="33"/>
        <v>5.4683303057722239E-3</v>
      </c>
      <c r="AM151" s="10">
        <f t="shared" si="87"/>
        <v>5.6375442586225954E-2</v>
      </c>
    </row>
    <row r="152" spans="9:39" ht="15" outlineLevel="1">
      <c r="I152" s="213" t="s">
        <v>265</v>
      </c>
      <c r="J152" s="67">
        <v>0</v>
      </c>
      <c r="K152" s="67">
        <v>0</v>
      </c>
      <c r="L152" s="67">
        <v>0</v>
      </c>
      <c r="M152" s="67">
        <v>0</v>
      </c>
      <c r="N152" s="67">
        <v>0</v>
      </c>
      <c r="O152" s="67">
        <v>0</v>
      </c>
      <c r="P152" s="67">
        <v>0</v>
      </c>
      <c r="Q152" s="67">
        <v>0</v>
      </c>
      <c r="R152" s="67">
        <v>0</v>
      </c>
      <c r="S152" s="67">
        <v>0</v>
      </c>
      <c r="T152" s="67"/>
      <c r="U152" s="67"/>
      <c r="V152" s="65">
        <f t="shared" ref="V152:V158" si="96">SUM(J152:U152)</f>
        <v>0</v>
      </c>
      <c r="W152" s="73">
        <f t="shared" si="31"/>
        <v>0</v>
      </c>
      <c r="X152" s="89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5">
        <f t="shared" si="68"/>
        <v>0</v>
      </c>
      <c r="AL152" s="73">
        <f t="shared" si="33"/>
        <v>0</v>
      </c>
      <c r="AM152" s="14">
        <f t="shared" si="87"/>
        <v>0</v>
      </c>
    </row>
    <row r="153" spans="9:39" ht="15" outlineLevel="1">
      <c r="I153" s="137" t="s">
        <v>292</v>
      </c>
      <c r="J153" s="67">
        <v>0</v>
      </c>
      <c r="K153" s="67">
        <v>0</v>
      </c>
      <c r="L153" s="67">
        <v>0</v>
      </c>
      <c r="M153" s="67">
        <v>0</v>
      </c>
      <c r="N153" s="67">
        <v>0</v>
      </c>
      <c r="O153" s="67">
        <v>0</v>
      </c>
      <c r="P153" s="67">
        <v>0</v>
      </c>
      <c r="Q153" s="67">
        <v>0</v>
      </c>
      <c r="R153" s="67">
        <v>0</v>
      </c>
      <c r="S153" s="67">
        <v>0</v>
      </c>
      <c r="T153" s="67"/>
      <c r="U153" s="67"/>
      <c r="V153" s="65">
        <f t="shared" si="96"/>
        <v>0</v>
      </c>
      <c r="W153" s="73">
        <f t="shared" si="31"/>
        <v>0</v>
      </c>
      <c r="X153" s="89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5">
        <f t="shared" si="68"/>
        <v>0</v>
      </c>
      <c r="AL153" s="73">
        <f t="shared" si="33"/>
        <v>0</v>
      </c>
      <c r="AM153" s="14">
        <f t="shared" si="87"/>
        <v>0</v>
      </c>
    </row>
    <row r="154" spans="9:39" ht="15" outlineLevel="1">
      <c r="I154" s="213" t="s">
        <v>266</v>
      </c>
      <c r="J154" s="65">
        <v>11906</v>
      </c>
      <c r="K154" s="65">
        <v>25020</v>
      </c>
      <c r="L154" s="65">
        <v>16958</v>
      </c>
      <c r="M154" s="65">
        <v>16708</v>
      </c>
      <c r="N154" s="65">
        <v>18682</v>
      </c>
      <c r="O154" s="65">
        <v>16408</v>
      </c>
      <c r="P154" s="65">
        <v>18682</v>
      </c>
      <c r="Q154" s="65">
        <v>19176</v>
      </c>
      <c r="R154" s="225">
        <v>19934</v>
      </c>
      <c r="S154" s="225">
        <v>19108</v>
      </c>
      <c r="T154" s="225">
        <f t="shared" ref="T154" si="97">+AVERAGE(Q154:S154)</f>
        <v>19406</v>
      </c>
      <c r="U154" s="225">
        <f t="shared" ref="U154" si="98">+AVERAGE(R154:T154)</f>
        <v>19482.666666666668</v>
      </c>
      <c r="V154" s="65">
        <f t="shared" si="96"/>
        <v>221470.66666666666</v>
      </c>
      <c r="W154" s="73">
        <f t="shared" si="31"/>
        <v>4.4194442519761871E-3</v>
      </c>
      <c r="X154" s="89"/>
      <c r="Y154" s="65">
        <f>VLOOKUP($E$1,[8]Resumen!$V$104:$AH$110,Y1,0)</f>
        <v>12323.900599999999</v>
      </c>
      <c r="Z154" s="65">
        <f>VLOOKUP($E$1,[8]Resumen!$V$104:$AH$110,Z1,0)</f>
        <v>25898.201999999997</v>
      </c>
      <c r="AA154" s="65">
        <f>VLOOKUP($E$1,[8]Resumen!$V$104:$AH$110,AA1,0)</f>
        <v>17553.2258</v>
      </c>
      <c r="AB154" s="65">
        <f>VLOOKUP($E$1,[8]Resumen!$V$104:$AH$110,AB1,0)</f>
        <v>17294.450799999999</v>
      </c>
      <c r="AC154" s="65">
        <f>VLOOKUP($E$1,[8]Resumen!$V$104:$AH$110,AC1,0)</f>
        <v>19337.7382</v>
      </c>
      <c r="AD154" s="65">
        <f>VLOOKUP($E$1,[8]Resumen!$V$104:$AH$110,AD1,0)</f>
        <v>16983.9208</v>
      </c>
      <c r="AE154" s="65">
        <f>VLOOKUP($E$1,[8]Resumen!$V$104:$AH$110,AE1,0)</f>
        <v>19337.7382</v>
      </c>
      <c r="AF154" s="65">
        <f>VLOOKUP($E$1,[8]Resumen!$V$104:$AH$110,AF1,0)</f>
        <v>19849.077599999997</v>
      </c>
      <c r="AG154" s="65">
        <f>VLOOKUP($E$1,[8]Resumen!$V$104:$AH$110,AG1,0)</f>
        <v>20633.683399999998</v>
      </c>
      <c r="AH154" s="65">
        <f>VLOOKUP($E$1,[8]Resumen!$V$104:$AH$110,AH1,0)</f>
        <v>19940.166399999998</v>
      </c>
      <c r="AI154" s="65">
        <f>VLOOKUP($E$1,[8]Resumen!$V$104:$AH$110,AI1,0)</f>
        <v>20140.975799999997</v>
      </c>
      <c r="AJ154" s="65">
        <f>VLOOKUP($E$1,[8]Resumen!$V$104:$AH$110,AJ1,0)</f>
        <v>20238.275199999996</v>
      </c>
      <c r="AK154" s="65">
        <f t="shared" si="68"/>
        <v>229531.35479999994</v>
      </c>
      <c r="AL154" s="73">
        <f t="shared" si="33"/>
        <v>4.3210150477880982E-3</v>
      </c>
      <c r="AM154" s="14">
        <f t="shared" si="87"/>
        <v>3.6396188509538963E-2</v>
      </c>
    </row>
    <row r="155" spans="9:39" ht="15" outlineLevel="1">
      <c r="I155" s="213" t="s">
        <v>267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f t="shared" si="96"/>
        <v>0</v>
      </c>
      <c r="W155" s="73">
        <f t="shared" si="31"/>
        <v>0</v>
      </c>
      <c r="X155" s="89"/>
      <c r="Y155" s="65">
        <f>VLOOKUP($E$1,[5]Resumen!$V$32:$AH$38,Y1,0)</f>
        <v>0</v>
      </c>
      <c r="Z155" s="65">
        <f>VLOOKUP($E$1,[5]Resumen!$V$32:$AH$38,Z1,0)</f>
        <v>0</v>
      </c>
      <c r="AA155" s="65">
        <f>VLOOKUP($E$1,[5]Resumen!$V$32:$AH$38,AA1,0)</f>
        <v>0</v>
      </c>
      <c r="AB155" s="65">
        <f>VLOOKUP($E$1,[5]Resumen!$V$32:$AH$38,AB1,0)</f>
        <v>0</v>
      </c>
      <c r="AC155" s="65">
        <f>VLOOKUP($E$1,[5]Resumen!$V$32:$AH$38,AC1,0)</f>
        <v>0</v>
      </c>
      <c r="AD155" s="65">
        <f>VLOOKUP($E$1,[5]Resumen!$V$32:$AH$38,AD1,0)</f>
        <v>0</v>
      </c>
      <c r="AE155" s="65">
        <f>VLOOKUP($E$1,[5]Resumen!$V$32:$AH$38,AE1,0)</f>
        <v>0</v>
      </c>
      <c r="AF155" s="65">
        <f>VLOOKUP($E$1,[5]Resumen!$V$32:$AH$38,AF1,0)</f>
        <v>0</v>
      </c>
      <c r="AG155" s="65">
        <f>VLOOKUP($E$1,[5]Resumen!$V$32:$AH$38,AG1,0)</f>
        <v>0</v>
      </c>
      <c r="AH155" s="65">
        <f>VLOOKUP($E$1,[5]Resumen!$V$32:$AH$38,AH1,0)</f>
        <v>0</v>
      </c>
      <c r="AI155" s="65">
        <f>VLOOKUP($E$1,[5]Resumen!$V$32:$AH$38,AI1,0)</f>
        <v>0</v>
      </c>
      <c r="AJ155" s="65">
        <f>VLOOKUP($E$1,[5]Resumen!$V$32:$AH$38,AJ1,0)</f>
        <v>0</v>
      </c>
      <c r="AK155" s="65">
        <f t="shared" si="68"/>
        <v>0</v>
      </c>
      <c r="AL155" s="73">
        <f t="shared" si="33"/>
        <v>0</v>
      </c>
      <c r="AM155" s="14">
        <f t="shared" si="87"/>
        <v>0</v>
      </c>
    </row>
    <row r="156" spans="9:39" ht="15" outlineLevel="1">
      <c r="I156" s="213" t="s">
        <v>269</v>
      </c>
      <c r="J156" s="65">
        <v>2944</v>
      </c>
      <c r="K156" s="65">
        <v>513</v>
      </c>
      <c r="L156" s="65">
        <v>8761</v>
      </c>
      <c r="M156" s="65">
        <v>1449</v>
      </c>
      <c r="N156" s="65">
        <v>811</v>
      </c>
      <c r="O156" s="65">
        <v>973</v>
      </c>
      <c r="P156" s="65">
        <v>3700</v>
      </c>
      <c r="Q156" s="65">
        <v>975</v>
      </c>
      <c r="R156" s="225">
        <v>2564</v>
      </c>
      <c r="S156" s="225">
        <v>3370</v>
      </c>
      <c r="T156" s="225">
        <f>+AVERAGE(S156,Q156,O156)</f>
        <v>1772.6666666666667</v>
      </c>
      <c r="U156" s="225">
        <f>+AVERAGE(S156:T156)</f>
        <v>2571.3333333333335</v>
      </c>
      <c r="V156" s="65">
        <f t="shared" si="96"/>
        <v>30404</v>
      </c>
      <c r="W156" s="73">
        <f t="shared" si="31"/>
        <v>6.0671142169505064E-4</v>
      </c>
      <c r="X156" s="89"/>
      <c r="Y156" s="65">
        <f>J156*1.0375</f>
        <v>3054.4</v>
      </c>
      <c r="Z156" s="65">
        <f t="shared" ref="Z156:AJ156" si="99">K156*1.0375</f>
        <v>532.23750000000007</v>
      </c>
      <c r="AA156" s="65">
        <f t="shared" si="99"/>
        <v>9089.5375000000004</v>
      </c>
      <c r="AB156" s="65">
        <f t="shared" si="99"/>
        <v>1503.3375000000001</v>
      </c>
      <c r="AC156" s="65">
        <f t="shared" si="99"/>
        <v>841.41250000000002</v>
      </c>
      <c r="AD156" s="65">
        <f t="shared" si="99"/>
        <v>1009.4875000000001</v>
      </c>
      <c r="AE156" s="65">
        <f t="shared" si="99"/>
        <v>3838.7500000000005</v>
      </c>
      <c r="AF156" s="65">
        <f t="shared" si="99"/>
        <v>1011.5625000000001</v>
      </c>
      <c r="AG156" s="65">
        <f t="shared" si="99"/>
        <v>2660.15</v>
      </c>
      <c r="AH156" s="65">
        <f t="shared" si="99"/>
        <v>3496.3750000000005</v>
      </c>
      <c r="AI156" s="65">
        <f t="shared" si="99"/>
        <v>1839.1416666666669</v>
      </c>
      <c r="AJ156" s="65">
        <f t="shared" si="99"/>
        <v>2667.7583333333337</v>
      </c>
      <c r="AK156" s="65">
        <f t="shared" si="68"/>
        <v>31544.150000000005</v>
      </c>
      <c r="AL156" s="73">
        <f t="shared" si="33"/>
        <v>5.938306203893194E-4</v>
      </c>
      <c r="AM156" s="14">
        <f t="shared" si="87"/>
        <v>3.7500000000000089E-2</v>
      </c>
    </row>
    <row r="157" spans="9:39" ht="15" outlineLevel="1">
      <c r="I157" s="213"/>
      <c r="J157" s="67">
        <v>0</v>
      </c>
      <c r="K157" s="67">
        <v>0</v>
      </c>
      <c r="L157" s="67">
        <v>0</v>
      </c>
      <c r="M157" s="67">
        <v>0</v>
      </c>
      <c r="N157" s="67">
        <v>0</v>
      </c>
      <c r="O157" s="67">
        <v>0</v>
      </c>
      <c r="P157" s="67"/>
      <c r="Q157" s="67">
        <v>0</v>
      </c>
      <c r="R157" s="67">
        <v>0</v>
      </c>
      <c r="S157" s="67">
        <v>0</v>
      </c>
      <c r="T157" s="67"/>
      <c r="U157" s="67"/>
      <c r="V157" s="65"/>
      <c r="W157" s="73"/>
      <c r="X157" s="89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73"/>
      <c r="AM157" s="14"/>
    </row>
    <row r="158" spans="9:39" ht="15" outlineLevel="1">
      <c r="I158" s="213" t="s">
        <v>270</v>
      </c>
      <c r="J158" s="67">
        <v>2100</v>
      </c>
      <c r="K158" s="67">
        <v>2100</v>
      </c>
      <c r="L158" s="67">
        <v>2100</v>
      </c>
      <c r="M158" s="67">
        <v>2100</v>
      </c>
      <c r="N158" s="67">
        <v>2100</v>
      </c>
      <c r="O158" s="67">
        <v>2100</v>
      </c>
      <c r="P158" s="67">
        <v>0</v>
      </c>
      <c r="Q158" s="67">
        <v>2100</v>
      </c>
      <c r="R158" s="225">
        <v>2100</v>
      </c>
      <c r="S158" s="225">
        <v>2100</v>
      </c>
      <c r="T158" s="225">
        <v>2100</v>
      </c>
      <c r="U158" s="225">
        <v>2100</v>
      </c>
      <c r="V158" s="65">
        <f t="shared" si="96"/>
        <v>23100</v>
      </c>
      <c r="W158" s="73">
        <f>V158/V$6</f>
        <v>4.6096019738046544E-4</v>
      </c>
      <c r="X158" s="89"/>
      <c r="Y158" s="67">
        <f>VLOOKUP($E$1,[19]Resumen!$V$8:$AH$14,Y1,0)</f>
        <v>2450.0816999999997</v>
      </c>
      <c r="Z158" s="67">
        <f>VLOOKUP($E$1,[19]Resumen!$V$8:$AH$14,Z1,0)</f>
        <v>2450.0816999999997</v>
      </c>
      <c r="AA158" s="67">
        <f>VLOOKUP($E$1,[19]Resumen!$V$8:$AH$14,AA1,0)</f>
        <v>2450.0816999999997</v>
      </c>
      <c r="AB158" s="67">
        <f>VLOOKUP($E$1,[19]Resumen!$V$8:$AH$14,AB1,0)</f>
        <v>2450.0816999999997</v>
      </c>
      <c r="AC158" s="67">
        <f>VLOOKUP($E$1,[19]Resumen!$V$8:$AH$14,AC1,0)</f>
        <v>2450.0816999999997</v>
      </c>
      <c r="AD158" s="67">
        <f>VLOOKUP($E$1,[19]Resumen!$V$8:$AH$14,AD1,0)</f>
        <v>2450.0816999999997</v>
      </c>
      <c r="AE158" s="67">
        <f>VLOOKUP($E$1,[19]Resumen!$V$8:$AH$14,AE1,0)</f>
        <v>2450.0816999999997</v>
      </c>
      <c r="AF158" s="67">
        <f>VLOOKUP($E$1,[19]Resumen!$V$8:$AH$14,AF1,0)</f>
        <v>2450.0816999999997</v>
      </c>
      <c r="AG158" s="67">
        <f>VLOOKUP($E$1,[19]Resumen!$V$8:$AH$14,AG1,0)</f>
        <v>2450.0816999999997</v>
      </c>
      <c r="AH158" s="67">
        <f>VLOOKUP($E$1,[19]Resumen!$V$8:$AH$14,AH1,0)</f>
        <v>2450.0816999999997</v>
      </c>
      <c r="AI158" s="67">
        <f>VLOOKUP($E$1,[19]Resumen!$V$8:$AH$14,AI1,0)</f>
        <v>2450.0816999999997</v>
      </c>
      <c r="AJ158" s="67">
        <f>VLOOKUP($E$1,[19]Resumen!$V$8:$AH$14,AJ1,0)</f>
        <v>2450.0816999999997</v>
      </c>
      <c r="AK158" s="65">
        <f t="shared" si="68"/>
        <v>29400.980399999989</v>
      </c>
      <c r="AL158" s="73">
        <f>AK158/AK$6</f>
        <v>5.5348463759480641E-4</v>
      </c>
      <c r="AM158" s="14">
        <f>IFERROR(AK158/V158-1,0)</f>
        <v>0.27276971428571373</v>
      </c>
    </row>
    <row r="159" spans="9:39" ht="15">
      <c r="I159" s="121" t="s">
        <v>466</v>
      </c>
      <c r="J159" s="15">
        <f>SUM(J160)</f>
        <v>19391.661354998421</v>
      </c>
      <c r="K159" s="15">
        <f t="shared" ref="K159:V159" si="100">SUM(K160)</f>
        <v>20605.229607728936</v>
      </c>
      <c r="L159" s="15">
        <f t="shared" si="100"/>
        <v>23632.158209848934</v>
      </c>
      <c r="M159" s="15">
        <f t="shared" si="100"/>
        <v>21730.269742404114</v>
      </c>
      <c r="N159" s="15">
        <f t="shared" si="100"/>
        <v>24594.690041189417</v>
      </c>
      <c r="O159" s="15">
        <f t="shared" si="100"/>
        <v>24331.530342486076</v>
      </c>
      <c r="P159" s="15">
        <f t="shared" si="100"/>
        <v>26500.525622178109</v>
      </c>
      <c r="Q159" s="15">
        <f t="shared" si="100"/>
        <v>22063.51890017929</v>
      </c>
      <c r="R159" s="15">
        <f t="shared" si="100"/>
        <v>26252.985215641216</v>
      </c>
      <c r="S159" s="15">
        <f t="shared" si="100"/>
        <v>26634.727482669634</v>
      </c>
      <c r="T159" s="15">
        <f t="shared" si="100"/>
        <v>24983.743866163382</v>
      </c>
      <c r="U159" s="15">
        <f t="shared" si="100"/>
        <v>25957.152188158077</v>
      </c>
      <c r="V159" s="15">
        <f t="shared" si="100"/>
        <v>286678.19257364562</v>
      </c>
      <c r="W159" s="72">
        <f t="shared" ref="W159:W160" si="101">V159/V$6</f>
        <v>5.7206595772044486E-3</v>
      </c>
      <c r="X159" s="89"/>
      <c r="Y159" s="15">
        <f t="shared" ref="Y159" si="102">SUM(Y160)</f>
        <v>20118.848655810863</v>
      </c>
      <c r="Z159" s="15">
        <f t="shared" ref="Z159" si="103">SUM(Z160)</f>
        <v>21377.925718018774</v>
      </c>
      <c r="AA159" s="15">
        <f t="shared" ref="AA159" si="104">SUM(AA160)</f>
        <v>24518.36414271827</v>
      </c>
      <c r="AB159" s="15">
        <f t="shared" ref="AB159" si="105">SUM(AB160)</f>
        <v>22545.15485774427</v>
      </c>
      <c r="AC159" s="15">
        <f t="shared" ref="AC159" si="106">SUM(AC160)</f>
        <v>25516.990917734023</v>
      </c>
      <c r="AD159" s="15">
        <f t="shared" ref="AD159" si="107">SUM(AD160)</f>
        <v>25243.962730329305</v>
      </c>
      <c r="AE159" s="15">
        <f t="shared" ref="AE159" si="108">SUM(AE160)</f>
        <v>27494.295333009792</v>
      </c>
      <c r="AF159" s="15">
        <f t="shared" ref="AF159" si="109">SUM(AF160)</f>
        <v>22890.900858936016</v>
      </c>
      <c r="AG159" s="15">
        <f t="shared" ref="AG159" si="110">SUM(AG160)</f>
        <v>27237.472161227764</v>
      </c>
      <c r="AH159" s="15">
        <f t="shared" ref="AH159" si="111">SUM(AH160)</f>
        <v>27633.529763269747</v>
      </c>
      <c r="AI159" s="15">
        <f t="shared" ref="AI159" si="112">SUM(AI160)</f>
        <v>25920.634261144511</v>
      </c>
      <c r="AJ159" s="15">
        <f t="shared" ref="AJ159" si="113">SUM(AJ160)</f>
        <v>26930.545395214009</v>
      </c>
      <c r="AK159" s="15">
        <f t="shared" ref="AK159" si="114">SUM(AK160)</f>
        <v>297428.62479515735</v>
      </c>
      <c r="AL159" s="72">
        <f t="shared" ref="AL159:AL160" si="115">AK159/AK$6</f>
        <v>5.5992069776377041E-3</v>
      </c>
      <c r="AM159" s="10">
        <f t="shared" ref="AM159:AM160" si="116">IFERROR(AK159/V159-1,0)</f>
        <v>3.7500000000000089E-2</v>
      </c>
    </row>
    <row r="160" spans="9:39" ht="15" outlineLevel="1">
      <c r="I160" s="251" t="s">
        <v>328</v>
      </c>
      <c r="J160" s="65">
        <v>19391.661354998421</v>
      </c>
      <c r="K160" s="65">
        <v>20605.229607728936</v>
      </c>
      <c r="L160" s="65">
        <v>23632.158209848934</v>
      </c>
      <c r="M160" s="65">
        <v>21730.269742404114</v>
      </c>
      <c r="N160" s="65">
        <v>24594.690041189417</v>
      </c>
      <c r="O160" s="65">
        <v>24331.530342486076</v>
      </c>
      <c r="P160" s="65">
        <v>26500.525622178109</v>
      </c>
      <c r="Q160" s="65">
        <v>22063.51890017929</v>
      </c>
      <c r="R160" s="65">
        <v>26252.985215641216</v>
      </c>
      <c r="S160" s="65">
        <v>26634.727482669634</v>
      </c>
      <c r="T160" s="65">
        <v>24983.743866163382</v>
      </c>
      <c r="U160" s="65">
        <v>25957.152188158077</v>
      </c>
      <c r="V160" s="65">
        <f t="shared" ref="V160" si="117">SUM(J160:U160)</f>
        <v>286678.19257364562</v>
      </c>
      <c r="W160" s="73">
        <f t="shared" si="101"/>
        <v>5.7206595772044486E-3</v>
      </c>
      <c r="X160" s="89"/>
      <c r="Y160" s="65">
        <f>VLOOKUP($E$1,[8]Resumen!$V$8:$AH$14,Y1,0)</f>
        <v>20118.848655810863</v>
      </c>
      <c r="Z160" s="65">
        <f>VLOOKUP($E$1,[8]Resumen!$V$8:$AH$14,Z1,0)</f>
        <v>21377.925718018774</v>
      </c>
      <c r="AA160" s="65">
        <f>VLOOKUP($E$1,[8]Resumen!$V$8:$AH$14,AA1,0)</f>
        <v>24518.36414271827</v>
      </c>
      <c r="AB160" s="65">
        <f>VLOOKUP($E$1,[8]Resumen!$V$8:$AH$14,AB1,0)</f>
        <v>22545.15485774427</v>
      </c>
      <c r="AC160" s="65">
        <f>VLOOKUP($E$1,[8]Resumen!$V$8:$AH$14,AC1,0)</f>
        <v>25516.990917734023</v>
      </c>
      <c r="AD160" s="65">
        <f>VLOOKUP($E$1,[8]Resumen!$V$8:$AH$14,AD1,0)</f>
        <v>25243.962730329305</v>
      </c>
      <c r="AE160" s="65">
        <f>VLOOKUP($E$1,[8]Resumen!$V$8:$AH$14,AE1,0)</f>
        <v>27494.295333009792</v>
      </c>
      <c r="AF160" s="65">
        <f>VLOOKUP($E$1,[8]Resumen!$V$8:$AH$14,AF1,0)</f>
        <v>22890.900858936016</v>
      </c>
      <c r="AG160" s="65">
        <f>VLOOKUP($E$1,[8]Resumen!$V$8:$AH$14,AG1,0)</f>
        <v>27237.472161227764</v>
      </c>
      <c r="AH160" s="65">
        <f>VLOOKUP($E$1,[8]Resumen!$V$8:$AH$14,AH1,0)</f>
        <v>27633.529763269747</v>
      </c>
      <c r="AI160" s="65">
        <f>VLOOKUP($E$1,[8]Resumen!$V$8:$AH$14,AI1,0)</f>
        <v>25920.634261144511</v>
      </c>
      <c r="AJ160" s="65">
        <f>VLOOKUP($E$1,[8]Resumen!$V$8:$AH$14,AJ1,0)</f>
        <v>26930.545395214009</v>
      </c>
      <c r="AK160" s="65">
        <f t="shared" ref="AK159:AK160" si="118">SUM(Y160:AJ160)</f>
        <v>297428.62479515735</v>
      </c>
      <c r="AL160" s="73">
        <f t="shared" si="115"/>
        <v>5.5992069776377041E-3</v>
      </c>
      <c r="AM160" s="14">
        <f t="shared" si="116"/>
        <v>3.7500000000000089E-2</v>
      </c>
    </row>
    <row r="161" spans="9:39" ht="15">
      <c r="I161" s="28" t="s">
        <v>271</v>
      </c>
      <c r="J161" s="27">
        <v>539388</v>
      </c>
      <c r="K161" s="27">
        <v>388996</v>
      </c>
      <c r="L161" s="27">
        <v>631658</v>
      </c>
      <c r="M161" s="27">
        <v>639460</v>
      </c>
      <c r="N161" s="27">
        <v>488763</v>
      </c>
      <c r="O161" s="27">
        <v>504294</v>
      </c>
      <c r="P161" s="27">
        <v>524001</v>
      </c>
      <c r="Q161" s="27">
        <v>525582</v>
      </c>
      <c r="R161" s="27">
        <v>490365</v>
      </c>
      <c r="S161" s="27">
        <v>486523</v>
      </c>
      <c r="T161" s="27">
        <f t="shared" ref="R161:U161" si="119">T50+T92+T109+T114+T151</f>
        <v>493945.58635097602</v>
      </c>
      <c r="U161" s="27">
        <f t="shared" si="119"/>
        <v>482287.88723778888</v>
      </c>
      <c r="V161" s="27">
        <f>V50+V92+V109+V114+V151</f>
        <v>6208152.2202554317</v>
      </c>
      <c r="W161" s="76">
        <f t="shared" si="31"/>
        <v>0.12388359622584062</v>
      </c>
      <c r="X161" s="89"/>
      <c r="Y161" s="27">
        <f t="shared" ref="Y161:AI161" si="120">Y50+Y92+Y109+Y114+Y151+Y159</f>
        <v>599001.27938424074</v>
      </c>
      <c r="Z161" s="27">
        <f t="shared" si="120"/>
        <v>565486.12020946038</v>
      </c>
      <c r="AA161" s="27">
        <f t="shared" si="120"/>
        <v>596188.17244747106</v>
      </c>
      <c r="AB161" s="27">
        <f t="shared" si="120"/>
        <v>509964.03974693437</v>
      </c>
      <c r="AC161" s="27">
        <f t="shared" si="120"/>
        <v>534434.17078419216</v>
      </c>
      <c r="AD161" s="27">
        <f t="shared" si="120"/>
        <v>552784.31732761161</v>
      </c>
      <c r="AE161" s="27">
        <f t="shared" si="120"/>
        <v>594883.13399130921</v>
      </c>
      <c r="AF161" s="27">
        <f t="shared" si="120"/>
        <v>583921.83160670206</v>
      </c>
      <c r="AG161" s="27">
        <f t="shared" si="120"/>
        <v>578764.61190146173</v>
      </c>
      <c r="AH161" s="27">
        <f t="shared" si="120"/>
        <v>569455.85028657643</v>
      </c>
      <c r="AI161" s="27">
        <f t="shared" si="120"/>
        <v>574133.37149009597</v>
      </c>
      <c r="AJ161" s="27">
        <f>AJ50+AJ92+AJ109+AJ114+AJ151+AJ159</f>
        <v>545899.73661676305</v>
      </c>
      <c r="AK161" s="27">
        <f>AK50+AK92+AK109+AK114+AK151+AK159</f>
        <v>6804916.6357928179</v>
      </c>
      <c r="AL161" s="76">
        <f t="shared" si="33"/>
        <v>0.12810514366468739</v>
      </c>
      <c r="AM161" s="10">
        <f t="shared" si="87"/>
        <v>9.6125931575954837E-2</v>
      </c>
    </row>
    <row r="162" spans="9:39" ht="15">
      <c r="I162" s="26" t="s">
        <v>272</v>
      </c>
      <c r="J162" s="17">
        <v>2.65</v>
      </c>
      <c r="K162" s="17">
        <v>1.87</v>
      </c>
      <c r="L162" s="17">
        <v>3.02</v>
      </c>
      <c r="M162" s="17">
        <v>3.2</v>
      </c>
      <c r="N162" s="17">
        <v>2.2599999999999998</v>
      </c>
      <c r="O162" s="17">
        <v>2.36</v>
      </c>
      <c r="P162" s="17">
        <v>2.58</v>
      </c>
      <c r="Q162" s="17">
        <v>2.66</v>
      </c>
      <c r="R162" s="17">
        <v>2.19</v>
      </c>
      <c r="S162" s="17">
        <v>2.35</v>
      </c>
      <c r="T162" s="17">
        <v>2.0293230149215264</v>
      </c>
      <c r="U162" s="17">
        <v>2.0697092096471046</v>
      </c>
      <c r="V162" s="17">
        <f>IFERROR(V161/V39,0)</f>
        <v>2.4806918835875296</v>
      </c>
      <c r="W162" s="73">
        <f t="shared" si="31"/>
        <v>4.9502174038901568E-8</v>
      </c>
      <c r="X162" s="89"/>
      <c r="Y162" s="17">
        <f t="shared" ref="Y162:AK162" si="121">IFERROR(Y161/Y39,0)</f>
        <v>2.9044316945273678</v>
      </c>
      <c r="Z162" s="17">
        <f t="shared" si="121"/>
        <v>2.6810836500114279</v>
      </c>
      <c r="AA162" s="17">
        <f t="shared" si="121"/>
        <v>2.8039683968689704</v>
      </c>
      <c r="AB162" s="17">
        <f t="shared" si="121"/>
        <v>2.5137231345229227</v>
      </c>
      <c r="AC162" s="17">
        <f t="shared" si="121"/>
        <v>2.3980928249566635</v>
      </c>
      <c r="AD162" s="17">
        <f t="shared" si="121"/>
        <v>2.5211361731625086</v>
      </c>
      <c r="AE162" s="17">
        <f t="shared" si="121"/>
        <v>2.8622856303861681</v>
      </c>
      <c r="AF162" s="17">
        <f t="shared" si="121"/>
        <v>2.7130762300230087</v>
      </c>
      <c r="AG162" s="17">
        <f t="shared" si="121"/>
        <v>2.621798369662931</v>
      </c>
      <c r="AH162" s="17">
        <f t="shared" si="121"/>
        <v>2.5704077776620178</v>
      </c>
      <c r="AI162" s="17">
        <f t="shared" si="121"/>
        <v>2.5901065192818677</v>
      </c>
      <c r="AJ162" s="17">
        <f t="shared" si="121"/>
        <v>2.591784228122525</v>
      </c>
      <c r="AK162" s="17">
        <f t="shared" si="121"/>
        <v>2.645344772063269</v>
      </c>
      <c r="AL162" s="73">
        <f t="shared" si="33"/>
        <v>4.9799621392174889E-8</v>
      </c>
      <c r="AM162" s="16">
        <f t="shared" si="87"/>
        <v>6.6373776431122744E-2</v>
      </c>
    </row>
    <row r="163" spans="9:39" ht="15">
      <c r="I163" s="26" t="s">
        <v>273</v>
      </c>
      <c r="J163" s="17">
        <v>2.65</v>
      </c>
      <c r="K163" s="17">
        <v>1.87</v>
      </c>
      <c r="L163" s="17">
        <v>3.02</v>
      </c>
      <c r="M163" s="17">
        <v>3.2</v>
      </c>
      <c r="N163" s="17">
        <v>2.2599999999999998</v>
      </c>
      <c r="O163" s="17">
        <v>2.36</v>
      </c>
      <c r="P163" s="17">
        <v>2.58</v>
      </c>
      <c r="Q163" s="17">
        <v>2.66</v>
      </c>
      <c r="R163" s="17">
        <v>2.19</v>
      </c>
      <c r="S163" s="17">
        <v>2.35</v>
      </c>
      <c r="T163" s="17">
        <v>1.6750222983702511E-5</v>
      </c>
      <c r="U163" s="17">
        <v>1.7606454987895813E-5</v>
      </c>
      <c r="V163" s="17">
        <f>IFERROR((V161-V152)/V39,0)</f>
        <v>2.4806918835875296</v>
      </c>
      <c r="W163" s="73">
        <f t="shared" si="31"/>
        <v>4.9502174038901568E-8</v>
      </c>
      <c r="X163" s="89"/>
      <c r="Y163" s="17">
        <f t="shared" ref="Y163:AJ163" si="122">IFERROR(Y162/Y40,0)</f>
        <v>2.8287623029241468E-5</v>
      </c>
      <c r="Z163" s="17">
        <f t="shared" si="122"/>
        <v>2.6944481126501729E-5</v>
      </c>
      <c r="AA163" s="17">
        <f t="shared" si="122"/>
        <v>2.6293037488339324E-5</v>
      </c>
      <c r="AB163" s="17">
        <f t="shared" si="122"/>
        <v>2.4246184080278975E-5</v>
      </c>
      <c r="AC163" s="17">
        <f t="shared" si="122"/>
        <v>2.0500900405699195E-5</v>
      </c>
      <c r="AD163" s="17">
        <f t="shared" si="122"/>
        <v>2.1310658753402326E-5</v>
      </c>
      <c r="AE163" s="17">
        <f t="shared" si="122"/>
        <v>2.6738088449085635E-5</v>
      </c>
      <c r="AF163" s="17">
        <f t="shared" si="122"/>
        <v>2.2885115645649241E-5</v>
      </c>
      <c r="AG163" s="17">
        <f t="shared" si="122"/>
        <v>2.3046750788176257E-5</v>
      </c>
      <c r="AH163" s="17">
        <f t="shared" si="122"/>
        <v>2.1725672608543663E-5</v>
      </c>
      <c r="AI163" s="17">
        <f t="shared" si="122"/>
        <v>2.195024126714521E-5</v>
      </c>
      <c r="AJ163" s="17">
        <f t="shared" si="122"/>
        <v>2.3482900344503663E-5</v>
      </c>
      <c r="AK163" s="17">
        <f>IFERROR((AK161-AK152)/AK39,0)</f>
        <v>2.645344772063269</v>
      </c>
      <c r="AL163" s="73">
        <f t="shared" si="33"/>
        <v>4.9799621392174889E-8</v>
      </c>
      <c r="AM163" s="16">
        <f t="shared" si="87"/>
        <v>6.6373776431122744E-2</v>
      </c>
    </row>
    <row r="164" spans="9:39" ht="15.75">
      <c r="I164" s="25" t="s">
        <v>274</v>
      </c>
      <c r="J164" s="24">
        <v>19073</v>
      </c>
      <c r="K164" s="24">
        <v>242372</v>
      </c>
      <c r="L164" s="24">
        <v>-42418</v>
      </c>
      <c r="M164" s="24">
        <v>-98076</v>
      </c>
      <c r="N164" s="24">
        <v>85732</v>
      </c>
      <c r="O164" s="24">
        <v>-33559</v>
      </c>
      <c r="P164" s="24">
        <v>-110794</v>
      </c>
      <c r="Q164" s="24">
        <v>-35177</v>
      </c>
      <c r="R164" s="24">
        <v>60599</v>
      </c>
      <c r="S164" s="24">
        <v>78873</v>
      </c>
      <c r="T164" s="24">
        <f t="shared" ref="R164:U164" si="123">T34-T161</f>
        <v>41643.413649024093</v>
      </c>
      <c r="U164" s="24">
        <f t="shared" si="123"/>
        <v>68362.446095544496</v>
      </c>
      <c r="V164" s="24">
        <f>V34-V161</f>
        <v>263748.1130779013</v>
      </c>
      <c r="W164" s="77">
        <f t="shared" si="31"/>
        <v>5.2630901412603764E-3</v>
      </c>
      <c r="X164" s="89"/>
      <c r="Y164" s="24">
        <f t="shared" ref="Y164:AK164" si="124">Y34-Y161</f>
        <v>-86477.689384240424</v>
      </c>
      <c r="Z164" s="24">
        <f t="shared" si="124"/>
        <v>-38795.420209460193</v>
      </c>
      <c r="AA164" s="24">
        <f t="shared" si="124"/>
        <v>-69286.232447471586</v>
      </c>
      <c r="AB164" s="24">
        <f t="shared" si="124"/>
        <v>-11895.849746933964</v>
      </c>
      <c r="AC164" s="24">
        <f t="shared" si="124"/>
        <v>37503.319215808064</v>
      </c>
      <c r="AD164" s="24">
        <f t="shared" si="124"/>
        <v>-12919.0173276118</v>
      </c>
      <c r="AE164" s="24">
        <f t="shared" si="124"/>
        <v>-87095.233991308836</v>
      </c>
      <c r="AF164" s="24">
        <f t="shared" si="124"/>
        <v>-35290.611606703256</v>
      </c>
      <c r="AG164" s="24">
        <f t="shared" si="124"/>
        <v>-23860.291901461431</v>
      </c>
      <c r="AH164" s="24">
        <f t="shared" si="124"/>
        <v>-16679.230286576319</v>
      </c>
      <c r="AI164" s="24">
        <f t="shared" si="124"/>
        <v>-22574.731490095379</v>
      </c>
      <c r="AJ164" s="24">
        <f t="shared" si="124"/>
        <v>-31002.036616762867</v>
      </c>
      <c r="AK164" s="24">
        <f t="shared" si="124"/>
        <v>-398373.02579281107</v>
      </c>
      <c r="AL164" s="77">
        <f t="shared" si="33"/>
        <v>-7.4995237168513119E-3</v>
      </c>
      <c r="AM164" s="23">
        <f t="shared" si="87"/>
        <v>-2.5104298610665192</v>
      </c>
    </row>
    <row r="165" spans="9:39">
      <c r="I165" s="26" t="s">
        <v>309</v>
      </c>
      <c r="J165" s="17">
        <f>+J164/J39</f>
        <v>9.366636055140036E-2</v>
      </c>
      <c r="K165" s="17">
        <f>+K164/K39</f>
        <v>1.1629911134143298</v>
      </c>
      <c r="L165" s="17">
        <f>+L164/L39</f>
        <v>-0.20308714678310497</v>
      </c>
      <c r="M165" s="17">
        <f>+M164/M39</f>
        <v>-0.49049281334706984</v>
      </c>
      <c r="N165" s="17">
        <f>+N164/N39</f>
        <v>0.39632393050971254</v>
      </c>
      <c r="O165" s="17">
        <f>+O164/O39</f>
        <v>-0.1573250199240542</v>
      </c>
      <c r="P165" s="17">
        <f>+P164/P39</f>
        <v>-0.54578056265732677</v>
      </c>
      <c r="Q165" s="17">
        <f>+Q164/Q39</f>
        <v>-0.17835883707016317</v>
      </c>
      <c r="R165" s="17">
        <f>+R164/R39</f>
        <v>0.27081294382102811</v>
      </c>
      <c r="S165" s="17">
        <f>+S164/S39</f>
        <v>0.38128870389975783</v>
      </c>
      <c r="T165" s="17">
        <f>+T164/T39</f>
        <v>0.19298746263155156</v>
      </c>
      <c r="U165" s="17">
        <f>+U164/U39</f>
        <v>0.33270606546592024</v>
      </c>
      <c r="V165" s="17">
        <f>+V164/V39</f>
        <v>0.10539010324024492</v>
      </c>
      <c r="W165" s="73">
        <f t="shared" ref="W165" si="125">V165/V$6</f>
        <v>2.1030581295052349E-9</v>
      </c>
      <c r="X165" s="89"/>
      <c r="Y165" s="17">
        <f>+Y164/Y39</f>
        <v>-0.41931219608625236</v>
      </c>
      <c r="Z165" s="17">
        <f>+Z164/Z39</f>
        <v>-0.18393690508332752</v>
      </c>
      <c r="AA165" s="17">
        <f>+AA164/AA39</f>
        <v>-0.32586424068643366</v>
      </c>
      <c r="AB165" s="17">
        <f>+AB164/AB39</f>
        <v>-5.8637218280166624E-2</v>
      </c>
      <c r="AC165" s="17">
        <f>+AC164/AC39</f>
        <v>0.16828347744217423</v>
      </c>
      <c r="AD165" s="17">
        <f>+AD164/AD39</f>
        <v>-5.8920994835409107E-2</v>
      </c>
      <c r="AE165" s="17">
        <f>+AE164/AE39</f>
        <v>-0.41905951351460935</v>
      </c>
      <c r="AF165" s="17">
        <f>+AF164/AF39</f>
        <v>-0.16397078223581488</v>
      </c>
      <c r="AG165" s="17">
        <f>+AG164/AG39</f>
        <v>-0.1080869028972074</v>
      </c>
      <c r="AH165" s="17">
        <f>+AH164/AH39</f>
        <v>-7.5286649935120131E-2</v>
      </c>
      <c r="AI165" s="17">
        <f>+AI164/AI39</f>
        <v>-0.10184211910863009</v>
      </c>
      <c r="AJ165" s="17">
        <f>+AJ164/AJ39</f>
        <v>-0.14718928065614981</v>
      </c>
      <c r="AK165" s="17">
        <f>+AK164/AK39</f>
        <v>-0.15486361663404272</v>
      </c>
      <c r="AL165" s="73">
        <f t="shared" ref="AL165" si="126">AK165/AK$6</f>
        <v>-2.9153664797284855E-9</v>
      </c>
      <c r="AM165" s="16">
        <f t="shared" si="87"/>
        <v>-2.4694322509678077</v>
      </c>
    </row>
  </sheetData>
  <mergeCells count="4">
    <mergeCell ref="J2:U2"/>
    <mergeCell ref="V2:W2"/>
    <mergeCell ref="Y2:AJ2"/>
    <mergeCell ref="AK2:AL2"/>
  </mergeCells>
  <conditionalFormatting sqref="AM1:AM158 AM161:AM165">
    <cfRule type="cellIs" dxfId="7" priority="4" operator="lessThan">
      <formula>0</formula>
    </cfRule>
  </conditionalFormatting>
  <conditionalFormatting sqref="AO43:AO46">
    <cfRule type="cellIs" dxfId="6" priority="3" operator="lessThan">
      <formula>0</formula>
    </cfRule>
  </conditionalFormatting>
  <conditionalFormatting sqref="AM159">
    <cfRule type="cellIs" dxfId="5" priority="2" operator="lessThan">
      <formula>0</formula>
    </cfRule>
  </conditionalFormatting>
  <conditionalFormatting sqref="AM160">
    <cfRule type="cellIs" dxfId="4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43">
    <outlinePr summaryBelow="0" summaryRight="0"/>
  </sheetPr>
  <dimension ref="A1:AP165"/>
  <sheetViews>
    <sheetView showGridLines="0" zoomScale="60" zoomScaleNormal="60" workbookViewId="0">
      <pane xSplit="9" ySplit="3" topLeftCell="L48" activePane="bottomRight" state="frozen"/>
      <selection pane="bottomRight" activeCell="R57" sqref="R57"/>
      <selection pane="bottomLeft" activeCell="AB112" sqref="AB112"/>
      <selection pane="topRight" activeCell="AB112" sqref="AB112"/>
    </sheetView>
  </sheetViews>
  <sheetFormatPr defaultColWidth="11.42578125" defaultRowHeight="14.45" outlineLevelRow="1" outlineLevelCol="1"/>
  <cols>
    <col min="1" max="1" width="2.5703125" style="6" customWidth="1"/>
    <col min="2" max="2" width="6.140625" style="8" hidden="1" customWidth="1"/>
    <col min="3" max="3" width="13.42578125" style="8" hidden="1" customWidth="1"/>
    <col min="4" max="4" width="4.28515625" style="6" hidden="1" customWidth="1"/>
    <col min="5" max="5" width="10.28515625" style="7" customWidth="1"/>
    <col min="6" max="8" width="10.28515625" style="6" hidden="1" customWidth="1"/>
    <col min="9" max="9" width="33.28515625" style="5" customWidth="1"/>
    <col min="10" max="10" width="16" style="4" customWidth="1" outlineLevel="1"/>
    <col min="11" max="12" width="16.42578125" style="4" customWidth="1" outlineLevel="1"/>
    <col min="13" max="14" width="16.42578125" style="3" customWidth="1" outlineLevel="1"/>
    <col min="15" max="15" width="16" style="3" customWidth="1" outlineLevel="1"/>
    <col min="16" max="16" width="16.42578125" style="3" customWidth="1" outlineLevel="1"/>
    <col min="17" max="17" width="17.42578125" style="4" customWidth="1" outlineLevel="1"/>
    <col min="18" max="18" width="16" style="3" customWidth="1" outlineLevel="1"/>
    <col min="19" max="19" width="17.42578125" style="3" customWidth="1" outlineLevel="1"/>
    <col min="20" max="20" width="18.28515625" style="3" customWidth="1" outlineLevel="1"/>
    <col min="21" max="21" width="17.42578125" style="4" customWidth="1" outlineLevel="1"/>
    <col min="22" max="22" width="18" style="4" bestFit="1" customWidth="1"/>
    <col min="23" max="23" width="6.7109375" style="83" bestFit="1" customWidth="1"/>
    <col min="24" max="24" width="1.140625" style="93" customWidth="1"/>
    <col min="25" max="25" width="16" style="4" customWidth="1" outlineLevel="1"/>
    <col min="26" max="27" width="16.42578125" style="4" customWidth="1" outlineLevel="1"/>
    <col min="28" max="28" width="16.42578125" style="3" customWidth="1" outlineLevel="1"/>
    <col min="29" max="29" width="16" style="3" customWidth="1" outlineLevel="1"/>
    <col min="30" max="31" width="16.42578125" style="3" customWidth="1" outlineLevel="1"/>
    <col min="32" max="32" width="16.42578125" style="4" customWidth="1" outlineLevel="1"/>
    <col min="33" max="35" width="16.42578125" style="3" customWidth="1" outlineLevel="1"/>
    <col min="36" max="36" width="16.42578125" style="4" customWidth="1" outlineLevel="1"/>
    <col min="37" max="37" width="18" style="4" bestFit="1" customWidth="1"/>
    <col min="38" max="38" width="6.7109375" style="83" bestFit="1" customWidth="1"/>
    <col min="39" max="39" width="9.140625" style="2" bestFit="1" customWidth="1"/>
    <col min="40" max="40" width="21.85546875" style="1" bestFit="1" customWidth="1"/>
    <col min="41" max="41" width="11.42578125" style="1"/>
    <col min="42" max="42" width="13.5703125" style="1" bestFit="1" customWidth="1"/>
    <col min="43" max="16384" width="11.42578125" style="1"/>
  </cols>
  <sheetData>
    <row r="1" spans="1:40" s="57" customFormat="1" ht="6.75" customHeight="1">
      <c r="A1" s="6"/>
      <c r="B1" s="8"/>
      <c r="C1" s="8"/>
      <c r="D1" s="6"/>
      <c r="E1" s="7" t="s">
        <v>482</v>
      </c>
      <c r="F1" s="6"/>
      <c r="G1" s="6"/>
      <c r="H1" s="6"/>
      <c r="I1" s="60">
        <v>1147</v>
      </c>
      <c r="J1" s="59">
        <v>2</v>
      </c>
      <c r="K1" s="59">
        <v>3</v>
      </c>
      <c r="L1" s="59">
        <v>4</v>
      </c>
      <c r="M1" s="59">
        <v>5</v>
      </c>
      <c r="N1" s="59">
        <v>6</v>
      </c>
      <c r="O1" s="59">
        <v>7</v>
      </c>
      <c r="P1" s="59"/>
      <c r="Q1" s="59"/>
      <c r="R1" s="59"/>
      <c r="S1" s="59"/>
      <c r="T1" s="59"/>
      <c r="U1" s="59"/>
      <c r="V1" s="59"/>
      <c r="W1" s="68"/>
      <c r="X1" s="84"/>
      <c r="Y1" s="59">
        <v>2</v>
      </c>
      <c r="Z1" s="59">
        <f>+Y1+1</f>
        <v>3</v>
      </c>
      <c r="AA1" s="59">
        <f t="shared" ref="AA1:AJ1" si="0">+Z1+1</f>
        <v>4</v>
      </c>
      <c r="AB1" s="59">
        <f t="shared" si="0"/>
        <v>5</v>
      </c>
      <c r="AC1" s="59">
        <f t="shared" si="0"/>
        <v>6</v>
      </c>
      <c r="AD1" s="59">
        <f t="shared" si="0"/>
        <v>7</v>
      </c>
      <c r="AE1" s="59">
        <f t="shared" si="0"/>
        <v>8</v>
      </c>
      <c r="AF1" s="59">
        <f t="shared" si="0"/>
        <v>9</v>
      </c>
      <c r="AG1" s="59">
        <f t="shared" si="0"/>
        <v>10</v>
      </c>
      <c r="AH1" s="59">
        <f t="shared" si="0"/>
        <v>11</v>
      </c>
      <c r="AI1" s="59">
        <f t="shared" si="0"/>
        <v>12</v>
      </c>
      <c r="AJ1" s="59">
        <f t="shared" si="0"/>
        <v>13</v>
      </c>
      <c r="AK1" s="59">
        <f>+AJ1+1</f>
        <v>14</v>
      </c>
      <c r="AL1" s="68"/>
      <c r="AM1" s="58">
        <v>17</v>
      </c>
    </row>
    <row r="2" spans="1:40" s="52" customFormat="1" ht="18.75">
      <c r="A2" s="55"/>
      <c r="B2" s="55"/>
      <c r="C2" s="55"/>
      <c r="D2" s="55"/>
      <c r="E2" s="56"/>
      <c r="F2" s="55"/>
      <c r="G2" s="55"/>
      <c r="H2" s="55"/>
      <c r="I2" s="54"/>
      <c r="J2" s="309">
        <v>2025</v>
      </c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1"/>
      <c r="V2" s="312" t="s">
        <v>81</v>
      </c>
      <c r="W2" s="313"/>
      <c r="X2" s="85"/>
      <c r="Y2" s="309">
        <v>2026</v>
      </c>
      <c r="Z2" s="310"/>
      <c r="AA2" s="310"/>
      <c r="AB2" s="310"/>
      <c r="AC2" s="310"/>
      <c r="AD2" s="310"/>
      <c r="AE2" s="310"/>
      <c r="AF2" s="310"/>
      <c r="AG2" s="310"/>
      <c r="AH2" s="310"/>
      <c r="AI2" s="310"/>
      <c r="AJ2" s="311"/>
      <c r="AK2" s="312" t="s">
        <v>81</v>
      </c>
      <c r="AL2" s="314"/>
      <c r="AM2" s="53"/>
    </row>
    <row r="3" spans="1:40" s="44" customFormat="1" ht="21">
      <c r="A3" s="50"/>
      <c r="B3" s="51"/>
      <c r="C3" s="51"/>
      <c r="D3" s="50"/>
      <c r="E3" s="49"/>
      <c r="F3" s="48"/>
      <c r="G3" s="48"/>
      <c r="H3" s="48"/>
      <c r="I3" s="47"/>
      <c r="J3" s="132" t="s">
        <v>59</v>
      </c>
      <c r="K3" s="64" t="s">
        <v>60</v>
      </c>
      <c r="L3" s="64" t="s">
        <v>61</v>
      </c>
      <c r="M3" s="61" t="s">
        <v>62</v>
      </c>
      <c r="N3" s="61" t="s">
        <v>63</v>
      </c>
      <c r="O3" s="61" t="s">
        <v>64</v>
      </c>
      <c r="P3" s="61" t="s">
        <v>65</v>
      </c>
      <c r="Q3" s="63" t="s">
        <v>66</v>
      </c>
      <c r="R3" s="61" t="s">
        <v>67</v>
      </c>
      <c r="S3" s="61" t="s">
        <v>68</v>
      </c>
      <c r="T3" s="61" t="s">
        <v>69</v>
      </c>
      <c r="U3" s="62" t="s">
        <v>70</v>
      </c>
      <c r="V3" s="46">
        <v>2025</v>
      </c>
      <c r="W3" s="69" t="s">
        <v>82</v>
      </c>
      <c r="X3" s="86"/>
      <c r="Y3" s="132" t="s">
        <v>59</v>
      </c>
      <c r="Z3" s="64" t="s">
        <v>60</v>
      </c>
      <c r="AA3" s="64" t="s">
        <v>61</v>
      </c>
      <c r="AB3" s="61" t="s">
        <v>62</v>
      </c>
      <c r="AC3" s="61" t="s">
        <v>63</v>
      </c>
      <c r="AD3" s="61" t="s">
        <v>64</v>
      </c>
      <c r="AE3" s="61" t="s">
        <v>65</v>
      </c>
      <c r="AF3" s="63" t="s">
        <v>66</v>
      </c>
      <c r="AG3" s="61" t="s">
        <v>67</v>
      </c>
      <c r="AH3" s="61" t="s">
        <v>68</v>
      </c>
      <c r="AI3" s="61" t="s">
        <v>69</v>
      </c>
      <c r="AJ3" s="62" t="s">
        <v>70</v>
      </c>
      <c r="AK3" s="46">
        <v>2026</v>
      </c>
      <c r="AL3" s="69" t="s">
        <v>82</v>
      </c>
      <c r="AM3" s="45" t="s">
        <v>83</v>
      </c>
    </row>
    <row r="4" spans="1:40" ht="14.45" customHeight="1">
      <c r="I4" s="43" t="s">
        <v>84</v>
      </c>
      <c r="J4" s="9"/>
      <c r="K4" s="9"/>
      <c r="L4" s="9"/>
      <c r="M4" s="9"/>
      <c r="N4" s="9"/>
      <c r="O4" s="9"/>
      <c r="P4" s="1"/>
      <c r="Q4" s="9"/>
      <c r="R4" s="1"/>
      <c r="S4" s="1"/>
      <c r="T4" s="1"/>
      <c r="U4" s="9"/>
      <c r="V4" s="9"/>
      <c r="W4" s="70"/>
      <c r="X4" s="87"/>
      <c r="Y4" s="9"/>
      <c r="Z4" s="9"/>
      <c r="AA4" s="9"/>
      <c r="AB4" s="9"/>
      <c r="AC4" s="9"/>
      <c r="AD4" s="9"/>
      <c r="AE4" s="1"/>
      <c r="AF4" s="9"/>
      <c r="AG4" s="1"/>
      <c r="AH4" s="1"/>
      <c r="AI4" s="1"/>
      <c r="AJ4" s="9"/>
      <c r="AK4" s="9"/>
      <c r="AL4" s="70"/>
      <c r="AM4" s="40"/>
    </row>
    <row r="5" spans="1:40" ht="14.45" customHeight="1">
      <c r="A5" s="8"/>
      <c r="D5" s="8"/>
      <c r="E5" s="42"/>
      <c r="F5" s="8"/>
      <c r="G5" s="8"/>
      <c r="H5" s="8"/>
      <c r="I5" s="41"/>
      <c r="J5" s="15"/>
      <c r="K5" s="15"/>
      <c r="L5" s="15"/>
      <c r="M5" s="15"/>
      <c r="N5" s="15"/>
      <c r="O5" s="15"/>
      <c r="P5" s="1"/>
      <c r="Q5" s="15"/>
      <c r="R5" s="1"/>
      <c r="S5" s="1"/>
      <c r="T5" s="1"/>
      <c r="U5" s="15"/>
      <c r="V5" s="15"/>
      <c r="W5" s="71"/>
      <c r="X5" s="88"/>
      <c r="Y5" s="15"/>
      <c r="Z5" s="15"/>
      <c r="AA5" s="15"/>
      <c r="AB5" s="15"/>
      <c r="AC5" s="15"/>
      <c r="AD5" s="15"/>
      <c r="AE5" s="1"/>
      <c r="AF5" s="15"/>
      <c r="AG5" s="1"/>
      <c r="AH5" s="1"/>
      <c r="AI5" s="1"/>
      <c r="AJ5" s="15"/>
      <c r="AK5" s="15"/>
      <c r="AL5" s="71"/>
      <c r="AM5" s="40"/>
    </row>
    <row r="6" spans="1:40" ht="14.45" customHeight="1" collapsed="1">
      <c r="A6" s="12" t="s">
        <v>85</v>
      </c>
      <c r="B6" s="19"/>
      <c r="C6" s="19"/>
      <c r="D6" s="12"/>
      <c r="E6" s="7" t="s">
        <v>86</v>
      </c>
      <c r="I6" s="167" t="s">
        <v>87</v>
      </c>
      <c r="J6" s="15">
        <v>9649420</v>
      </c>
      <c r="K6" s="15">
        <v>9013225</v>
      </c>
      <c r="L6" s="15">
        <v>9601597</v>
      </c>
      <c r="M6" s="15">
        <v>9259919</v>
      </c>
      <c r="N6" s="15">
        <v>10094499</v>
      </c>
      <c r="O6" s="15">
        <v>10134303</v>
      </c>
      <c r="P6" s="15">
        <v>10259906</v>
      </c>
      <c r="Q6" s="15">
        <v>10239243</v>
      </c>
      <c r="R6" s="15">
        <v>10160336</v>
      </c>
      <c r="S6" s="15">
        <v>10747590</v>
      </c>
      <c r="T6" s="15">
        <v>9561366.6390164346</v>
      </c>
      <c r="U6" s="15">
        <v>9004329.6382416952</v>
      </c>
      <c r="V6" s="15">
        <f>SUM(V7:V12)</f>
        <v>117725733.27725814</v>
      </c>
      <c r="W6" s="72">
        <f t="shared" ref="W6:W34" si="1">V6/V$6</f>
        <v>1</v>
      </c>
      <c r="X6" s="89"/>
      <c r="Y6" s="15">
        <f>SUM(Y7:Y12)</f>
        <v>9509574.6600000001</v>
      </c>
      <c r="Z6" s="15">
        <f t="shared" ref="Y6:AK6" si="2">SUM(Z7:Z12)</f>
        <v>8956914.3991679996</v>
      </c>
      <c r="AA6" s="15">
        <f t="shared" si="2"/>
        <v>9807137.611402167</v>
      </c>
      <c r="AB6" s="15">
        <f t="shared" si="2"/>
        <v>9547975.1027770303</v>
      </c>
      <c r="AC6" s="15">
        <f t="shared" si="2"/>
        <v>10836517.410290135</v>
      </c>
      <c r="AD6" s="15">
        <f t="shared" si="2"/>
        <v>10973171.911191875</v>
      </c>
      <c r="AE6" s="15">
        <f t="shared" si="2"/>
        <v>11237195.720649663</v>
      </c>
      <c r="AF6" s="15">
        <f t="shared" si="2"/>
        <v>11520022.327659911</v>
      </c>
      <c r="AG6" s="15">
        <f t="shared" si="2"/>
        <v>11440536.569386965</v>
      </c>
      <c r="AH6" s="15">
        <f t="shared" si="2"/>
        <v>11799822.740772653</v>
      </c>
      <c r="AI6" s="15">
        <f t="shared" si="2"/>
        <v>11549262.655922154</v>
      </c>
      <c r="AJ6" s="15">
        <f t="shared" si="2"/>
        <v>10909086.730801927</v>
      </c>
      <c r="AK6" s="15">
        <f t="shared" si="2"/>
        <v>128087217.84002247</v>
      </c>
      <c r="AL6" s="72">
        <f t="shared" ref="AL6:AL34" si="3">AK6/AK$6</f>
        <v>1</v>
      </c>
      <c r="AM6" s="10">
        <f>IFERROR(AK6/V6-1,0)</f>
        <v>8.8013761089615006E-2</v>
      </c>
      <c r="AN6" s="9"/>
    </row>
    <row r="7" spans="1:40" ht="15" hidden="1" customHeight="1" outlineLevel="1">
      <c r="A7" s="12" t="s">
        <v>85</v>
      </c>
      <c r="B7" s="19" t="s">
        <v>88</v>
      </c>
      <c r="C7" s="19" t="s">
        <v>89</v>
      </c>
      <c r="D7" s="12" t="s">
        <v>90</v>
      </c>
      <c r="E7" s="20"/>
      <c r="F7" s="12"/>
      <c r="G7" s="12"/>
      <c r="H7" s="12"/>
      <c r="I7" s="117" t="s">
        <v>22</v>
      </c>
      <c r="J7" s="65">
        <v>5240445</v>
      </c>
      <c r="K7" s="65">
        <v>5258704</v>
      </c>
      <c r="L7" s="65">
        <v>5596517</v>
      </c>
      <c r="M7" s="65">
        <v>5308982</v>
      </c>
      <c r="N7" s="65">
        <v>5992554</v>
      </c>
      <c r="O7" s="65">
        <v>5833073</v>
      </c>
      <c r="P7" s="65">
        <v>5903458</v>
      </c>
      <c r="Q7" s="65">
        <v>6132063</v>
      </c>
      <c r="R7" s="65">
        <v>5909784</v>
      </c>
      <c r="S7" s="65">
        <v>6208522</v>
      </c>
      <c r="T7" s="65">
        <v>6937363.9281228753</v>
      </c>
      <c r="U7" s="65">
        <v>6429100.123859101</v>
      </c>
      <c r="V7" s="11">
        <f t="shared" ref="V7:V33" si="4">SUM(J7:U7)</f>
        <v>70750566.051981986</v>
      </c>
      <c r="W7" s="73">
        <f t="shared" si="1"/>
        <v>0.60097791776209164</v>
      </c>
      <c r="X7" s="89"/>
      <c r="Y7" s="65">
        <f>IFERROR(Y40*'[3]Margen ctvs-lit'!W$13,0)</f>
        <v>5231745</v>
      </c>
      <c r="Z7" s="65">
        <f>IFERROR(Z40*'[3]Margen ctvs-lit'!X$13,0)</f>
        <v>5258813.7275999999</v>
      </c>
      <c r="AA7" s="65">
        <f>IFERROR(AA40*'[3]Margen ctvs-lit'!Y$13,0)</f>
        <v>5783983.3312355522</v>
      </c>
      <c r="AB7" s="65">
        <f>IFERROR(AB40*'[3]Margen ctvs-lit'!Z$13,0)</f>
        <v>5542071.8790861517</v>
      </c>
      <c r="AC7" s="65">
        <f>IFERROR(AC40*'[3]Margen ctvs-lit'!AA$13,0)</f>
        <v>6488827.9820368569</v>
      </c>
      <c r="AD7" s="65">
        <f>IFERROR(AD40*'[3]Margen ctvs-lit'!AB$13,0)</f>
        <v>6322387.9444484171</v>
      </c>
      <c r="AE7" s="65">
        <f>IFERROR(AE40*'[3]Margen ctvs-lit'!AC$13,0)</f>
        <v>6587136.1032458656</v>
      </c>
      <c r="AF7" s="65">
        <f>IFERROR(AF40*'[3]Margen ctvs-lit'!AD$13,0)</f>
        <v>6934174.4852725239</v>
      </c>
      <c r="AG7" s="65">
        <f>IFERROR(AG40*'[3]Margen ctvs-lit'!AE$13,0)</f>
        <v>6757407.0463543599</v>
      </c>
      <c r="AH7" s="65">
        <f>IFERROR(AH40*'[3]Margen ctvs-lit'!AF$13,0)</f>
        <v>6947288.077723898</v>
      </c>
      <c r="AI7" s="65">
        <f>IFERROR(AI40*'[3]Margen ctvs-lit'!AG$13,0)</f>
        <v>6803217.486694295</v>
      </c>
      <c r="AJ7" s="65">
        <f>IFERROR(AJ40*'[3]Margen ctvs-lit'!AH$13,0)</f>
        <v>6414428.8003795408</v>
      </c>
      <c r="AK7" s="65">
        <f t="shared" ref="AK7:AK19" si="5">SUM(Y7:AJ7)</f>
        <v>75071481.864077464</v>
      </c>
      <c r="AL7" s="73">
        <f t="shared" si="3"/>
        <v>0.58609659207244036</v>
      </c>
      <c r="AM7" s="14">
        <f t="shared" ref="AM7:AM46" si="6">IFERROR(AK7/V7-1,0)</f>
        <v>6.1072526386867443E-2</v>
      </c>
      <c r="AN7" s="9"/>
    </row>
    <row r="8" spans="1:40" ht="15" hidden="1" customHeight="1" outlineLevel="1">
      <c r="A8" s="12" t="s">
        <v>85</v>
      </c>
      <c r="B8" s="19" t="s">
        <v>88</v>
      </c>
      <c r="C8" s="19" t="s">
        <v>91</v>
      </c>
      <c r="D8" s="12" t="s">
        <v>92</v>
      </c>
      <c r="E8" s="20"/>
      <c r="F8" s="12"/>
      <c r="G8" s="12"/>
      <c r="H8" s="12"/>
      <c r="I8" s="117" t="s">
        <v>23</v>
      </c>
      <c r="J8" s="65">
        <v>491720</v>
      </c>
      <c r="K8" s="65">
        <v>486130</v>
      </c>
      <c r="L8" s="65">
        <v>559977</v>
      </c>
      <c r="M8" s="65">
        <v>547808</v>
      </c>
      <c r="N8" s="65">
        <v>475065</v>
      </c>
      <c r="O8" s="65">
        <v>687656</v>
      </c>
      <c r="P8" s="65">
        <v>606809</v>
      </c>
      <c r="Q8" s="65">
        <v>471594</v>
      </c>
      <c r="R8" s="65">
        <v>609128</v>
      </c>
      <c r="S8" s="65">
        <v>547845</v>
      </c>
      <c r="T8" s="65">
        <v>576842.71671947604</v>
      </c>
      <c r="U8" s="65">
        <v>569557.83446784574</v>
      </c>
      <c r="V8" s="11">
        <f t="shared" si="4"/>
        <v>6630132.5511873225</v>
      </c>
      <c r="W8" s="73">
        <f t="shared" si="1"/>
        <v>5.6318464677323939E-2</v>
      </c>
      <c r="X8" s="89"/>
      <c r="Y8" s="65">
        <f>IFERROR(Y41*'[3]Margen ctvs-lit'!W$14,0)</f>
        <v>481507.98</v>
      </c>
      <c r="Z8" s="65">
        <f>IFERROR(Z41*'[3]Margen ctvs-lit'!X$14,0)</f>
        <v>477096.09278400004</v>
      </c>
      <c r="AA8" s="65">
        <f>IFERROR(AA41*'[3]Margen ctvs-lit'!Y$14,0)</f>
        <v>568108.99065643211</v>
      </c>
      <c r="AB8" s="65">
        <f>IFERROR(AB41*'[3]Margen ctvs-lit'!Z$14,0)</f>
        <v>544647.73004029493</v>
      </c>
      <c r="AC8" s="65">
        <f>IFERROR(AC41*'[3]Margen ctvs-lit'!AA$14,0)</f>
        <v>499806.284202501</v>
      </c>
      <c r="AD8" s="65">
        <f>IFERROR(AD41*'[3]Margen ctvs-lit'!AB$14,0)</f>
        <v>749350.3386378584</v>
      </c>
      <c r="AE8" s="65">
        <f>IFERROR(AE41*'[3]Margen ctvs-lit'!AC$14,0)</f>
        <v>660093.10236299026</v>
      </c>
      <c r="AF8" s="65">
        <f>IFERROR(AF41*'[3]Margen ctvs-lit'!AD$14,0)</f>
        <v>665632.60351221485</v>
      </c>
      <c r="AG8" s="65">
        <f>IFERROR(AG41*'[3]Margen ctvs-lit'!AE$14,0)</f>
        <v>668263.70150849933</v>
      </c>
      <c r="AH8" s="65">
        <f>IFERROR(AH41*'[3]Margen ctvs-lit'!AF$14,0)</f>
        <v>602981.50662607362</v>
      </c>
      <c r="AI8" s="65">
        <f>IFERROR(AI41*'[3]Margen ctvs-lit'!AG$14,0)</f>
        <v>584473.60461998172</v>
      </c>
      <c r="AJ8" s="65">
        <f>IFERROR(AJ41*'[3]Margen ctvs-lit'!AH$14,0)</f>
        <v>570395.28522432351</v>
      </c>
      <c r="AK8" s="65">
        <f t="shared" si="5"/>
        <v>7072357.2201751694</v>
      </c>
      <c r="AL8" s="73">
        <f t="shared" si="3"/>
        <v>5.5215167753962423E-2</v>
      </c>
      <c r="AM8" s="14">
        <f t="shared" si="6"/>
        <v>6.6699219898500139E-2</v>
      </c>
      <c r="AN8" s="9"/>
    </row>
    <row r="9" spans="1:40" ht="15" hidden="1" customHeight="1" outlineLevel="1">
      <c r="A9" s="12" t="s">
        <v>85</v>
      </c>
      <c r="B9" s="19" t="s">
        <v>88</v>
      </c>
      <c r="C9" s="19" t="s">
        <v>93</v>
      </c>
      <c r="D9" s="12" t="s">
        <v>94</v>
      </c>
      <c r="E9" s="20"/>
      <c r="F9" s="12"/>
      <c r="G9" s="12"/>
      <c r="H9" s="12"/>
      <c r="I9" s="117" t="s">
        <v>5</v>
      </c>
      <c r="J9" s="65">
        <v>3913033</v>
      </c>
      <c r="K9" s="65">
        <v>3262282</v>
      </c>
      <c r="L9" s="65">
        <v>3439448</v>
      </c>
      <c r="M9" s="65">
        <v>3397672</v>
      </c>
      <c r="N9" s="65">
        <v>3621047</v>
      </c>
      <c r="O9" s="65">
        <v>3608102</v>
      </c>
      <c r="P9" s="65">
        <v>3742889</v>
      </c>
      <c r="Q9" s="65">
        <v>3630791</v>
      </c>
      <c r="R9" s="65">
        <v>3637043</v>
      </c>
      <c r="S9" s="65">
        <v>3984934</v>
      </c>
      <c r="T9" s="65">
        <v>2040550.3941740848</v>
      </c>
      <c r="U9" s="65">
        <v>2000347.2799147484</v>
      </c>
      <c r="V9" s="11">
        <f t="shared" si="4"/>
        <v>40278138.674088836</v>
      </c>
      <c r="W9" s="73">
        <f t="shared" si="1"/>
        <v>0.34213538155866918</v>
      </c>
      <c r="X9" s="89"/>
      <c r="Y9" s="65">
        <f>IFERROR(Y42*'[3]Margen ctvs-lit'!W$15,0)</f>
        <v>3790921.68</v>
      </c>
      <c r="Z9" s="65">
        <f>IFERROR(Z42*'[3]Margen ctvs-lit'!X$15,0)</f>
        <v>3214824.5787840001</v>
      </c>
      <c r="AA9" s="65">
        <f>IFERROR(AA42*'[3]Margen ctvs-lit'!Y$15,0)</f>
        <v>3447005.2895101826</v>
      </c>
      <c r="AB9" s="65">
        <f>IFERROR(AB42*'[3]Margen ctvs-lit'!Z$15,0)</f>
        <v>3453755.4936505831</v>
      </c>
      <c r="AC9" s="65">
        <f>IFERROR(AC42*'[3]Margen ctvs-lit'!AA$15,0)</f>
        <v>3841163.144050777</v>
      </c>
      <c r="AD9" s="65">
        <f>IFERROR(AD42*'[3]Margen ctvs-lit'!AB$15,0)</f>
        <v>3895553.6281055999</v>
      </c>
      <c r="AE9" s="65">
        <f>IFERROR(AE42*'[3]Margen ctvs-lit'!AC$15,0)</f>
        <v>3983666.5150408079</v>
      </c>
      <c r="AF9" s="65">
        <f>IFERROR(AF42*'[3]Margen ctvs-lit'!AD$15,0)</f>
        <v>3913555.2388751716</v>
      </c>
      <c r="AG9" s="65">
        <f>IFERROR(AG42*'[3]Margen ctvs-lit'!AE$15,0)</f>
        <v>4009105.821524105</v>
      </c>
      <c r="AH9" s="65">
        <f>IFERROR(AH42*'[3]Margen ctvs-lit'!AF$15,0)</f>
        <v>4243433.1564226821</v>
      </c>
      <c r="AI9" s="65">
        <f>IFERROR(AI42*'[3]Margen ctvs-lit'!AG$15,0)</f>
        <v>4154911.5646078773</v>
      </c>
      <c r="AJ9" s="65">
        <f>IFERROR(AJ42*'[3]Margen ctvs-lit'!AH$15,0)</f>
        <v>3918322.6451980635</v>
      </c>
      <c r="AK9" s="65">
        <f t="shared" si="5"/>
        <v>45866218.755769849</v>
      </c>
      <c r="AL9" s="73">
        <f t="shared" si="3"/>
        <v>0.35808583814393979</v>
      </c>
      <c r="AM9" s="14">
        <f t="shared" si="6"/>
        <v>0.13873729684723135</v>
      </c>
      <c r="AN9" s="9"/>
    </row>
    <row r="10" spans="1:40" ht="15" hidden="1" customHeight="1" outlineLevel="1">
      <c r="A10" s="12"/>
      <c r="B10" s="19"/>
      <c r="C10" s="19"/>
      <c r="D10" s="12"/>
      <c r="E10" s="20"/>
      <c r="F10" s="12"/>
      <c r="G10" s="12"/>
      <c r="H10" s="12"/>
      <c r="I10" s="117" t="s">
        <v>95</v>
      </c>
      <c r="J10" s="65">
        <v>4222</v>
      </c>
      <c r="K10" s="65">
        <v>6109</v>
      </c>
      <c r="L10" s="65">
        <v>5656</v>
      </c>
      <c r="M10" s="65">
        <v>5457</v>
      </c>
      <c r="N10" s="65">
        <v>5832</v>
      </c>
      <c r="O10" s="65">
        <v>5472</v>
      </c>
      <c r="P10" s="65">
        <v>6750</v>
      </c>
      <c r="Q10" s="65">
        <v>4794</v>
      </c>
      <c r="R10" s="65">
        <v>4381</v>
      </c>
      <c r="S10" s="65">
        <v>6289</v>
      </c>
      <c r="T10" s="65">
        <v>6609.5999999999995</v>
      </c>
      <c r="U10" s="65">
        <v>5324.4</v>
      </c>
      <c r="V10" s="11">
        <f t="shared" si="4"/>
        <v>66896</v>
      </c>
      <c r="W10" s="73">
        <f t="shared" si="1"/>
        <v>5.6823600191516276E-4</v>
      </c>
      <c r="X10" s="89"/>
      <c r="Y10" s="65">
        <f>VLOOKUP($E$1,'[3]Resumen x Tipo Combustible'!$C$60:$O$66,Y1,0)</f>
        <v>5400</v>
      </c>
      <c r="Z10" s="65">
        <f>VLOOKUP($E$1,'[3]Resumen x Tipo Combustible'!$C$60:$O$66,Z1,0)</f>
        <v>6180</v>
      </c>
      <c r="AA10" s="65">
        <f>VLOOKUP($E$1,'[3]Resumen x Tipo Combustible'!$C$60:$O$66,AA1,0)</f>
        <v>8040</v>
      </c>
      <c r="AB10" s="65">
        <f>VLOOKUP($E$1,'[3]Resumen x Tipo Combustible'!$C$60:$O$66,AB1,0)</f>
        <v>7500</v>
      </c>
      <c r="AC10" s="65">
        <f>VLOOKUP($E$1,'[3]Resumen x Tipo Combustible'!$C$60:$O$66,AC1,0)</f>
        <v>6720</v>
      </c>
      <c r="AD10" s="65">
        <f>VLOOKUP($E$1,'[3]Resumen x Tipo Combustible'!$C$60:$O$66,AD1,0)</f>
        <v>5880</v>
      </c>
      <c r="AE10" s="65">
        <f>VLOOKUP($E$1,'[3]Resumen x Tipo Combustible'!$C$60:$O$66,AE1,0)</f>
        <v>6300</v>
      </c>
      <c r="AF10" s="65">
        <f>VLOOKUP($E$1,'[3]Resumen x Tipo Combustible'!$C$60:$O$66,AF1,0)</f>
        <v>6660</v>
      </c>
      <c r="AG10" s="65">
        <f>VLOOKUP($E$1,'[3]Resumen x Tipo Combustible'!$C$60:$O$66,AG1,0)</f>
        <v>5760</v>
      </c>
      <c r="AH10" s="65">
        <f>VLOOKUP($E$1,'[3]Resumen x Tipo Combustible'!$C$60:$O$66,AH1,0)</f>
        <v>6120</v>
      </c>
      <c r="AI10" s="65">
        <f>VLOOKUP($E$1,'[3]Resumen x Tipo Combustible'!$C$60:$O$66,AI1,0)</f>
        <v>6660</v>
      </c>
      <c r="AJ10" s="65">
        <f>VLOOKUP($E$1,'[3]Resumen x Tipo Combustible'!$C$60:$O$66,AJ1,0)</f>
        <v>5940</v>
      </c>
      <c r="AK10" s="65">
        <f t="shared" si="5"/>
        <v>77160</v>
      </c>
      <c r="AL10" s="73">
        <f t="shared" si="3"/>
        <v>6.0240202965740721E-4</v>
      </c>
      <c r="AM10" s="14">
        <f t="shared" si="6"/>
        <v>0.15343219325520208</v>
      </c>
      <c r="AN10" s="9"/>
    </row>
    <row r="11" spans="1:40" ht="15" hidden="1" customHeight="1" outlineLevel="1">
      <c r="A11" s="12"/>
      <c r="B11" s="19"/>
      <c r="C11" s="19"/>
      <c r="D11" s="12"/>
      <c r="E11" s="20"/>
      <c r="F11" s="12"/>
      <c r="G11" s="12"/>
      <c r="H11" s="12"/>
      <c r="I11" s="117" t="s">
        <v>353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/>
      <c r="U11" s="65"/>
      <c r="V11" s="11">
        <f t="shared" si="4"/>
        <v>0</v>
      </c>
      <c r="W11" s="73">
        <f t="shared" si="1"/>
        <v>0</v>
      </c>
      <c r="X11" s="89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>
        <f t="shared" ref="AK11:AK12" si="7">SUM(Y11:AJ11)</f>
        <v>0</v>
      </c>
      <c r="AL11" s="73">
        <f t="shared" ref="AL11:AL12" si="8">AK11/AK$6</f>
        <v>0</v>
      </c>
      <c r="AM11" s="14">
        <f t="shared" ref="AM11:AM12" si="9">IFERROR(AK11/V11-1,0)</f>
        <v>0</v>
      </c>
      <c r="AN11" s="9"/>
    </row>
    <row r="12" spans="1:40" ht="15" hidden="1" customHeight="1" outlineLevel="1">
      <c r="A12" s="12"/>
      <c r="B12" s="19"/>
      <c r="C12" s="19"/>
      <c r="D12" s="12"/>
      <c r="E12" s="20"/>
      <c r="F12" s="12"/>
      <c r="G12" s="12"/>
      <c r="H12" s="12"/>
      <c r="I12" s="247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>
        <v>0</v>
      </c>
      <c r="U12" s="65">
        <v>0</v>
      </c>
      <c r="V12" s="11">
        <f t="shared" si="4"/>
        <v>0</v>
      </c>
      <c r="W12" s="73">
        <f t="shared" si="1"/>
        <v>0</v>
      </c>
      <c r="X12" s="89"/>
      <c r="Y12" s="65">
        <v>0</v>
      </c>
      <c r="Z12" s="65">
        <v>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f t="shared" si="7"/>
        <v>0</v>
      </c>
      <c r="AL12" s="73">
        <f t="shared" si="8"/>
        <v>0</v>
      </c>
      <c r="AM12" s="14">
        <f t="shared" si="9"/>
        <v>0</v>
      </c>
      <c r="AN12" s="9"/>
    </row>
    <row r="13" spans="1:40" ht="14.45" customHeight="1" collapsed="1">
      <c r="A13" s="12" t="s">
        <v>97</v>
      </c>
      <c r="B13" s="19"/>
      <c r="E13" s="7" t="s">
        <v>98</v>
      </c>
      <c r="I13" s="167" t="s">
        <v>99</v>
      </c>
      <c r="J13" s="15">
        <v>8347378</v>
      </c>
      <c r="K13" s="15">
        <v>7760401</v>
      </c>
      <c r="L13" s="15">
        <v>8288506</v>
      </c>
      <c r="M13" s="15">
        <v>7981620</v>
      </c>
      <c r="N13" s="15">
        <v>8564929</v>
      </c>
      <c r="O13" s="15">
        <v>8785889</v>
      </c>
      <c r="P13" s="15">
        <v>8942874</v>
      </c>
      <c r="Q13" s="15">
        <v>8911873</v>
      </c>
      <c r="R13" s="15">
        <v>8810510</v>
      </c>
      <c r="S13" s="15">
        <v>9143079</v>
      </c>
      <c r="T13" s="15">
        <v>8220574.0090164356</v>
      </c>
      <c r="U13" s="15">
        <v>7761979.1382416952</v>
      </c>
      <c r="V13" s="15">
        <f t="shared" ref="V13" si="10">SUM(V14:V33)</f>
        <v>101519611.14725813</v>
      </c>
      <c r="W13" s="72">
        <f t="shared" si="1"/>
        <v>0.86234001964691387</v>
      </c>
      <c r="X13" s="89"/>
      <c r="Y13" s="15">
        <f>SUM(Y14:Y33)</f>
        <v>8267553.120000001</v>
      </c>
      <c r="Z13" s="15">
        <f t="shared" ref="Z13:AK13" si="11">SUM(Z14:Z33)</f>
        <v>7820466.2891680002</v>
      </c>
      <c r="AA13" s="15">
        <f t="shared" si="11"/>
        <v>8502107.2414021678</v>
      </c>
      <c r="AB13" s="15">
        <f t="shared" si="11"/>
        <v>8354635.8927770304</v>
      </c>
      <c r="AC13" s="15">
        <f t="shared" si="11"/>
        <v>9410508.3102901354</v>
      </c>
      <c r="AD13" s="15">
        <f t="shared" si="11"/>
        <v>9609657.6411918756</v>
      </c>
      <c r="AE13" s="15">
        <f t="shared" si="11"/>
        <v>9846162.5506496634</v>
      </c>
      <c r="AF13" s="15">
        <f t="shared" si="11"/>
        <v>10097985.67765991</v>
      </c>
      <c r="AG13" s="15">
        <f t="shared" si="11"/>
        <v>10075475.649386965</v>
      </c>
      <c r="AH13" s="15">
        <f t="shared" si="11"/>
        <v>10386496.340772655</v>
      </c>
      <c r="AI13" s="15">
        <f t="shared" si="11"/>
        <v>10203552.125922155</v>
      </c>
      <c r="AJ13" s="15">
        <f t="shared" si="11"/>
        <v>9676645.7608019281</v>
      </c>
      <c r="AK13" s="15">
        <f t="shared" si="11"/>
        <v>112251246.60002248</v>
      </c>
      <c r="AL13" s="72">
        <f t="shared" si="3"/>
        <v>0.87636571777381644</v>
      </c>
      <c r="AM13" s="10">
        <f t="shared" si="6"/>
        <v>0.10570997397929061</v>
      </c>
      <c r="AN13" s="9"/>
    </row>
    <row r="14" spans="1:40" ht="14.45" hidden="1" customHeight="1" outlineLevel="1">
      <c r="A14" s="37" t="s">
        <v>97</v>
      </c>
      <c r="B14" s="39"/>
      <c r="C14" s="39" t="s">
        <v>100</v>
      </c>
      <c r="D14" s="37" t="s">
        <v>101</v>
      </c>
      <c r="E14" s="38"/>
      <c r="F14" s="37"/>
      <c r="G14" s="37"/>
      <c r="H14" s="37"/>
      <c r="I14" s="171" t="s">
        <v>102</v>
      </c>
      <c r="J14" s="65">
        <v>5478321</v>
      </c>
      <c r="K14" s="65">
        <v>5410214</v>
      </c>
      <c r="L14" s="65">
        <v>5888455</v>
      </c>
      <c r="M14" s="65">
        <v>5558377</v>
      </c>
      <c r="N14" s="65">
        <v>6211419</v>
      </c>
      <c r="O14" s="65">
        <v>6192042</v>
      </c>
      <c r="P14" s="65">
        <v>6345930</v>
      </c>
      <c r="Q14" s="65">
        <v>6564307</v>
      </c>
      <c r="R14" s="65">
        <v>6323074</v>
      </c>
      <c r="S14" s="65">
        <v>6424356</v>
      </c>
      <c r="T14" s="65">
        <v>5908780.608122875</v>
      </c>
      <c r="U14" s="65">
        <v>5489778.2838591011</v>
      </c>
      <c r="V14" s="11">
        <f t="shared" si="4"/>
        <v>71795053.891981974</v>
      </c>
      <c r="W14" s="73">
        <f t="shared" si="1"/>
        <v>0.60985013126141296</v>
      </c>
      <c r="X14" s="89"/>
      <c r="Y14" s="65">
        <f>Y7-Y28-Y35</f>
        <v>4477050.75</v>
      </c>
      <c r="Z14" s="65">
        <f>Z7-Z28-Z35</f>
        <v>4511901.2275999999</v>
      </c>
      <c r="AA14" s="65">
        <f>AA7-AA28-AA35</f>
        <v>4942665.8612355525</v>
      </c>
      <c r="AB14" s="65">
        <f>AB7-AB28-AB35</f>
        <v>4788260.7790861521</v>
      </c>
      <c r="AC14" s="65">
        <f>AC7-AC28-AC35</f>
        <v>5548702.8620368568</v>
      </c>
      <c r="AD14" s="65">
        <f>AD7-AD28-AD35</f>
        <v>5475190.2944484167</v>
      </c>
      <c r="AE14" s="65">
        <f>AE7-AE28-AE35</f>
        <v>5689855.7032458652</v>
      </c>
      <c r="AF14" s="65">
        <f>AF7-AF28-AF35</f>
        <v>5996776.6352725243</v>
      </c>
      <c r="AG14" s="65">
        <f>AG7-AG28-AG35</f>
        <v>5882710.8863543598</v>
      </c>
      <c r="AH14" s="65">
        <f>AH7-AH28-AH35</f>
        <v>6040329.9977238979</v>
      </c>
      <c r="AI14" s="65">
        <f>AI7-AI28-AI35</f>
        <v>5939187.9666942954</v>
      </c>
      <c r="AJ14" s="65">
        <f>AJ7-AJ28-AJ35</f>
        <v>5622107.1203795411</v>
      </c>
      <c r="AK14" s="65">
        <f>SUM(Y14:AJ14)</f>
        <v>64914740.084077463</v>
      </c>
      <c r="AL14" s="73">
        <f t="shared" si="3"/>
        <v>0.50680107803695329</v>
      </c>
      <c r="AM14" s="14">
        <f t="shared" si="6"/>
        <v>-9.5832699258867726E-2</v>
      </c>
      <c r="AN14" s="9"/>
    </row>
    <row r="15" spans="1:40" ht="14.45" hidden="1" customHeight="1" outlineLevel="1">
      <c r="A15" s="37" t="s">
        <v>97</v>
      </c>
      <c r="B15" s="39"/>
      <c r="C15" s="39" t="s">
        <v>103</v>
      </c>
      <c r="D15" s="37" t="s">
        <v>104</v>
      </c>
      <c r="E15" s="38"/>
      <c r="F15" s="37"/>
      <c r="G15" s="37"/>
      <c r="H15" s="37"/>
      <c r="I15" s="172" t="s">
        <v>105</v>
      </c>
      <c r="J15" s="65">
        <v>472435</v>
      </c>
      <c r="K15" s="65">
        <v>468872</v>
      </c>
      <c r="L15" s="65">
        <v>543063</v>
      </c>
      <c r="M15" s="65">
        <v>530527</v>
      </c>
      <c r="N15" s="65">
        <v>468773</v>
      </c>
      <c r="O15" s="65">
        <v>677579</v>
      </c>
      <c r="P15" s="65">
        <v>605532</v>
      </c>
      <c r="Q15" s="65">
        <v>479215</v>
      </c>
      <c r="R15" s="65">
        <v>624200</v>
      </c>
      <c r="S15" s="65">
        <v>557080</v>
      </c>
      <c r="T15" s="65">
        <v>497127.19671947602</v>
      </c>
      <c r="U15" s="65">
        <v>490892.43446784571</v>
      </c>
      <c r="V15" s="11">
        <f t="shared" si="4"/>
        <v>6415295.6311873216</v>
      </c>
      <c r="W15" s="73">
        <f t="shared" si="1"/>
        <v>5.4493571223536451E-2</v>
      </c>
      <c r="X15" s="89"/>
      <c r="Y15" s="65">
        <f>Y8-Y29-Y36</f>
        <v>418518.57</v>
      </c>
      <c r="Z15" s="65">
        <f>Z8-Z29-Z36</f>
        <v>415887.23278400005</v>
      </c>
      <c r="AA15" s="65">
        <f>AA8-AA29-AA36</f>
        <v>491179.59065643209</v>
      </c>
      <c r="AB15" s="65">
        <f>AB8-AB29-AB36</f>
        <v>477453.85004029493</v>
      </c>
      <c r="AC15" s="65">
        <f>AC8-AC29-AC36</f>
        <v>439838.74420250102</v>
      </c>
      <c r="AD15" s="65">
        <f>AD8-AD29-AD36</f>
        <v>644745.8386378584</v>
      </c>
      <c r="AE15" s="65">
        <f>AE8-AE29-AE36</f>
        <v>584292.48236299027</v>
      </c>
      <c r="AF15" s="65">
        <f>AF8-AF29-AF36</f>
        <v>585310.1635122149</v>
      </c>
      <c r="AG15" s="65">
        <f>AG8-AG29-AG36</f>
        <v>588863.5415084993</v>
      </c>
      <c r="AH15" s="65">
        <f>AH8-AH29-AH36</f>
        <v>531878.38662607362</v>
      </c>
      <c r="AI15" s="65">
        <f>AI8-AI29-AI36</f>
        <v>517420.3946199817</v>
      </c>
      <c r="AJ15" s="65">
        <f>AJ8-AJ29-AJ36</f>
        <v>505707.57522432349</v>
      </c>
      <c r="AK15" s="65">
        <f t="shared" si="5"/>
        <v>6201096.3701751707</v>
      </c>
      <c r="AL15" s="73">
        <f t="shared" si="3"/>
        <v>4.8413077235545665E-2</v>
      </c>
      <c r="AM15" s="14">
        <f t="shared" si="6"/>
        <v>-3.3388837136490213E-2</v>
      </c>
      <c r="AN15" s="9"/>
    </row>
    <row r="16" spans="1:40" ht="14.45" hidden="1" customHeight="1" outlineLevel="1">
      <c r="A16" s="37" t="s">
        <v>97</v>
      </c>
      <c r="B16" s="39"/>
      <c r="C16" s="39" t="s">
        <v>106</v>
      </c>
      <c r="D16" s="37" t="s">
        <v>107</v>
      </c>
      <c r="E16" s="38"/>
      <c r="F16" s="37"/>
      <c r="G16" s="37"/>
      <c r="H16" s="37"/>
      <c r="I16" s="167" t="s">
        <v>5</v>
      </c>
      <c r="J16" s="65">
        <v>3400791</v>
      </c>
      <c r="K16" s="65">
        <v>2889319</v>
      </c>
      <c r="L16" s="65">
        <v>3038778</v>
      </c>
      <c r="M16" s="65">
        <v>3020055</v>
      </c>
      <c r="N16" s="65">
        <v>3202195</v>
      </c>
      <c r="O16" s="65">
        <v>3257136</v>
      </c>
      <c r="P16" s="65">
        <v>3373855</v>
      </c>
      <c r="Q16" s="65">
        <v>3227647</v>
      </c>
      <c r="R16" s="65">
        <v>3270284</v>
      </c>
      <c r="S16" s="65">
        <v>3503192</v>
      </c>
      <c r="T16" s="65">
        <v>1809048.0441740847</v>
      </c>
      <c r="U16" s="65">
        <v>1776782.6799147483</v>
      </c>
      <c r="V16" s="11">
        <f t="shared" si="4"/>
        <v>35769082.724088833</v>
      </c>
      <c r="W16" s="73">
        <f t="shared" si="1"/>
        <v>0.30383401936302556</v>
      </c>
      <c r="X16" s="89"/>
      <c r="Y16" s="65">
        <f>Y9-Y37</f>
        <v>3367393.8000000003</v>
      </c>
      <c r="Z16" s="65">
        <f>Z9-Z37</f>
        <v>2887424.8287840001</v>
      </c>
      <c r="AA16" s="65">
        <f>AA9-AA37</f>
        <v>3061427.7895101826</v>
      </c>
      <c r="AB16" s="65">
        <f>AB9-AB37</f>
        <v>3082546.2636505831</v>
      </c>
      <c r="AC16" s="65">
        <f>AC9-AC37</f>
        <v>3416254.704050777</v>
      </c>
      <c r="AD16" s="65">
        <f>AD9-AD37</f>
        <v>3484723.5081055998</v>
      </c>
      <c r="AE16" s="65">
        <f>AE9-AE37</f>
        <v>3566659.365040808</v>
      </c>
      <c r="AF16" s="65">
        <f>AF9-AF37</f>
        <v>3510237.8788751718</v>
      </c>
      <c r="AG16" s="65">
        <f>AG9-AG37</f>
        <v>3599005.2215241049</v>
      </c>
      <c r="AH16" s="65">
        <f>AH9-AH37</f>
        <v>3809085.9564226819</v>
      </c>
      <c r="AI16" s="65">
        <f>AI9-AI37</f>
        <v>3741282.7646078775</v>
      </c>
      <c r="AJ16" s="65">
        <f>AJ9-AJ37</f>
        <v>3543782.0651980634</v>
      </c>
      <c r="AK16" s="65">
        <f t="shared" si="5"/>
        <v>41069824.145769849</v>
      </c>
      <c r="AL16" s="73">
        <f t="shared" si="3"/>
        <v>0.32063952077610874</v>
      </c>
      <c r="AM16" s="14">
        <f t="shared" si="6"/>
        <v>0.14819338428578743</v>
      </c>
      <c r="AN16" s="9"/>
    </row>
    <row r="17" spans="1:40" ht="14.45" hidden="1" customHeight="1" outlineLevel="1">
      <c r="A17" s="37" t="s">
        <v>97</v>
      </c>
      <c r="B17" s="39"/>
      <c r="C17" s="39" t="s">
        <v>108</v>
      </c>
      <c r="D17" s="37"/>
      <c r="E17" s="38"/>
      <c r="F17" s="37"/>
      <c r="G17" s="37"/>
      <c r="H17" s="37"/>
      <c r="I17" s="171" t="s">
        <v>109</v>
      </c>
      <c r="J17" s="65">
        <v>50911</v>
      </c>
      <c r="K17" s="65">
        <v>32035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11">
        <f t="shared" si="4"/>
        <v>82946</v>
      </c>
      <c r="W17" s="73">
        <f t="shared" si="1"/>
        <v>7.0456983100417199E-4</v>
      </c>
      <c r="X17" s="89"/>
      <c r="Y17" s="66">
        <v>0</v>
      </c>
      <c r="Z17" s="66">
        <v>0</v>
      </c>
      <c r="AA17" s="66">
        <v>0</v>
      </c>
      <c r="AB17" s="66">
        <v>0</v>
      </c>
      <c r="AC17" s="66">
        <v>0</v>
      </c>
      <c r="AD17" s="66">
        <v>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5">
        <f t="shared" si="5"/>
        <v>0</v>
      </c>
      <c r="AL17" s="73">
        <f t="shared" si="3"/>
        <v>0</v>
      </c>
      <c r="AM17" s="14">
        <f t="shared" si="6"/>
        <v>-1</v>
      </c>
      <c r="AN17" s="9"/>
    </row>
    <row r="18" spans="1:40" ht="14.45" hidden="1" customHeight="1" outlineLevel="1">
      <c r="A18" s="37" t="s">
        <v>97</v>
      </c>
      <c r="B18" s="39"/>
      <c r="C18" s="39" t="s">
        <v>110</v>
      </c>
      <c r="D18" s="37"/>
      <c r="E18" s="38"/>
      <c r="F18" s="37"/>
      <c r="G18" s="37"/>
      <c r="H18" s="37"/>
      <c r="I18" s="172" t="s">
        <v>111</v>
      </c>
      <c r="J18" s="65">
        <v>2746</v>
      </c>
      <c r="K18" s="65">
        <v>4734</v>
      </c>
      <c r="L18" s="65">
        <v>-2525</v>
      </c>
      <c r="M18" s="65">
        <v>0</v>
      </c>
      <c r="N18" s="65">
        <v>1054</v>
      </c>
      <c r="O18" s="65">
        <v>0</v>
      </c>
      <c r="P18" s="65">
        <v>0</v>
      </c>
      <c r="Q18" s="65">
        <v>0</v>
      </c>
      <c r="R18" s="65">
        <v>0</v>
      </c>
      <c r="S18" s="65">
        <v>7689</v>
      </c>
      <c r="T18" s="65">
        <v>0</v>
      </c>
      <c r="U18" s="65">
        <v>0</v>
      </c>
      <c r="V18" s="11">
        <f t="shared" si="4"/>
        <v>13698</v>
      </c>
      <c r="W18" s="73">
        <f t="shared" si="1"/>
        <v>1.1635518946176004E-4</v>
      </c>
      <c r="X18" s="89"/>
      <c r="Y18" s="66">
        <v>0</v>
      </c>
      <c r="Z18" s="66">
        <v>0</v>
      </c>
      <c r="AA18" s="66">
        <v>0</v>
      </c>
      <c r="AB18" s="66">
        <v>0</v>
      </c>
      <c r="AC18" s="66">
        <v>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5">
        <f t="shared" si="5"/>
        <v>0</v>
      </c>
      <c r="AL18" s="73">
        <f t="shared" si="3"/>
        <v>0</v>
      </c>
      <c r="AM18" s="14">
        <f t="shared" si="6"/>
        <v>-1</v>
      </c>
      <c r="AN18" s="9"/>
    </row>
    <row r="19" spans="1:40" ht="14.45" hidden="1" customHeight="1" outlineLevel="1">
      <c r="A19" s="37" t="s">
        <v>97</v>
      </c>
      <c r="B19" s="39"/>
      <c r="C19" s="39" t="s">
        <v>112</v>
      </c>
      <c r="D19" s="37"/>
      <c r="E19" s="38"/>
      <c r="F19" s="37"/>
      <c r="G19" s="37"/>
      <c r="H19" s="37"/>
      <c r="I19" s="167" t="s">
        <v>113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11">
        <f t="shared" si="4"/>
        <v>0</v>
      </c>
      <c r="W19" s="73">
        <f t="shared" si="1"/>
        <v>0</v>
      </c>
      <c r="X19" s="89"/>
      <c r="Y19" s="66">
        <v>0</v>
      </c>
      <c r="Z19" s="66">
        <v>0</v>
      </c>
      <c r="AA19" s="66">
        <v>0</v>
      </c>
      <c r="AB19" s="66">
        <v>0</v>
      </c>
      <c r="AC19" s="66">
        <v>0</v>
      </c>
      <c r="AD19" s="66">
        <v>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5">
        <f t="shared" si="5"/>
        <v>0</v>
      </c>
      <c r="AL19" s="73">
        <f t="shared" si="3"/>
        <v>0</v>
      </c>
      <c r="AM19" s="14">
        <f t="shared" si="6"/>
        <v>0</v>
      </c>
      <c r="AN19" s="9"/>
    </row>
    <row r="20" spans="1:40" ht="14.45" hidden="1" customHeight="1" outlineLevel="1">
      <c r="A20" s="37"/>
      <c r="B20" s="39"/>
      <c r="C20" s="39"/>
      <c r="D20" s="37"/>
      <c r="E20" s="38"/>
      <c r="F20" s="37"/>
      <c r="G20" s="37"/>
      <c r="H20" s="37"/>
      <c r="I20" s="167" t="s">
        <v>114</v>
      </c>
      <c r="J20" s="65">
        <v>0</v>
      </c>
      <c r="K20" s="65">
        <v>0</v>
      </c>
      <c r="L20" s="65">
        <v>-17208</v>
      </c>
      <c r="M20" s="65">
        <v>-36010</v>
      </c>
      <c r="N20" s="65">
        <v>-65805</v>
      </c>
      <c r="O20" s="65">
        <v>-80612</v>
      </c>
      <c r="P20" s="65">
        <v>-68547</v>
      </c>
      <c r="Q20" s="65">
        <v>-46057</v>
      </c>
      <c r="R20" s="65">
        <v>-118151</v>
      </c>
      <c r="S20" s="65">
        <v>-55095</v>
      </c>
      <c r="T20" s="65"/>
      <c r="U20" s="65"/>
      <c r="V20" s="11">
        <f t="shared" si="4"/>
        <v>-487485</v>
      </c>
      <c r="W20" s="73">
        <f t="shared" ref="W20:W33" si="12">V20/V$6</f>
        <v>-4.1408533752931879E-3</v>
      </c>
      <c r="X20" s="89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5">
        <f t="shared" ref="AK20:AK33" si="13">SUM(Y20:AJ20)</f>
        <v>0</v>
      </c>
      <c r="AL20" s="73">
        <f t="shared" ref="AL20:AL33" si="14">AK20/AK$6</f>
        <v>0</v>
      </c>
      <c r="AM20" s="14">
        <f t="shared" ref="AM20:AM33" si="15">IFERROR(AK20/V20-1,0)</f>
        <v>-1</v>
      </c>
      <c r="AN20" s="9"/>
    </row>
    <row r="21" spans="1:40" ht="14.45" hidden="1" customHeight="1" outlineLevel="1">
      <c r="A21" s="37"/>
      <c r="B21" s="39"/>
      <c r="C21" s="39"/>
      <c r="D21" s="37"/>
      <c r="E21" s="38"/>
      <c r="F21" s="37"/>
      <c r="G21" s="37"/>
      <c r="H21" s="37"/>
      <c r="I21" s="167" t="s">
        <v>115</v>
      </c>
      <c r="J21" s="65">
        <v>0</v>
      </c>
      <c r="K21" s="65">
        <v>0</v>
      </c>
      <c r="L21" s="65">
        <v>0</v>
      </c>
      <c r="M21" s="65">
        <v>-5766</v>
      </c>
      <c r="N21" s="65">
        <v>0</v>
      </c>
      <c r="O21" s="65">
        <v>-5856</v>
      </c>
      <c r="P21" s="65">
        <v>-6934</v>
      </c>
      <c r="Q21" s="65">
        <v>-4640</v>
      </c>
      <c r="R21" s="65">
        <v>-3199</v>
      </c>
      <c r="S21" s="65">
        <v>0</v>
      </c>
      <c r="T21" s="65"/>
      <c r="U21" s="65"/>
      <c r="V21" s="11">
        <f t="shared" si="4"/>
        <v>-26395</v>
      </c>
      <c r="W21" s="73">
        <f t="shared" si="12"/>
        <v>-2.24207565034542E-4</v>
      </c>
      <c r="X21" s="89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5">
        <f t="shared" si="13"/>
        <v>0</v>
      </c>
      <c r="AL21" s="73">
        <f t="shared" si="14"/>
        <v>0</v>
      </c>
      <c r="AM21" s="14">
        <f t="shared" si="15"/>
        <v>-1</v>
      </c>
      <c r="AN21" s="9"/>
    </row>
    <row r="22" spans="1:40" ht="14.45" hidden="1" customHeight="1" outlineLevel="1">
      <c r="A22" s="37"/>
      <c r="B22" s="39"/>
      <c r="C22" s="39"/>
      <c r="D22" s="37"/>
      <c r="E22" s="38"/>
      <c r="F22" s="37"/>
      <c r="G22" s="37"/>
      <c r="H22" s="37"/>
      <c r="I22" s="167" t="s">
        <v>116</v>
      </c>
      <c r="J22" s="65">
        <v>-8562</v>
      </c>
      <c r="K22" s="65">
        <v>-8866</v>
      </c>
      <c r="L22" s="65">
        <v>-22394</v>
      </c>
      <c r="M22" s="65">
        <v>-1452</v>
      </c>
      <c r="N22" s="65">
        <v>-40094</v>
      </c>
      <c r="O22" s="65">
        <v>-42331</v>
      </c>
      <c r="P22" s="65">
        <v>-69954</v>
      </c>
      <c r="Q22" s="65">
        <v>-38809</v>
      </c>
      <c r="R22" s="65">
        <v>-75140</v>
      </c>
      <c r="S22" s="65">
        <v>-29643</v>
      </c>
      <c r="T22" s="65"/>
      <c r="U22" s="65"/>
      <c r="V22" s="11">
        <f t="shared" si="4"/>
        <v>-337245</v>
      </c>
      <c r="W22" s="73">
        <f t="shared" si="12"/>
        <v>-2.8646668031852289E-3</v>
      </c>
      <c r="X22" s="89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5">
        <f t="shared" si="13"/>
        <v>0</v>
      </c>
      <c r="AL22" s="73">
        <f t="shared" si="14"/>
        <v>0</v>
      </c>
      <c r="AM22" s="14">
        <f t="shared" si="15"/>
        <v>-1</v>
      </c>
      <c r="AN22" s="9"/>
    </row>
    <row r="23" spans="1:40" ht="14.45" hidden="1" customHeight="1" outlineLevel="1">
      <c r="A23" s="37" t="s">
        <v>97</v>
      </c>
      <c r="B23" s="39"/>
      <c r="C23" s="39" t="s">
        <v>117</v>
      </c>
      <c r="D23" s="37" t="s">
        <v>118</v>
      </c>
      <c r="E23" s="38"/>
      <c r="F23" s="37"/>
      <c r="G23" s="37"/>
      <c r="H23" s="37"/>
      <c r="I23" s="171" t="s">
        <v>119</v>
      </c>
      <c r="J23" s="65">
        <v>10755</v>
      </c>
      <c r="K23" s="65">
        <v>17025</v>
      </c>
      <c r="L23" s="65">
        <v>11715</v>
      </c>
      <c r="M23" s="65">
        <v>13076</v>
      </c>
      <c r="N23" s="65">
        <v>12739</v>
      </c>
      <c r="O23" s="65">
        <v>13373</v>
      </c>
      <c r="P23" s="65">
        <v>14154</v>
      </c>
      <c r="Q23" s="65">
        <v>11984</v>
      </c>
      <c r="R23" s="65">
        <v>15157</v>
      </c>
      <c r="S23" s="65">
        <v>13292</v>
      </c>
      <c r="T23" s="65">
        <v>0</v>
      </c>
      <c r="U23" s="65">
        <v>0</v>
      </c>
      <c r="V23" s="11">
        <f t="shared" si="4"/>
        <v>133270</v>
      </c>
      <c r="W23" s="73">
        <f t="shared" si="12"/>
        <v>1.1320379690150943E-3</v>
      </c>
      <c r="X23" s="89"/>
      <c r="Y23" s="65">
        <f>0*Y40</f>
        <v>0</v>
      </c>
      <c r="Z23" s="65">
        <f t="shared" ref="Z23:AJ24" si="16">0*Z40</f>
        <v>0</v>
      </c>
      <c r="AA23" s="65">
        <f t="shared" si="16"/>
        <v>0</v>
      </c>
      <c r="AB23" s="65">
        <f t="shared" si="16"/>
        <v>0</v>
      </c>
      <c r="AC23" s="65">
        <f t="shared" si="16"/>
        <v>0</v>
      </c>
      <c r="AD23" s="65">
        <f t="shared" si="16"/>
        <v>0</v>
      </c>
      <c r="AE23" s="65">
        <f t="shared" si="16"/>
        <v>0</v>
      </c>
      <c r="AF23" s="65">
        <f t="shared" si="16"/>
        <v>0</v>
      </c>
      <c r="AG23" s="65">
        <f t="shared" si="16"/>
        <v>0</v>
      </c>
      <c r="AH23" s="65">
        <f t="shared" si="16"/>
        <v>0</v>
      </c>
      <c r="AI23" s="65">
        <f t="shared" si="16"/>
        <v>0</v>
      </c>
      <c r="AJ23" s="65">
        <f t="shared" si="16"/>
        <v>0</v>
      </c>
      <c r="AK23" s="65">
        <f t="shared" si="13"/>
        <v>0</v>
      </c>
      <c r="AL23" s="73">
        <f t="shared" si="14"/>
        <v>0</v>
      </c>
      <c r="AM23" s="14">
        <f t="shared" si="15"/>
        <v>-1</v>
      </c>
      <c r="AN23" s="9"/>
    </row>
    <row r="24" spans="1:40" ht="14.45" hidden="1" customHeight="1" outlineLevel="1">
      <c r="A24" s="37" t="s">
        <v>97</v>
      </c>
      <c r="B24" s="39"/>
      <c r="C24" s="39" t="s">
        <v>120</v>
      </c>
      <c r="D24" s="37"/>
      <c r="E24" s="38"/>
      <c r="F24" s="37"/>
      <c r="G24" s="37"/>
      <c r="H24" s="37"/>
      <c r="I24" s="172" t="s">
        <v>121</v>
      </c>
      <c r="J24" s="65">
        <v>800</v>
      </c>
      <c r="K24" s="65">
        <v>1554</v>
      </c>
      <c r="L24" s="65">
        <v>1399</v>
      </c>
      <c r="M24" s="65">
        <v>1138</v>
      </c>
      <c r="N24" s="65">
        <v>591</v>
      </c>
      <c r="O24" s="65">
        <v>1760</v>
      </c>
      <c r="P24" s="65">
        <v>1211</v>
      </c>
      <c r="Q24" s="65">
        <v>0</v>
      </c>
      <c r="R24" s="65">
        <v>1609</v>
      </c>
      <c r="S24" s="65">
        <v>1355</v>
      </c>
      <c r="T24" s="65">
        <v>0</v>
      </c>
      <c r="U24" s="65">
        <v>0</v>
      </c>
      <c r="V24" s="11">
        <f t="shared" si="4"/>
        <v>11417</v>
      </c>
      <c r="W24" s="73">
        <f t="shared" si="12"/>
        <v>9.6979646523938845E-5</v>
      </c>
      <c r="X24" s="89"/>
      <c r="Y24" s="65">
        <f>0*Y41</f>
        <v>0</v>
      </c>
      <c r="Z24" s="65">
        <f t="shared" si="16"/>
        <v>0</v>
      </c>
      <c r="AA24" s="65">
        <f t="shared" si="16"/>
        <v>0</v>
      </c>
      <c r="AB24" s="65">
        <f t="shared" si="16"/>
        <v>0</v>
      </c>
      <c r="AC24" s="65">
        <f t="shared" si="16"/>
        <v>0</v>
      </c>
      <c r="AD24" s="65">
        <f t="shared" si="16"/>
        <v>0</v>
      </c>
      <c r="AE24" s="65">
        <f t="shared" si="16"/>
        <v>0</v>
      </c>
      <c r="AF24" s="65">
        <f t="shared" si="16"/>
        <v>0</v>
      </c>
      <c r="AG24" s="65">
        <f t="shared" si="16"/>
        <v>0</v>
      </c>
      <c r="AH24" s="65">
        <f t="shared" si="16"/>
        <v>0</v>
      </c>
      <c r="AI24" s="65">
        <f t="shared" si="16"/>
        <v>0</v>
      </c>
      <c r="AJ24" s="65">
        <f t="shared" si="16"/>
        <v>0</v>
      </c>
      <c r="AK24" s="65">
        <f t="shared" si="13"/>
        <v>0</v>
      </c>
      <c r="AL24" s="73">
        <f t="shared" si="14"/>
        <v>0</v>
      </c>
      <c r="AM24" s="14">
        <f t="shared" si="15"/>
        <v>-1</v>
      </c>
      <c r="AN24" s="9"/>
    </row>
    <row r="25" spans="1:40" ht="14.45" hidden="1" customHeight="1" outlineLevel="1">
      <c r="A25" s="37" t="s">
        <v>97</v>
      </c>
      <c r="B25" s="39"/>
      <c r="C25" s="39" t="s">
        <v>122</v>
      </c>
      <c r="D25" s="37"/>
      <c r="E25" s="38"/>
      <c r="F25" s="37"/>
      <c r="G25" s="37"/>
      <c r="H25" s="37"/>
      <c r="I25" s="171" t="s">
        <v>123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11">
        <f t="shared" si="4"/>
        <v>0</v>
      </c>
      <c r="W25" s="73">
        <f t="shared" si="12"/>
        <v>0</v>
      </c>
      <c r="X25" s="89"/>
      <c r="Y25" s="65">
        <f>(Y40*'Parametros JRZ'!$N$48)*'Parametros JRZ'!$B$59</f>
        <v>0</v>
      </c>
      <c r="Z25" s="65">
        <f>(Z40*'Parametros JRZ'!$N$48)*'Parametros JRZ'!$B$59</f>
        <v>0</v>
      </c>
      <c r="AA25" s="65">
        <f>(AA40*'Parametros JRZ'!$N$48)*'Parametros JRZ'!$B$59</f>
        <v>0</v>
      </c>
      <c r="AB25" s="65">
        <f>(AB40*'Parametros JRZ'!$N$48)*'Parametros JRZ'!$B$59</f>
        <v>0</v>
      </c>
      <c r="AC25" s="65">
        <f>(AC40*'Parametros JRZ'!$N$48)*'Parametros JRZ'!$B$59</f>
        <v>0</v>
      </c>
      <c r="AD25" s="65">
        <f>(AD40*'Parametros JRZ'!$N$48)*'Parametros JRZ'!$B$59</f>
        <v>0</v>
      </c>
      <c r="AE25" s="65">
        <f>(AE40*'Parametros JRZ'!$N$48)*'Parametros JRZ'!$B$59</f>
        <v>0</v>
      </c>
      <c r="AF25" s="65">
        <f>(AF40*'Parametros JRZ'!$N$48)*'Parametros JRZ'!$B$59</f>
        <v>0</v>
      </c>
      <c r="AG25" s="65">
        <f>(AG40*'Parametros JRZ'!$N$48)*'Parametros JRZ'!$B$59</f>
        <v>0</v>
      </c>
      <c r="AH25" s="65">
        <f>(AH40*'Parametros JRZ'!$N$48)*'Parametros JRZ'!$B$59</f>
        <v>0</v>
      </c>
      <c r="AI25" s="65">
        <f>(AI40*'Parametros JRZ'!$N$48)*'Parametros JRZ'!$B$59</f>
        <v>0</v>
      </c>
      <c r="AJ25" s="65">
        <f>(AJ40*'Parametros JRZ'!$N$48)*'Parametros JRZ'!$B$59</f>
        <v>0</v>
      </c>
      <c r="AK25" s="65">
        <f t="shared" si="13"/>
        <v>0</v>
      </c>
      <c r="AL25" s="73">
        <f t="shared" si="14"/>
        <v>0</v>
      </c>
      <c r="AM25" s="14">
        <f t="shared" si="15"/>
        <v>0</v>
      </c>
      <c r="AN25" s="9"/>
    </row>
    <row r="26" spans="1:40" ht="14.45" hidden="1" customHeight="1" outlineLevel="1">
      <c r="A26" s="37" t="s">
        <v>97</v>
      </c>
      <c r="B26" s="39"/>
      <c r="C26" s="39" t="s">
        <v>124</v>
      </c>
      <c r="D26" s="37"/>
      <c r="E26" s="38"/>
      <c r="F26" s="37"/>
      <c r="G26" s="37"/>
      <c r="H26" s="37"/>
      <c r="I26" s="172" t="s">
        <v>125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11">
        <f t="shared" si="4"/>
        <v>0</v>
      </c>
      <c r="W26" s="73">
        <f t="shared" si="12"/>
        <v>0</v>
      </c>
      <c r="X26" s="89"/>
      <c r="Y26" s="65">
        <f>(Y41*'Parametros JRZ'!$N$49)*'Parametros JRZ'!$B$60</f>
        <v>0</v>
      </c>
      <c r="Z26" s="65">
        <f>(Z41*'Parametros JRZ'!$N$49)*'Parametros JRZ'!$B$60</f>
        <v>0</v>
      </c>
      <c r="AA26" s="65">
        <f>(AA41*'Parametros JRZ'!$N$49)*'Parametros JRZ'!$B$60</f>
        <v>0</v>
      </c>
      <c r="AB26" s="65">
        <f>(AB41*'Parametros JRZ'!$N$49)*'Parametros JRZ'!$B$60</f>
        <v>0</v>
      </c>
      <c r="AC26" s="65">
        <f>(AC41*'Parametros JRZ'!$N$49)*'Parametros JRZ'!$B$60</f>
        <v>0</v>
      </c>
      <c r="AD26" s="65">
        <f>(AD41*'Parametros JRZ'!$N$49)*'Parametros JRZ'!$B$60</f>
        <v>0</v>
      </c>
      <c r="AE26" s="65">
        <f>(AE41*'Parametros JRZ'!$N$49)*'Parametros JRZ'!$B$60</f>
        <v>0</v>
      </c>
      <c r="AF26" s="65">
        <f>(AF41*'Parametros JRZ'!$N$49)*'Parametros JRZ'!$B$60</f>
        <v>0</v>
      </c>
      <c r="AG26" s="65">
        <f>(AG41*'Parametros JRZ'!$N$49)*'Parametros JRZ'!$B$60</f>
        <v>0</v>
      </c>
      <c r="AH26" s="65">
        <f>(AH41*'Parametros JRZ'!$N$49)*'Parametros JRZ'!$B$60</f>
        <v>0</v>
      </c>
      <c r="AI26" s="65">
        <f>(AI41*'Parametros JRZ'!$N$49)*'Parametros JRZ'!$B$60</f>
        <v>0</v>
      </c>
      <c r="AJ26" s="65">
        <f>(AJ41*'Parametros JRZ'!$N$49)*'Parametros JRZ'!$B$60</f>
        <v>0</v>
      </c>
      <c r="AK26" s="65">
        <f t="shared" si="13"/>
        <v>0</v>
      </c>
      <c r="AL26" s="73">
        <f t="shared" si="14"/>
        <v>0</v>
      </c>
      <c r="AM26" s="14">
        <f t="shared" si="15"/>
        <v>0</v>
      </c>
      <c r="AN26" s="9"/>
    </row>
    <row r="27" spans="1:40" ht="14.45" hidden="1" customHeight="1" outlineLevel="1">
      <c r="A27" s="37" t="s">
        <v>97</v>
      </c>
      <c r="B27" s="39"/>
      <c r="C27" s="39" t="s">
        <v>126</v>
      </c>
      <c r="D27" s="37"/>
      <c r="E27" s="38"/>
      <c r="F27" s="37"/>
      <c r="G27" s="37"/>
      <c r="H27" s="37"/>
      <c r="I27" s="167" t="s">
        <v>126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11">
        <f t="shared" si="4"/>
        <v>0</v>
      </c>
      <c r="W27" s="73">
        <f t="shared" si="12"/>
        <v>0</v>
      </c>
      <c r="X27" s="89"/>
      <c r="Y27" s="65">
        <f>(Y42*'Parametros JRZ'!$N$50)*'Parametros JRZ'!$B$61</f>
        <v>0</v>
      </c>
      <c r="Z27" s="65">
        <f>(Z42*'Parametros JRZ'!$N$50)*'Parametros JRZ'!$B$61</f>
        <v>0</v>
      </c>
      <c r="AA27" s="65">
        <f>(AA42*'Parametros JRZ'!$N$50)*'Parametros JRZ'!$B$61</f>
        <v>0</v>
      </c>
      <c r="AB27" s="65">
        <f>(AB42*'Parametros JRZ'!$N$50)*'Parametros JRZ'!$B$61</f>
        <v>0</v>
      </c>
      <c r="AC27" s="65">
        <f>(AC42*'Parametros JRZ'!$N$50)*'Parametros JRZ'!$B$61</f>
        <v>0</v>
      </c>
      <c r="AD27" s="65">
        <f>(AD42*'Parametros JRZ'!$N$50)*'Parametros JRZ'!$B$61</f>
        <v>0</v>
      </c>
      <c r="AE27" s="65">
        <f>(AE42*'Parametros JRZ'!$N$50)*'Parametros JRZ'!$B$61</f>
        <v>0</v>
      </c>
      <c r="AF27" s="65">
        <f>(AF42*'Parametros JRZ'!$N$50)*'Parametros JRZ'!$B$61</f>
        <v>0</v>
      </c>
      <c r="AG27" s="65">
        <f>(AG42*'Parametros JRZ'!$N$50)*'Parametros JRZ'!$B$61</f>
        <v>0</v>
      </c>
      <c r="AH27" s="65">
        <f>(AH42*'Parametros JRZ'!$N$50)*'Parametros JRZ'!$B$61</f>
        <v>0</v>
      </c>
      <c r="AI27" s="65">
        <f>(AI42*'Parametros JRZ'!$N$50)*'Parametros JRZ'!$B$61</f>
        <v>0</v>
      </c>
      <c r="AJ27" s="65">
        <f>(AJ42*'Parametros JRZ'!$N$50)*'Parametros JRZ'!$B$61</f>
        <v>0</v>
      </c>
      <c r="AK27" s="65">
        <f t="shared" si="13"/>
        <v>0</v>
      </c>
      <c r="AL27" s="73">
        <f t="shared" si="14"/>
        <v>0</v>
      </c>
      <c r="AM27" s="14">
        <f t="shared" si="15"/>
        <v>0</v>
      </c>
      <c r="AN27" s="9"/>
    </row>
    <row r="28" spans="1:40" ht="14.45" hidden="1" customHeight="1" outlineLevel="1">
      <c r="A28" s="37" t="s">
        <v>97</v>
      </c>
      <c r="B28" s="39"/>
      <c r="C28" s="39" t="s">
        <v>127</v>
      </c>
      <c r="D28" s="37" t="s">
        <v>90</v>
      </c>
      <c r="E28" s="38"/>
      <c r="F28" s="37"/>
      <c r="G28" s="37"/>
      <c r="H28" s="37"/>
      <c r="I28" s="171" t="s">
        <v>128</v>
      </c>
      <c r="J28" s="65">
        <v>-994732</v>
      </c>
      <c r="K28" s="65">
        <v>-990394</v>
      </c>
      <c r="L28" s="65">
        <v>-1077277</v>
      </c>
      <c r="M28" s="65">
        <v>-1025613</v>
      </c>
      <c r="N28" s="65">
        <v>-1161581</v>
      </c>
      <c r="O28" s="65">
        <v>-1130333</v>
      </c>
      <c r="P28" s="65">
        <v>-1168418</v>
      </c>
      <c r="Q28" s="65">
        <v>-1216203</v>
      </c>
      <c r="R28" s="65">
        <v>-1148227</v>
      </c>
      <c r="S28" s="65">
        <v>-1200331</v>
      </c>
      <c r="T28" s="65">
        <v>0</v>
      </c>
      <c r="U28" s="65">
        <v>0</v>
      </c>
      <c r="V28" s="11">
        <f t="shared" si="4"/>
        <v>-11113109</v>
      </c>
      <c r="W28" s="73">
        <f t="shared" si="12"/>
        <v>-9.4398299255671683E-2</v>
      </c>
      <c r="X28" s="89"/>
      <c r="Y28" s="66">
        <f>+-Y40*'[3]Margen ctvs-lit'!$T$2</f>
        <v>0</v>
      </c>
      <c r="Z28" s="66">
        <f>+-Z40*'[3]Margen ctvs-lit'!$T$2</f>
        <v>0</v>
      </c>
      <c r="AA28" s="66">
        <f>+-AA40*'[3]Margen ctvs-lit'!$T$2</f>
        <v>0</v>
      </c>
      <c r="AB28" s="66">
        <f>+-AB40*'[3]Margen ctvs-lit'!$T$2</f>
        <v>0</v>
      </c>
      <c r="AC28" s="66">
        <f>+-AC40*'[3]Margen ctvs-lit'!$T$2</f>
        <v>0</v>
      </c>
      <c r="AD28" s="66">
        <f>+-AD40*'[3]Margen ctvs-lit'!$T$2</f>
        <v>0</v>
      </c>
      <c r="AE28" s="66">
        <f>+-AE40*'[3]Margen ctvs-lit'!$T$2</f>
        <v>0</v>
      </c>
      <c r="AF28" s="66">
        <f>+-AF40*'[3]Margen ctvs-lit'!$T$2</f>
        <v>0</v>
      </c>
      <c r="AG28" s="66">
        <f>+-AG40*'[3]Margen ctvs-lit'!$T$2</f>
        <v>0</v>
      </c>
      <c r="AH28" s="66">
        <f>+-AH40*'[3]Margen ctvs-lit'!$T$2</f>
        <v>0</v>
      </c>
      <c r="AI28" s="66">
        <f>+-AI40*'[3]Margen ctvs-lit'!$T$2</f>
        <v>0</v>
      </c>
      <c r="AJ28" s="66">
        <f>+-AJ40*'[3]Margen ctvs-lit'!$T$2</f>
        <v>0</v>
      </c>
      <c r="AK28" s="65">
        <f t="shared" si="13"/>
        <v>0</v>
      </c>
      <c r="AL28" s="73">
        <f t="shared" si="14"/>
        <v>0</v>
      </c>
      <c r="AM28" s="14">
        <f t="shared" si="15"/>
        <v>-1</v>
      </c>
      <c r="AN28" s="9"/>
    </row>
    <row r="29" spans="1:40" ht="14.45" hidden="1" customHeight="1" outlineLevel="1">
      <c r="A29" s="37" t="s">
        <v>97</v>
      </c>
      <c r="B29" s="39"/>
      <c r="C29" s="39" t="s">
        <v>129</v>
      </c>
      <c r="D29" s="37" t="s">
        <v>90</v>
      </c>
      <c r="E29" s="38"/>
      <c r="F29" s="37"/>
      <c r="G29" s="37"/>
      <c r="H29" s="37"/>
      <c r="I29" s="172" t="s">
        <v>130</v>
      </c>
      <c r="J29" s="65">
        <v>-69761</v>
      </c>
      <c r="K29" s="65">
        <v>-68799</v>
      </c>
      <c r="L29" s="65">
        <v>-79811</v>
      </c>
      <c r="M29" s="65">
        <v>-76937</v>
      </c>
      <c r="N29" s="65">
        <v>-68805</v>
      </c>
      <c r="O29" s="65">
        <v>-101114</v>
      </c>
      <c r="P29" s="65">
        <v>-89059</v>
      </c>
      <c r="Q29" s="65">
        <v>-69214</v>
      </c>
      <c r="R29" s="65">
        <v>-89399</v>
      </c>
      <c r="S29" s="65">
        <v>-80406</v>
      </c>
      <c r="T29" s="65">
        <v>0</v>
      </c>
      <c r="U29" s="65">
        <v>0</v>
      </c>
      <c r="V29" s="11">
        <f t="shared" si="4"/>
        <v>-793305</v>
      </c>
      <c r="W29" s="73">
        <f t="shared" si="12"/>
        <v>-6.7385861860097497E-3</v>
      </c>
      <c r="X29" s="89"/>
      <c r="Y29" s="66">
        <f>+-Y41*'[3]Margen ctvs-lit'!$T$3</f>
        <v>0</v>
      </c>
      <c r="Z29" s="66">
        <f>+-Z41*'[3]Margen ctvs-lit'!$T$3</f>
        <v>0</v>
      </c>
      <c r="AA29" s="66">
        <f>+-AA41*'[3]Margen ctvs-lit'!$T$3</f>
        <v>0</v>
      </c>
      <c r="AB29" s="66">
        <f>+-AB41*'[3]Margen ctvs-lit'!$T$3</f>
        <v>0</v>
      </c>
      <c r="AC29" s="66">
        <f>+-AC41*'[3]Margen ctvs-lit'!$T$3</f>
        <v>0</v>
      </c>
      <c r="AD29" s="66">
        <f>+-AD41*'[3]Margen ctvs-lit'!$T$3</f>
        <v>0</v>
      </c>
      <c r="AE29" s="66">
        <f>+-AE41*'[3]Margen ctvs-lit'!$T$3</f>
        <v>0</v>
      </c>
      <c r="AF29" s="66">
        <f>+-AF41*'[3]Margen ctvs-lit'!$T$3</f>
        <v>0</v>
      </c>
      <c r="AG29" s="66">
        <f>+-AG41*'[3]Margen ctvs-lit'!$T$3</f>
        <v>0</v>
      </c>
      <c r="AH29" s="66">
        <f>+-AH41*'[3]Margen ctvs-lit'!$T$3</f>
        <v>0</v>
      </c>
      <c r="AI29" s="66">
        <f>+-AI41*'[3]Margen ctvs-lit'!$T$3</f>
        <v>0</v>
      </c>
      <c r="AJ29" s="66">
        <f>+-AJ41*'[3]Margen ctvs-lit'!$T$3</f>
        <v>0</v>
      </c>
      <c r="AK29" s="65">
        <f t="shared" si="13"/>
        <v>0</v>
      </c>
      <c r="AL29" s="73">
        <f t="shared" si="14"/>
        <v>0</v>
      </c>
      <c r="AM29" s="14">
        <f t="shared" si="15"/>
        <v>-1</v>
      </c>
      <c r="AN29" s="9"/>
    </row>
    <row r="30" spans="1:40" ht="14.45" hidden="1" customHeight="1" outlineLevel="1">
      <c r="A30" s="37"/>
      <c r="B30" s="39"/>
      <c r="C30" s="39"/>
      <c r="D30" s="37"/>
      <c r="E30" s="38"/>
      <c r="F30" s="37"/>
      <c r="G30" s="37"/>
      <c r="H30" s="37"/>
      <c r="I30" s="172" t="s">
        <v>131</v>
      </c>
      <c r="J30" s="65">
        <v>3674</v>
      </c>
      <c r="K30" s="65">
        <v>4707</v>
      </c>
      <c r="L30" s="65">
        <v>4310</v>
      </c>
      <c r="M30" s="65">
        <v>4226</v>
      </c>
      <c r="N30" s="65">
        <v>4442</v>
      </c>
      <c r="O30" s="65">
        <v>4245</v>
      </c>
      <c r="P30" s="65">
        <v>5104</v>
      </c>
      <c r="Q30" s="65">
        <v>3643</v>
      </c>
      <c r="R30" s="65">
        <v>10303</v>
      </c>
      <c r="S30" s="65">
        <v>1589</v>
      </c>
      <c r="T30" s="65">
        <v>5618.1599999999989</v>
      </c>
      <c r="U30" s="65">
        <v>4525.74</v>
      </c>
      <c r="V30" s="11">
        <f t="shared" si="4"/>
        <v>56386.899999999994</v>
      </c>
      <c r="W30" s="73">
        <f t="shared" si="12"/>
        <v>4.7896834812829E-4</v>
      </c>
      <c r="X30" s="89"/>
      <c r="Y30" s="65">
        <f t="shared" ref="Y30:AJ30" si="17">+Y10*0.85</f>
        <v>4590</v>
      </c>
      <c r="Z30" s="65">
        <f t="shared" si="17"/>
        <v>5253</v>
      </c>
      <c r="AA30" s="65">
        <f t="shared" si="17"/>
        <v>6834</v>
      </c>
      <c r="AB30" s="65">
        <f t="shared" si="17"/>
        <v>6375</v>
      </c>
      <c r="AC30" s="65">
        <f t="shared" si="17"/>
        <v>5712</v>
      </c>
      <c r="AD30" s="65">
        <f t="shared" si="17"/>
        <v>4998</v>
      </c>
      <c r="AE30" s="65">
        <f t="shared" si="17"/>
        <v>5355</v>
      </c>
      <c r="AF30" s="65">
        <f t="shared" si="17"/>
        <v>5661</v>
      </c>
      <c r="AG30" s="65">
        <f t="shared" si="17"/>
        <v>4896</v>
      </c>
      <c r="AH30" s="65">
        <f t="shared" si="17"/>
        <v>5202</v>
      </c>
      <c r="AI30" s="65">
        <f t="shared" si="17"/>
        <v>5661</v>
      </c>
      <c r="AJ30" s="65">
        <f t="shared" si="17"/>
        <v>5049</v>
      </c>
      <c r="AK30" s="65">
        <f t="shared" si="13"/>
        <v>65586</v>
      </c>
      <c r="AL30" s="73">
        <f t="shared" si="14"/>
        <v>5.120417252087962E-4</v>
      </c>
      <c r="AM30" s="14">
        <f t="shared" si="15"/>
        <v>0.1631425029572473</v>
      </c>
      <c r="AN30" s="9"/>
    </row>
    <row r="31" spans="1:40" ht="14.45" hidden="1" customHeight="1" outlineLevel="1">
      <c r="A31" s="37"/>
      <c r="B31" s="39"/>
      <c r="C31" s="39"/>
      <c r="D31" s="37"/>
      <c r="E31" s="38"/>
      <c r="F31" s="37"/>
      <c r="G31" s="37"/>
      <c r="H31" s="37"/>
      <c r="I31" s="172" t="s">
        <v>132</v>
      </c>
      <c r="J31" s="65">
        <v>0</v>
      </c>
      <c r="K31" s="65">
        <v>0</v>
      </c>
      <c r="L31" s="65"/>
      <c r="M31" s="65"/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/>
      <c r="U31" s="65"/>
      <c r="V31" s="11">
        <f t="shared" si="4"/>
        <v>0</v>
      </c>
      <c r="W31" s="73">
        <f t="shared" si="12"/>
        <v>0</v>
      </c>
      <c r="X31" s="89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>
        <f t="shared" si="13"/>
        <v>0</v>
      </c>
      <c r="AL31" s="73">
        <f t="shared" si="14"/>
        <v>0</v>
      </c>
      <c r="AM31" s="14">
        <f t="shared" si="15"/>
        <v>0</v>
      </c>
      <c r="AN31" s="9"/>
    </row>
    <row r="32" spans="1:40" ht="14.45" hidden="1" customHeight="1" outlineLevel="1">
      <c r="A32" s="37"/>
      <c r="B32" s="39"/>
      <c r="C32" s="39"/>
      <c r="D32" s="37"/>
      <c r="E32" s="38"/>
      <c r="F32" s="37"/>
      <c r="G32" s="37"/>
      <c r="H32" s="37"/>
      <c r="I32" s="172" t="s">
        <v>133</v>
      </c>
      <c r="J32" s="65">
        <v>0</v>
      </c>
      <c r="K32" s="65">
        <v>0</v>
      </c>
      <c r="L32" s="65"/>
      <c r="M32" s="65"/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/>
      <c r="U32" s="65"/>
      <c r="V32" s="11">
        <f t="shared" si="4"/>
        <v>0</v>
      </c>
      <c r="W32" s="73">
        <f t="shared" si="12"/>
        <v>0</v>
      </c>
      <c r="X32" s="89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>
        <f t="shared" si="13"/>
        <v>0</v>
      </c>
      <c r="AL32" s="73">
        <f t="shared" si="14"/>
        <v>0</v>
      </c>
      <c r="AM32" s="14">
        <f t="shared" si="15"/>
        <v>0</v>
      </c>
      <c r="AN32" s="9"/>
    </row>
    <row r="33" spans="1:42" ht="14.45" hidden="1" customHeight="1" outlineLevel="1">
      <c r="A33" s="37"/>
      <c r="B33" s="39"/>
      <c r="C33" s="39"/>
      <c r="D33" s="37"/>
      <c r="E33" s="38"/>
      <c r="F33" s="37"/>
      <c r="G33" s="37"/>
      <c r="H33" s="37"/>
      <c r="I33" s="172" t="s">
        <v>134</v>
      </c>
      <c r="J33" s="65">
        <v>0</v>
      </c>
      <c r="K33" s="65">
        <v>0</v>
      </c>
      <c r="L33" s="65"/>
      <c r="M33" s="65"/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/>
      <c r="U33" s="65"/>
      <c r="V33" s="11">
        <f t="shared" si="4"/>
        <v>0</v>
      </c>
      <c r="W33" s="73">
        <f t="shared" si="12"/>
        <v>0</v>
      </c>
      <c r="X33" s="89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>
        <f t="shared" si="13"/>
        <v>0</v>
      </c>
      <c r="AL33" s="73">
        <f t="shared" si="14"/>
        <v>0</v>
      </c>
      <c r="AM33" s="14">
        <f t="shared" si="15"/>
        <v>0</v>
      </c>
      <c r="AN33" s="9"/>
    </row>
    <row r="34" spans="1:42" ht="15.6" customHeight="1" collapsed="1">
      <c r="I34" s="36" t="s">
        <v>135</v>
      </c>
      <c r="J34" s="35">
        <v>1302043</v>
      </c>
      <c r="K34" s="35">
        <v>1252824</v>
      </c>
      <c r="L34" s="35">
        <v>1313091</v>
      </c>
      <c r="M34" s="35">
        <v>1278299</v>
      </c>
      <c r="N34" s="35">
        <v>1529570</v>
      </c>
      <c r="O34" s="35">
        <v>1348415</v>
      </c>
      <c r="P34" s="35">
        <v>1317032</v>
      </c>
      <c r="Q34" s="35">
        <v>1327369</v>
      </c>
      <c r="R34" s="228">
        <v>1349826</v>
      </c>
      <c r="S34" s="228">
        <v>1604511</v>
      </c>
      <c r="T34" s="228">
        <f t="shared" ref="T34:V34" si="18">SUM(T35:T38)</f>
        <v>1427235</v>
      </c>
      <c r="U34" s="228">
        <f t="shared" si="18"/>
        <v>1460523.6666666667</v>
      </c>
      <c r="V34" s="228">
        <f t="shared" si="18"/>
        <v>16510739.666666668</v>
      </c>
      <c r="W34" s="73">
        <f t="shared" si="1"/>
        <v>0.14024749905597875</v>
      </c>
      <c r="X34" s="89"/>
      <c r="Y34" s="35">
        <f t="shared" ref="Y34:AK34" si="19">Y6-Y13</f>
        <v>1242021.5399999991</v>
      </c>
      <c r="Z34" s="35">
        <f t="shared" si="19"/>
        <v>1136448.1099999994</v>
      </c>
      <c r="AA34" s="35">
        <f t="shared" si="19"/>
        <v>1305030.3699999992</v>
      </c>
      <c r="AB34" s="35">
        <f t="shared" si="19"/>
        <v>1193339.21</v>
      </c>
      <c r="AC34" s="35">
        <f t="shared" si="19"/>
        <v>1426009.0999999996</v>
      </c>
      <c r="AD34" s="35">
        <f t="shared" si="19"/>
        <v>1363514.2699999996</v>
      </c>
      <c r="AE34" s="35">
        <f t="shared" si="19"/>
        <v>1391033.17</v>
      </c>
      <c r="AF34" s="35">
        <f t="shared" si="19"/>
        <v>1422036.6500000004</v>
      </c>
      <c r="AG34" s="35">
        <f t="shared" si="19"/>
        <v>1365060.92</v>
      </c>
      <c r="AH34" s="35">
        <f t="shared" si="19"/>
        <v>1413326.3999999985</v>
      </c>
      <c r="AI34" s="35">
        <f t="shared" si="19"/>
        <v>1345710.5299999993</v>
      </c>
      <c r="AJ34" s="35">
        <f t="shared" si="19"/>
        <v>1232440.9699999988</v>
      </c>
      <c r="AK34" s="35">
        <f t="shared" si="19"/>
        <v>15835971.239999995</v>
      </c>
      <c r="AL34" s="73">
        <f t="shared" si="3"/>
        <v>0.12363428222618358</v>
      </c>
      <c r="AM34" s="34">
        <f t="shared" si="6"/>
        <v>-4.0868455338130882E-2</v>
      </c>
      <c r="AN34" s="9"/>
    </row>
    <row r="35" spans="1:42" ht="14.45" hidden="1" customHeight="1" outlineLevel="1">
      <c r="I35" s="212" t="s">
        <v>136</v>
      </c>
      <c r="J35" s="30">
        <v>695190</v>
      </c>
      <c r="K35" s="30">
        <v>789824</v>
      </c>
      <c r="L35" s="30">
        <v>790832</v>
      </c>
      <c r="M35" s="30">
        <v>799152</v>
      </c>
      <c r="N35" s="30">
        <v>995782</v>
      </c>
      <c r="O35" s="30">
        <v>838603</v>
      </c>
      <c r="P35" s="30">
        <v>780339</v>
      </c>
      <c r="Q35" s="30">
        <v>818032</v>
      </c>
      <c r="R35" s="229">
        <v>837930</v>
      </c>
      <c r="S35" s="229">
        <v>1026300</v>
      </c>
      <c r="T35" s="229">
        <f t="shared" ref="S35:U35" si="20">IFERROR(AVERAGE(Q35:S35),0)</f>
        <v>894087.33333333337</v>
      </c>
      <c r="U35" s="229">
        <f t="shared" si="20"/>
        <v>919439.11111111112</v>
      </c>
      <c r="V35" s="30">
        <f t="shared" ref="V35:V38" si="21">SUM(J35:U35)</f>
        <v>10185510.444444446</v>
      </c>
      <c r="W35" s="74">
        <f t="shared" ref="W35:W46" si="22">V35/V$39</f>
        <v>1.6458156679365197</v>
      </c>
      <c r="X35" s="90"/>
      <c r="Y35" s="30">
        <f>+Y40*Y44</f>
        <v>754694.24999999988</v>
      </c>
      <c r="Z35" s="30">
        <f t="shared" ref="Z35:AJ35" si="23">+Z40*Z44</f>
        <v>746912.5</v>
      </c>
      <c r="AA35" s="30">
        <f t="shared" si="23"/>
        <v>841317.47</v>
      </c>
      <c r="AB35" s="30">
        <f t="shared" si="23"/>
        <v>753811.10000000009</v>
      </c>
      <c r="AC35" s="30">
        <f t="shared" si="23"/>
        <v>940125.12</v>
      </c>
      <c r="AD35" s="30">
        <f t="shared" si="23"/>
        <v>847197.65</v>
      </c>
      <c r="AE35" s="30">
        <f t="shared" si="23"/>
        <v>897280.4</v>
      </c>
      <c r="AF35" s="30">
        <f t="shared" si="23"/>
        <v>937397.85</v>
      </c>
      <c r="AG35" s="30">
        <f t="shared" si="23"/>
        <v>874696.16</v>
      </c>
      <c r="AH35" s="30">
        <f t="shared" si="23"/>
        <v>906958.08</v>
      </c>
      <c r="AI35" s="30">
        <f t="shared" si="23"/>
        <v>864029.52</v>
      </c>
      <c r="AJ35" s="30">
        <f t="shared" si="23"/>
        <v>792321.67999999993</v>
      </c>
      <c r="AK35" s="30">
        <f t="shared" ref="AK35:AK42" si="24">SUM(Y35:AJ35)</f>
        <v>10156741.779999999</v>
      </c>
      <c r="AL35" s="74">
        <f t="shared" ref="AL35:AL46" si="25">AK35/AK$39</f>
        <v>1.599582617542467</v>
      </c>
      <c r="AM35" s="29">
        <f>IFERROR(AK35/V35-1,0)</f>
        <v>-2.8244695836661116E-3</v>
      </c>
      <c r="AN35" s="9"/>
    </row>
    <row r="36" spans="1:42" ht="14.45" hidden="1" customHeight="1" outlineLevel="1">
      <c r="I36" s="212" t="s">
        <v>137</v>
      </c>
      <c r="J36" s="30">
        <v>85499</v>
      </c>
      <c r="K36" s="30">
        <v>79769</v>
      </c>
      <c r="L36" s="30">
        <v>97851</v>
      </c>
      <c r="M36" s="30">
        <v>98846</v>
      </c>
      <c r="N36" s="30">
        <v>73452</v>
      </c>
      <c r="O36" s="30">
        <v>115287</v>
      </c>
      <c r="P36" s="30">
        <v>96060</v>
      </c>
      <c r="Q36" s="30">
        <v>66233</v>
      </c>
      <c r="R36" s="229">
        <v>75918</v>
      </c>
      <c r="S36" s="229">
        <v>62127</v>
      </c>
      <c r="T36" s="229">
        <f t="shared" ref="R36:U38" si="26">IFERROR(AVERAGE(Q36:S36),0)</f>
        <v>68092.666666666672</v>
      </c>
      <c r="U36" s="229">
        <f t="shared" si="26"/>
        <v>68712.555555555562</v>
      </c>
      <c r="V36" s="30">
        <f t="shared" si="21"/>
        <v>987847.22222222225</v>
      </c>
      <c r="W36" s="74">
        <f t="shared" si="22"/>
        <v>0.15962031993670792</v>
      </c>
      <c r="X36" s="90"/>
      <c r="Y36" s="30">
        <f t="shared" ref="Y36:AJ37" si="27">+Y41*Y45</f>
        <v>62989.409999999996</v>
      </c>
      <c r="Z36" s="30">
        <f t="shared" si="27"/>
        <v>61208.859999999993</v>
      </c>
      <c r="AA36" s="30">
        <f t="shared" si="27"/>
        <v>76929.400000000009</v>
      </c>
      <c r="AB36" s="30">
        <f t="shared" si="27"/>
        <v>67193.88</v>
      </c>
      <c r="AC36" s="30">
        <f t="shared" si="27"/>
        <v>59967.54</v>
      </c>
      <c r="AD36" s="30">
        <f t="shared" si="27"/>
        <v>104604.5</v>
      </c>
      <c r="AE36" s="30">
        <f t="shared" si="27"/>
        <v>75800.62</v>
      </c>
      <c r="AF36" s="30">
        <f t="shared" si="27"/>
        <v>80322.439999999988</v>
      </c>
      <c r="AG36" s="30">
        <f t="shared" si="27"/>
        <v>79400.160000000003</v>
      </c>
      <c r="AH36" s="30">
        <f t="shared" si="27"/>
        <v>71103.12</v>
      </c>
      <c r="AI36" s="30">
        <f t="shared" si="27"/>
        <v>67053.210000000006</v>
      </c>
      <c r="AJ36" s="30">
        <f t="shared" si="27"/>
        <v>64687.710000000006</v>
      </c>
      <c r="AK36" s="30">
        <f t="shared" si="24"/>
        <v>871260.84999999986</v>
      </c>
      <c r="AL36" s="74">
        <f t="shared" si="25"/>
        <v>0.13721464434092118</v>
      </c>
      <c r="AM36" s="29">
        <f>IFERROR(AK36/V36-1,0)</f>
        <v>-0.1180206509666083</v>
      </c>
      <c r="AN36" s="9"/>
    </row>
    <row r="37" spans="1:42" ht="14.45" hidden="1" customHeight="1" outlineLevel="1">
      <c r="I37" s="212" t="s">
        <v>138</v>
      </c>
      <c r="J37" s="30">
        <v>520805</v>
      </c>
      <c r="K37" s="30">
        <v>381829</v>
      </c>
      <c r="L37" s="30">
        <v>423064</v>
      </c>
      <c r="M37" s="30">
        <v>379070</v>
      </c>
      <c r="N37" s="30">
        <v>458946</v>
      </c>
      <c r="O37" s="30">
        <v>393297</v>
      </c>
      <c r="P37" s="30">
        <v>438987</v>
      </c>
      <c r="Q37" s="30">
        <v>441953</v>
      </c>
      <c r="R37" s="229">
        <v>441899</v>
      </c>
      <c r="S37" s="229">
        <v>511384</v>
      </c>
      <c r="T37" s="229">
        <f t="shared" si="26"/>
        <v>465078.66666666669</v>
      </c>
      <c r="U37" s="229">
        <f t="shared" si="26"/>
        <v>472787.22222222225</v>
      </c>
      <c r="V37" s="30">
        <f t="shared" si="21"/>
        <v>5329099.888888889</v>
      </c>
      <c r="W37" s="74">
        <f t="shared" si="22"/>
        <v>0.86109735402764942</v>
      </c>
      <c r="X37" s="90"/>
      <c r="Y37" s="30">
        <f t="shared" si="27"/>
        <v>423527.88</v>
      </c>
      <c r="Z37" s="30">
        <f t="shared" si="27"/>
        <v>327399.75</v>
      </c>
      <c r="AA37" s="30">
        <f t="shared" si="27"/>
        <v>385577.5</v>
      </c>
      <c r="AB37" s="30">
        <f t="shared" si="27"/>
        <v>371209.23000000004</v>
      </c>
      <c r="AC37" s="30">
        <f t="shared" si="27"/>
        <v>424908.43999999994</v>
      </c>
      <c r="AD37" s="30">
        <f t="shared" si="27"/>
        <v>410830.12</v>
      </c>
      <c r="AE37" s="30">
        <f t="shared" si="27"/>
        <v>417007.15</v>
      </c>
      <c r="AF37" s="30">
        <f t="shared" si="27"/>
        <v>403317.36</v>
      </c>
      <c r="AG37" s="30">
        <f t="shared" si="27"/>
        <v>410100.60000000003</v>
      </c>
      <c r="AH37" s="30">
        <f t="shared" si="27"/>
        <v>434347.2</v>
      </c>
      <c r="AI37" s="30">
        <f t="shared" si="27"/>
        <v>413628.8</v>
      </c>
      <c r="AJ37" s="30">
        <f t="shared" si="27"/>
        <v>374540.58</v>
      </c>
      <c r="AK37" s="30">
        <f t="shared" si="24"/>
        <v>4796394.6100000003</v>
      </c>
      <c r="AL37" s="74">
        <f t="shared" si="25"/>
        <v>0.75538293787659738</v>
      </c>
      <c r="AM37" s="29">
        <f>IFERROR(AK37/V37-1,0)</f>
        <v>-9.9961586383391476E-2</v>
      </c>
      <c r="AN37" s="9"/>
    </row>
    <row r="38" spans="1:42" ht="14.25" hidden="1" customHeight="1" outlineLevel="1">
      <c r="I38" s="212" t="s">
        <v>139</v>
      </c>
      <c r="J38" s="32">
        <v>548</v>
      </c>
      <c r="K38" s="32">
        <v>1402</v>
      </c>
      <c r="L38" s="32">
        <v>1346</v>
      </c>
      <c r="M38" s="32">
        <v>1231</v>
      </c>
      <c r="N38" s="32">
        <v>1391</v>
      </c>
      <c r="O38" s="32">
        <v>1228</v>
      </c>
      <c r="P38" s="32">
        <v>1646</v>
      </c>
      <c r="Q38" s="32">
        <v>1151</v>
      </c>
      <c r="R38" s="229">
        <v>-5922</v>
      </c>
      <c r="S38" s="229">
        <v>4700</v>
      </c>
      <c r="T38" s="229">
        <f t="shared" si="26"/>
        <v>-23.666666666666668</v>
      </c>
      <c r="U38" s="229">
        <f t="shared" si="26"/>
        <v>-415.22222222222223</v>
      </c>
      <c r="V38" s="30">
        <f t="shared" si="21"/>
        <v>8282.1111111111113</v>
      </c>
      <c r="W38" s="74">
        <f t="shared" si="22"/>
        <v>1.3382567623493591E-3</v>
      </c>
      <c r="X38" s="90"/>
      <c r="Y38" s="32">
        <f>Y10-Y30</f>
        <v>810</v>
      </c>
      <c r="Z38" s="32">
        <f t="shared" ref="Z38:AJ38" si="28">Z10-Z30</f>
        <v>927</v>
      </c>
      <c r="AA38" s="32">
        <f t="shared" si="28"/>
        <v>1206</v>
      </c>
      <c r="AB38" s="32">
        <f t="shared" si="28"/>
        <v>1125</v>
      </c>
      <c r="AC38" s="32">
        <f t="shared" si="28"/>
        <v>1008</v>
      </c>
      <c r="AD38" s="32">
        <f t="shared" si="28"/>
        <v>882</v>
      </c>
      <c r="AE38" s="32">
        <f t="shared" si="28"/>
        <v>945</v>
      </c>
      <c r="AF38" s="32">
        <f t="shared" si="28"/>
        <v>999</v>
      </c>
      <c r="AG38" s="32">
        <f t="shared" si="28"/>
        <v>864</v>
      </c>
      <c r="AH38" s="32">
        <f t="shared" si="28"/>
        <v>918</v>
      </c>
      <c r="AI38" s="32">
        <f t="shared" si="28"/>
        <v>999</v>
      </c>
      <c r="AJ38" s="32">
        <f t="shared" si="28"/>
        <v>891</v>
      </c>
      <c r="AK38" s="30">
        <f t="shared" si="24"/>
        <v>11574</v>
      </c>
      <c r="AL38" s="74">
        <f t="shared" si="25"/>
        <v>1.8227862454761072E-3</v>
      </c>
      <c r="AM38" s="29">
        <f>IFERROR(AK38/V38-1,0)</f>
        <v>0.39746978092005514</v>
      </c>
      <c r="AN38" s="9"/>
      <c r="AP38" s="129"/>
    </row>
    <row r="39" spans="1:42" ht="14.45" customHeight="1" collapsed="1">
      <c r="I39" s="18" t="s">
        <v>140</v>
      </c>
      <c r="J39" s="33">
        <v>490010</v>
      </c>
      <c r="K39" s="33">
        <v>458004</v>
      </c>
      <c r="L39" s="33">
        <v>495766</v>
      </c>
      <c r="M39" s="33">
        <v>478482</v>
      </c>
      <c r="N39" s="33">
        <v>528775</v>
      </c>
      <c r="O39" s="33">
        <v>532459</v>
      </c>
      <c r="P39" s="33">
        <v>541655</v>
      </c>
      <c r="Q39" s="33">
        <f t="shared" ref="Q39:T39" si="29">SUM(Q40:Q42)</f>
        <v>542757</v>
      </c>
      <c r="R39" s="33">
        <v>533241</v>
      </c>
      <c r="S39" s="33">
        <v>558208</v>
      </c>
      <c r="T39" s="33">
        <f t="shared" si="29"/>
        <v>531933</v>
      </c>
      <c r="U39" s="33">
        <f>SUM(U40:U42)</f>
        <v>497441</v>
      </c>
      <c r="V39" s="33">
        <f>SUM(J39:U39)</f>
        <v>6188731</v>
      </c>
      <c r="W39" s="74">
        <f t="shared" si="22"/>
        <v>1</v>
      </c>
      <c r="X39" s="90"/>
      <c r="Y39" s="33">
        <f t="shared" ref="Y39:AJ39" si="30">SUM(Y40:Y42)</f>
        <v>499149</v>
      </c>
      <c r="Z39" s="33">
        <f t="shared" si="30"/>
        <v>468662</v>
      </c>
      <c r="AA39" s="33">
        <f t="shared" si="30"/>
        <v>507769</v>
      </c>
      <c r="AB39" s="33">
        <f t="shared" si="30"/>
        <v>487643</v>
      </c>
      <c r="AC39" s="33">
        <f t="shared" si="30"/>
        <v>548734</v>
      </c>
      <c r="AD39" s="33">
        <f t="shared" si="30"/>
        <v>547943</v>
      </c>
      <c r="AE39" s="33">
        <f t="shared" si="30"/>
        <v>555316</v>
      </c>
      <c r="AF39" s="33">
        <f t="shared" si="30"/>
        <v>564649</v>
      </c>
      <c r="AG39" s="33">
        <f t="shared" si="30"/>
        <v>553024</v>
      </c>
      <c r="AH39" s="33">
        <f t="shared" si="30"/>
        <v>563148</v>
      </c>
      <c r="AI39" s="33">
        <f t="shared" si="30"/>
        <v>544848</v>
      </c>
      <c r="AJ39" s="33">
        <f t="shared" si="30"/>
        <v>508735</v>
      </c>
      <c r="AK39" s="33">
        <f t="shared" si="24"/>
        <v>6349620</v>
      </c>
      <c r="AL39" s="74">
        <f t="shared" si="25"/>
        <v>1</v>
      </c>
      <c r="AM39" s="16">
        <f>IFERROR(AK39/V39-1,0)</f>
        <v>2.5997090518233845E-2</v>
      </c>
      <c r="AN39" s="9" t="s">
        <v>447</v>
      </c>
    </row>
    <row r="40" spans="1:42" ht="14.45" hidden="1" customHeight="1" outlineLevel="1">
      <c r="E40" s="127"/>
      <c r="I40" s="31" t="s">
        <v>141</v>
      </c>
      <c r="J40" s="32">
        <v>292352</v>
      </c>
      <c r="K40" s="32">
        <v>290870</v>
      </c>
      <c r="L40" s="32">
        <v>316503</v>
      </c>
      <c r="M40" s="32">
        <v>301225</v>
      </c>
      <c r="N40" s="32">
        <v>340866</v>
      </c>
      <c r="O40" s="32">
        <v>332356</v>
      </c>
      <c r="P40" s="32">
        <v>343973</v>
      </c>
      <c r="Q40" s="32">
        <v>357293</v>
      </c>
      <c r="R40" s="32">
        <v>338036</v>
      </c>
      <c r="S40" s="32">
        <v>352584</v>
      </c>
      <c r="T40" s="32">
        <v>339275</v>
      </c>
      <c r="U40" s="32">
        <v>316656</v>
      </c>
      <c r="V40" s="32">
        <f>SUM(J40:U40)</f>
        <v>3921989</v>
      </c>
      <c r="W40" s="74">
        <f t="shared" si="22"/>
        <v>0.63373072767260363</v>
      </c>
      <c r="X40" s="90"/>
      <c r="Y40" s="32">
        <f>VLOOKUP($E$1,'[3]Resumen x Tipo Combustible'!$C$4:$O$10,Y$1,0)</f>
        <v>300675</v>
      </c>
      <c r="Z40" s="32">
        <f>VLOOKUP($E$1,'[3]Resumen x Tipo Combustible'!$C$4:$O$10,Z$1,0)</f>
        <v>298765</v>
      </c>
      <c r="AA40" s="32">
        <f>VLOOKUP($E$1,'[3]Resumen x Tipo Combustible'!$C$4:$O$10,AA$1,0)</f>
        <v>324833</v>
      </c>
      <c r="AB40" s="32">
        <f>VLOOKUP($E$1,'[3]Resumen x Tipo Combustible'!$C$4:$O$10,AB$1,0)</f>
        <v>307678</v>
      </c>
      <c r="AC40" s="32">
        <f>VLOOKUP($E$1,'[3]Resumen x Tipo Combustible'!$C$4:$O$10,AC$1,0)</f>
        <v>356108</v>
      </c>
      <c r="AD40" s="32">
        <f>VLOOKUP($E$1,'[3]Resumen x Tipo Combustible'!$C$4:$O$10,AD$1,0)</f>
        <v>342995</v>
      </c>
      <c r="AE40" s="32">
        <f>VLOOKUP($E$1,'[3]Resumen x Tipo Combustible'!$C$4:$O$10,AE$1,0)</f>
        <v>353260</v>
      </c>
      <c r="AF40" s="32">
        <f>VLOOKUP($E$1,'[3]Resumen x Tipo Combustible'!$C$4:$O$10,AF$1,0)</f>
        <v>367607</v>
      </c>
      <c r="AG40" s="32">
        <f>VLOOKUP($E$1,'[3]Resumen x Tipo Combustible'!$C$4:$O$10,AG$1,0)</f>
        <v>354128</v>
      </c>
      <c r="AH40" s="32">
        <f>VLOOKUP($E$1,'[3]Resumen x Tipo Combustible'!$C$4:$O$10,AH$1,0)</f>
        <v>359904</v>
      </c>
      <c r="AI40" s="32">
        <f>VLOOKUP($E$1,'[3]Resumen x Tipo Combustible'!$C$4:$O$10,AI$1,0)</f>
        <v>348399</v>
      </c>
      <c r="AJ40" s="32">
        <f>VLOOKUP($E$1,'[3]Resumen x Tipo Combustible'!$C$4:$O$10,AJ$1,0)</f>
        <v>324722</v>
      </c>
      <c r="AK40" s="32">
        <f t="shared" si="24"/>
        <v>4039074</v>
      </c>
      <c r="AL40" s="74">
        <f t="shared" si="25"/>
        <v>0.63611271225679644</v>
      </c>
      <c r="AM40" s="29">
        <f t="shared" si="6"/>
        <v>2.9853474856762707E-2</v>
      </c>
      <c r="AN40" s="9"/>
    </row>
    <row r="41" spans="1:42" ht="14.45" hidden="1" customHeight="1" outlineLevel="1">
      <c r="E41" s="127"/>
      <c r="I41" s="31" t="s">
        <v>142</v>
      </c>
      <c r="J41" s="32">
        <v>24392</v>
      </c>
      <c r="K41" s="32">
        <v>24056</v>
      </c>
      <c r="L41" s="32">
        <v>27906</v>
      </c>
      <c r="M41" s="32">
        <v>26901</v>
      </c>
      <c r="N41" s="32">
        <v>24058</v>
      </c>
      <c r="O41" s="32">
        <v>35355</v>
      </c>
      <c r="P41" s="32">
        <v>31140</v>
      </c>
      <c r="Q41" s="32">
        <v>24201</v>
      </c>
      <c r="R41" s="32">
        <v>31259</v>
      </c>
      <c r="S41" s="32">
        <v>28114</v>
      </c>
      <c r="T41" s="32">
        <v>26298</v>
      </c>
      <c r="U41" s="32">
        <v>25545</v>
      </c>
      <c r="V41" s="32">
        <f>SUM(J41:U41)</f>
        <v>329225</v>
      </c>
      <c r="W41" s="74">
        <f t="shared" si="22"/>
        <v>5.3197497192881707E-2</v>
      </c>
      <c r="X41" s="90"/>
      <c r="Y41" s="32">
        <f>VLOOKUP($E$1,'[3]Resumen x Tipo Combustible'!$C$15:$O$21,Y$1,0)</f>
        <v>24897</v>
      </c>
      <c r="Z41" s="32">
        <f>VLOOKUP($E$1,'[3]Resumen x Tipo Combustible'!$C$15:$O$21,Z$1,0)</f>
        <v>24386</v>
      </c>
      <c r="AA41" s="32">
        <f>VLOOKUP($E$1,'[3]Resumen x Tipo Combustible'!$C$15:$O$21,AA$1,0)</f>
        <v>28705</v>
      </c>
      <c r="AB41" s="32">
        <f>VLOOKUP($E$1,'[3]Resumen x Tipo Combustible'!$C$15:$O$21,AB$1,0)</f>
        <v>27204</v>
      </c>
      <c r="AC41" s="32">
        <f>VLOOKUP($E$1,'[3]Resumen x Tipo Combustible'!$C$15:$O$21,AC$1,0)</f>
        <v>24678</v>
      </c>
      <c r="AD41" s="32">
        <f>VLOOKUP($E$1,'[3]Resumen x Tipo Combustible'!$C$15:$O$21,AD$1,0)</f>
        <v>36575</v>
      </c>
      <c r="AE41" s="32">
        <f>VLOOKUP($E$1,'[3]Resumen x Tipo Combustible'!$C$15:$O$21,AE$1,0)</f>
        <v>31849</v>
      </c>
      <c r="AF41" s="32">
        <f>VLOOKUP($E$1,'[3]Resumen x Tipo Combustible'!$C$15:$O$21,AF$1,0)</f>
        <v>31748</v>
      </c>
      <c r="AG41" s="32">
        <f>VLOOKUP($E$1,'[3]Resumen x Tipo Combustible'!$C$15:$O$21,AG$1,0)</f>
        <v>31508</v>
      </c>
      <c r="AH41" s="32">
        <f>VLOOKUP($E$1,'[3]Resumen x Tipo Combustible'!$C$15:$O$21,AH$1,0)</f>
        <v>28104</v>
      </c>
      <c r="AI41" s="32">
        <f>VLOOKUP($E$1,'[3]Resumen x Tipo Combustible'!$C$15:$O$21,AI$1,0)</f>
        <v>26929</v>
      </c>
      <c r="AJ41" s="32">
        <f>VLOOKUP($E$1,'[3]Resumen x Tipo Combustible'!$C$15:$O$21,AJ$1,0)</f>
        <v>25979</v>
      </c>
      <c r="AK41" s="32">
        <f t="shared" si="24"/>
        <v>342562</v>
      </c>
      <c r="AL41" s="74">
        <f t="shared" si="25"/>
        <v>5.3950000157489741E-2</v>
      </c>
      <c r="AM41" s="29">
        <f t="shared" si="6"/>
        <v>4.0510289315817349E-2</v>
      </c>
      <c r="AN41" s="9"/>
    </row>
    <row r="42" spans="1:42" ht="14.45" hidden="1" customHeight="1" outlineLevel="1">
      <c r="E42" s="127"/>
      <c r="I42" s="31" t="s">
        <v>143</v>
      </c>
      <c r="J42" s="32">
        <v>173266</v>
      </c>
      <c r="K42" s="32">
        <v>143079</v>
      </c>
      <c r="L42" s="32">
        <v>151356</v>
      </c>
      <c r="M42" s="32">
        <v>150356</v>
      </c>
      <c r="N42" s="32">
        <v>163852</v>
      </c>
      <c r="O42" s="32">
        <v>164749</v>
      </c>
      <c r="P42" s="32">
        <v>166543</v>
      </c>
      <c r="Q42" s="32">
        <v>161263</v>
      </c>
      <c r="R42" s="32">
        <v>163947</v>
      </c>
      <c r="S42" s="32">
        <v>177510</v>
      </c>
      <c r="T42" s="32">
        <v>166360</v>
      </c>
      <c r="U42" s="32">
        <v>155240</v>
      </c>
      <c r="V42" s="32">
        <f>SUM(J42:U42)</f>
        <v>1937521</v>
      </c>
      <c r="W42" s="74">
        <f t="shared" si="22"/>
        <v>0.3130724214705729</v>
      </c>
      <c r="X42" s="90"/>
      <c r="Y42" s="32">
        <f>VLOOKUP($E$1,'[3]Resumen x Tipo Combustible'!$C$26:$O$32,Y$1,0)</f>
        <v>173577</v>
      </c>
      <c r="Z42" s="32">
        <f>VLOOKUP($E$1,'[3]Resumen x Tipo Combustible'!$C$26:$O$32,Z$1,0)</f>
        <v>145511</v>
      </c>
      <c r="AA42" s="32">
        <f>VLOOKUP($E$1,'[3]Resumen x Tipo Combustible'!$C$26:$O$32,AA$1,0)</f>
        <v>154231</v>
      </c>
      <c r="AB42" s="32">
        <f>VLOOKUP($E$1,'[3]Resumen x Tipo Combustible'!$C$26:$O$32,AB$1,0)</f>
        <v>152761</v>
      </c>
      <c r="AC42" s="32">
        <f>VLOOKUP($E$1,'[3]Resumen x Tipo Combustible'!$C$26:$O$32,AC$1,0)</f>
        <v>167948</v>
      </c>
      <c r="AD42" s="32">
        <f>VLOOKUP($E$1,'[3]Resumen x Tipo Combustible'!$C$26:$O$32,AD$1,0)</f>
        <v>168373</v>
      </c>
      <c r="AE42" s="32">
        <f>VLOOKUP($E$1,'[3]Resumen x Tipo Combustible'!$C$26:$O$32,AE$1,0)</f>
        <v>170207</v>
      </c>
      <c r="AF42" s="32">
        <f>VLOOKUP($E$1,'[3]Resumen x Tipo Combustible'!$C$26:$O$32,AF$1,0)</f>
        <v>165294</v>
      </c>
      <c r="AG42" s="32">
        <f>VLOOKUP($E$1,'[3]Resumen x Tipo Combustible'!$C$26:$O$32,AG$1,0)</f>
        <v>167388</v>
      </c>
      <c r="AH42" s="32">
        <f>VLOOKUP($E$1,'[3]Resumen x Tipo Combustible'!$C$26:$O$32,AH$1,0)</f>
        <v>175140</v>
      </c>
      <c r="AI42" s="32">
        <f>VLOOKUP($E$1,'[3]Resumen x Tipo Combustible'!$C$26:$O$32,AI$1,0)</f>
        <v>169520</v>
      </c>
      <c r="AJ42" s="32">
        <f>VLOOKUP($E$1,'[3]Resumen x Tipo Combustible'!$C$26:$O$32,AJ$1,0)</f>
        <v>158034</v>
      </c>
      <c r="AK42" s="32">
        <f t="shared" si="24"/>
        <v>1967984</v>
      </c>
      <c r="AL42" s="74">
        <f t="shared" si="25"/>
        <v>0.30993728758571382</v>
      </c>
      <c r="AM42" s="29">
        <f t="shared" si="6"/>
        <v>1.5722668296240361E-2</v>
      </c>
      <c r="AN42" s="9"/>
    </row>
    <row r="43" spans="1:42" ht="14.45" customHeight="1" collapsed="1">
      <c r="I43" s="18" t="s">
        <v>359</v>
      </c>
      <c r="J43" s="17">
        <v>2.66</v>
      </c>
      <c r="K43" s="17">
        <v>2.74</v>
      </c>
      <c r="L43" s="17">
        <v>2.65</v>
      </c>
      <c r="M43" s="17">
        <v>2.67</v>
      </c>
      <c r="N43" s="17">
        <v>2.89</v>
      </c>
      <c r="O43" s="17">
        <v>2.5299999999999998</v>
      </c>
      <c r="P43" s="17">
        <v>2.4300000000000002</v>
      </c>
      <c r="Q43" s="17">
        <v>2.4500000000000002</v>
      </c>
      <c r="R43" s="17">
        <v>2.5299999999999998</v>
      </c>
      <c r="S43" s="17">
        <v>2.87</v>
      </c>
      <c r="T43" s="17">
        <f t="shared" ref="R43:U46" si="31">+T34/T39</f>
        <v>2.6831104669197061</v>
      </c>
      <c r="U43" s="17">
        <f t="shared" si="31"/>
        <v>2.9360741608887624</v>
      </c>
      <c r="V43" s="17">
        <f>+V34/V39</f>
        <v>2.6678715986632264</v>
      </c>
      <c r="W43" s="74">
        <f t="shared" si="22"/>
        <v>4.3108540323746926E-7</v>
      </c>
      <c r="X43" s="90"/>
      <c r="Y43" s="17">
        <f>+Y34/Y39</f>
        <v>2.4882781293761966</v>
      </c>
      <c r="Z43" s="17">
        <f t="shared" ref="Y43:AJ43" si="32">+Z34/Z39</f>
        <v>2.4248778650712013</v>
      </c>
      <c r="AA43" s="17">
        <f t="shared" si="32"/>
        <v>2.5701261203421226</v>
      </c>
      <c r="AB43" s="17">
        <f t="shared" si="32"/>
        <v>2.4471574697063221</v>
      </c>
      <c r="AC43" s="17">
        <f t="shared" si="32"/>
        <v>2.5987256120451798</v>
      </c>
      <c r="AD43" s="17">
        <f t="shared" si="32"/>
        <v>2.4884235586548229</v>
      </c>
      <c r="AE43" s="17">
        <f t="shared" si="32"/>
        <v>2.5049398360573076</v>
      </c>
      <c r="AF43" s="17">
        <f t="shared" si="32"/>
        <v>2.5184435817649553</v>
      </c>
      <c r="AG43" s="17">
        <f t="shared" si="32"/>
        <v>2.4683574673070243</v>
      </c>
      <c r="AH43" s="17">
        <f t="shared" si="32"/>
        <v>2.5096891048179137</v>
      </c>
      <c r="AI43" s="17">
        <f t="shared" si="32"/>
        <v>2.4698824809855213</v>
      </c>
      <c r="AJ43" s="17">
        <f t="shared" si="32"/>
        <v>2.4225598199455489</v>
      </c>
      <c r="AK43" s="17">
        <f>+AK34/AK39</f>
        <v>2.4940029860054609</v>
      </c>
      <c r="AL43" s="74">
        <f t="shared" si="25"/>
        <v>3.9277988068663338E-7</v>
      </c>
      <c r="AM43" s="16">
        <f t="shared" si="6"/>
        <v>-6.5171282135498831E-2</v>
      </c>
      <c r="AN43" s="173" t="s">
        <v>447</v>
      </c>
      <c r="AO43" s="291">
        <f>+AK43-V43</f>
        <v>-0.17386861265776554</v>
      </c>
    </row>
    <row r="44" spans="1:42" ht="14.45" hidden="1" customHeight="1" outlineLevel="1">
      <c r="I44" s="31" t="s">
        <v>141</v>
      </c>
      <c r="J44" s="30">
        <v>2.38</v>
      </c>
      <c r="K44" s="30">
        <v>2.72</v>
      </c>
      <c r="L44" s="30">
        <v>2.5</v>
      </c>
      <c r="M44" s="30">
        <v>2.65</v>
      </c>
      <c r="N44" s="30">
        <v>2.92</v>
      </c>
      <c r="O44" s="30">
        <v>2.52</v>
      </c>
      <c r="P44" s="30">
        <v>2.27</v>
      </c>
      <c r="Q44" s="30">
        <v>2.29</v>
      </c>
      <c r="R44" s="30">
        <v>2.48</v>
      </c>
      <c r="S44" s="30">
        <v>2.91</v>
      </c>
      <c r="T44" s="30">
        <f t="shared" si="31"/>
        <v>2.6352879915506104</v>
      </c>
      <c r="U44" s="30">
        <f t="shared" si="31"/>
        <v>2.9035897349524755</v>
      </c>
      <c r="V44" s="30">
        <f t="shared" ref="V44:V46" si="33">+V35/V40</f>
        <v>2.5970267750481826</v>
      </c>
      <c r="W44" s="74">
        <f t="shared" si="22"/>
        <v>4.1963801222709187E-7</v>
      </c>
      <c r="X44" s="90"/>
      <c r="Y44" s="30">
        <f>VLOOKUP(Y3,'[3]Margen ctvs-lit'!$J$10:$O$21,$Y$1,0)</f>
        <v>2.5099999999999998</v>
      </c>
      <c r="Z44" s="30">
        <f>VLOOKUP(Z3,'[3]Margen ctvs-lit'!$J$10:$O$21,$Y$1,0)</f>
        <v>2.5</v>
      </c>
      <c r="AA44" s="30">
        <f>VLOOKUP(AA3,'[3]Margen ctvs-lit'!$J$10:$O$21,$Y$1,0)</f>
        <v>2.59</v>
      </c>
      <c r="AB44" s="30">
        <f>VLOOKUP(AB3,'[3]Margen ctvs-lit'!$J$10:$O$21,$Y$1,0)</f>
        <v>2.4500000000000002</v>
      </c>
      <c r="AC44" s="30">
        <f>VLOOKUP(AC3,'[3]Margen ctvs-lit'!$J$10:$O$21,$Y$1,0)</f>
        <v>2.64</v>
      </c>
      <c r="AD44" s="30">
        <f>VLOOKUP(AD3,'[3]Margen ctvs-lit'!$J$10:$O$21,$Y$1,0)</f>
        <v>2.4700000000000002</v>
      </c>
      <c r="AE44" s="30">
        <f>VLOOKUP(AE3,'[3]Margen ctvs-lit'!$J$10:$O$21,$Y$1,0)</f>
        <v>2.54</v>
      </c>
      <c r="AF44" s="30">
        <f>VLOOKUP(AF3,'[3]Margen ctvs-lit'!$J$10:$O$21,$Y$1,0)</f>
        <v>2.5499999999999998</v>
      </c>
      <c r="AG44" s="30">
        <f>VLOOKUP(AG3,'[3]Margen ctvs-lit'!$J$10:$O$21,$Y$1,0)</f>
        <v>2.4700000000000002</v>
      </c>
      <c r="AH44" s="30">
        <f>VLOOKUP(AH3,'[3]Margen ctvs-lit'!$J$10:$O$21,$Y$1,0)</f>
        <v>2.52</v>
      </c>
      <c r="AI44" s="30">
        <f>VLOOKUP(AI3,'[3]Margen ctvs-lit'!$J$10:$O$21,$Y$1,0)</f>
        <v>2.48</v>
      </c>
      <c r="AJ44" s="30">
        <f>VLOOKUP(AJ3,'[3]Margen ctvs-lit'!$J$10:$O$21,$Y$1,0)</f>
        <v>2.44</v>
      </c>
      <c r="AK44" s="30">
        <f>+AK35/AK40</f>
        <v>2.5146213661844272</v>
      </c>
      <c r="AL44" s="74">
        <f t="shared" si="25"/>
        <v>3.9602706401082696E-7</v>
      </c>
      <c r="AM44" s="29">
        <f t="shared" si="6"/>
        <v>-3.1730673574679069E-2</v>
      </c>
      <c r="AN44" s="9"/>
      <c r="AO44" s="291">
        <f>+AK44-V44</f>
        <v>-8.2405408863755358E-2</v>
      </c>
    </row>
    <row r="45" spans="1:42" ht="14.45" hidden="1" customHeight="1" outlineLevel="1">
      <c r="I45" s="31" t="s">
        <v>142</v>
      </c>
      <c r="J45" s="30">
        <v>3.51</v>
      </c>
      <c r="K45" s="30">
        <v>3.32</v>
      </c>
      <c r="L45" s="30">
        <v>3.51</v>
      </c>
      <c r="M45" s="30">
        <v>3.67</v>
      </c>
      <c r="N45" s="30">
        <v>3.05</v>
      </c>
      <c r="O45" s="30">
        <v>3.26</v>
      </c>
      <c r="P45" s="30">
        <v>3.08</v>
      </c>
      <c r="Q45" s="30">
        <v>2.74</v>
      </c>
      <c r="R45" s="30">
        <v>2.4300000000000002</v>
      </c>
      <c r="S45" s="30">
        <v>2.21</v>
      </c>
      <c r="T45" s="30">
        <f t="shared" si="31"/>
        <v>2.5892716809896825</v>
      </c>
      <c r="U45" s="30">
        <f t="shared" si="31"/>
        <v>2.6898632043670214</v>
      </c>
      <c r="V45" s="30">
        <f t="shared" si="33"/>
        <v>3.0005231140472999</v>
      </c>
      <c r="W45" s="74">
        <f t="shared" si="22"/>
        <v>4.848365705420546E-7</v>
      </c>
      <c r="X45" s="90"/>
      <c r="Y45" s="30">
        <f>VLOOKUP(Y3,'[3]Margen ctvs-lit'!$J$10:$O$21,$AA$1,0)</f>
        <v>2.5299999999999998</v>
      </c>
      <c r="Z45" s="30">
        <f>VLOOKUP(Z3,'[3]Margen ctvs-lit'!$J$10:$O$21,$AA$1,0)</f>
        <v>2.5099999999999998</v>
      </c>
      <c r="AA45" s="30">
        <f>VLOOKUP(AA3,'[3]Margen ctvs-lit'!$J$10:$O$21,$AA$1,0)</f>
        <v>2.68</v>
      </c>
      <c r="AB45" s="30">
        <f>VLOOKUP(AB3,'[3]Margen ctvs-lit'!$J$10:$O$21,$AA$1,0)</f>
        <v>2.4700000000000002</v>
      </c>
      <c r="AC45" s="30">
        <f>VLOOKUP(AC3,'[3]Margen ctvs-lit'!$J$10:$O$21,$AA$1,0)</f>
        <v>2.4300000000000002</v>
      </c>
      <c r="AD45" s="30">
        <f>VLOOKUP(AD3,'[3]Margen ctvs-lit'!$J$10:$O$21,$AA$1,0)</f>
        <v>2.86</v>
      </c>
      <c r="AE45" s="30">
        <f>VLOOKUP(AE3,'[3]Margen ctvs-lit'!$J$10:$O$21,$AA$1,0)</f>
        <v>2.38</v>
      </c>
      <c r="AF45" s="30">
        <f>VLOOKUP(AF3,'[3]Margen ctvs-lit'!$J$10:$O$21,$AA$1,0)</f>
        <v>2.5299999999999998</v>
      </c>
      <c r="AG45" s="30">
        <f>VLOOKUP(AG3,'[3]Margen ctvs-lit'!$J$10:$O$21,$AA$1,0)</f>
        <v>2.52</v>
      </c>
      <c r="AH45" s="30">
        <f>VLOOKUP(AH3,'[3]Margen ctvs-lit'!$J$10:$O$21,$AA$1,0)</f>
        <v>2.5299999999999998</v>
      </c>
      <c r="AI45" s="30">
        <f>VLOOKUP(AI3,'[3]Margen ctvs-lit'!$J$10:$O$21,$AA$1,0)</f>
        <v>2.4900000000000002</v>
      </c>
      <c r="AJ45" s="30">
        <f>VLOOKUP(AJ3,'[3]Margen ctvs-lit'!$J$10:$O$21,$AA$1,0)</f>
        <v>2.4900000000000002</v>
      </c>
      <c r="AK45" s="30">
        <f>+AK36/AK41</f>
        <v>2.5433668941680625</v>
      </c>
      <c r="AL45" s="74">
        <f t="shared" si="25"/>
        <v>4.0055418972600917E-7</v>
      </c>
      <c r="AM45" s="29">
        <f t="shared" si="6"/>
        <v>-0.15235883961000241</v>
      </c>
      <c r="AN45" s="9"/>
      <c r="AO45" s="291">
        <f>+AK45-V45</f>
        <v>-0.45715621987923738</v>
      </c>
    </row>
    <row r="46" spans="1:42" ht="14.45" hidden="1" customHeight="1" outlineLevel="1">
      <c r="I46" s="31" t="s">
        <v>143</v>
      </c>
      <c r="J46" s="30">
        <v>3.01</v>
      </c>
      <c r="K46" s="30">
        <v>2.67</v>
      </c>
      <c r="L46" s="30">
        <v>2.8</v>
      </c>
      <c r="M46" s="30">
        <v>2.52</v>
      </c>
      <c r="N46" s="30">
        <v>2.8</v>
      </c>
      <c r="O46" s="30">
        <v>2.39</v>
      </c>
      <c r="P46" s="30">
        <v>2.64</v>
      </c>
      <c r="Q46" s="30">
        <v>2.74</v>
      </c>
      <c r="R46" s="30">
        <v>2.7</v>
      </c>
      <c r="S46" s="30">
        <v>2.88</v>
      </c>
      <c r="T46" s="30">
        <f t="shared" si="31"/>
        <v>2.7956159333173041</v>
      </c>
      <c r="U46" s="30">
        <f t="shared" si="31"/>
        <v>3.0455244925420142</v>
      </c>
      <c r="V46" s="30">
        <f t="shared" si="33"/>
        <v>2.7504733568765909</v>
      </c>
      <c r="W46" s="74">
        <f t="shared" si="22"/>
        <v>4.4443252693914002E-7</v>
      </c>
      <c r="X46" s="90"/>
      <c r="Y46" s="30">
        <f>VLOOKUP(Y3,'[3]Margen ctvs-lit'!$J$10:$O$21,$AC$1,0)</f>
        <v>2.44</v>
      </c>
      <c r="Z46" s="30">
        <f>VLOOKUP(Z3,'[3]Margen ctvs-lit'!$J$10:$O$21,$AC$1,0)</f>
        <v>2.25</v>
      </c>
      <c r="AA46" s="30">
        <f>VLOOKUP(AA3,'[3]Margen ctvs-lit'!$J$10:$O$21,$AC$1,0)</f>
        <v>2.5</v>
      </c>
      <c r="AB46" s="30">
        <f>VLOOKUP(AB3,'[3]Margen ctvs-lit'!$J$10:$O$21,$AC$1,0)</f>
        <v>2.4300000000000002</v>
      </c>
      <c r="AC46" s="30">
        <f>VLOOKUP(AC3,'[3]Margen ctvs-lit'!$J$10:$O$21,$AC$1,0)</f>
        <v>2.5299999999999998</v>
      </c>
      <c r="AD46" s="30">
        <f>VLOOKUP(AD3,'[3]Margen ctvs-lit'!$J$10:$O$21,$AC$1,0)</f>
        <v>2.44</v>
      </c>
      <c r="AE46" s="30">
        <f>VLOOKUP(AE3,'[3]Margen ctvs-lit'!$J$10:$O$21,$AC$1,0)</f>
        <v>2.4500000000000002</v>
      </c>
      <c r="AF46" s="30">
        <f>VLOOKUP(AF3,'[3]Margen ctvs-lit'!$J$10:$O$21,$AC$1,0)</f>
        <v>2.44</v>
      </c>
      <c r="AG46" s="30">
        <f>VLOOKUP(AG3,'[3]Margen ctvs-lit'!$J$10:$O$21,$AC$1,0)</f>
        <v>2.4500000000000002</v>
      </c>
      <c r="AH46" s="30">
        <f>VLOOKUP(AH3,'[3]Margen ctvs-lit'!$J$10:$O$21,$AC$1,0)</f>
        <v>2.48</v>
      </c>
      <c r="AI46" s="30">
        <f>VLOOKUP(AI3,'[3]Margen ctvs-lit'!$J$10:$O$21,$AC$1,0)</f>
        <v>2.44</v>
      </c>
      <c r="AJ46" s="30">
        <f>VLOOKUP(AJ3,'[3]Margen ctvs-lit'!$J$10:$O$21,$AC$1,0)</f>
        <v>2.37</v>
      </c>
      <c r="AK46" s="30">
        <f>IFERROR(+AK37/AK42,0)</f>
        <v>2.4372121978633974</v>
      </c>
      <c r="AL46" s="74">
        <f t="shared" si="25"/>
        <v>3.8383591425367147E-7</v>
      </c>
      <c r="AM46" s="29">
        <f t="shared" si="6"/>
        <v>-0.11389354426211551</v>
      </c>
      <c r="AN46" s="9"/>
      <c r="AO46" s="291">
        <f>+AK46-V46</f>
        <v>-0.31326115901319351</v>
      </c>
    </row>
    <row r="47" spans="1:42" ht="14.45" customHeight="1">
      <c r="J47" s="3"/>
      <c r="K47" s="3"/>
      <c r="L47" s="3"/>
      <c r="Q47" s="3"/>
      <c r="U47" s="3"/>
      <c r="V47" s="3"/>
      <c r="W47" s="75"/>
      <c r="X47" s="89"/>
      <c r="Y47" s="3"/>
      <c r="Z47" s="3"/>
      <c r="AA47" s="3"/>
      <c r="AF47" s="3"/>
      <c r="AJ47" s="3"/>
      <c r="AK47" s="3"/>
      <c r="AL47" s="75"/>
      <c r="AM47" s="13"/>
      <c r="AN47" s="9"/>
    </row>
    <row r="48" spans="1:42" ht="14.45" customHeight="1">
      <c r="A48" s="21"/>
      <c r="B48" s="21"/>
      <c r="C48" s="21"/>
      <c r="D48" s="21"/>
      <c r="E48" s="7" t="s">
        <v>98</v>
      </c>
      <c r="I48" s="139" t="s">
        <v>145</v>
      </c>
      <c r="J48" s="3"/>
      <c r="K48" s="3"/>
      <c r="L48" s="3"/>
      <c r="Q48" s="3"/>
      <c r="U48" s="3"/>
      <c r="V48" s="3"/>
      <c r="W48" s="75"/>
      <c r="X48" s="89"/>
      <c r="Y48" s="3"/>
      <c r="Z48" s="3"/>
      <c r="AA48" s="3"/>
      <c r="AF48" s="3"/>
      <c r="AJ48" s="3"/>
      <c r="AK48" s="3"/>
      <c r="AL48" s="75"/>
      <c r="AM48" s="13"/>
      <c r="AN48" s="9"/>
    </row>
    <row r="49" spans="1:40" ht="6" customHeight="1">
      <c r="A49" s="21"/>
      <c r="B49" s="21"/>
      <c r="C49" s="21"/>
      <c r="D49" s="21"/>
      <c r="E49" s="22"/>
      <c r="F49" s="21"/>
      <c r="G49" s="21"/>
      <c r="H49" s="21"/>
      <c r="I49" s="139"/>
      <c r="J49" s="3"/>
      <c r="K49" s="3"/>
      <c r="L49" s="3"/>
      <c r="Q49" s="3"/>
      <c r="U49" s="3"/>
      <c r="V49" s="3"/>
      <c r="W49" s="75"/>
      <c r="X49" s="89"/>
      <c r="Y49" s="3"/>
      <c r="Z49" s="3"/>
      <c r="AA49" s="3"/>
      <c r="AF49" s="3"/>
      <c r="AJ49" s="3"/>
      <c r="AK49" s="3"/>
      <c r="AL49" s="75"/>
      <c r="AM49" s="13"/>
      <c r="AN49" s="9"/>
    </row>
    <row r="50" spans="1:40" ht="14.45" customHeight="1">
      <c r="A50" s="12" t="s">
        <v>146</v>
      </c>
      <c r="B50" s="19" t="s">
        <v>88</v>
      </c>
      <c r="I50" s="166" t="s">
        <v>147</v>
      </c>
      <c r="J50" s="15">
        <v>303141</v>
      </c>
      <c r="K50" s="15">
        <v>204972</v>
      </c>
      <c r="L50" s="15">
        <v>205759</v>
      </c>
      <c r="M50" s="15">
        <v>183676</v>
      </c>
      <c r="N50" s="15">
        <v>195701</v>
      </c>
      <c r="O50" s="15">
        <v>231171</v>
      </c>
      <c r="P50" s="15">
        <v>215540</v>
      </c>
      <c r="Q50" s="15">
        <v>227692</v>
      </c>
      <c r="R50" s="15">
        <v>218476</v>
      </c>
      <c r="S50" s="15">
        <v>237453</v>
      </c>
      <c r="T50" s="15">
        <f t="shared" ref="R50:U50" si="34">SUM(T51:T91)</f>
        <v>261699.0246</v>
      </c>
      <c r="U50" s="15">
        <f t="shared" si="34"/>
        <v>218776.28404444444</v>
      </c>
      <c r="V50" s="15">
        <f>SUM(V51:V91)</f>
        <v>2700368.3086444447</v>
      </c>
      <c r="W50" s="72">
        <f t="shared" ref="W50:W164" si="35">V50/V$6</f>
        <v>2.2937791368729515E-2</v>
      </c>
      <c r="X50" s="89"/>
      <c r="Y50" s="15">
        <f t="shared" ref="Y50:AK50" si="36">SUM(Y51:Y91)</f>
        <v>309456.62553286453</v>
      </c>
      <c r="Z50" s="15">
        <f t="shared" si="36"/>
        <v>217867.24707104743</v>
      </c>
      <c r="AA50" s="15">
        <f t="shared" si="36"/>
        <v>237805.3456490752</v>
      </c>
      <c r="AB50" s="15">
        <f t="shared" si="36"/>
        <v>218993.05914407317</v>
      </c>
      <c r="AC50" s="15">
        <f t="shared" si="36"/>
        <v>217867.80420754923</v>
      </c>
      <c r="AD50" s="15">
        <f t="shared" si="36"/>
        <v>237658.34441367994</v>
      </c>
      <c r="AE50" s="15">
        <f t="shared" si="36"/>
        <v>229162.93783611461</v>
      </c>
      <c r="AF50" s="15">
        <f t="shared" si="36"/>
        <v>267314.66732297046</v>
      </c>
      <c r="AG50" s="15">
        <f t="shared" si="36"/>
        <v>253309.78412558135</v>
      </c>
      <c r="AH50" s="15">
        <f t="shared" si="36"/>
        <v>278053.42159904481</v>
      </c>
      <c r="AI50" s="15">
        <f t="shared" si="36"/>
        <v>251322.76782421881</v>
      </c>
      <c r="AJ50" s="15">
        <f t="shared" si="36"/>
        <v>239891.82200830829</v>
      </c>
      <c r="AK50" s="15">
        <f t="shared" si="36"/>
        <v>2958703.8267345275</v>
      </c>
      <c r="AL50" s="72">
        <f t="shared" ref="AL50:AL164" si="37">AK50/AK$6</f>
        <v>2.309913414178353E-2</v>
      </c>
      <c r="AM50" s="10">
        <f t="shared" ref="AM50:AM144" si="38">IFERROR(AK50/V50-1,0)</f>
        <v>9.5666771552271879E-2</v>
      </c>
      <c r="AN50" s="9"/>
    </row>
    <row r="51" spans="1:40" ht="14.45" customHeight="1" outlineLevel="1">
      <c r="A51" s="12" t="s">
        <v>146</v>
      </c>
      <c r="B51" s="8" t="s">
        <v>88</v>
      </c>
      <c r="C51" s="19" t="s">
        <v>148</v>
      </c>
      <c r="D51" s="12"/>
      <c r="E51" s="20"/>
      <c r="F51" s="12"/>
      <c r="G51" s="12"/>
      <c r="H51" s="12"/>
      <c r="I51" s="246" t="s">
        <v>149</v>
      </c>
      <c r="J51" s="65">
        <v>27309</v>
      </c>
      <c r="K51" s="65">
        <v>7068</v>
      </c>
      <c r="L51" s="65">
        <v>12545</v>
      </c>
      <c r="M51" s="65">
        <v>7292</v>
      </c>
      <c r="N51" s="65">
        <v>16480</v>
      </c>
      <c r="O51" s="65">
        <v>16444</v>
      </c>
      <c r="P51" s="65">
        <v>16518</v>
      </c>
      <c r="Q51" s="65">
        <v>14602</v>
      </c>
      <c r="R51" s="225">
        <v>16672</v>
      </c>
      <c r="S51" s="225">
        <v>18913</v>
      </c>
      <c r="T51" s="225">
        <f t="shared" ref="S51:U52" si="39">+AVERAGE(Q51:S51)</f>
        <v>16729</v>
      </c>
      <c r="U51" s="225">
        <f t="shared" si="39"/>
        <v>17438</v>
      </c>
      <c r="V51" s="65">
        <f>SUM(J51:U51)</f>
        <v>188010</v>
      </c>
      <c r="W51" s="73">
        <f t="shared" si="35"/>
        <v>1.5970170222445251E-3</v>
      </c>
      <c r="X51" s="89"/>
      <c r="Y51" s="65">
        <f>VLOOKUP($E$1,'[4]PPTO 2025'!$C$1:$P$9,Y1,0)</f>
        <v>16057.752267804561</v>
      </c>
      <c r="Z51" s="65">
        <f>VLOOKUP($E$1,'[4]PPTO 2025'!$C$1:$P$9,Z1,0)</f>
        <v>14913.73028098746</v>
      </c>
      <c r="AA51" s="65">
        <f>VLOOKUP($E$1,'[4]PPTO 2025'!$C$1:$P$9,AA1,0)</f>
        <v>16399.25373401519</v>
      </c>
      <c r="AB51" s="65">
        <f>VLOOKUP($E$1,'[4]PPTO 2025'!$C$1:$P$9,AB1,0)</f>
        <v>16055.702715763169</v>
      </c>
      <c r="AC51" s="65">
        <f>VLOOKUP($E$1,'[4]PPTO 2025'!$C$1:$P$9,AC1,0)</f>
        <v>17169.468083239251</v>
      </c>
      <c r="AD51" s="65">
        <f>VLOOKUP($E$1,'[4]PPTO 2025'!$C$1:$P$9,AD1,0)</f>
        <v>17064.844583369962</v>
      </c>
      <c r="AE51" s="65">
        <f>VLOOKUP($E$1,'[4]PPTO 2025'!$C$1:$P$9,AE1,0)</f>
        <v>17331.076505804645</v>
      </c>
      <c r="AF51" s="65">
        <f>VLOOKUP($E$1,'[4]PPTO 2025'!$C$1:$P$9,AF1,0)</f>
        <v>17684.397100660426</v>
      </c>
      <c r="AG51" s="65">
        <f>VLOOKUP($E$1,'[4]PPTO 2025'!$C$1:$P$9,AG1,0)</f>
        <v>17375.109001271365</v>
      </c>
      <c r="AH51" s="65">
        <f>VLOOKUP($E$1,'[4]PPTO 2025'!$C$1:$P$9,AH1,0)</f>
        <v>17726.29465698477</v>
      </c>
      <c r="AI51" s="65">
        <f>VLOOKUP($E$1,'[4]PPTO 2025'!$C$1:$P$9,AI1,0)</f>
        <v>17387.749200825478</v>
      </c>
      <c r="AJ51" s="65">
        <f>VLOOKUP($E$1,'[4]PPTO 2025'!$C$1:$P$9,AJ1,0)</f>
        <v>16948.782440470517</v>
      </c>
      <c r="AK51" s="65">
        <f>SUM(Y51:AJ51)</f>
        <v>202114.16057119681</v>
      </c>
      <c r="AL51" s="73">
        <f t="shared" si="37"/>
        <v>1.5779416867624685E-3</v>
      </c>
      <c r="AM51" s="14">
        <f t="shared" si="38"/>
        <v>7.5018140371239994E-2</v>
      </c>
      <c r="AN51" s="9"/>
    </row>
    <row r="52" spans="1:40" ht="14.45" customHeight="1" outlineLevel="1">
      <c r="A52" s="12" t="s">
        <v>146</v>
      </c>
      <c r="B52" s="8" t="s">
        <v>88</v>
      </c>
      <c r="I52" s="246" t="s">
        <v>148</v>
      </c>
      <c r="J52" s="65">
        <v>60887</v>
      </c>
      <c r="K52" s="65">
        <v>60887</v>
      </c>
      <c r="L52" s="65">
        <v>60887</v>
      </c>
      <c r="M52" s="65">
        <v>60887</v>
      </c>
      <c r="N52" s="65">
        <v>60887</v>
      </c>
      <c r="O52" s="65">
        <v>60887</v>
      </c>
      <c r="P52" s="65">
        <v>60887</v>
      </c>
      <c r="Q52" s="65">
        <v>60887</v>
      </c>
      <c r="R52" s="225">
        <v>63054</v>
      </c>
      <c r="S52" s="225">
        <v>63054</v>
      </c>
      <c r="T52" s="225">
        <v>63054</v>
      </c>
      <c r="U52" s="225">
        <v>63054</v>
      </c>
      <c r="V52" s="65">
        <f t="shared" ref="V52:V87" si="40">SUM(J52:U52)</f>
        <v>739312</v>
      </c>
      <c r="W52" s="73">
        <f t="shared" si="35"/>
        <v>6.2799523894986669E-3</v>
      </c>
      <c r="X52" s="89"/>
      <c r="Y52" s="65">
        <f>VLOOKUP($E$1,[5]Resumen!$V$8:$AI$14,Y1,0)+VLOOKUP($E$1,[6]Resumen!$C$9:$O$15,Y1,0)</f>
        <v>64434</v>
      </c>
      <c r="Z52" s="65">
        <f>VLOOKUP($E$1,[5]Resumen!$V$8:$AI$14,Z1,0)+VLOOKUP($E$1,[6]Resumen!$C$9:$O$15,Z1,0)</f>
        <v>64434</v>
      </c>
      <c r="AA52" s="65">
        <f>VLOOKUP($E$1,[5]Resumen!$V$8:$AI$14,AA1,0)+VLOOKUP($E$1,[6]Resumen!$C$9:$O$15,AA1,0)</f>
        <v>64434</v>
      </c>
      <c r="AB52" s="65">
        <f>VLOOKUP($E$1,[5]Resumen!$V$8:$AI$14,AB1,0)+VLOOKUP($E$1,[6]Resumen!$C$9:$O$15,AB1,0)</f>
        <v>64434</v>
      </c>
      <c r="AC52" s="65">
        <f>VLOOKUP($E$1,[5]Resumen!$V$8:$AI$14,AC1,0)+VLOOKUP($E$1,[6]Resumen!$C$9:$O$15,AC1,0)</f>
        <v>64434</v>
      </c>
      <c r="AD52" s="65">
        <f>VLOOKUP($E$1,[5]Resumen!$V$8:$AI$14,AD1,0)+VLOOKUP($E$1,[6]Resumen!$C$9:$O$15,AD1,0)</f>
        <v>64434</v>
      </c>
      <c r="AE52" s="65">
        <f>VLOOKUP($E$1,[5]Resumen!$V$8:$AI$14,AE1,0)+VLOOKUP($E$1,[6]Resumen!$C$9:$O$15,AE1,0)</f>
        <v>64434</v>
      </c>
      <c r="AF52" s="65">
        <f>VLOOKUP($E$1,[5]Resumen!$V$8:$AI$14,AF1,0)+VLOOKUP($E$1,[6]Resumen!$C$9:$O$15,AF1,0)</f>
        <v>64434</v>
      </c>
      <c r="AG52" s="65">
        <f>VLOOKUP($E$1,[5]Resumen!$V$8:$AI$14,AG1,0)+VLOOKUP($E$1,[6]Resumen!$C$9:$O$15,AG1,0)</f>
        <v>66956.160000000003</v>
      </c>
      <c r="AH52" s="65">
        <f>VLOOKUP($E$1,[5]Resumen!$V$8:$AI$14,AH1,0)+VLOOKUP($E$1,[6]Resumen!$C$9:$O$15,AH1,0)</f>
        <v>66956.160000000003</v>
      </c>
      <c r="AI52" s="65">
        <f>VLOOKUP($E$1,[5]Resumen!$V$8:$AI$14,AI1,0)+VLOOKUP($E$1,[6]Resumen!$C$9:$O$15,AI1,0)</f>
        <v>66956.160000000003</v>
      </c>
      <c r="AJ52" s="65">
        <f>VLOOKUP($E$1,[5]Resumen!$V$8:$AI$14,AJ1,0)+VLOOKUP($E$1,[6]Resumen!$C$9:$O$15,AJ1,0)</f>
        <v>66956.160000000003</v>
      </c>
      <c r="AK52" s="65">
        <f t="shared" ref="AK52:AK87" si="41">SUM(Y52:AJ52)</f>
        <v>783296.64000000013</v>
      </c>
      <c r="AL52" s="73">
        <f t="shared" si="37"/>
        <v>6.1153380736110353E-3</v>
      </c>
      <c r="AM52" s="14">
        <f t="shared" si="38"/>
        <v>5.9494016058173171E-2</v>
      </c>
      <c r="AN52" s="9"/>
    </row>
    <row r="53" spans="1:40" ht="14.45" customHeight="1" outlineLevel="1">
      <c r="A53" s="12" t="s">
        <v>146</v>
      </c>
      <c r="B53" s="8" t="s">
        <v>88</v>
      </c>
      <c r="I53" s="246" t="s">
        <v>152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/>
      <c r="U53" s="65"/>
      <c r="V53" s="65">
        <f t="shared" si="40"/>
        <v>0</v>
      </c>
      <c r="W53" s="73">
        <f t="shared" si="35"/>
        <v>0</v>
      </c>
      <c r="X53" s="89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>
        <f t="shared" si="41"/>
        <v>0</v>
      </c>
      <c r="AL53" s="73">
        <f t="shared" si="37"/>
        <v>0</v>
      </c>
      <c r="AM53" s="14">
        <f t="shared" si="38"/>
        <v>0</v>
      </c>
      <c r="AN53" s="9"/>
    </row>
    <row r="54" spans="1:40" ht="14.45" customHeight="1" outlineLevel="1">
      <c r="A54" s="12" t="s">
        <v>146</v>
      </c>
      <c r="B54" s="8" t="s">
        <v>88</v>
      </c>
      <c r="I54" s="246" t="s">
        <v>153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1160</v>
      </c>
      <c r="Q54" s="65">
        <v>0</v>
      </c>
      <c r="R54" s="225">
        <v>0</v>
      </c>
      <c r="S54" s="225">
        <v>0</v>
      </c>
      <c r="T54" s="225">
        <f t="shared" ref="S54:U54" si="42">+AVERAGE(Q54:S54)</f>
        <v>0</v>
      </c>
      <c r="U54" s="225">
        <f t="shared" si="42"/>
        <v>0</v>
      </c>
      <c r="V54" s="65">
        <f t="shared" si="40"/>
        <v>1160</v>
      </c>
      <c r="W54" s="73">
        <f t="shared" si="35"/>
        <v>9.8534107005140641E-6</v>
      </c>
      <c r="X54" s="89"/>
      <c r="Y54" s="65">
        <f>VLOOKUP($E$1,[7]Resumen!$C$9:$O$15,Y1,0)</f>
        <v>0</v>
      </c>
      <c r="Z54" s="65">
        <f>VLOOKUP($E$1,[7]Resumen!$C$9:$O$15,Z1,0)</f>
        <v>0</v>
      </c>
      <c r="AA54" s="65">
        <f>VLOOKUP($E$1,[7]Resumen!$C$9:$O$15,AA1,0)</f>
        <v>0</v>
      </c>
      <c r="AB54" s="65">
        <f>VLOOKUP($E$1,[7]Resumen!$C$9:$O$15,AB1,0)</f>
        <v>0</v>
      </c>
      <c r="AC54" s="65">
        <f>VLOOKUP($E$1,[7]Resumen!$C$9:$O$15,AC1,0)</f>
        <v>0</v>
      </c>
      <c r="AD54" s="65">
        <f>VLOOKUP($E$1,[7]Resumen!$C$9:$O$15,AD1,0)</f>
        <v>0</v>
      </c>
      <c r="AE54" s="65">
        <f>VLOOKUP($E$1,[7]Resumen!$C$9:$O$15,AE1,0)</f>
        <v>0</v>
      </c>
      <c r="AF54" s="65">
        <f>VLOOKUP($E$1,[7]Resumen!$C$9:$O$15,AF1,0)</f>
        <v>0</v>
      </c>
      <c r="AG54" s="65">
        <f>VLOOKUP($E$1,[7]Resumen!$C$9:$O$15,AG1,0)</f>
        <v>0</v>
      </c>
      <c r="AH54" s="65">
        <f>VLOOKUP($E$1,[7]Resumen!$C$9:$O$15,AH1,0)</f>
        <v>0</v>
      </c>
      <c r="AI54" s="65">
        <f>VLOOKUP($E$1,[7]Resumen!$C$9:$O$15,AI1,0)</f>
        <v>0</v>
      </c>
      <c r="AJ54" s="65">
        <f>VLOOKUP($E$1,[7]Resumen!$C$9:$O$15,AJ1,0)</f>
        <v>1242.1199999999999</v>
      </c>
      <c r="AK54" s="65">
        <f t="shared" si="41"/>
        <v>1242.1199999999999</v>
      </c>
      <c r="AL54" s="73">
        <f t="shared" si="37"/>
        <v>9.6974547573620863E-6</v>
      </c>
      <c r="AM54" s="14">
        <f t="shared" si="38"/>
        <v>7.0793103448275829E-2</v>
      </c>
      <c r="AN54" s="9"/>
    </row>
    <row r="55" spans="1:40" ht="14.45" customHeight="1" outlineLevel="1">
      <c r="A55" s="12" t="s">
        <v>146</v>
      </c>
      <c r="B55" s="8" t="s">
        <v>88</v>
      </c>
      <c r="C55" s="8" t="s">
        <v>155</v>
      </c>
      <c r="I55" s="246" t="s">
        <v>156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/>
      <c r="U55" s="65"/>
      <c r="V55" s="65">
        <f t="shared" si="40"/>
        <v>0</v>
      </c>
      <c r="W55" s="73">
        <f t="shared" si="35"/>
        <v>0</v>
      </c>
      <c r="X55" s="89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>
        <f t="shared" si="41"/>
        <v>0</v>
      </c>
      <c r="AL55" s="73">
        <f t="shared" si="37"/>
        <v>0</v>
      </c>
      <c r="AM55" s="14">
        <f t="shared" si="38"/>
        <v>0</v>
      </c>
      <c r="AN55" s="9"/>
    </row>
    <row r="56" spans="1:40" ht="14.45" customHeight="1" outlineLevel="1">
      <c r="A56" s="12" t="s">
        <v>146</v>
      </c>
      <c r="B56" s="8" t="s">
        <v>88</v>
      </c>
      <c r="I56" s="246" t="s">
        <v>158</v>
      </c>
      <c r="J56" s="65">
        <v>2200</v>
      </c>
      <c r="K56" s="65">
        <v>3546</v>
      </c>
      <c r="L56" s="65">
        <v>3704</v>
      </c>
      <c r="M56" s="65">
        <v>4088</v>
      </c>
      <c r="N56" s="65">
        <v>3568</v>
      </c>
      <c r="O56" s="65">
        <v>3170</v>
      </c>
      <c r="P56" s="65">
        <v>1893</v>
      </c>
      <c r="Q56" s="65">
        <v>0</v>
      </c>
      <c r="R56" s="225">
        <v>4126</v>
      </c>
      <c r="S56" s="225">
        <v>5089</v>
      </c>
      <c r="T56" s="225">
        <f t="shared" ref="S56:U56" si="43">+AVERAGE(Q56:S56)</f>
        <v>3071.6666666666665</v>
      </c>
      <c r="U56" s="225">
        <f t="shared" si="43"/>
        <v>4095.5555555555552</v>
      </c>
      <c r="V56" s="65">
        <f t="shared" si="40"/>
        <v>38551.222222222219</v>
      </c>
      <c r="W56" s="73">
        <f t="shared" si="35"/>
        <v>3.2746640134684481E-4</v>
      </c>
      <c r="X56" s="89"/>
      <c r="Y56" s="65">
        <f>VLOOKUP($E$1,[9]Resumen!$V$238:$AH$244,Y1,0)</f>
        <v>3827.7997999999998</v>
      </c>
      <c r="Z56" s="65">
        <f>VLOOKUP($E$1,[9]Resumen!$V$238:$AH$244,Z1,0)</f>
        <v>3827.7997999999998</v>
      </c>
      <c r="AA56" s="65">
        <f>VLOOKUP($E$1,[9]Resumen!$V$238:$AH$244,AA1,0)</f>
        <v>3827.7997999999998</v>
      </c>
      <c r="AB56" s="65">
        <f>VLOOKUP($E$1,[9]Resumen!$V$238:$AH$244,AB1,0)</f>
        <v>3827.7997999999998</v>
      </c>
      <c r="AC56" s="65">
        <f>VLOOKUP($E$1,[9]Resumen!$V$238:$AH$244,AC1,0)</f>
        <v>3827.7997999999998</v>
      </c>
      <c r="AD56" s="65">
        <f>VLOOKUP($E$1,[9]Resumen!$V$238:$AH$244,AD1,0)</f>
        <v>3827.7997999999998</v>
      </c>
      <c r="AE56" s="65">
        <f>VLOOKUP($E$1,[9]Resumen!$V$238:$AH$244,AE1,0)</f>
        <v>3827.7997999999998</v>
      </c>
      <c r="AF56" s="65">
        <f>VLOOKUP($E$1,[9]Resumen!$V$238:$AH$244,AF1,0)</f>
        <v>3827.7997999999998</v>
      </c>
      <c r="AG56" s="65">
        <f>VLOOKUP($E$1,[9]Resumen!$V$238:$AH$244,AG1,0)</f>
        <v>3827.7997999999998</v>
      </c>
      <c r="AH56" s="65">
        <f>VLOOKUP($E$1,[9]Resumen!$V$238:$AH$244,AH1,0)</f>
        <v>3827.7997999999998</v>
      </c>
      <c r="AI56" s="65">
        <f>VLOOKUP($E$1,[9]Resumen!$V$238:$AH$244,AI1,0)</f>
        <v>3827.7997999999998</v>
      </c>
      <c r="AJ56" s="65">
        <f>VLOOKUP($E$1,[9]Resumen!$V$238:$AH$244,AJ1,0)</f>
        <v>3827.7997999999998</v>
      </c>
      <c r="AK56" s="65">
        <f t="shared" si="41"/>
        <v>45933.597600000001</v>
      </c>
      <c r="AL56" s="73">
        <f t="shared" si="37"/>
        <v>3.5861187692725E-4</v>
      </c>
      <c r="AM56" s="14">
        <f t="shared" si="38"/>
        <v>0.19149523548756209</v>
      </c>
      <c r="AN56" s="9"/>
    </row>
    <row r="57" spans="1:40" ht="14.45" customHeight="1" outlineLevel="1">
      <c r="A57" s="12" t="s">
        <v>146</v>
      </c>
      <c r="B57" s="8" t="s">
        <v>88</v>
      </c>
      <c r="I57" s="246" t="s">
        <v>159</v>
      </c>
      <c r="J57" s="65">
        <v>2472</v>
      </c>
      <c r="K57" s="65">
        <v>0</v>
      </c>
      <c r="L57" s="65">
        <v>0</v>
      </c>
      <c r="M57" s="65">
        <v>0</v>
      </c>
      <c r="N57" s="65">
        <v>1879</v>
      </c>
      <c r="O57" s="65">
        <v>12057</v>
      </c>
      <c r="P57" s="65">
        <v>0</v>
      </c>
      <c r="Q57" s="65">
        <v>1380</v>
      </c>
      <c r="R57" s="65">
        <v>0</v>
      </c>
      <c r="S57" s="65">
        <v>0</v>
      </c>
      <c r="T57" s="65">
        <v>0</v>
      </c>
      <c r="U57" s="65">
        <v>0</v>
      </c>
      <c r="V57" s="65">
        <f t="shared" si="40"/>
        <v>17788</v>
      </c>
      <c r="W57" s="73">
        <f t="shared" si="35"/>
        <v>1.5109695650064153E-4</v>
      </c>
      <c r="X57" s="89"/>
      <c r="Y57" s="65">
        <f>VLOOKUP($E$1,[10]Resumen!$V$8:$AH$14,Y1,0)</f>
        <v>4140.3999999999996</v>
      </c>
      <c r="Z57" s="65">
        <f>VLOOKUP($E$1,[10]Resumen!$V$8:$AH$14,Z1,0)</f>
        <v>1552.6499999999999</v>
      </c>
      <c r="AA57" s="65">
        <f>VLOOKUP($E$1,[10]Resumen!$V$8:$AH$14,AA1,0)</f>
        <v>24593.975999999999</v>
      </c>
      <c r="AB57" s="65">
        <f>VLOOKUP($E$1,[10]Resumen!$V$8:$AH$14,AB1,0)</f>
        <v>8073.7799999999988</v>
      </c>
      <c r="AC57" s="65">
        <f>VLOOKUP($E$1,[10]Resumen!$V$8:$AH$14,AC1,0)</f>
        <v>1863.1799999999998</v>
      </c>
      <c r="AD57" s="65">
        <f>VLOOKUP($E$1,[10]Resumen!$V$8:$AH$14,AD1,0)</f>
        <v>6210.5999999999995</v>
      </c>
      <c r="AE57" s="65">
        <f>VLOOKUP($E$1,[10]Resumen!$V$8:$AH$14,AE1,0)</f>
        <v>6997.2759999999998</v>
      </c>
      <c r="AF57" s="65">
        <f>VLOOKUP($E$1,[10]Resumen!$V$8:$AH$14,AF1,0)</f>
        <v>11179.079999999998</v>
      </c>
      <c r="AG57" s="65">
        <f>VLOOKUP($E$1,[10]Resumen!$V$8:$AH$14,AG1,0)</f>
        <v>2484.2399999999998</v>
      </c>
      <c r="AH57" s="65">
        <f>VLOOKUP($E$1,[10]Resumen!$V$8:$AH$14,AH1,0)</f>
        <v>33433.729999999996</v>
      </c>
      <c r="AI57" s="65">
        <f>VLOOKUP($E$1,[10]Resumen!$V$8:$AH$14,AI1,0)</f>
        <v>5548.1359999999995</v>
      </c>
      <c r="AJ57" s="65">
        <f>VLOOKUP($E$1,[10]Resumen!$V$8:$AH$14,AJ1,0)</f>
        <v>8798.3499999999985</v>
      </c>
      <c r="AK57" s="65">
        <f t="shared" si="41"/>
        <v>114875.39799999999</v>
      </c>
      <c r="AL57" s="73">
        <f t="shared" si="37"/>
        <v>8.9685294081003693E-4</v>
      </c>
      <c r="AM57" s="14">
        <f t="shared" si="38"/>
        <v>5.458027771531369</v>
      </c>
      <c r="AN57" s="9"/>
    </row>
    <row r="58" spans="1:40" ht="14.45" customHeight="1" outlineLevel="1">
      <c r="A58" s="12" t="s">
        <v>146</v>
      </c>
      <c r="B58" s="8" t="s">
        <v>88</v>
      </c>
      <c r="I58" s="246" t="s">
        <v>160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1232.2916666666667</v>
      </c>
      <c r="U58" s="65">
        <v>0</v>
      </c>
      <c r="V58" s="65">
        <f t="shared" si="40"/>
        <v>1232.2916666666667</v>
      </c>
      <c r="W58" s="73">
        <f t="shared" si="35"/>
        <v>1.0467479219385901E-5</v>
      </c>
      <c r="X58" s="89"/>
      <c r="Y58" s="65">
        <f>VLOOKUP($E$1,[11]Resumen!$V$8:$AH$14,Y1,0)</f>
        <v>808.67187499999989</v>
      </c>
      <c r="Z58" s="65">
        <f>VLOOKUP($E$1,[11]Resumen!$V$8:$AH$14,Z1,0)</f>
        <v>2587.75</v>
      </c>
      <c r="AA58" s="65">
        <f>VLOOKUP($E$1,[11]Resumen!$V$8:$AH$14,AA1,0)</f>
        <v>485.20312499999994</v>
      </c>
      <c r="AB58" s="65">
        <f>VLOOKUP($E$1,[11]Resumen!$V$8:$AH$14,AB1,0)</f>
        <v>0</v>
      </c>
      <c r="AC58" s="65">
        <f>VLOOKUP($E$1,[11]Resumen!$V$8:$AH$14,AC1,0)</f>
        <v>0</v>
      </c>
      <c r="AD58" s="65">
        <f>VLOOKUP($E$1,[11]Resumen!$V$8:$AH$14,AD1,0)</f>
        <v>0</v>
      </c>
      <c r="AE58" s="65">
        <f>VLOOKUP($E$1,[11]Resumen!$V$8:$AH$14,AE1,0)</f>
        <v>0</v>
      </c>
      <c r="AF58" s="65">
        <f>VLOOKUP($E$1,[11]Resumen!$V$8:$AH$14,AF1,0)</f>
        <v>0</v>
      </c>
      <c r="AG58" s="65">
        <f>VLOOKUP($E$1,[11]Resumen!$V$8:$AH$14,AG1,0)</f>
        <v>0</v>
      </c>
      <c r="AH58" s="65">
        <f>VLOOKUP($E$1,[11]Resumen!$V$8:$AH$14,AH1,0)</f>
        <v>0</v>
      </c>
      <c r="AI58" s="65">
        <f>VLOOKUP($E$1,[11]Resumen!$V$8:$AH$14,AI1,0)</f>
        <v>0</v>
      </c>
      <c r="AJ58" s="65">
        <f>VLOOKUP($E$1,[11]Resumen!$V$8:$AH$14,AJ1,0)</f>
        <v>0</v>
      </c>
      <c r="AK58" s="65">
        <f t="shared" si="41"/>
        <v>3881.625</v>
      </c>
      <c r="AL58" s="73">
        <f t="shared" si="37"/>
        <v>3.0304546116756523E-5</v>
      </c>
      <c r="AM58" s="14">
        <f t="shared" si="38"/>
        <v>2.1499239222316144</v>
      </c>
      <c r="AN58" s="9"/>
    </row>
    <row r="59" spans="1:40" ht="14.45" customHeight="1" outlineLevel="1">
      <c r="A59" s="12" t="s">
        <v>146</v>
      </c>
      <c r="B59" s="8" t="s">
        <v>88</v>
      </c>
      <c r="I59" s="246" t="s">
        <v>161</v>
      </c>
      <c r="J59" s="65"/>
      <c r="K59" s="65">
        <v>0</v>
      </c>
      <c r="L59" s="65"/>
      <c r="M59" s="65">
        <v>0</v>
      </c>
      <c r="N59" s="65"/>
      <c r="O59" s="65"/>
      <c r="P59" s="65">
        <v>0</v>
      </c>
      <c r="Q59" s="65">
        <v>0</v>
      </c>
      <c r="R59" s="65">
        <v>0</v>
      </c>
      <c r="S59" s="65">
        <v>0</v>
      </c>
      <c r="T59" s="65"/>
      <c r="U59" s="65"/>
      <c r="V59" s="65">
        <f t="shared" si="40"/>
        <v>0</v>
      </c>
      <c r="W59" s="73">
        <f t="shared" si="35"/>
        <v>0</v>
      </c>
      <c r="X59" s="89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>
        <f t="shared" si="41"/>
        <v>0</v>
      </c>
      <c r="AL59" s="73">
        <f t="shared" si="37"/>
        <v>0</v>
      </c>
      <c r="AM59" s="14">
        <f t="shared" si="38"/>
        <v>0</v>
      </c>
      <c r="AN59" s="9"/>
    </row>
    <row r="60" spans="1:40" ht="14.45" customHeight="1" outlineLevel="1">
      <c r="A60" s="12" t="s">
        <v>146</v>
      </c>
      <c r="B60" s="8" t="s">
        <v>88</v>
      </c>
      <c r="I60" s="246" t="s">
        <v>162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22578</v>
      </c>
      <c r="P60" s="65">
        <v>15000</v>
      </c>
      <c r="Q60" s="65">
        <v>33000</v>
      </c>
      <c r="R60" s="65">
        <v>15000</v>
      </c>
      <c r="S60" s="65">
        <v>15000</v>
      </c>
      <c r="T60" s="65">
        <v>15000</v>
      </c>
      <c r="U60" s="65">
        <v>15000</v>
      </c>
      <c r="V60" s="65">
        <f t="shared" si="40"/>
        <v>130578</v>
      </c>
      <c r="W60" s="73">
        <f t="shared" si="35"/>
        <v>1.109171260734246E-3</v>
      </c>
      <c r="X60" s="89"/>
      <c r="Y60" s="65">
        <f>+J60*1.0375</f>
        <v>0</v>
      </c>
      <c r="Z60" s="65">
        <f>+K60*1.0375</f>
        <v>0</v>
      </c>
      <c r="AA60" s="65">
        <f>+L60*1.0375</f>
        <v>0</v>
      </c>
      <c r="AB60" s="65">
        <f>+M60*1.0375</f>
        <v>0</v>
      </c>
      <c r="AC60" s="65">
        <f>+N60*1.0375</f>
        <v>0</v>
      </c>
      <c r="AD60" s="65">
        <f>+O60*1.0375</f>
        <v>23424.675000000003</v>
      </c>
      <c r="AE60" s="65">
        <f>+P60*1.0375</f>
        <v>15562.500000000002</v>
      </c>
      <c r="AF60" s="65">
        <f>+Q60*1.0375</f>
        <v>34237.5</v>
      </c>
      <c r="AG60" s="65">
        <f>+R60*1.0375</f>
        <v>15562.500000000002</v>
      </c>
      <c r="AH60" s="65">
        <f>+S60*1.0375</f>
        <v>15562.500000000002</v>
      </c>
      <c r="AI60" s="65">
        <f>+T60*1.0375</f>
        <v>15562.500000000002</v>
      </c>
      <c r="AJ60" s="65">
        <f>+U60*1.0375</f>
        <v>15562.500000000002</v>
      </c>
      <c r="AK60" s="65">
        <f t="shared" si="41"/>
        <v>135474.67500000002</v>
      </c>
      <c r="AL60" s="73">
        <f t="shared" si="37"/>
        <v>1.0576752097871645E-3</v>
      </c>
      <c r="AM60" s="14">
        <f t="shared" si="38"/>
        <v>3.7500000000000089E-2</v>
      </c>
      <c r="AN60" s="9"/>
    </row>
    <row r="61" spans="1:40" ht="14.45" customHeight="1" outlineLevel="1">
      <c r="A61" s="12" t="s">
        <v>146</v>
      </c>
      <c r="B61" s="8" t="s">
        <v>88</v>
      </c>
      <c r="I61" s="289" t="s">
        <v>278</v>
      </c>
      <c r="J61" s="65">
        <v>0</v>
      </c>
      <c r="K61" s="65">
        <v>0</v>
      </c>
      <c r="L61" s="65"/>
      <c r="M61" s="65"/>
      <c r="N61" s="65"/>
      <c r="O61" s="65"/>
      <c r="P61" s="65">
        <v>0</v>
      </c>
      <c r="Q61" s="65"/>
      <c r="R61" s="65"/>
      <c r="S61" s="65"/>
      <c r="T61" s="65"/>
      <c r="U61" s="65"/>
      <c r="V61" s="65">
        <f t="shared" ref="V61" si="44">SUM(J61:U61)</f>
        <v>0</v>
      </c>
      <c r="W61" s="73">
        <f t="shared" ref="W61" si="45">V61/V$6</f>
        <v>0</v>
      </c>
      <c r="X61" s="89"/>
      <c r="Y61" s="65">
        <f>+J61*1.0375</f>
        <v>0</v>
      </c>
      <c r="Z61" s="65">
        <f>+K61*1.0375</f>
        <v>0</v>
      </c>
      <c r="AA61" s="65">
        <f>+L61*1.0375</f>
        <v>0</v>
      </c>
      <c r="AB61" s="65">
        <f>+M61*1.0375</f>
        <v>0</v>
      </c>
      <c r="AC61" s="65">
        <f>+N61*1.0375</f>
        <v>0</v>
      </c>
      <c r="AD61" s="65">
        <f>+O61*1.0375</f>
        <v>0</v>
      </c>
      <c r="AE61" s="65">
        <f>+P61*1.0375</f>
        <v>0</v>
      </c>
      <c r="AF61" s="65">
        <f>+Q61*1.0375</f>
        <v>0</v>
      </c>
      <c r="AG61" s="65">
        <f>+R61*1.0375</f>
        <v>0</v>
      </c>
      <c r="AH61" s="65">
        <f>+S61*1.0375</f>
        <v>0</v>
      </c>
      <c r="AI61" s="65">
        <f>+T61*1.0375</f>
        <v>0</v>
      </c>
      <c r="AJ61" s="65">
        <f>+U61*1.0375</f>
        <v>0</v>
      </c>
      <c r="AK61" s="65">
        <f t="shared" ref="AK61" si="46">SUM(Y61:AJ61)</f>
        <v>0</v>
      </c>
      <c r="AL61" s="73">
        <f t="shared" ref="AL61" si="47">AK61/AK$6</f>
        <v>0</v>
      </c>
      <c r="AM61" s="14">
        <f t="shared" ref="AM61" si="48">IFERROR(AK61/V61-1,0)</f>
        <v>0</v>
      </c>
      <c r="AN61" s="9"/>
    </row>
    <row r="62" spans="1:40" ht="14.45" customHeight="1" outlineLevel="1">
      <c r="A62" s="12" t="s">
        <v>146</v>
      </c>
      <c r="B62" s="8" t="s">
        <v>88</v>
      </c>
      <c r="I62" s="246" t="s">
        <v>163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/>
      <c r="U62" s="65"/>
      <c r="V62" s="65">
        <f t="shared" si="40"/>
        <v>0</v>
      </c>
      <c r="W62" s="73">
        <f t="shared" si="35"/>
        <v>0</v>
      </c>
      <c r="X62" s="89"/>
      <c r="Y62" s="65">
        <f>+J62*1.0375</f>
        <v>0</v>
      </c>
      <c r="Z62" s="65">
        <f>+K62*1.0375</f>
        <v>0</v>
      </c>
      <c r="AA62" s="65">
        <f>+L62*1.0375</f>
        <v>0</v>
      </c>
      <c r="AB62" s="65">
        <f>+M62*1.0375</f>
        <v>0</v>
      </c>
      <c r="AC62" s="65">
        <f>+N62*1.0375</f>
        <v>0</v>
      </c>
      <c r="AD62" s="65">
        <f>+O62*1.0375</f>
        <v>0</v>
      </c>
      <c r="AE62" s="65">
        <f>+P62*1.0375</f>
        <v>0</v>
      </c>
      <c r="AF62" s="65">
        <f>+Q62*1.0375</f>
        <v>0</v>
      </c>
      <c r="AG62" s="65">
        <f>+R62*1.0375</f>
        <v>0</v>
      </c>
      <c r="AH62" s="65">
        <f>+S62*1.0375</f>
        <v>0</v>
      </c>
      <c r="AI62" s="65">
        <f>+T62*1.0375</f>
        <v>0</v>
      </c>
      <c r="AJ62" s="65">
        <f>+U62*1.0375</f>
        <v>0</v>
      </c>
      <c r="AK62" s="65">
        <f t="shared" si="41"/>
        <v>0</v>
      </c>
      <c r="AL62" s="73">
        <f t="shared" si="37"/>
        <v>0</v>
      </c>
      <c r="AM62" s="14">
        <f t="shared" si="38"/>
        <v>0</v>
      </c>
      <c r="AN62" s="9"/>
    </row>
    <row r="63" spans="1:40" ht="14.45" customHeight="1" outlineLevel="1">
      <c r="A63" s="12" t="s">
        <v>146</v>
      </c>
      <c r="B63" s="8" t="s">
        <v>88</v>
      </c>
      <c r="I63" s="246" t="s">
        <v>164</v>
      </c>
      <c r="J63" s="65">
        <v>0</v>
      </c>
      <c r="K63" s="65">
        <v>0</v>
      </c>
      <c r="L63" s="65">
        <v>0</v>
      </c>
      <c r="M63" s="65">
        <v>0</v>
      </c>
      <c r="N63" s="65">
        <v>500</v>
      </c>
      <c r="O63" s="65">
        <v>0</v>
      </c>
      <c r="P63" s="65">
        <v>0</v>
      </c>
      <c r="Q63" s="65">
        <v>0</v>
      </c>
      <c r="R63" s="65">
        <v>300</v>
      </c>
      <c r="S63" s="65">
        <v>0</v>
      </c>
      <c r="T63" s="65"/>
      <c r="U63" s="65"/>
      <c r="V63" s="65">
        <f t="shared" si="40"/>
        <v>800</v>
      </c>
      <c r="W63" s="73">
        <f t="shared" si="35"/>
        <v>6.7954556555269402E-6</v>
      </c>
      <c r="X63" s="89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>
        <f t="shared" si="41"/>
        <v>0</v>
      </c>
      <c r="AL63" s="73">
        <f t="shared" si="37"/>
        <v>0</v>
      </c>
      <c r="AM63" s="14">
        <f t="shared" si="38"/>
        <v>-1</v>
      </c>
      <c r="AN63" s="9"/>
    </row>
    <row r="64" spans="1:40" ht="14.45" customHeight="1" outlineLevel="1">
      <c r="A64" s="12" t="s">
        <v>146</v>
      </c>
      <c r="B64" s="8" t="s">
        <v>88</v>
      </c>
      <c r="I64" s="246" t="s">
        <v>165</v>
      </c>
      <c r="J64" s="65">
        <v>594</v>
      </c>
      <c r="K64" s="65">
        <v>902</v>
      </c>
      <c r="L64" s="65">
        <v>609</v>
      </c>
      <c r="M64" s="65">
        <v>1273</v>
      </c>
      <c r="N64" s="65">
        <v>985</v>
      </c>
      <c r="O64" s="65">
        <v>1577</v>
      </c>
      <c r="P64" s="65">
        <v>1069</v>
      </c>
      <c r="Q64" s="65">
        <v>313</v>
      </c>
      <c r="R64" s="225">
        <v>845</v>
      </c>
      <c r="S64" s="225">
        <v>783</v>
      </c>
      <c r="T64" s="225">
        <f t="shared" ref="S64:U64" si="49">+AVERAGE(Q64:S64)</f>
        <v>647</v>
      </c>
      <c r="U64" s="225">
        <f t="shared" si="49"/>
        <v>758.33333333333337</v>
      </c>
      <c r="V64" s="65">
        <f t="shared" si="40"/>
        <v>10355.333333333334</v>
      </c>
      <c r="W64" s="73">
        <f t="shared" si="35"/>
        <v>8.7961510581083306E-5</v>
      </c>
      <c r="X64" s="89"/>
      <c r="Y64" s="65">
        <f>VLOOKUP($E$1,[9]Resumen!$V$226:$AH$232,Y1,0)</f>
        <v>1057.8721999999998</v>
      </c>
      <c r="Z64" s="65">
        <f>VLOOKUP($E$1,[9]Resumen!$V$226:$AH$232,Z1,0)</f>
        <v>1057.8721999999998</v>
      </c>
      <c r="AA64" s="65">
        <f>VLOOKUP($E$1,[9]Resumen!$V$226:$AH$232,AA1,0)</f>
        <v>1057.8721999999998</v>
      </c>
      <c r="AB64" s="65">
        <f>VLOOKUP($E$1,[9]Resumen!$V$226:$AH$232,AB1,0)</f>
        <v>1057.8721999999998</v>
      </c>
      <c r="AC64" s="65">
        <f>VLOOKUP($E$1,[9]Resumen!$V$226:$AH$232,AC1,0)</f>
        <v>1057.8721999999998</v>
      </c>
      <c r="AD64" s="65">
        <f>VLOOKUP($E$1,[9]Resumen!$V$226:$AH$232,AD1,0)</f>
        <v>1057.8721999999998</v>
      </c>
      <c r="AE64" s="65">
        <f>VLOOKUP($E$1,[9]Resumen!$V$226:$AH$232,AE1,0)</f>
        <v>1057.8721999999998</v>
      </c>
      <c r="AF64" s="65">
        <f>VLOOKUP($E$1,[9]Resumen!$V$226:$AH$232,AF1,0)</f>
        <v>1057.8721999999998</v>
      </c>
      <c r="AG64" s="65">
        <f>VLOOKUP($E$1,[9]Resumen!$V$226:$AH$232,AG1,0)</f>
        <v>1057.8721999999998</v>
      </c>
      <c r="AH64" s="65">
        <f>VLOOKUP($E$1,[9]Resumen!$V$226:$AH$232,AH1,0)</f>
        <v>1057.8721999999998</v>
      </c>
      <c r="AI64" s="65">
        <f>VLOOKUP($E$1,[9]Resumen!$V$226:$AH$232,AI1,0)</f>
        <v>1057.8721999999998</v>
      </c>
      <c r="AJ64" s="65">
        <f>VLOOKUP($E$1,[9]Resumen!$V$226:$AH$232,AJ1,0)</f>
        <v>1057.8721999999998</v>
      </c>
      <c r="AK64" s="65">
        <f t="shared" si="41"/>
        <v>12694.466399999998</v>
      </c>
      <c r="AL64" s="73">
        <f t="shared" si="37"/>
        <v>9.9107987620240511E-5</v>
      </c>
      <c r="AM64" s="14">
        <f t="shared" si="38"/>
        <v>0.22588679585398808</v>
      </c>
      <c r="AN64" s="9"/>
    </row>
    <row r="65" spans="1:40" ht="14.45" customHeight="1" outlineLevel="1">
      <c r="A65" s="12" t="s">
        <v>146</v>
      </c>
      <c r="B65" s="8" t="s">
        <v>88</v>
      </c>
      <c r="I65" s="252" t="s">
        <v>167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/>
      <c r="U65" s="65"/>
      <c r="V65" s="65">
        <f t="shared" si="40"/>
        <v>0</v>
      </c>
      <c r="W65" s="73">
        <f t="shared" si="35"/>
        <v>0</v>
      </c>
      <c r="X65" s="89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>
        <f t="shared" si="41"/>
        <v>0</v>
      </c>
      <c r="AL65" s="73">
        <f t="shared" si="37"/>
        <v>0</v>
      </c>
      <c r="AM65" s="14">
        <f t="shared" si="38"/>
        <v>0</v>
      </c>
      <c r="AN65" s="9"/>
    </row>
    <row r="66" spans="1:40" ht="14.45" customHeight="1" outlineLevel="1">
      <c r="A66" s="12" t="s">
        <v>146</v>
      </c>
      <c r="B66" s="8" t="s">
        <v>88</v>
      </c>
      <c r="I66" s="246" t="s">
        <v>168</v>
      </c>
      <c r="J66" s="65">
        <v>0</v>
      </c>
      <c r="K66" s="65">
        <v>0</v>
      </c>
      <c r="L66" s="65">
        <v>0</v>
      </c>
      <c r="M66" s="65">
        <v>640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f t="shared" si="40"/>
        <v>640</v>
      </c>
      <c r="W66" s="73">
        <f t="shared" si="35"/>
        <v>5.4363645244215528E-6</v>
      </c>
      <c r="X66" s="89"/>
      <c r="Y66" s="65">
        <f>VLOOKUP($E$1,[8]Resumen!$V$32:$AH$38,Y1,0)</f>
        <v>0</v>
      </c>
      <c r="Z66" s="65">
        <f>VLOOKUP($E$1,[8]Resumen!$V$32:$AH$38,Z1,0)</f>
        <v>0</v>
      </c>
      <c r="AA66" s="65">
        <f>VLOOKUP($E$1,[8]Resumen!$V$32:$AH$38,AA1,0)</f>
        <v>0</v>
      </c>
      <c r="AB66" s="65">
        <f>VLOOKUP($E$1,[8]Resumen!$V$32:$AH$38,AB1,0)</f>
        <v>3560.7439999999997</v>
      </c>
      <c r="AC66" s="65">
        <f>VLOOKUP($E$1,[8]Resumen!$V$32:$AH$38,AC1,0)</f>
        <v>0</v>
      </c>
      <c r="AD66" s="65">
        <f>VLOOKUP($E$1,[8]Resumen!$V$32:$AH$38,AD1,0)</f>
        <v>0</v>
      </c>
      <c r="AE66" s="65">
        <f>VLOOKUP($E$1,[8]Resumen!$V$32:$AH$38,AE1,0)</f>
        <v>0</v>
      </c>
      <c r="AF66" s="65">
        <f>VLOOKUP($E$1,[8]Resumen!$V$32:$AH$38,AF1,0)</f>
        <v>2184.0609999999997</v>
      </c>
      <c r="AG66" s="65">
        <f>VLOOKUP($E$1,[8]Resumen!$V$32:$AH$38,AG1,0)</f>
        <v>0</v>
      </c>
      <c r="AH66" s="65">
        <f>VLOOKUP($E$1,[8]Resumen!$V$32:$AH$38,AH1,0)</f>
        <v>0</v>
      </c>
      <c r="AI66" s="65">
        <f>VLOOKUP($E$1,[8]Resumen!$V$32:$AH$38,AI1,0)</f>
        <v>0</v>
      </c>
      <c r="AJ66" s="65">
        <f>VLOOKUP($E$1,[8]Resumen!$V$32:$AH$38,AJ1,0)</f>
        <v>0</v>
      </c>
      <c r="AK66" s="65">
        <f t="shared" si="41"/>
        <v>5744.8049999999994</v>
      </c>
      <c r="AL66" s="73">
        <f t="shared" si="37"/>
        <v>4.485072825279965E-5</v>
      </c>
      <c r="AM66" s="14">
        <f t="shared" si="38"/>
        <v>7.9762578124999983</v>
      </c>
      <c r="AN66" s="9"/>
    </row>
    <row r="67" spans="1:40" ht="14.45" customHeight="1" outlineLevel="1">
      <c r="A67" s="12" t="s">
        <v>146</v>
      </c>
      <c r="B67" s="8" t="s">
        <v>88</v>
      </c>
      <c r="I67" s="246" t="s">
        <v>170</v>
      </c>
      <c r="J67" s="65">
        <v>3298</v>
      </c>
      <c r="K67" s="65">
        <v>3298</v>
      </c>
      <c r="L67" s="65">
        <v>3298</v>
      </c>
      <c r="M67" s="65">
        <v>3298</v>
      </c>
      <c r="N67" s="65">
        <v>3298</v>
      </c>
      <c r="O67" s="65">
        <v>3298</v>
      </c>
      <c r="P67" s="65">
        <v>3298</v>
      </c>
      <c r="Q67" s="65">
        <v>3298</v>
      </c>
      <c r="R67" s="225">
        <v>3298</v>
      </c>
      <c r="S67" s="225">
        <v>3298</v>
      </c>
      <c r="T67" s="225">
        <f t="shared" ref="S67:U67" si="50">+AVERAGE(Q67:S67)</f>
        <v>3298</v>
      </c>
      <c r="U67" s="225">
        <f t="shared" si="50"/>
        <v>3298</v>
      </c>
      <c r="V67" s="65">
        <f t="shared" si="40"/>
        <v>39576</v>
      </c>
      <c r="W67" s="73">
        <f t="shared" si="35"/>
        <v>3.3617119127891774E-4</v>
      </c>
      <c r="X67" s="89"/>
      <c r="Y67" s="65">
        <f>VLOOKUP($E$1,[12]Resumen!$V$8:$AH$14,Y1,0)</f>
        <v>4942.6025</v>
      </c>
      <c r="Z67" s="65">
        <f>VLOOKUP($E$1,[12]Resumen!$V$8:$AH$14,Z1,0)</f>
        <v>4942.6025</v>
      </c>
      <c r="AA67" s="65">
        <f>VLOOKUP($E$1,[12]Resumen!$V$8:$AH$14,AA1,0)</f>
        <v>4942.6025</v>
      </c>
      <c r="AB67" s="65">
        <f>VLOOKUP($E$1,[12]Resumen!$V$8:$AH$14,AB1,0)</f>
        <v>4942.6025</v>
      </c>
      <c r="AC67" s="65">
        <f>VLOOKUP($E$1,[12]Resumen!$V$8:$AH$14,AC1,0)</f>
        <v>4942.6025</v>
      </c>
      <c r="AD67" s="65">
        <f>VLOOKUP($E$1,[12]Resumen!$V$8:$AH$14,AD1,0)</f>
        <v>4942.6025</v>
      </c>
      <c r="AE67" s="65">
        <f>VLOOKUP($E$1,[12]Resumen!$V$8:$AH$14,AE1,0)</f>
        <v>4942.6025</v>
      </c>
      <c r="AF67" s="65">
        <f>VLOOKUP($E$1,[12]Resumen!$V$8:$AH$14,AF1,0)</f>
        <v>4942.6025</v>
      </c>
      <c r="AG67" s="65">
        <f>VLOOKUP($E$1,[12]Resumen!$V$8:$AH$14,AG1,0)</f>
        <v>4942.6025</v>
      </c>
      <c r="AH67" s="65">
        <f>VLOOKUP($E$1,[12]Resumen!$V$8:$AH$14,AH1,0)</f>
        <v>4942.6025</v>
      </c>
      <c r="AI67" s="65">
        <f>VLOOKUP($E$1,[12]Resumen!$V$8:$AH$14,AI1,0)</f>
        <v>4942.6025</v>
      </c>
      <c r="AJ67" s="65">
        <f>VLOOKUP($E$1,[12]Resumen!$V$8:$AH$14,AJ1,0)</f>
        <v>4942.6025</v>
      </c>
      <c r="AK67" s="65">
        <f t="shared" si="41"/>
        <v>59311.23</v>
      </c>
      <c r="AL67" s="73">
        <f t="shared" si="37"/>
        <v>4.6305346466403972E-4</v>
      </c>
      <c r="AM67" s="14">
        <f t="shared" si="38"/>
        <v>0.4986666161309885</v>
      </c>
      <c r="AN67" s="9"/>
    </row>
    <row r="68" spans="1:40" ht="14.45" customHeight="1" outlineLevel="1">
      <c r="A68" s="12" t="s">
        <v>146</v>
      </c>
      <c r="B68" s="8" t="s">
        <v>88</v>
      </c>
      <c r="I68" s="246" t="s">
        <v>171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/>
      <c r="U68" s="65"/>
      <c r="V68" s="65">
        <f t="shared" si="40"/>
        <v>0</v>
      </c>
      <c r="W68" s="73">
        <f t="shared" si="35"/>
        <v>0</v>
      </c>
      <c r="X68" s="89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>
        <f t="shared" si="41"/>
        <v>0</v>
      </c>
      <c r="AL68" s="73">
        <f t="shared" si="37"/>
        <v>0</v>
      </c>
      <c r="AM68" s="14">
        <f t="shared" si="38"/>
        <v>0</v>
      </c>
      <c r="AN68" s="9"/>
    </row>
    <row r="69" spans="1:40" ht="14.45" customHeight="1" outlineLevel="1">
      <c r="A69" s="12" t="s">
        <v>146</v>
      </c>
      <c r="B69" s="8" t="s">
        <v>88</v>
      </c>
      <c r="I69" s="246" t="s">
        <v>172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/>
      <c r="U69" s="65"/>
      <c r="V69" s="65">
        <f t="shared" si="40"/>
        <v>0</v>
      </c>
      <c r="W69" s="73">
        <f t="shared" si="35"/>
        <v>0</v>
      </c>
      <c r="X69" s="89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>
        <f t="shared" si="41"/>
        <v>0</v>
      </c>
      <c r="AL69" s="73">
        <f t="shared" si="37"/>
        <v>0</v>
      </c>
      <c r="AM69" s="14">
        <f t="shared" si="38"/>
        <v>0</v>
      </c>
      <c r="AN69" s="9"/>
    </row>
    <row r="70" spans="1:40" ht="14.45" customHeight="1" outlineLevel="1">
      <c r="A70" s="12" t="s">
        <v>146</v>
      </c>
      <c r="B70" s="8" t="s">
        <v>88</v>
      </c>
      <c r="I70" s="246" t="s">
        <v>173</v>
      </c>
      <c r="J70" s="65">
        <v>2082</v>
      </c>
      <c r="K70" s="65">
        <v>1800</v>
      </c>
      <c r="L70" s="65">
        <v>1800</v>
      </c>
      <c r="M70" s="65">
        <v>0</v>
      </c>
      <c r="N70" s="65">
        <v>1400</v>
      </c>
      <c r="O70" s="65">
        <v>2300</v>
      </c>
      <c r="P70" s="65">
        <v>1400</v>
      </c>
      <c r="Q70" s="65">
        <v>1400</v>
      </c>
      <c r="R70" s="225">
        <v>1400</v>
      </c>
      <c r="S70" s="225">
        <v>2300</v>
      </c>
      <c r="T70" s="225">
        <f t="shared" ref="S70:U70" si="51">+AVERAGE(Q70:S70)</f>
        <v>1700</v>
      </c>
      <c r="U70" s="225">
        <f t="shared" si="51"/>
        <v>1800</v>
      </c>
      <c r="V70" s="65">
        <f t="shared" si="40"/>
        <v>19382</v>
      </c>
      <c r="W70" s="73">
        <f t="shared" si="35"/>
        <v>1.6463690189427895E-4</v>
      </c>
      <c r="X70" s="89"/>
      <c r="Y70" s="65">
        <f>VLOOKUP($E$1,[8]Resumen!$V$44:$AH$50,Y1,0)</f>
        <v>1500</v>
      </c>
      <c r="Z70" s="65">
        <f>VLOOKUP($E$1,[8]Resumen!$V$44:$AH$50,Z1,0)</f>
        <v>1500</v>
      </c>
      <c r="AA70" s="65">
        <f>VLOOKUP($E$1,[8]Resumen!$V$44:$AH$50,AA1,0)</f>
        <v>1500</v>
      </c>
      <c r="AB70" s="65">
        <f>VLOOKUP($E$1,[8]Resumen!$V$44:$AH$50,AB1,0)</f>
        <v>1500</v>
      </c>
      <c r="AC70" s="65">
        <f>VLOOKUP($E$1,[8]Resumen!$V$44:$AH$50,AC1,0)</f>
        <v>1500</v>
      </c>
      <c r="AD70" s="65">
        <f>VLOOKUP($E$1,[8]Resumen!$V$44:$AH$50,AD1,0)</f>
        <v>1500</v>
      </c>
      <c r="AE70" s="65">
        <f>VLOOKUP($E$1,[8]Resumen!$V$44:$AH$50,AE1,0)</f>
        <v>1500</v>
      </c>
      <c r="AF70" s="65">
        <f>VLOOKUP($E$1,[8]Resumen!$V$44:$AH$50,AF1,0)</f>
        <v>1500</v>
      </c>
      <c r="AG70" s="65">
        <f>VLOOKUP($E$1,[8]Resumen!$V$44:$AH$50,AG1,0)</f>
        <v>1500</v>
      </c>
      <c r="AH70" s="65">
        <f>VLOOKUP($E$1,[8]Resumen!$V$44:$AH$50,AH1,0)</f>
        <v>1500</v>
      </c>
      <c r="AI70" s="65">
        <f>VLOOKUP($E$1,[8]Resumen!$V$44:$AH$50,AI1,0)</f>
        <v>1500</v>
      </c>
      <c r="AJ70" s="65">
        <f>VLOOKUP($E$1,[8]Resumen!$V$44:$AH$50,AJ1,0)</f>
        <v>1500</v>
      </c>
      <c r="AK70" s="65">
        <f t="shared" si="41"/>
        <v>18000</v>
      </c>
      <c r="AL70" s="73">
        <f t="shared" si="37"/>
        <v>1.405292448656471E-4</v>
      </c>
      <c r="AM70" s="14">
        <f t="shared" si="38"/>
        <v>-7.1303271076256336E-2</v>
      </c>
      <c r="AN70" s="9"/>
    </row>
    <row r="71" spans="1:40" ht="14.45" customHeight="1" outlineLevel="1">
      <c r="A71" s="12" t="s">
        <v>146</v>
      </c>
      <c r="B71" s="8" t="s">
        <v>88</v>
      </c>
      <c r="I71" s="246" t="s">
        <v>174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/>
      <c r="U71" s="65"/>
      <c r="V71" s="65">
        <f t="shared" si="40"/>
        <v>0</v>
      </c>
      <c r="W71" s="73">
        <f t="shared" si="35"/>
        <v>0</v>
      </c>
      <c r="X71" s="89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>
        <f t="shared" si="41"/>
        <v>0</v>
      </c>
      <c r="AL71" s="73">
        <f t="shared" si="37"/>
        <v>0</v>
      </c>
      <c r="AM71" s="14">
        <f t="shared" si="38"/>
        <v>0</v>
      </c>
      <c r="AN71" s="9"/>
    </row>
    <row r="72" spans="1:40" ht="14.45" customHeight="1" outlineLevel="1">
      <c r="A72" s="12" t="s">
        <v>146</v>
      </c>
      <c r="B72" s="8" t="s">
        <v>88</v>
      </c>
      <c r="I72" s="246" t="s">
        <v>175</v>
      </c>
      <c r="J72" s="65">
        <v>902</v>
      </c>
      <c r="K72" s="65">
        <v>902</v>
      </c>
      <c r="L72" s="65">
        <v>902</v>
      </c>
      <c r="M72" s="65">
        <v>902</v>
      </c>
      <c r="N72" s="65">
        <v>902</v>
      </c>
      <c r="O72" s="65">
        <v>902</v>
      </c>
      <c r="P72" s="65">
        <v>902</v>
      </c>
      <c r="Q72" s="65">
        <v>902</v>
      </c>
      <c r="R72" s="225">
        <v>902</v>
      </c>
      <c r="S72" s="225">
        <v>902</v>
      </c>
      <c r="T72" s="225">
        <f t="shared" ref="S72:U72" si="52">+AVERAGE(Q72:S72)</f>
        <v>902</v>
      </c>
      <c r="U72" s="225">
        <f t="shared" si="52"/>
        <v>902</v>
      </c>
      <c r="V72" s="65">
        <f t="shared" si="40"/>
        <v>10824</v>
      </c>
      <c r="W72" s="73">
        <f t="shared" si="35"/>
        <v>9.194251501927951E-5</v>
      </c>
      <c r="X72" s="89"/>
      <c r="Y72" s="65">
        <f>U72*1.0375</f>
        <v>935.82500000000005</v>
      </c>
      <c r="Z72" s="65">
        <f>+Y72</f>
        <v>935.82500000000005</v>
      </c>
      <c r="AA72" s="65">
        <f>+Z72</f>
        <v>935.82500000000005</v>
      </c>
      <c r="AB72" s="65">
        <f>+AA72</f>
        <v>935.82500000000005</v>
      </c>
      <c r="AC72" s="65">
        <f>+AB72</f>
        <v>935.82500000000005</v>
      </c>
      <c r="AD72" s="65">
        <f>+AC72</f>
        <v>935.82500000000005</v>
      </c>
      <c r="AE72" s="65">
        <f>+AD72</f>
        <v>935.82500000000005</v>
      </c>
      <c r="AF72" s="65">
        <f>+AE72</f>
        <v>935.82500000000005</v>
      </c>
      <c r="AG72" s="65">
        <f>+AF72</f>
        <v>935.82500000000005</v>
      </c>
      <c r="AH72" s="65">
        <f>+AG72</f>
        <v>935.82500000000005</v>
      </c>
      <c r="AI72" s="65">
        <f>+AH72</f>
        <v>935.82500000000005</v>
      </c>
      <c r="AJ72" s="65">
        <f>+AI72</f>
        <v>935.82500000000005</v>
      </c>
      <c r="AK72" s="65">
        <f t="shared" si="41"/>
        <v>11229.900000000001</v>
      </c>
      <c r="AL72" s="73">
        <f t="shared" si="37"/>
        <v>8.7673853717596141E-5</v>
      </c>
      <c r="AM72" s="14">
        <f t="shared" si="38"/>
        <v>3.7500000000000089E-2</v>
      </c>
      <c r="AN72" s="9"/>
    </row>
    <row r="73" spans="1:40" ht="14.45" customHeight="1" outlineLevel="1">
      <c r="A73" s="12"/>
      <c r="I73" s="246" t="s">
        <v>176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/>
      <c r="U73" s="65"/>
      <c r="V73" s="65">
        <f t="shared" si="40"/>
        <v>0</v>
      </c>
      <c r="W73" s="73">
        <f t="shared" si="35"/>
        <v>0</v>
      </c>
      <c r="X73" s="89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>
        <f t="shared" si="41"/>
        <v>0</v>
      </c>
      <c r="AL73" s="73">
        <f t="shared" si="37"/>
        <v>0</v>
      </c>
      <c r="AM73" s="14">
        <f t="shared" si="38"/>
        <v>0</v>
      </c>
      <c r="AN73" s="9"/>
    </row>
    <row r="74" spans="1:40" ht="14.45" customHeight="1" outlineLevel="1">
      <c r="A74" s="12"/>
      <c r="I74" s="251" t="s">
        <v>177</v>
      </c>
      <c r="J74" s="65">
        <v>1300</v>
      </c>
      <c r="K74" s="65">
        <v>0</v>
      </c>
      <c r="L74" s="65">
        <v>2600</v>
      </c>
      <c r="M74" s="65">
        <v>1300</v>
      </c>
      <c r="N74" s="65">
        <v>1300</v>
      </c>
      <c r="O74" s="65">
        <v>1300</v>
      </c>
      <c r="P74" s="65">
        <v>1300</v>
      </c>
      <c r="Q74" s="65">
        <v>1300</v>
      </c>
      <c r="R74" s="65">
        <v>1300</v>
      </c>
      <c r="S74" s="65">
        <v>1300</v>
      </c>
      <c r="T74" s="65">
        <v>1300</v>
      </c>
      <c r="U74" s="65">
        <v>1300</v>
      </c>
      <c r="V74" s="65">
        <f t="shared" si="40"/>
        <v>15600</v>
      </c>
      <c r="W74" s="73">
        <f t="shared" si="35"/>
        <v>1.3251138528277533E-4</v>
      </c>
      <c r="X74" s="89"/>
      <c r="Y74" s="65">
        <f>+J74*1.0375</f>
        <v>1348.7500000000002</v>
      </c>
      <c r="Z74" s="65">
        <f>+K74*1.0375</f>
        <v>0</v>
      </c>
      <c r="AA74" s="65">
        <f>+L74*1.0375</f>
        <v>2697.5000000000005</v>
      </c>
      <c r="AB74" s="65">
        <f>+M74*1.0375</f>
        <v>1348.7500000000002</v>
      </c>
      <c r="AC74" s="65">
        <f>+N74*1.0375</f>
        <v>1348.7500000000002</v>
      </c>
      <c r="AD74" s="65">
        <f>+O74*1.0375</f>
        <v>1348.7500000000002</v>
      </c>
      <c r="AE74" s="65">
        <f>+P74*1.0375</f>
        <v>1348.7500000000002</v>
      </c>
      <c r="AF74" s="65">
        <f>+Q74*1.0375</f>
        <v>1348.7500000000002</v>
      </c>
      <c r="AG74" s="65">
        <f>+R74*1.0375</f>
        <v>1348.7500000000002</v>
      </c>
      <c r="AH74" s="65">
        <f>+S74*1.0375</f>
        <v>1348.7500000000002</v>
      </c>
      <c r="AI74" s="65">
        <f>+T74*1.0375</f>
        <v>1348.7500000000002</v>
      </c>
      <c r="AJ74" s="65">
        <f>+U74*1.0375</f>
        <v>1348.7500000000002</v>
      </c>
      <c r="AK74" s="65">
        <f t="shared" si="41"/>
        <v>16185.000000000002</v>
      </c>
      <c r="AL74" s="73">
        <f t="shared" si="37"/>
        <v>1.263592126750277E-4</v>
      </c>
      <c r="AM74" s="14">
        <f t="shared" si="38"/>
        <v>3.7500000000000089E-2</v>
      </c>
      <c r="AN74" s="9"/>
    </row>
    <row r="75" spans="1:40" ht="14.45" customHeight="1" outlineLevel="1">
      <c r="A75" s="12"/>
      <c r="I75" s="246" t="s">
        <v>178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/>
      <c r="U75" s="65"/>
      <c r="V75" s="65">
        <f t="shared" si="40"/>
        <v>0</v>
      </c>
      <c r="W75" s="73">
        <f t="shared" si="35"/>
        <v>0</v>
      </c>
      <c r="X75" s="89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>
        <f t="shared" si="41"/>
        <v>0</v>
      </c>
      <c r="AL75" s="73">
        <f t="shared" si="37"/>
        <v>0</v>
      </c>
      <c r="AM75" s="14">
        <f t="shared" si="38"/>
        <v>0</v>
      </c>
      <c r="AN75" s="9"/>
    </row>
    <row r="76" spans="1:40" ht="14.45" customHeight="1" outlineLevel="1">
      <c r="A76" s="12"/>
      <c r="I76" s="246" t="s">
        <v>179</v>
      </c>
      <c r="J76" s="65">
        <v>876</v>
      </c>
      <c r="K76" s="65">
        <v>814</v>
      </c>
      <c r="L76" s="65">
        <v>820</v>
      </c>
      <c r="M76" s="65">
        <v>818</v>
      </c>
      <c r="N76" s="65">
        <v>757</v>
      </c>
      <c r="O76" s="65">
        <v>834</v>
      </c>
      <c r="P76" s="65">
        <v>867</v>
      </c>
      <c r="Q76" s="65">
        <v>837</v>
      </c>
      <c r="R76" s="225">
        <v>992</v>
      </c>
      <c r="S76" s="225">
        <v>953</v>
      </c>
      <c r="T76" s="225">
        <f t="shared" ref="S76:U77" si="53">+AVERAGE(Q76:S76)</f>
        <v>927.33333333333337</v>
      </c>
      <c r="U76" s="225">
        <f t="shared" si="53"/>
        <v>957.44444444444446</v>
      </c>
      <c r="V76" s="65">
        <f t="shared" si="40"/>
        <v>10452.777777777779</v>
      </c>
      <c r="W76" s="73">
        <f t="shared" si="35"/>
        <v>8.8789234832457916E-5</v>
      </c>
      <c r="X76" s="89"/>
      <c r="Y76" s="65">
        <f>VLOOKUP($E$1,[13]Resumen!$V$10:$AH$16,Y1,0)</f>
        <v>931.58999999999992</v>
      </c>
      <c r="Z76" s="65">
        <f>VLOOKUP($E$1,[13]Resumen!$V$10:$AH$16,Z1,0)</f>
        <v>931.58999999999992</v>
      </c>
      <c r="AA76" s="65">
        <f>VLOOKUP($E$1,[13]Resumen!$V$10:$AH$16,AA1,0)</f>
        <v>931.58999999999992</v>
      </c>
      <c r="AB76" s="65">
        <f>VLOOKUP($E$1,[13]Resumen!$V$10:$AH$16,AB1,0)</f>
        <v>931.58999999999992</v>
      </c>
      <c r="AC76" s="65">
        <f>VLOOKUP($E$1,[13]Resumen!$V$10:$AH$16,AC1,0)</f>
        <v>931.58999999999992</v>
      </c>
      <c r="AD76" s="65">
        <f>VLOOKUP($E$1,[13]Resumen!$V$10:$AH$16,AD1,0)</f>
        <v>931.58999999999992</v>
      </c>
      <c r="AE76" s="65">
        <f>VLOOKUP($E$1,[13]Resumen!$V$10:$AH$16,AE1,0)</f>
        <v>931.58999999999992</v>
      </c>
      <c r="AF76" s="65">
        <f>VLOOKUP($E$1,[13]Resumen!$V$10:$AH$16,AF1,0)</f>
        <v>931.58999999999992</v>
      </c>
      <c r="AG76" s="65">
        <f>VLOOKUP($E$1,[13]Resumen!$V$10:$AH$16,AG1,0)</f>
        <v>931.58999999999992</v>
      </c>
      <c r="AH76" s="65">
        <f>VLOOKUP($E$1,[13]Resumen!$V$10:$AH$16,AH1,0)</f>
        <v>931.58999999999992</v>
      </c>
      <c r="AI76" s="65">
        <f>VLOOKUP($E$1,[13]Resumen!$V$10:$AH$16,AI1,0)</f>
        <v>931.58999999999992</v>
      </c>
      <c r="AJ76" s="65">
        <f>VLOOKUP($E$1,[13]Resumen!$V$10:$AH$16,AJ1,0)</f>
        <v>931.58999999999992</v>
      </c>
      <c r="AK76" s="65">
        <f t="shared" si="41"/>
        <v>11179.08</v>
      </c>
      <c r="AL76" s="73">
        <f t="shared" si="37"/>
        <v>8.7277092816258786E-5</v>
      </c>
      <c r="AM76" s="14">
        <f t="shared" si="38"/>
        <v>6.9484134998671232E-2</v>
      </c>
      <c r="AN76" s="9"/>
    </row>
    <row r="77" spans="1:40" ht="14.45" customHeight="1" outlineLevel="1">
      <c r="A77" s="12"/>
      <c r="I77" s="246" t="s">
        <v>180</v>
      </c>
      <c r="J77" s="65">
        <v>482</v>
      </c>
      <c r="K77" s="65">
        <v>434</v>
      </c>
      <c r="L77" s="65">
        <v>466</v>
      </c>
      <c r="M77" s="65">
        <v>484</v>
      </c>
      <c r="N77" s="65">
        <v>460</v>
      </c>
      <c r="O77" s="65">
        <v>509</v>
      </c>
      <c r="P77" s="65">
        <v>525</v>
      </c>
      <c r="Q77" s="65">
        <v>533</v>
      </c>
      <c r="R77" s="225">
        <v>490</v>
      </c>
      <c r="S77" s="225">
        <v>493</v>
      </c>
      <c r="T77" s="225">
        <f t="shared" si="53"/>
        <v>505.33333333333331</v>
      </c>
      <c r="U77" s="225">
        <f t="shared" si="53"/>
        <v>496.11111111111109</v>
      </c>
      <c r="V77" s="65">
        <f t="shared" si="40"/>
        <v>5877.4444444444443</v>
      </c>
      <c r="W77" s="73">
        <f t="shared" si="35"/>
        <v>4.9924891362556748E-5</v>
      </c>
      <c r="X77" s="89"/>
      <c r="Y77" s="65">
        <f>J77*1.0375</f>
        <v>500.07500000000005</v>
      </c>
      <c r="Z77" s="65">
        <f t="shared" ref="Z77:AJ77" si="54">K77*1.0375</f>
        <v>450.27500000000003</v>
      </c>
      <c r="AA77" s="65">
        <f t="shared" si="54"/>
        <v>483.47500000000002</v>
      </c>
      <c r="AB77" s="65">
        <f t="shared" si="54"/>
        <v>502.15000000000003</v>
      </c>
      <c r="AC77" s="65">
        <f t="shared" si="54"/>
        <v>477.25000000000006</v>
      </c>
      <c r="AD77" s="65">
        <f t="shared" si="54"/>
        <v>528.08750000000009</v>
      </c>
      <c r="AE77" s="65">
        <f t="shared" si="54"/>
        <v>544.6875</v>
      </c>
      <c r="AF77" s="65">
        <f t="shared" si="54"/>
        <v>552.98750000000007</v>
      </c>
      <c r="AG77" s="65">
        <f t="shared" si="54"/>
        <v>508.37500000000006</v>
      </c>
      <c r="AH77" s="65">
        <f t="shared" si="54"/>
        <v>511.48750000000007</v>
      </c>
      <c r="AI77" s="65">
        <f t="shared" si="54"/>
        <v>524.2833333333333</v>
      </c>
      <c r="AJ77" s="65">
        <f t="shared" si="54"/>
        <v>514.71527777777783</v>
      </c>
      <c r="AK77" s="65">
        <f t="shared" si="41"/>
        <v>6097.8486111111124</v>
      </c>
      <c r="AL77" s="73">
        <f t="shared" si="37"/>
        <v>4.7607003368026642E-5</v>
      </c>
      <c r="AM77" s="14">
        <f t="shared" si="38"/>
        <v>3.7500000000000311E-2</v>
      </c>
      <c r="AN77" s="9"/>
    </row>
    <row r="78" spans="1:40" ht="14.45" customHeight="1" outlineLevel="1">
      <c r="A78" s="12"/>
      <c r="I78" s="246" t="s">
        <v>181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/>
      <c r="U78" s="65"/>
      <c r="V78" s="65">
        <f t="shared" si="40"/>
        <v>0</v>
      </c>
      <c r="W78" s="73">
        <f t="shared" si="35"/>
        <v>0</v>
      </c>
      <c r="X78" s="89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>
        <f t="shared" si="41"/>
        <v>0</v>
      </c>
      <c r="AL78" s="73">
        <f t="shared" si="37"/>
        <v>0</v>
      </c>
      <c r="AM78" s="14">
        <f t="shared" si="38"/>
        <v>0</v>
      </c>
      <c r="AN78" s="9"/>
    </row>
    <row r="79" spans="1:40" ht="14.45" customHeight="1" outlineLevel="1">
      <c r="A79" s="12" t="s">
        <v>146</v>
      </c>
      <c r="B79" s="8" t="s">
        <v>88</v>
      </c>
      <c r="I79" s="246" t="s">
        <v>182</v>
      </c>
      <c r="J79" s="65">
        <v>0</v>
      </c>
      <c r="K79" s="65">
        <v>25289</v>
      </c>
      <c r="L79" s="65">
        <v>18096</v>
      </c>
      <c r="M79" s="65">
        <v>2662</v>
      </c>
      <c r="N79" s="65">
        <v>3252</v>
      </c>
      <c r="O79" s="65">
        <v>5281</v>
      </c>
      <c r="P79" s="65">
        <v>10687</v>
      </c>
      <c r="Q79" s="65">
        <v>6801</v>
      </c>
      <c r="R79" s="65">
        <v>7658</v>
      </c>
      <c r="S79" s="65">
        <v>0</v>
      </c>
      <c r="T79" s="65">
        <v>32712.929599999999</v>
      </c>
      <c r="U79" s="65">
        <v>6987.4895999999999</v>
      </c>
      <c r="V79" s="65">
        <f t="shared" si="40"/>
        <v>119426.4192</v>
      </c>
      <c r="W79" s="73">
        <f t="shared" si="35"/>
        <v>1.0144461697149641E-3</v>
      </c>
      <c r="X79" s="89"/>
      <c r="Y79" s="65">
        <f>VLOOKUP($E$1,[14]Resumen!$V$8:$AH$14,Y1,0)</f>
        <v>9162.126165059999</v>
      </c>
      <c r="Z79" s="65">
        <f>VLOOKUP($E$1,[14]Resumen!$V$8:$AH$14,Z1,0)</f>
        <v>9162.126165059999</v>
      </c>
      <c r="AA79" s="65">
        <f>VLOOKUP($E$1,[14]Resumen!$V$8:$AH$14,AA1,0)</f>
        <v>9162.126165059999</v>
      </c>
      <c r="AB79" s="65">
        <f>VLOOKUP($E$1,[14]Resumen!$V$8:$AH$14,AB1,0)</f>
        <v>5276.6273033099988</v>
      </c>
      <c r="AC79" s="65">
        <f>VLOOKUP($E$1,[14]Resumen!$V$8:$AH$14,AC1,0)</f>
        <v>10996.548499309998</v>
      </c>
      <c r="AD79" s="65">
        <f>VLOOKUP($E$1,[14]Resumen!$V$8:$AH$14,AD1,0)</f>
        <v>2416.66670531</v>
      </c>
      <c r="AE79" s="65">
        <f>VLOOKUP($E$1,[14]Resumen!$V$8:$AH$14,AE1,0)</f>
        <v>2416.66670531</v>
      </c>
      <c r="AF79" s="65">
        <f>VLOOKUP($E$1,[14]Resumen!$V$8:$AH$14,AF1,0)</f>
        <v>13856.50909731</v>
      </c>
      <c r="AG79" s="65">
        <f>VLOOKUP($E$1,[14]Resumen!$V$8:$AH$14,AG1,0)</f>
        <v>10996.548499309998</v>
      </c>
      <c r="AH79" s="65">
        <f>VLOOKUP($E$1,[14]Resumen!$V$8:$AH$14,AH1,0)</f>
        <v>22079.677317059995</v>
      </c>
      <c r="AI79" s="65">
        <f>VLOOKUP($E$1,[14]Resumen!$V$8:$AH$14,AI1,0)</f>
        <v>9162.126165059999</v>
      </c>
      <c r="AJ79" s="65">
        <f>VLOOKUP($E$1,[14]Resumen!$V$8:$AH$14,AJ1,0)</f>
        <v>9162.126165059999</v>
      </c>
      <c r="AK79" s="65">
        <f t="shared" si="41"/>
        <v>113849.87495222001</v>
      </c>
      <c r="AL79" s="73">
        <f t="shared" si="37"/>
        <v>8.8884649750465715E-4</v>
      </c>
      <c r="AM79" s="14">
        <f t="shared" si="38"/>
        <v>-4.669439379607554E-2</v>
      </c>
      <c r="AN79" s="9"/>
    </row>
    <row r="80" spans="1:40" ht="14.45" customHeight="1" outlineLevel="1">
      <c r="A80" s="12" t="s">
        <v>146</v>
      </c>
      <c r="B80" s="8" t="s">
        <v>88</v>
      </c>
      <c r="I80" s="246" t="s">
        <v>183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500.24</v>
      </c>
      <c r="U80" s="65">
        <v>250.12</v>
      </c>
      <c r="V80" s="65">
        <f t="shared" si="40"/>
        <v>750.36</v>
      </c>
      <c r="W80" s="73">
        <f t="shared" si="35"/>
        <v>6.3737976321014938E-6</v>
      </c>
      <c r="X80" s="89"/>
      <c r="Y80" s="65">
        <f>VLOOKUP($E$1,[15]Resumen!$V$8:$AH$14,Y1,0)</f>
        <v>0</v>
      </c>
      <c r="Z80" s="65">
        <f>VLOOKUP($E$1,[15]Resumen!$V$8:$AH$14,Z1,0)</f>
        <v>765.97399999999993</v>
      </c>
      <c r="AA80" s="65">
        <f>VLOOKUP($E$1,[15]Resumen!$V$8:$AH$14,AA1,0)</f>
        <v>191.49349999999998</v>
      </c>
      <c r="AB80" s="65">
        <f>VLOOKUP($E$1,[15]Resumen!$V$8:$AH$14,AB1,0)</f>
        <v>382.98699999999997</v>
      </c>
      <c r="AC80" s="65">
        <f>VLOOKUP($E$1,[15]Resumen!$V$8:$AH$14,AC1,0)</f>
        <v>0</v>
      </c>
      <c r="AD80" s="65">
        <f>VLOOKUP($E$1,[15]Resumen!$V$8:$AH$14,AD1,0)</f>
        <v>382.98699999999997</v>
      </c>
      <c r="AE80" s="65">
        <f>VLOOKUP($E$1,[15]Resumen!$V$8:$AH$14,AE1,0)</f>
        <v>1169.663</v>
      </c>
      <c r="AF80" s="65">
        <f>VLOOKUP($E$1,[15]Resumen!$V$8:$AH$14,AF1,0)</f>
        <v>191.49349999999998</v>
      </c>
      <c r="AG80" s="65">
        <f>VLOOKUP($E$1,[15]Resumen!$V$8:$AH$14,AG1,0)</f>
        <v>191.49349999999998</v>
      </c>
      <c r="AH80" s="65">
        <f>VLOOKUP($E$1,[15]Resumen!$V$8:$AH$14,AH1,0)</f>
        <v>0</v>
      </c>
      <c r="AI80" s="65">
        <f>VLOOKUP($E$1,[15]Resumen!$V$8:$AH$14,AI1,0)</f>
        <v>0</v>
      </c>
      <c r="AJ80" s="65">
        <f>VLOOKUP($E$1,[15]Resumen!$V$8:$AH$14,AJ1,0)</f>
        <v>0</v>
      </c>
      <c r="AK80" s="65">
        <f t="shared" si="41"/>
        <v>3276.0915</v>
      </c>
      <c r="AL80" s="73">
        <f t="shared" si="37"/>
        <v>2.5577036922542507E-5</v>
      </c>
      <c r="AM80" s="14">
        <f t="shared" si="38"/>
        <v>3.3660263073724614</v>
      </c>
      <c r="AN80" s="9"/>
    </row>
    <row r="81" spans="1:40" ht="14.45" customHeight="1" outlineLevel="1">
      <c r="A81" s="12"/>
      <c r="I81" s="246" t="s">
        <v>184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/>
      <c r="U81" s="65"/>
      <c r="V81" s="65">
        <f t="shared" si="40"/>
        <v>0</v>
      </c>
      <c r="W81" s="73">
        <f t="shared" si="35"/>
        <v>0</v>
      </c>
      <c r="X81" s="89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>
        <f t="shared" si="41"/>
        <v>0</v>
      </c>
      <c r="AL81" s="73">
        <f t="shared" si="37"/>
        <v>0</v>
      </c>
      <c r="AM81" s="14">
        <f t="shared" si="38"/>
        <v>0</v>
      </c>
      <c r="AN81" s="9"/>
    </row>
    <row r="82" spans="1:40" ht="14.45" customHeight="1" outlineLevel="1">
      <c r="A82" s="12" t="s">
        <v>146</v>
      </c>
      <c r="B82" s="8" t="s">
        <v>88</v>
      </c>
      <c r="I82" s="246" t="s">
        <v>185</v>
      </c>
      <c r="J82" s="65">
        <v>4341</v>
      </c>
      <c r="K82" s="65">
        <v>4341</v>
      </c>
      <c r="L82" s="65">
        <v>4341</v>
      </c>
      <c r="M82" s="65">
        <v>4341</v>
      </c>
      <c r="N82" s="65">
        <v>4341</v>
      </c>
      <c r="O82" s="65">
        <v>4341</v>
      </c>
      <c r="P82" s="65">
        <v>4341</v>
      </c>
      <c r="Q82" s="65">
        <v>6747</v>
      </c>
      <c r="R82" s="65">
        <v>6747</v>
      </c>
      <c r="S82" s="65">
        <f>+R82</f>
        <v>6747</v>
      </c>
      <c r="T82" s="65">
        <f>+S82</f>
        <v>6747</v>
      </c>
      <c r="U82" s="65">
        <f>+T82</f>
        <v>6747</v>
      </c>
      <c r="V82" s="65">
        <f t="shared" si="40"/>
        <v>64122</v>
      </c>
      <c r="W82" s="73">
        <f t="shared" si="35"/>
        <v>5.4467275942962309E-4</v>
      </c>
      <c r="X82" s="89"/>
      <c r="Y82" s="65">
        <f>+U82*1.02</f>
        <v>6881.9400000000005</v>
      </c>
      <c r="Z82" s="65">
        <f>+Y82</f>
        <v>6881.9400000000005</v>
      </c>
      <c r="AA82" s="65">
        <f t="shared" ref="AA82:AJ82" si="55">+Z82</f>
        <v>6881.9400000000005</v>
      </c>
      <c r="AB82" s="65">
        <f t="shared" si="55"/>
        <v>6881.9400000000005</v>
      </c>
      <c r="AC82" s="65">
        <f t="shared" si="55"/>
        <v>6881.9400000000005</v>
      </c>
      <c r="AD82" s="65">
        <f t="shared" si="55"/>
        <v>6881.9400000000005</v>
      </c>
      <c r="AE82" s="65">
        <f t="shared" si="55"/>
        <v>6881.9400000000005</v>
      </c>
      <c r="AF82" s="65">
        <f t="shared" si="55"/>
        <v>6881.9400000000005</v>
      </c>
      <c r="AG82" s="65">
        <f t="shared" si="55"/>
        <v>6881.9400000000005</v>
      </c>
      <c r="AH82" s="65">
        <f t="shared" si="55"/>
        <v>6881.9400000000005</v>
      </c>
      <c r="AI82" s="65">
        <f t="shared" si="55"/>
        <v>6881.9400000000005</v>
      </c>
      <c r="AJ82" s="65">
        <f t="shared" si="55"/>
        <v>6881.9400000000005</v>
      </c>
      <c r="AK82" s="65">
        <f t="shared" si="41"/>
        <v>82583.280000000013</v>
      </c>
      <c r="AL82" s="73">
        <f t="shared" si="37"/>
        <v>6.4474255427379441E-4</v>
      </c>
      <c r="AM82" s="14">
        <f t="shared" si="38"/>
        <v>0.28790867409001608</v>
      </c>
      <c r="AN82" s="9"/>
    </row>
    <row r="83" spans="1:40" ht="14.45" customHeight="1" outlineLevel="1">
      <c r="A83" s="12"/>
      <c r="I83" s="246" t="s">
        <v>186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/>
      <c r="U83" s="65"/>
      <c r="V83" s="65">
        <f t="shared" si="40"/>
        <v>0</v>
      </c>
      <c r="W83" s="73">
        <f t="shared" si="35"/>
        <v>0</v>
      </c>
      <c r="X83" s="89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>
        <f t="shared" si="41"/>
        <v>0</v>
      </c>
      <c r="AL83" s="73">
        <f t="shared" si="37"/>
        <v>0</v>
      </c>
      <c r="AM83" s="14">
        <f t="shared" si="38"/>
        <v>0</v>
      </c>
      <c r="AN83" s="9"/>
    </row>
    <row r="84" spans="1:40" ht="14.45" customHeight="1" outlineLevel="1">
      <c r="A84" s="12"/>
      <c r="I84" s="246" t="s">
        <v>187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/>
      <c r="U84" s="65"/>
      <c r="V84" s="65">
        <f t="shared" si="40"/>
        <v>0</v>
      </c>
      <c r="W84" s="73">
        <f t="shared" si="35"/>
        <v>0</v>
      </c>
      <c r="X84" s="89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>
        <f t="shared" si="41"/>
        <v>0</v>
      </c>
      <c r="AL84" s="73">
        <f t="shared" si="37"/>
        <v>0</v>
      </c>
      <c r="AM84" s="14">
        <f t="shared" si="38"/>
        <v>0</v>
      </c>
      <c r="AN84" s="9"/>
    </row>
    <row r="85" spans="1:40" ht="14.45" customHeight="1" outlineLevel="1">
      <c r="A85" s="12"/>
      <c r="I85" s="246" t="s">
        <v>188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/>
      <c r="U85" s="65"/>
      <c r="V85" s="65">
        <f t="shared" si="40"/>
        <v>0</v>
      </c>
      <c r="W85" s="73">
        <f t="shared" si="35"/>
        <v>0</v>
      </c>
      <c r="X85" s="89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>
        <f t="shared" si="41"/>
        <v>0</v>
      </c>
      <c r="AL85" s="73">
        <f t="shared" si="37"/>
        <v>0</v>
      </c>
      <c r="AM85" s="14">
        <f t="shared" si="38"/>
        <v>0</v>
      </c>
      <c r="AN85" s="9"/>
    </row>
    <row r="86" spans="1:40" ht="14.45" customHeight="1" outlineLevel="1">
      <c r="A86" s="12"/>
      <c r="I86" s="253" t="s">
        <v>189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f t="shared" si="40"/>
        <v>0</v>
      </c>
      <c r="W86" s="73">
        <f t="shared" si="35"/>
        <v>0</v>
      </c>
      <c r="X86" s="89"/>
      <c r="Y86" s="65">
        <f>VLOOKUP($E$1,[9]Resumen!$V$202:$AH$208,Y1,0)</f>
        <v>0</v>
      </c>
      <c r="Z86" s="65">
        <f>VLOOKUP($E$1,[9]Resumen!$V$202:$AH$208,Z1,0)</f>
        <v>0</v>
      </c>
      <c r="AA86" s="65">
        <f>VLOOKUP($E$1,[9]Resumen!$V$202:$AH$208,AA1,0)</f>
        <v>0</v>
      </c>
      <c r="AB86" s="65">
        <f>VLOOKUP($E$1,[9]Resumen!$V$202:$AH$208,AB1,0)</f>
        <v>0</v>
      </c>
      <c r="AC86" s="65">
        <f>VLOOKUP($E$1,[9]Resumen!$V$202:$AH$208,AC1,0)</f>
        <v>0</v>
      </c>
      <c r="AD86" s="65">
        <f>VLOOKUP($E$1,[9]Resumen!$V$202:$AH$208,AD1,0)</f>
        <v>0</v>
      </c>
      <c r="AE86" s="65">
        <f>VLOOKUP($E$1,[9]Resumen!$V$202:$AH$208,AE1,0)</f>
        <v>0</v>
      </c>
      <c r="AF86" s="65">
        <f>VLOOKUP($E$1,[9]Resumen!$V$202:$AH$208,AF1,0)</f>
        <v>0</v>
      </c>
      <c r="AG86" s="65">
        <f>VLOOKUP($E$1,[9]Resumen!$V$202:$AH$208,AG1,0)</f>
        <v>0</v>
      </c>
      <c r="AH86" s="65">
        <f>VLOOKUP($E$1,[9]Resumen!$V$202:$AH$208,AH1,0)</f>
        <v>0</v>
      </c>
      <c r="AI86" s="65">
        <f>VLOOKUP($E$1,[9]Resumen!$V$202:$AH$208,AI1,0)</f>
        <v>0</v>
      </c>
      <c r="AJ86" s="65">
        <f>VLOOKUP($E$1,[9]Resumen!$V$202:$AH$208,AJ1,0)</f>
        <v>0</v>
      </c>
      <c r="AK86" s="65">
        <f t="shared" si="41"/>
        <v>0</v>
      </c>
      <c r="AL86" s="73">
        <f t="shared" si="37"/>
        <v>0</v>
      </c>
      <c r="AM86" s="14">
        <f t="shared" si="38"/>
        <v>0</v>
      </c>
      <c r="AN86" s="9"/>
    </row>
    <row r="87" spans="1:40" ht="14.45" customHeight="1" outlineLevel="1">
      <c r="A87" s="12"/>
      <c r="I87" s="246" t="s">
        <v>190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/>
      <c r="U87" s="65"/>
      <c r="V87" s="65">
        <f t="shared" si="40"/>
        <v>0</v>
      </c>
      <c r="W87" s="73">
        <f t="shared" si="35"/>
        <v>0</v>
      </c>
      <c r="X87" s="89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>
        <f t="shared" si="41"/>
        <v>0</v>
      </c>
      <c r="AL87" s="73">
        <f t="shared" si="37"/>
        <v>0</v>
      </c>
      <c r="AM87" s="14">
        <f t="shared" si="38"/>
        <v>0</v>
      </c>
      <c r="AN87" s="9"/>
    </row>
    <row r="88" spans="1:40" ht="14.45" customHeight="1" outlineLevel="1">
      <c r="A88" s="12"/>
      <c r="I88" s="251" t="s">
        <v>191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19240</v>
      </c>
      <c r="T88" s="65">
        <v>0</v>
      </c>
      <c r="U88" s="65">
        <v>0</v>
      </c>
      <c r="V88" s="65">
        <f t="shared" ref="V88:V90" si="56">SUM(J88:U88)</f>
        <v>19240</v>
      </c>
      <c r="W88" s="73">
        <f t="shared" ref="W88:W90" si="57">V88/V$6</f>
        <v>1.6343070851542293E-4</v>
      </c>
      <c r="X88" s="89"/>
      <c r="Y88" s="65">
        <f>VLOOKUP($E$1,[9]Resumen!$V$10:$AH$16,Y1,0)</f>
        <v>0</v>
      </c>
      <c r="Z88" s="65">
        <f>VLOOKUP($E$1,[9]Resumen!$V$10:$AH$16,Z1,0)</f>
        <v>0</v>
      </c>
      <c r="AA88" s="65">
        <f>VLOOKUP($E$1,[9]Resumen!$V$10:$AH$16,AA1,0)</f>
        <v>0</v>
      </c>
      <c r="AB88" s="65">
        <f>VLOOKUP($E$1,[9]Resumen!$V$10:$AH$16,AB1,0)</f>
        <v>0</v>
      </c>
      <c r="AC88" s="65">
        <f>VLOOKUP($E$1,[9]Resumen!$V$10:$AH$16,AC1,0)</f>
        <v>0</v>
      </c>
      <c r="AD88" s="65">
        <f>VLOOKUP($E$1,[9]Resumen!$V$10:$AH$16,AD1,0)</f>
        <v>0</v>
      </c>
      <c r="AE88" s="65">
        <f>VLOOKUP($E$1,[9]Resumen!$V$10:$AH$16,AE1,0)</f>
        <v>0</v>
      </c>
      <c r="AF88" s="65">
        <f>VLOOKUP($E$1,[9]Resumen!$V$10:$AH$16,AF1,0)</f>
        <v>0</v>
      </c>
      <c r="AG88" s="65">
        <f>VLOOKUP($E$1,[9]Resumen!$V$10:$AH$16,AG1,0)</f>
        <v>18528.289999999997</v>
      </c>
      <c r="AH88" s="65">
        <f>VLOOKUP($E$1,[9]Resumen!$V$10:$AH$16,AH1,0)</f>
        <v>0</v>
      </c>
      <c r="AI88" s="65">
        <f>VLOOKUP($E$1,[9]Resumen!$V$10:$AH$16,AI1,0)</f>
        <v>0</v>
      </c>
      <c r="AJ88" s="65">
        <f>VLOOKUP($E$1,[9]Resumen!$V$10:$AH$16,AJ1,0)</f>
        <v>0</v>
      </c>
      <c r="AK88" s="65">
        <f t="shared" ref="AK88:AK90" si="58">SUM(Y88:AJ88)</f>
        <v>18528.289999999997</v>
      </c>
      <c r="AL88" s="73">
        <f t="shared" ref="AL88:AL90" si="59">AK88/AK$6</f>
        <v>1.4465370013065111E-4</v>
      </c>
      <c r="AM88" s="14">
        <f t="shared" ref="AM88:AM90" si="60">IFERROR(AK88/V88-1,0)</f>
        <v>-3.6991164241164332E-2</v>
      </c>
      <c r="AN88" s="9"/>
    </row>
    <row r="89" spans="1:40" ht="14.45" customHeight="1" outlineLevel="1">
      <c r="A89" s="12"/>
      <c r="I89" s="246" t="s">
        <v>192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17680</v>
      </c>
      <c r="U89" s="65">
        <v>0</v>
      </c>
      <c r="V89" s="65">
        <f t="shared" si="56"/>
        <v>17680</v>
      </c>
      <c r="W89" s="73">
        <f t="shared" si="57"/>
        <v>1.5017956998714539E-4</v>
      </c>
      <c r="X89" s="89"/>
      <c r="Y89" s="65">
        <f>VLOOKUP($E$1,[16]Resumen!$V$8:$AH$14,Y1,0)</f>
        <v>0</v>
      </c>
      <c r="Z89" s="65">
        <f>VLOOKUP($E$1,[16]Resumen!$V$8:$AH$14,Z1,0)</f>
        <v>4642.4234999999999</v>
      </c>
      <c r="AA89" s="65">
        <f>VLOOKUP($E$1,[16]Resumen!$V$8:$AH$14,AA1,0)</f>
        <v>0</v>
      </c>
      <c r="AB89" s="65">
        <f>VLOOKUP($E$1,[16]Resumen!$V$8:$AH$14,AB1,0)</f>
        <v>0</v>
      </c>
      <c r="AC89" s="65">
        <f>VLOOKUP($E$1,[16]Resumen!$V$8:$AH$14,AC1,0)</f>
        <v>2220.2894999999999</v>
      </c>
      <c r="AD89" s="65">
        <f>VLOOKUP($E$1,[16]Resumen!$V$8:$AH$14,AD1,0)</f>
        <v>2489.4154999999996</v>
      </c>
      <c r="AE89" s="65">
        <f>VLOOKUP($E$1,[16]Resumen!$V$8:$AH$14,AE1,0)</f>
        <v>0</v>
      </c>
      <c r="AF89" s="65">
        <f>VLOOKUP($E$1,[16]Resumen!$V$8:$AH$14,AF1,0)</f>
        <v>2287.5709999999999</v>
      </c>
      <c r="AG89" s="65">
        <f>VLOOKUP($E$1,[16]Resumen!$V$8:$AH$14,AG1,0)</f>
        <v>0</v>
      </c>
      <c r="AH89" s="65">
        <f>VLOOKUP($E$1,[16]Resumen!$V$8:$AH$14,AH1,0)</f>
        <v>1076.5039999999999</v>
      </c>
      <c r="AI89" s="65">
        <f>VLOOKUP($E$1,[16]Resumen!$V$8:$AH$14,AI1,0)</f>
        <v>15474.744999999999</v>
      </c>
      <c r="AJ89" s="65">
        <f>VLOOKUP($E$1,[16]Resumen!$V$8:$AH$14,AJ1,0)</f>
        <v>0</v>
      </c>
      <c r="AK89" s="65">
        <f t="shared" si="58"/>
        <v>28190.948499999999</v>
      </c>
      <c r="AL89" s="73">
        <f t="shared" si="59"/>
        <v>2.2009181693063038E-4</v>
      </c>
      <c r="AM89" s="14">
        <f t="shared" si="60"/>
        <v>0.59451066176470579</v>
      </c>
      <c r="AN89" s="9"/>
    </row>
    <row r="90" spans="1:40" ht="14.45" customHeight="1" outlineLevel="1">
      <c r="A90" s="12"/>
      <c r="I90" s="246" t="s">
        <v>193</v>
      </c>
      <c r="J90" s="65">
        <v>95692</v>
      </c>
      <c r="K90" s="65">
        <v>95692</v>
      </c>
      <c r="L90" s="65">
        <v>95692</v>
      </c>
      <c r="M90" s="65">
        <v>95692</v>
      </c>
      <c r="N90" s="65">
        <v>95692</v>
      </c>
      <c r="O90" s="65">
        <v>95692</v>
      </c>
      <c r="P90" s="65">
        <v>95692</v>
      </c>
      <c r="Q90" s="65">
        <v>95692</v>
      </c>
      <c r="R90" s="65">
        <v>95692</v>
      </c>
      <c r="S90" s="65">
        <v>95692</v>
      </c>
      <c r="T90" s="65">
        <v>95692.23</v>
      </c>
      <c r="U90" s="65">
        <v>95692.23</v>
      </c>
      <c r="V90" s="65">
        <f t="shared" si="56"/>
        <v>1148304.46</v>
      </c>
      <c r="W90" s="73">
        <f t="shared" si="57"/>
        <v>9.7540650462172619E-3</v>
      </c>
      <c r="X90" s="89"/>
      <c r="Y90" s="65">
        <f>+U90*1.0375</f>
        <v>99280.68862500001</v>
      </c>
      <c r="Z90" s="65">
        <f>+Y90</f>
        <v>99280.68862500001</v>
      </c>
      <c r="AA90" s="65">
        <f t="shared" ref="AA90:AJ90" si="61">+Z90</f>
        <v>99280.68862500001</v>
      </c>
      <c r="AB90" s="65">
        <f t="shared" si="61"/>
        <v>99280.68862500001</v>
      </c>
      <c r="AC90" s="65">
        <f t="shared" si="61"/>
        <v>99280.68862500001</v>
      </c>
      <c r="AD90" s="65">
        <f t="shared" si="61"/>
        <v>99280.68862500001</v>
      </c>
      <c r="AE90" s="65">
        <f t="shared" si="61"/>
        <v>99280.68862500001</v>
      </c>
      <c r="AF90" s="65">
        <f t="shared" si="61"/>
        <v>99280.68862500001</v>
      </c>
      <c r="AG90" s="65">
        <f t="shared" si="61"/>
        <v>99280.68862500001</v>
      </c>
      <c r="AH90" s="65">
        <f t="shared" si="61"/>
        <v>99280.68862500001</v>
      </c>
      <c r="AI90" s="65">
        <f t="shared" si="61"/>
        <v>99280.68862500001</v>
      </c>
      <c r="AJ90" s="65">
        <f t="shared" si="61"/>
        <v>99280.68862500001</v>
      </c>
      <c r="AK90" s="65">
        <f t="shared" si="58"/>
        <v>1191368.2634999999</v>
      </c>
      <c r="AL90" s="73">
        <f t="shared" si="59"/>
        <v>9.3012268014751251E-3</v>
      </c>
      <c r="AM90" s="14">
        <f t="shared" si="60"/>
        <v>3.7502078063861077E-2</v>
      </c>
      <c r="AN90" s="9"/>
    </row>
    <row r="91" spans="1:40" ht="14.45" customHeight="1" outlineLevel="1">
      <c r="A91" s="12"/>
      <c r="I91" s="251" t="s">
        <v>194</v>
      </c>
      <c r="J91" s="65">
        <v>100706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f t="shared" ref="V91" si="62">SUM(J91:U91)</f>
        <v>100706</v>
      </c>
      <c r="W91" s="73">
        <f t="shared" ref="W91" si="63">V91/V$6</f>
        <v>8.5542894655687009E-4</v>
      </c>
      <c r="X91" s="89"/>
      <c r="Y91" s="65">
        <f>VLOOKUP($E$1,[8]Resumen!$V$56:$AH$62,Y1,0)</f>
        <v>93646.532099999997</v>
      </c>
      <c r="Z91" s="65">
        <f>VLOOKUP($E$1,[8]Resumen!$V$56:$AH$62,Z1,0)</f>
        <v>0</v>
      </c>
      <c r="AA91" s="65">
        <f>VLOOKUP($E$1,[8]Resumen!$V$56:$AH$62,AA1,0)</f>
        <v>0</v>
      </c>
      <c r="AB91" s="65">
        <f>VLOOKUP($E$1,[8]Resumen!$V$56:$AH$62,AB1,0)</f>
        <v>0</v>
      </c>
      <c r="AC91" s="65">
        <f>VLOOKUP($E$1,[8]Resumen!$V$56:$AH$62,AC1,0)</f>
        <v>0</v>
      </c>
      <c r="AD91" s="65">
        <f>VLOOKUP($E$1,[8]Resumen!$V$56:$AH$62,AD1,0)</f>
        <v>0</v>
      </c>
      <c r="AE91" s="65">
        <f>VLOOKUP($E$1,[8]Resumen!$V$56:$AH$62,AE1,0)</f>
        <v>0</v>
      </c>
      <c r="AF91" s="65">
        <f>VLOOKUP($E$1,[8]Resumen!$V$56:$AH$62,AF1,0)</f>
        <v>0</v>
      </c>
      <c r="AG91" s="65">
        <f>VLOOKUP($E$1,[8]Resumen!$V$56:$AH$62,AG1,0)</f>
        <v>0</v>
      </c>
      <c r="AH91" s="65">
        <f>VLOOKUP($E$1,[8]Resumen!$V$56:$AH$62,AH1,0)</f>
        <v>0</v>
      </c>
      <c r="AI91" s="65">
        <f>VLOOKUP($E$1,[8]Resumen!$V$56:$AH$62,AI1,0)</f>
        <v>0</v>
      </c>
      <c r="AJ91" s="65">
        <f>VLOOKUP($E$1,[8]Resumen!$V$56:$AH$62,AJ1,0)</f>
        <v>0</v>
      </c>
      <c r="AK91" s="65">
        <f t="shared" ref="AK91" si="64">SUM(Y91:AJ91)</f>
        <v>93646.532099999997</v>
      </c>
      <c r="AL91" s="73">
        <f t="shared" ref="AL91" si="65">AK91/AK$6</f>
        <v>7.3111535779442111E-4</v>
      </c>
      <c r="AM91" s="14">
        <f t="shared" ref="AM91" si="66">IFERROR(AK91/V91-1,0)</f>
        <v>-7.0099774591384834E-2</v>
      </c>
      <c r="AN91" s="9"/>
    </row>
    <row r="92" spans="1:40" ht="14.45" customHeight="1" collapsed="1">
      <c r="A92" s="12" t="s">
        <v>195</v>
      </c>
      <c r="B92" s="8" t="s">
        <v>88</v>
      </c>
      <c r="I92" s="167" t="s">
        <v>196</v>
      </c>
      <c r="J92" s="15">
        <v>134307</v>
      </c>
      <c r="K92" s="15">
        <v>194528</v>
      </c>
      <c r="L92" s="15">
        <v>229277</v>
      </c>
      <c r="M92" s="15">
        <v>225812</v>
      </c>
      <c r="N92" s="15">
        <v>247719</v>
      </c>
      <c r="O92" s="15">
        <v>219723</v>
      </c>
      <c r="P92" s="15">
        <v>239099</v>
      </c>
      <c r="Q92" s="15">
        <v>250419</v>
      </c>
      <c r="R92" s="15">
        <v>234478</v>
      </c>
      <c r="S92" s="15">
        <v>211081</v>
      </c>
      <c r="T92" s="15">
        <f t="shared" ref="R92:U92" si="67">SUM(T93:T108)</f>
        <v>231992.66666666666</v>
      </c>
      <c r="U92" s="15">
        <f t="shared" si="67"/>
        <v>225850.55555555556</v>
      </c>
      <c r="V92" s="15">
        <f t="shared" ref="V92" si="68">SUM(V93:V108)</f>
        <v>2644286.222222222</v>
      </c>
      <c r="W92" s="72">
        <f t="shared" si="35"/>
        <v>2.2461412204539958E-2</v>
      </c>
      <c r="X92" s="89"/>
      <c r="Y92" s="15">
        <f t="shared" ref="Y92:AK92" si="69">SUM(Y93:Y108)</f>
        <v>248231.07263986499</v>
      </c>
      <c r="Z92" s="15">
        <f t="shared" si="69"/>
        <v>226893.38396861998</v>
      </c>
      <c r="AA92" s="15">
        <f t="shared" si="69"/>
        <v>248231.07263986499</v>
      </c>
      <c r="AB92" s="15">
        <f t="shared" si="69"/>
        <v>234204.68671245</v>
      </c>
      <c r="AC92" s="15">
        <f t="shared" si="69"/>
        <v>248231.07263986499</v>
      </c>
      <c r="AD92" s="15">
        <f t="shared" si="69"/>
        <v>234204.68671245</v>
      </c>
      <c r="AE92" s="15">
        <f t="shared" si="69"/>
        <v>241317.24960286496</v>
      </c>
      <c r="AF92" s="15">
        <f t="shared" si="69"/>
        <v>241317.24960286496</v>
      </c>
      <c r="AG92" s="15">
        <f t="shared" si="69"/>
        <v>241118.50974944996</v>
      </c>
      <c r="AH92" s="15">
        <f t="shared" si="69"/>
        <v>241317.24960286496</v>
      </c>
      <c r="AI92" s="15">
        <f t="shared" si="69"/>
        <v>241118.50974944996</v>
      </c>
      <c r="AJ92" s="15">
        <f t="shared" si="69"/>
        <v>248231.07263986499</v>
      </c>
      <c r="AK92" s="15">
        <f t="shared" si="69"/>
        <v>2894415.8162604743</v>
      </c>
      <c r="AL92" s="72">
        <f t="shared" si="37"/>
        <v>2.2597226054792779E-2</v>
      </c>
      <c r="AM92" s="10">
        <f t="shared" si="38"/>
        <v>9.4592480925928868E-2</v>
      </c>
      <c r="AN92" s="9"/>
    </row>
    <row r="93" spans="1:40" ht="14.45" hidden="1" customHeight="1" outlineLevel="1">
      <c r="A93" s="12" t="s">
        <v>195</v>
      </c>
      <c r="B93" s="8" t="s">
        <v>88</v>
      </c>
      <c r="I93" s="246" t="s">
        <v>197</v>
      </c>
      <c r="J93" s="65">
        <v>4424</v>
      </c>
      <c r="K93" s="65">
        <v>5701</v>
      </c>
      <c r="L93" s="65">
        <v>7188</v>
      </c>
      <c r="M93" s="65">
        <v>6876</v>
      </c>
      <c r="N93" s="65">
        <v>7397</v>
      </c>
      <c r="O93" s="65">
        <v>6696</v>
      </c>
      <c r="P93" s="65">
        <v>7088</v>
      </c>
      <c r="Q93" s="65">
        <v>7932</v>
      </c>
      <c r="R93" s="225">
        <v>7525</v>
      </c>
      <c r="S93" s="225">
        <v>7114</v>
      </c>
      <c r="T93" s="225">
        <f t="shared" ref="S93:U108" si="70">+AVERAGE(Q93:S93)</f>
        <v>7523.666666666667</v>
      </c>
      <c r="U93" s="225">
        <f t="shared" si="70"/>
        <v>7387.5555555555557</v>
      </c>
      <c r="V93" s="65">
        <f t="shared" ref="V93:V108" si="71">SUM(J93:U93)</f>
        <v>82852.222222222234</v>
      </c>
      <c r="W93" s="73">
        <f t="shared" si="35"/>
        <v>7.0377325259121865E-4</v>
      </c>
      <c r="X93" s="89"/>
      <c r="Y93" s="65">
        <f>VLOOKUP($I93,'[17]Resumen OPE'!$A$84:$M$105,Y$1,0)</f>
        <v>7340.0176077739716</v>
      </c>
      <c r="Z93" s="65">
        <f>VLOOKUP($I93,'[17]Resumen OPE'!$A$84:$M$105,Z$1,0)</f>
        <v>6629.6933231506837</v>
      </c>
      <c r="AA93" s="65">
        <f>VLOOKUP($I93,'[17]Resumen OPE'!$A$84:$M$105,AA$1,0)</f>
        <v>7340.0176077739716</v>
      </c>
      <c r="AB93" s="65">
        <f>VLOOKUP($I93,'[17]Resumen OPE'!$A$84:$M$105,AB$1,0)</f>
        <v>7103.2428462328762</v>
      </c>
      <c r="AC93" s="65">
        <f>VLOOKUP($I93,'[17]Resumen OPE'!$A$84:$M$105,AC$1,0)</f>
        <v>7340.0176077739716</v>
      </c>
      <c r="AD93" s="65">
        <f>VLOOKUP($I93,'[17]Resumen OPE'!$A$84:$M$105,AD$1,0)</f>
        <v>7103.2428462328762</v>
      </c>
      <c r="AE93" s="65">
        <f>VLOOKUP($I93,'[17]Resumen OPE'!$A$84:$M$105,AE$1,0)</f>
        <v>7340.0176077739716</v>
      </c>
      <c r="AF93" s="65">
        <f>VLOOKUP($I93,'[17]Resumen OPE'!$A$84:$M$105,AF$1,0)</f>
        <v>7340.0176077739716</v>
      </c>
      <c r="AG93" s="65">
        <f>VLOOKUP($I93,'[17]Resumen OPE'!$A$84:$M$105,AG$1,0)</f>
        <v>7103.2428462328762</v>
      </c>
      <c r="AH93" s="65">
        <f>VLOOKUP($I93,'[17]Resumen OPE'!$A$84:$M$105,AH$1,0)</f>
        <v>7340.0176077739716</v>
      </c>
      <c r="AI93" s="65">
        <f>VLOOKUP($I93,'[17]Resumen OPE'!$A$84:$M$105,AI$1,0)</f>
        <v>7103.2428462328762</v>
      </c>
      <c r="AJ93" s="65">
        <f>VLOOKUP($I93,'[17]Resumen OPE'!$A$84:$M$105,AJ$1,0)</f>
        <v>7340.0176077739716</v>
      </c>
      <c r="AK93" s="65">
        <f t="shared" ref="AK93:AK158" si="72">SUM(Y93:AJ93)</f>
        <v>86422.787962500006</v>
      </c>
      <c r="AL93" s="73">
        <f t="shared" si="37"/>
        <v>6.7471828508633674E-4</v>
      </c>
      <c r="AM93" s="14">
        <f t="shared" si="38"/>
        <v>4.3095594113347735E-2</v>
      </c>
      <c r="AN93" s="9"/>
    </row>
    <row r="94" spans="1:40" ht="14.45" hidden="1" customHeight="1" outlineLevel="1">
      <c r="A94" s="12" t="s">
        <v>195</v>
      </c>
      <c r="B94" s="8" t="s">
        <v>88</v>
      </c>
      <c r="I94" s="246" t="s">
        <v>198</v>
      </c>
      <c r="J94" s="65">
        <v>6564</v>
      </c>
      <c r="K94" s="65">
        <v>9300</v>
      </c>
      <c r="L94" s="65">
        <v>7692</v>
      </c>
      <c r="M94" s="65">
        <v>19658</v>
      </c>
      <c r="N94" s="65">
        <v>22664</v>
      </c>
      <c r="O94" s="65">
        <v>22553</v>
      </c>
      <c r="P94" s="65">
        <v>23520</v>
      </c>
      <c r="Q94" s="65">
        <f>1200+13314</f>
        <v>14514</v>
      </c>
      <c r="R94" s="225">
        <v>20786</v>
      </c>
      <c r="S94" s="225">
        <v>9151</v>
      </c>
      <c r="T94" s="225">
        <f t="shared" si="70"/>
        <v>14817</v>
      </c>
      <c r="U94" s="225">
        <f t="shared" si="70"/>
        <v>14918</v>
      </c>
      <c r="V94" s="65">
        <f t="shared" si="71"/>
        <v>186137</v>
      </c>
      <c r="W94" s="73">
        <f t="shared" si="35"/>
        <v>1.5811071616910228E-3</v>
      </c>
      <c r="X94" s="89"/>
      <c r="Y94" s="65">
        <f>VLOOKUP($I94,'[17]Resumen OPE'!$A$84:$M$105,Y$1,0)</f>
        <v>20827.8</v>
      </c>
      <c r="Z94" s="65">
        <f>VLOOKUP($I94,'[17]Resumen OPE'!$A$84:$M$105,Z$1,0)</f>
        <v>20827.8</v>
      </c>
      <c r="AA94" s="65">
        <f>VLOOKUP($I94,'[17]Resumen OPE'!$A$84:$M$105,AA$1,0)</f>
        <v>20827.8</v>
      </c>
      <c r="AB94" s="65">
        <f>VLOOKUP($I94,'[17]Resumen OPE'!$A$84:$M$105,AB$1,0)</f>
        <v>20827.8</v>
      </c>
      <c r="AC94" s="65">
        <f>VLOOKUP($I94,'[17]Resumen OPE'!$A$84:$M$105,AC$1,0)</f>
        <v>20827.8</v>
      </c>
      <c r="AD94" s="65">
        <f>VLOOKUP($I94,'[17]Resumen OPE'!$A$84:$M$105,AD$1,0)</f>
        <v>20827.8</v>
      </c>
      <c r="AE94" s="65">
        <f>VLOOKUP($I94,'[17]Resumen OPE'!$A$84:$M$105,AE$1,0)</f>
        <v>20827.8</v>
      </c>
      <c r="AF94" s="65">
        <f>VLOOKUP($I94,'[17]Resumen OPE'!$A$84:$M$105,AF$1,0)</f>
        <v>20827.8</v>
      </c>
      <c r="AG94" s="65">
        <f>VLOOKUP($I94,'[17]Resumen OPE'!$A$84:$M$105,AG$1,0)</f>
        <v>20827.8</v>
      </c>
      <c r="AH94" s="65">
        <f>VLOOKUP($I94,'[17]Resumen OPE'!$A$84:$M$105,AH$1,0)</f>
        <v>20827.8</v>
      </c>
      <c r="AI94" s="65">
        <f>VLOOKUP($I94,'[17]Resumen OPE'!$A$84:$M$105,AI$1,0)</f>
        <v>20827.8</v>
      </c>
      <c r="AJ94" s="65">
        <f>VLOOKUP($I94,'[17]Resumen OPE'!$A$84:$M$105,AJ$1,0)</f>
        <v>20827.8</v>
      </c>
      <c r="AK94" s="65">
        <f t="shared" si="72"/>
        <v>249933.59999999995</v>
      </c>
      <c r="AL94" s="73">
        <f t="shared" si="37"/>
        <v>1.9512766708084828E-3</v>
      </c>
      <c r="AM94" s="14">
        <f t="shared" si="38"/>
        <v>0.34274002482042776</v>
      </c>
      <c r="AN94" s="9"/>
    </row>
    <row r="95" spans="1:40" ht="14.45" hidden="1" customHeight="1" outlineLevel="1">
      <c r="A95" s="12" t="s">
        <v>195</v>
      </c>
      <c r="B95" s="8" t="s">
        <v>88</v>
      </c>
      <c r="I95" s="246" t="s">
        <v>199</v>
      </c>
      <c r="J95" s="65">
        <v>4323</v>
      </c>
      <c r="K95" s="65">
        <v>4400</v>
      </c>
      <c r="L95" s="65">
        <v>7363</v>
      </c>
      <c r="M95" s="65">
        <v>0</v>
      </c>
      <c r="N95" s="65">
        <v>6920</v>
      </c>
      <c r="O95" s="65">
        <v>0</v>
      </c>
      <c r="P95" s="65">
        <v>0</v>
      </c>
      <c r="Q95" s="65">
        <v>0</v>
      </c>
      <c r="R95" s="225">
        <v>7363</v>
      </c>
      <c r="S95" s="225">
        <v>0</v>
      </c>
      <c r="T95" s="225">
        <f t="shared" si="70"/>
        <v>2454.3333333333335</v>
      </c>
      <c r="U95" s="225">
        <f t="shared" si="70"/>
        <v>3272.4444444444448</v>
      </c>
      <c r="V95" s="65">
        <f t="shared" si="71"/>
        <v>36095.777777777781</v>
      </c>
      <c r="W95" s="73">
        <f t="shared" si="35"/>
        <v>3.0660907155080462E-4</v>
      </c>
      <c r="X95" s="89"/>
      <c r="Y95" s="65">
        <f>VLOOKUP($I95,'[17]Resumen OPE'!$A$84:$M$105,Y$1,0)</f>
        <v>6913.8230369999983</v>
      </c>
      <c r="Z95" s="65">
        <f>VLOOKUP($I95,'[17]Resumen OPE'!$A$84:$M$105,Z$1,0)</f>
        <v>6913.8230369999983</v>
      </c>
      <c r="AA95" s="65">
        <f>VLOOKUP($I95,'[17]Resumen OPE'!$A$84:$M$105,AA$1,0)</f>
        <v>6913.8230369999983</v>
      </c>
      <c r="AB95" s="65">
        <f>VLOOKUP($I95,'[17]Resumen OPE'!$A$84:$M$105,AB$1,0)</f>
        <v>0</v>
      </c>
      <c r="AC95" s="65">
        <f>VLOOKUP($I95,'[17]Resumen OPE'!$A$84:$M$105,AC$1,0)</f>
        <v>6913.8230369999983</v>
      </c>
      <c r="AD95" s="65">
        <f>VLOOKUP($I95,'[17]Resumen OPE'!$A$84:$M$105,AD$1,0)</f>
        <v>0</v>
      </c>
      <c r="AE95" s="65">
        <f>VLOOKUP($I95,'[17]Resumen OPE'!$A$84:$M$105,AE$1,0)</f>
        <v>0</v>
      </c>
      <c r="AF95" s="65">
        <f>VLOOKUP($I95,'[17]Resumen OPE'!$A$84:$M$105,AF$1,0)</f>
        <v>0</v>
      </c>
      <c r="AG95" s="65">
        <f>VLOOKUP($I95,'[17]Resumen OPE'!$A$84:$M$105,AG$1,0)</f>
        <v>6913.8230369999983</v>
      </c>
      <c r="AH95" s="65">
        <f>VLOOKUP($I95,'[17]Resumen OPE'!$A$84:$M$105,AH$1,0)</f>
        <v>0</v>
      </c>
      <c r="AI95" s="65">
        <f>VLOOKUP($I95,'[17]Resumen OPE'!$A$84:$M$105,AI$1,0)</f>
        <v>6913.8230369999983</v>
      </c>
      <c r="AJ95" s="65">
        <f>VLOOKUP($I95,'[17]Resumen OPE'!$A$84:$M$105,AJ$1,0)</f>
        <v>6913.8230369999983</v>
      </c>
      <c r="AK95" s="65">
        <f t="shared" si="72"/>
        <v>48396.761258999977</v>
      </c>
      <c r="AL95" s="73">
        <f t="shared" si="37"/>
        <v>3.778422396483484E-4</v>
      </c>
      <c r="AM95" s="14">
        <f t="shared" si="38"/>
        <v>0.34078732302023562</v>
      </c>
      <c r="AN95" s="9"/>
    </row>
    <row r="96" spans="1:40" ht="14.45" hidden="1" customHeight="1" outlineLevel="1">
      <c r="A96" s="12" t="s">
        <v>195</v>
      </c>
      <c r="B96" s="8" t="s">
        <v>88</v>
      </c>
      <c r="I96" s="246" t="s">
        <v>200</v>
      </c>
      <c r="J96" s="65">
        <v>5456</v>
      </c>
      <c r="K96" s="65">
        <v>8258</v>
      </c>
      <c r="L96" s="65">
        <v>9793</v>
      </c>
      <c r="M96" s="65">
        <v>9543</v>
      </c>
      <c r="N96" s="65">
        <v>10103</v>
      </c>
      <c r="O96" s="65">
        <v>9088</v>
      </c>
      <c r="P96" s="65">
        <v>9273</v>
      </c>
      <c r="Q96" s="65">
        <v>10776</v>
      </c>
      <c r="R96" s="225">
        <v>9483</v>
      </c>
      <c r="S96" s="225">
        <v>9059</v>
      </c>
      <c r="T96" s="225">
        <f t="shared" si="70"/>
        <v>9772.6666666666661</v>
      </c>
      <c r="U96" s="225">
        <f t="shared" si="70"/>
        <v>9438.2222222222208</v>
      </c>
      <c r="V96" s="65">
        <f t="shared" si="71"/>
        <v>110042.88888888889</v>
      </c>
      <c r="W96" s="73">
        <f t="shared" si="35"/>
        <v>9.3473946456315343E-4</v>
      </c>
      <c r="X96" s="89"/>
      <c r="Y96" s="65">
        <f>VLOOKUP($I96,'[17]Resumen OPE'!$A$84:$M$105,Y$1,0)</f>
        <v>9644.7831366150003</v>
      </c>
      <c r="Z96" s="65">
        <f>VLOOKUP($I96,'[17]Resumen OPE'!$A$84:$M$105,Z$1,0)</f>
        <v>8711.4170266199981</v>
      </c>
      <c r="AA96" s="65">
        <f>VLOOKUP($I96,'[17]Resumen OPE'!$A$84:$M$105,AA$1,0)</f>
        <v>9644.7831366150003</v>
      </c>
      <c r="AB96" s="65">
        <f>VLOOKUP($I96,'[17]Resumen OPE'!$A$84:$M$105,AB$1,0)</f>
        <v>9333.6610999499972</v>
      </c>
      <c r="AC96" s="65">
        <f>VLOOKUP($I96,'[17]Resumen OPE'!$A$84:$M$105,AC$1,0)</f>
        <v>9644.7831366150003</v>
      </c>
      <c r="AD96" s="65">
        <f>VLOOKUP($I96,'[17]Resumen OPE'!$A$84:$M$105,AD$1,0)</f>
        <v>9333.6610999499972</v>
      </c>
      <c r="AE96" s="65">
        <f>VLOOKUP($I96,'[17]Resumen OPE'!$A$84:$M$105,AE$1,0)</f>
        <v>9644.7831366150003</v>
      </c>
      <c r="AF96" s="65">
        <f>VLOOKUP($I96,'[17]Resumen OPE'!$A$84:$M$105,AF$1,0)</f>
        <v>9644.7831366150003</v>
      </c>
      <c r="AG96" s="65">
        <f>VLOOKUP($I96,'[17]Resumen OPE'!$A$84:$M$105,AG$1,0)</f>
        <v>9333.6610999499972</v>
      </c>
      <c r="AH96" s="65">
        <f>VLOOKUP($I96,'[17]Resumen OPE'!$A$84:$M$105,AH$1,0)</f>
        <v>9644.7831366150003</v>
      </c>
      <c r="AI96" s="65">
        <f>VLOOKUP($I96,'[17]Resumen OPE'!$A$84:$M$105,AI$1,0)</f>
        <v>9333.6610999499972</v>
      </c>
      <c r="AJ96" s="65">
        <f>VLOOKUP($I96,'[17]Resumen OPE'!$A$84:$M$105,AJ$1,0)</f>
        <v>9644.7831366150003</v>
      </c>
      <c r="AK96" s="65">
        <f t="shared" si="72"/>
        <v>113559.54338272501</v>
      </c>
      <c r="AL96" s="73">
        <f t="shared" si="37"/>
        <v>8.8657982660344658E-4</v>
      </c>
      <c r="AM96" s="14">
        <f t="shared" si="38"/>
        <v>3.1957126256353607E-2</v>
      </c>
      <c r="AN96" s="9"/>
    </row>
    <row r="97" spans="1:40" ht="14.45" hidden="1" customHeight="1" outlineLevel="1">
      <c r="A97" s="12" t="s">
        <v>195</v>
      </c>
      <c r="B97" s="8" t="s">
        <v>88</v>
      </c>
      <c r="I97" s="246" t="s">
        <v>201</v>
      </c>
      <c r="J97" s="65"/>
      <c r="K97" s="65"/>
      <c r="L97" s="65">
        <v>0</v>
      </c>
      <c r="M97" s="65"/>
      <c r="N97" s="65">
        <v>0</v>
      </c>
      <c r="O97" s="65"/>
      <c r="P97" s="65">
        <v>0</v>
      </c>
      <c r="Q97" s="65">
        <v>0</v>
      </c>
      <c r="R97" s="225"/>
      <c r="S97" s="225"/>
      <c r="T97" s="225">
        <f t="shared" si="70"/>
        <v>0</v>
      </c>
      <c r="U97" s="225">
        <f t="shared" si="70"/>
        <v>0</v>
      </c>
      <c r="V97" s="65">
        <f t="shared" si="71"/>
        <v>0</v>
      </c>
      <c r="W97" s="73">
        <f t="shared" si="35"/>
        <v>0</v>
      </c>
      <c r="X97" s="89"/>
      <c r="Y97" s="65">
        <f>VLOOKUP($I97,'[17]Resumen OPE'!$A$84:$M$105,Y$1,0)</f>
        <v>0</v>
      </c>
      <c r="Z97" s="65">
        <f>VLOOKUP($I97,'[17]Resumen OPE'!$A$84:$M$105,Z$1,0)</f>
        <v>0</v>
      </c>
      <c r="AA97" s="65">
        <f>VLOOKUP($I97,'[17]Resumen OPE'!$A$84:$M$105,AA$1,0)</f>
        <v>0</v>
      </c>
      <c r="AB97" s="65">
        <f>VLOOKUP($I97,'[17]Resumen OPE'!$A$84:$M$105,AB$1,0)</f>
        <v>0</v>
      </c>
      <c r="AC97" s="65">
        <f>VLOOKUP($I97,'[17]Resumen OPE'!$A$84:$M$105,AC$1,0)</f>
        <v>0</v>
      </c>
      <c r="AD97" s="65">
        <f>VLOOKUP($I97,'[17]Resumen OPE'!$A$84:$M$105,AD$1,0)</f>
        <v>0</v>
      </c>
      <c r="AE97" s="65">
        <f>VLOOKUP($I97,'[17]Resumen OPE'!$A$84:$M$105,AE$1,0)</f>
        <v>0</v>
      </c>
      <c r="AF97" s="65">
        <f>VLOOKUP($I97,'[17]Resumen OPE'!$A$84:$M$105,AF$1,0)</f>
        <v>0</v>
      </c>
      <c r="AG97" s="65">
        <f>VLOOKUP($I97,'[17]Resumen OPE'!$A$84:$M$105,AG$1,0)</f>
        <v>0</v>
      </c>
      <c r="AH97" s="65">
        <f>VLOOKUP($I97,'[17]Resumen OPE'!$A$84:$M$105,AH$1,0)</f>
        <v>0</v>
      </c>
      <c r="AI97" s="65">
        <f>VLOOKUP($I97,'[17]Resumen OPE'!$A$84:$M$105,AI$1,0)</f>
        <v>0</v>
      </c>
      <c r="AJ97" s="65">
        <f>VLOOKUP($I97,'[17]Resumen OPE'!$A$84:$M$105,AJ$1,0)</f>
        <v>0</v>
      </c>
      <c r="AK97" s="65">
        <f t="shared" si="72"/>
        <v>0</v>
      </c>
      <c r="AL97" s="73">
        <f t="shared" si="37"/>
        <v>0</v>
      </c>
      <c r="AM97" s="14">
        <f t="shared" si="38"/>
        <v>0</v>
      </c>
      <c r="AN97" s="9"/>
    </row>
    <row r="98" spans="1:40" ht="14.45" hidden="1" customHeight="1" outlineLevel="1">
      <c r="A98" s="12" t="s">
        <v>195</v>
      </c>
      <c r="B98" s="8" t="s">
        <v>88</v>
      </c>
      <c r="I98" s="246" t="s">
        <v>202</v>
      </c>
      <c r="J98" s="65">
        <v>7519</v>
      </c>
      <c r="K98" s="65">
        <v>11004</v>
      </c>
      <c r="L98" s="65">
        <v>12213</v>
      </c>
      <c r="M98" s="65">
        <v>11617</v>
      </c>
      <c r="N98" s="65">
        <v>12042</v>
      </c>
      <c r="O98" s="65">
        <v>10976</v>
      </c>
      <c r="P98" s="65">
        <v>12663</v>
      </c>
      <c r="Q98" s="65">
        <v>14036</v>
      </c>
      <c r="R98" s="225">
        <v>10032</v>
      </c>
      <c r="S98" s="225">
        <v>12868</v>
      </c>
      <c r="T98" s="225">
        <f t="shared" si="70"/>
        <v>12312</v>
      </c>
      <c r="U98" s="225">
        <f t="shared" si="70"/>
        <v>11737.333333333334</v>
      </c>
      <c r="V98" s="65">
        <f t="shared" si="71"/>
        <v>139019.33333333334</v>
      </c>
      <c r="W98" s="73">
        <f t="shared" si="35"/>
        <v>1.1808746436594813E-3</v>
      </c>
      <c r="X98" s="89"/>
      <c r="Y98" s="65">
        <f>VLOOKUP($I98,'[17]Resumen OPE'!$A$84:$M$105,Y$1,0)</f>
        <v>12472.192799999999</v>
      </c>
      <c r="Z98" s="65">
        <f>VLOOKUP($I98,'[17]Resumen OPE'!$A$84:$M$105,Z$1,0)</f>
        <v>11265.206399999999</v>
      </c>
      <c r="AA98" s="65">
        <f>VLOOKUP($I98,'[17]Resumen OPE'!$A$84:$M$105,AA$1,0)</f>
        <v>12472.192799999999</v>
      </c>
      <c r="AB98" s="65">
        <f>VLOOKUP($I98,'[17]Resumen OPE'!$A$84:$M$105,AB$1,0)</f>
        <v>12069.863999999998</v>
      </c>
      <c r="AC98" s="65">
        <f>VLOOKUP($I98,'[17]Resumen OPE'!$A$84:$M$105,AC$1,0)</f>
        <v>12472.192799999999</v>
      </c>
      <c r="AD98" s="65">
        <f>VLOOKUP($I98,'[17]Resumen OPE'!$A$84:$M$105,AD$1,0)</f>
        <v>12069.863999999998</v>
      </c>
      <c r="AE98" s="65">
        <f>VLOOKUP($I98,'[17]Resumen OPE'!$A$84:$M$105,AE$1,0)</f>
        <v>12472.192799999999</v>
      </c>
      <c r="AF98" s="65">
        <f>VLOOKUP($I98,'[17]Resumen OPE'!$A$84:$M$105,AF$1,0)</f>
        <v>12472.192799999999</v>
      </c>
      <c r="AG98" s="65">
        <f>VLOOKUP($I98,'[17]Resumen OPE'!$A$84:$M$105,AG$1,0)</f>
        <v>12069.863999999998</v>
      </c>
      <c r="AH98" s="65">
        <f>VLOOKUP($I98,'[17]Resumen OPE'!$A$84:$M$105,AH$1,0)</f>
        <v>12472.192799999999</v>
      </c>
      <c r="AI98" s="65">
        <f>VLOOKUP($I98,'[17]Resumen OPE'!$A$84:$M$105,AI$1,0)</f>
        <v>12069.863999999998</v>
      </c>
      <c r="AJ98" s="65">
        <f>VLOOKUP($I98,'[17]Resumen OPE'!$A$84:$M$105,AJ$1,0)</f>
        <v>12472.192799999999</v>
      </c>
      <c r="AK98" s="65">
        <f t="shared" si="72"/>
        <v>146850.01199999999</v>
      </c>
      <c r="AL98" s="73">
        <f t="shared" si="37"/>
        <v>1.1464845163817342E-3</v>
      </c>
      <c r="AM98" s="14">
        <f t="shared" si="38"/>
        <v>5.6327983158217743E-2</v>
      </c>
      <c r="AN98" s="9"/>
    </row>
    <row r="99" spans="1:40" ht="14.45" hidden="1" customHeight="1" outlineLevel="1">
      <c r="A99" s="12" t="s">
        <v>195</v>
      </c>
      <c r="B99" s="8" t="s">
        <v>88</v>
      </c>
      <c r="I99" s="246" t="s">
        <v>203</v>
      </c>
      <c r="J99" s="65">
        <v>3784</v>
      </c>
      <c r="K99" s="65">
        <v>6032</v>
      </c>
      <c r="L99" s="65">
        <v>7575</v>
      </c>
      <c r="M99" s="65">
        <v>6882</v>
      </c>
      <c r="N99" s="65">
        <v>6904</v>
      </c>
      <c r="O99" s="65">
        <v>7720</v>
      </c>
      <c r="P99" s="65">
        <v>8393</v>
      </c>
      <c r="Q99" s="65">
        <v>10250</v>
      </c>
      <c r="R99" s="225">
        <v>6864</v>
      </c>
      <c r="S99" s="225">
        <v>8227</v>
      </c>
      <c r="T99" s="225">
        <f t="shared" si="70"/>
        <v>8447</v>
      </c>
      <c r="U99" s="225">
        <f t="shared" si="70"/>
        <v>7846</v>
      </c>
      <c r="V99" s="65">
        <f t="shared" si="71"/>
        <v>88924</v>
      </c>
      <c r="W99" s="73">
        <f t="shared" si="35"/>
        <v>7.5534887339009709E-4</v>
      </c>
      <c r="X99" s="89"/>
      <c r="Y99" s="65">
        <f>VLOOKUP($I99,'[17]Resumen OPE'!$A$84:$M$105,Y$1,0)</f>
        <v>6863.3813999999993</v>
      </c>
      <c r="Z99" s="65">
        <f>VLOOKUP($I99,'[17]Resumen OPE'!$A$84:$M$105,Z$1,0)</f>
        <v>6199.1831999999986</v>
      </c>
      <c r="AA99" s="65">
        <f>VLOOKUP($I99,'[17]Resumen OPE'!$A$84:$M$105,AA$1,0)</f>
        <v>6863.3813999999993</v>
      </c>
      <c r="AB99" s="65">
        <f>VLOOKUP($I99,'[17]Resumen OPE'!$A$84:$M$105,AB$1,0)</f>
        <v>6641.982</v>
      </c>
      <c r="AC99" s="65">
        <f>VLOOKUP($I99,'[17]Resumen OPE'!$A$84:$M$105,AC$1,0)</f>
        <v>6863.3813999999993</v>
      </c>
      <c r="AD99" s="65">
        <f>VLOOKUP($I99,'[17]Resumen OPE'!$A$84:$M$105,AD$1,0)</f>
        <v>6641.982</v>
      </c>
      <c r="AE99" s="65">
        <f>VLOOKUP($I99,'[17]Resumen OPE'!$A$84:$M$105,AE$1,0)</f>
        <v>6863.3813999999993</v>
      </c>
      <c r="AF99" s="65">
        <f>VLOOKUP($I99,'[17]Resumen OPE'!$A$84:$M$105,AF$1,0)</f>
        <v>6863.3813999999993</v>
      </c>
      <c r="AG99" s="65">
        <f>VLOOKUP($I99,'[17]Resumen OPE'!$A$84:$M$105,AG$1,0)</f>
        <v>6641.982</v>
      </c>
      <c r="AH99" s="65">
        <f>VLOOKUP($I99,'[17]Resumen OPE'!$A$84:$M$105,AH$1,0)</f>
        <v>6863.3813999999993</v>
      </c>
      <c r="AI99" s="65">
        <f>VLOOKUP($I99,'[17]Resumen OPE'!$A$84:$M$105,AI$1,0)</f>
        <v>6641.982</v>
      </c>
      <c r="AJ99" s="65">
        <f>VLOOKUP($I99,'[17]Resumen OPE'!$A$84:$M$105,AJ$1,0)</f>
        <v>6863.3813999999993</v>
      </c>
      <c r="AK99" s="65">
        <f t="shared" si="72"/>
        <v>80810.781000000003</v>
      </c>
      <c r="AL99" s="73">
        <f t="shared" si="37"/>
        <v>6.3090433505184353E-4</v>
      </c>
      <c r="AM99" s="14">
        <f t="shared" si="38"/>
        <v>-9.1237674868426932E-2</v>
      </c>
      <c r="AN99" s="9"/>
    </row>
    <row r="100" spans="1:40" ht="14.45" hidden="1" customHeight="1" outlineLevel="1">
      <c r="A100" s="12" t="s">
        <v>195</v>
      </c>
      <c r="B100" s="8" t="s">
        <v>88</v>
      </c>
      <c r="I100" s="246" t="s">
        <v>204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225">
        <v>0</v>
      </c>
      <c r="S100" s="225">
        <v>0</v>
      </c>
      <c r="T100" s="225">
        <f t="shared" si="70"/>
        <v>0</v>
      </c>
      <c r="U100" s="225">
        <f t="shared" si="70"/>
        <v>0</v>
      </c>
      <c r="V100" s="65">
        <f t="shared" si="71"/>
        <v>0</v>
      </c>
      <c r="W100" s="73">
        <f t="shared" si="35"/>
        <v>0</v>
      </c>
      <c r="X100" s="89"/>
      <c r="Y100" s="65">
        <f>VLOOKUP($I100,'[17]Resumen OPE'!$A$84:$M$105,Y$1,0)</f>
        <v>0</v>
      </c>
      <c r="Z100" s="65">
        <f>VLOOKUP($I100,'[17]Resumen OPE'!$A$84:$M$105,Z$1,0)</f>
        <v>0</v>
      </c>
      <c r="AA100" s="65">
        <f>VLOOKUP($I100,'[17]Resumen OPE'!$A$84:$M$105,AA$1,0)</f>
        <v>0</v>
      </c>
      <c r="AB100" s="65">
        <f>VLOOKUP($I100,'[17]Resumen OPE'!$A$84:$M$105,AB$1,0)</f>
        <v>0</v>
      </c>
      <c r="AC100" s="65">
        <f>VLOOKUP($I100,'[17]Resumen OPE'!$A$84:$M$105,AC$1,0)</f>
        <v>0</v>
      </c>
      <c r="AD100" s="65">
        <f>VLOOKUP($I100,'[17]Resumen OPE'!$A$84:$M$105,AD$1,0)</f>
        <v>0</v>
      </c>
      <c r="AE100" s="65">
        <f>VLOOKUP($I100,'[17]Resumen OPE'!$A$84:$M$105,AE$1,0)</f>
        <v>0</v>
      </c>
      <c r="AF100" s="65">
        <f>VLOOKUP($I100,'[17]Resumen OPE'!$A$84:$M$105,AF$1,0)</f>
        <v>0</v>
      </c>
      <c r="AG100" s="65">
        <f>VLOOKUP($I100,'[17]Resumen OPE'!$A$84:$M$105,AG$1,0)</f>
        <v>0</v>
      </c>
      <c r="AH100" s="65">
        <f>VLOOKUP($I100,'[17]Resumen OPE'!$A$84:$M$105,AH$1,0)</f>
        <v>0</v>
      </c>
      <c r="AI100" s="65">
        <f>VLOOKUP($I100,'[17]Resumen OPE'!$A$84:$M$105,AI$1,0)</f>
        <v>0</v>
      </c>
      <c r="AJ100" s="65">
        <f>VLOOKUP($I100,'[17]Resumen OPE'!$A$84:$M$105,AJ$1,0)</f>
        <v>0</v>
      </c>
      <c r="AK100" s="65">
        <f t="shared" si="72"/>
        <v>0</v>
      </c>
      <c r="AL100" s="73">
        <f t="shared" si="37"/>
        <v>0</v>
      </c>
      <c r="AM100" s="14">
        <f t="shared" si="38"/>
        <v>0</v>
      </c>
      <c r="AN100" s="9"/>
    </row>
    <row r="101" spans="1:40" ht="14.45" hidden="1" customHeight="1" outlineLevel="1">
      <c r="A101" s="12" t="s">
        <v>195</v>
      </c>
      <c r="B101" s="8" t="s">
        <v>88</v>
      </c>
      <c r="I101" s="246" t="s">
        <v>205</v>
      </c>
      <c r="J101" s="65">
        <v>3150</v>
      </c>
      <c r="K101" s="65">
        <v>3443</v>
      </c>
      <c r="L101" s="65">
        <v>4551</v>
      </c>
      <c r="M101" s="65">
        <v>3848</v>
      </c>
      <c r="N101" s="65">
        <v>3619</v>
      </c>
      <c r="O101" s="65">
        <v>2899</v>
      </c>
      <c r="P101" s="65">
        <v>3694</v>
      </c>
      <c r="Q101" s="65">
        <v>3029</v>
      </c>
      <c r="R101" s="225">
        <v>4050</v>
      </c>
      <c r="S101" s="225">
        <v>3706</v>
      </c>
      <c r="T101" s="225">
        <f t="shared" si="70"/>
        <v>3595</v>
      </c>
      <c r="U101" s="225">
        <f t="shared" si="70"/>
        <v>3783.6666666666665</v>
      </c>
      <c r="V101" s="65">
        <f t="shared" si="71"/>
        <v>43367.666666666664</v>
      </c>
      <c r="W101" s="73">
        <f t="shared" si="35"/>
        <v>3.6837881964625895E-4</v>
      </c>
      <c r="X101" s="89"/>
      <c r="Y101" s="65">
        <f>VLOOKUP($I101,'[17]Resumen OPE'!$A$84:$M$105,Y$1,0)</f>
        <v>3971.6423876249996</v>
      </c>
      <c r="Z101" s="65">
        <f>VLOOKUP($I101,'[17]Resumen OPE'!$A$84:$M$105,Z$1,0)</f>
        <v>3587.2898984999993</v>
      </c>
      <c r="AA101" s="65">
        <f>VLOOKUP($I101,'[17]Resumen OPE'!$A$84:$M$105,AA$1,0)</f>
        <v>3971.6423876249996</v>
      </c>
      <c r="AB101" s="65">
        <f>VLOOKUP($I101,'[17]Resumen OPE'!$A$84:$M$105,AB$1,0)</f>
        <v>3843.5248912499997</v>
      </c>
      <c r="AC101" s="65">
        <f>VLOOKUP($I101,'[17]Resumen OPE'!$A$84:$M$105,AC$1,0)</f>
        <v>3971.6423876249996</v>
      </c>
      <c r="AD101" s="65">
        <f>VLOOKUP($I101,'[17]Resumen OPE'!$A$84:$M$105,AD$1,0)</f>
        <v>3843.5248912499997</v>
      </c>
      <c r="AE101" s="65">
        <f>VLOOKUP($I101,'[17]Resumen OPE'!$A$84:$M$105,AE$1,0)</f>
        <v>3971.6423876249996</v>
      </c>
      <c r="AF101" s="65">
        <f>VLOOKUP($I101,'[17]Resumen OPE'!$A$84:$M$105,AF$1,0)</f>
        <v>3971.6423876249996</v>
      </c>
      <c r="AG101" s="65">
        <f>VLOOKUP($I101,'[17]Resumen OPE'!$A$84:$M$105,AG$1,0)</f>
        <v>3843.5248912499997</v>
      </c>
      <c r="AH101" s="65">
        <f>VLOOKUP($I101,'[17]Resumen OPE'!$A$84:$M$105,AH$1,0)</f>
        <v>3971.6423876249996</v>
      </c>
      <c r="AI101" s="65">
        <f>VLOOKUP($I101,'[17]Resumen OPE'!$A$84:$M$105,AI$1,0)</f>
        <v>3843.5248912499997</v>
      </c>
      <c r="AJ101" s="65">
        <f>VLOOKUP($I101,'[17]Resumen OPE'!$A$84:$M$105,AJ$1,0)</f>
        <v>3971.6423876249996</v>
      </c>
      <c r="AK101" s="65">
        <f t="shared" si="72"/>
        <v>46762.886176874999</v>
      </c>
      <c r="AL101" s="73">
        <f t="shared" si="37"/>
        <v>3.6508628234302503E-4</v>
      </c>
      <c r="AM101" s="14">
        <f t="shared" si="38"/>
        <v>7.8289190338616477E-2</v>
      </c>
      <c r="AN101" s="9"/>
    </row>
    <row r="102" spans="1:40" ht="14.45" hidden="1" customHeight="1" outlineLevel="1">
      <c r="A102" s="12" t="s">
        <v>195</v>
      </c>
      <c r="B102" s="8" t="s">
        <v>88</v>
      </c>
      <c r="I102" s="246" t="s">
        <v>207</v>
      </c>
      <c r="J102" s="65">
        <v>1156</v>
      </c>
      <c r="K102" s="65">
        <v>1316</v>
      </c>
      <c r="L102" s="65">
        <v>1601</v>
      </c>
      <c r="M102" s="65">
        <v>1498</v>
      </c>
      <c r="N102" s="65">
        <v>1603</v>
      </c>
      <c r="O102" s="65">
        <v>1498</v>
      </c>
      <c r="P102" s="65">
        <v>1547</v>
      </c>
      <c r="Q102" s="65">
        <v>1721</v>
      </c>
      <c r="R102" s="225">
        <v>1647</v>
      </c>
      <c r="S102" s="225">
        <v>1613</v>
      </c>
      <c r="T102" s="225">
        <f t="shared" si="70"/>
        <v>1660.3333333333333</v>
      </c>
      <c r="U102" s="225">
        <f t="shared" si="70"/>
        <v>1640.1111111111111</v>
      </c>
      <c r="V102" s="65">
        <f t="shared" si="71"/>
        <v>18500.444444444442</v>
      </c>
      <c r="W102" s="73">
        <f t="shared" si="35"/>
        <v>1.5714868728720243E-4</v>
      </c>
      <c r="X102" s="89"/>
      <c r="Y102" s="65">
        <f>VLOOKUP($I102,'[17]Resumen OPE'!$A$84:$M$105,Y$1,0)</f>
        <v>1590.3371483510275</v>
      </c>
      <c r="Z102" s="65">
        <f>VLOOKUP($I102,'[17]Resumen OPE'!$A$84:$M$105,Z$1,0)</f>
        <v>1436.4335533493152</v>
      </c>
      <c r="AA102" s="65">
        <f>VLOOKUP($I102,'[17]Resumen OPE'!$A$84:$M$105,AA$1,0)</f>
        <v>1590.3371483510275</v>
      </c>
      <c r="AB102" s="65">
        <f>VLOOKUP($I102,'[17]Resumen OPE'!$A$84:$M$105,AB$1,0)</f>
        <v>1539.0359500171232</v>
      </c>
      <c r="AC102" s="65">
        <f>VLOOKUP($I102,'[17]Resumen OPE'!$A$84:$M$105,AC$1,0)</f>
        <v>1590.3371483510275</v>
      </c>
      <c r="AD102" s="65">
        <f>VLOOKUP($I102,'[17]Resumen OPE'!$A$84:$M$105,AD$1,0)</f>
        <v>1539.0359500171232</v>
      </c>
      <c r="AE102" s="65">
        <f>VLOOKUP($I102,'[17]Resumen OPE'!$A$84:$M$105,AE$1,0)</f>
        <v>1590.3371483510275</v>
      </c>
      <c r="AF102" s="65">
        <f>VLOOKUP($I102,'[17]Resumen OPE'!$A$84:$M$105,AF$1,0)</f>
        <v>1590.3371483510275</v>
      </c>
      <c r="AG102" s="65">
        <f>VLOOKUP($I102,'[17]Resumen OPE'!$A$84:$M$105,AG$1,0)</f>
        <v>1539.0359500171232</v>
      </c>
      <c r="AH102" s="65">
        <f>VLOOKUP($I102,'[17]Resumen OPE'!$A$84:$M$105,AH$1,0)</f>
        <v>1590.3371483510275</v>
      </c>
      <c r="AI102" s="65">
        <f>VLOOKUP($I102,'[17]Resumen OPE'!$A$84:$M$105,AI$1,0)</f>
        <v>1539.0359500171232</v>
      </c>
      <c r="AJ102" s="65">
        <f>VLOOKUP($I102,'[17]Resumen OPE'!$A$84:$M$105,AJ$1,0)</f>
        <v>1590.3371483510275</v>
      </c>
      <c r="AK102" s="65">
        <f t="shared" si="72"/>
        <v>18724.937391874999</v>
      </c>
      <c r="AL102" s="73">
        <f t="shared" si="37"/>
        <v>1.4618896176870629E-4</v>
      </c>
      <c r="AM102" s="14">
        <f t="shared" si="38"/>
        <v>1.2134462396549139E-2</v>
      </c>
      <c r="AN102" s="9"/>
    </row>
    <row r="103" spans="1:40" ht="14.45" hidden="1" customHeight="1" outlineLevel="1">
      <c r="A103" s="12"/>
      <c r="I103" s="246" t="s">
        <v>208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8036</v>
      </c>
      <c r="Q103" s="65">
        <v>0</v>
      </c>
      <c r="R103" s="225">
        <v>0</v>
      </c>
      <c r="S103" s="225">
        <v>0</v>
      </c>
      <c r="T103" s="225">
        <f t="shared" si="70"/>
        <v>0</v>
      </c>
      <c r="U103" s="225">
        <f t="shared" si="70"/>
        <v>0</v>
      </c>
      <c r="V103" s="65">
        <f t="shared" ref="V103" si="73">SUM(J103:U103)</f>
        <v>8036</v>
      </c>
      <c r="W103" s="73">
        <f t="shared" ref="W103" si="74">V103/V$6</f>
        <v>6.8260352059768112E-5</v>
      </c>
      <c r="X103" s="89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>
        <f t="shared" ref="AK103" si="75">SUM(Y103:AJ103)</f>
        <v>0</v>
      </c>
      <c r="AL103" s="73">
        <f t="shared" ref="AL103" si="76">AK103/AK$6</f>
        <v>0</v>
      </c>
      <c r="AM103" s="14">
        <f t="shared" ref="AM103" si="77">IFERROR(AK103/V103-1,0)</f>
        <v>-1</v>
      </c>
      <c r="AN103" s="9"/>
    </row>
    <row r="104" spans="1:40" ht="14.45" hidden="1" customHeight="1" outlineLevel="1">
      <c r="A104" s="12" t="s">
        <v>195</v>
      </c>
      <c r="B104" s="8" t="s">
        <v>88</v>
      </c>
      <c r="I104" s="246" t="s">
        <v>209</v>
      </c>
      <c r="J104" s="65"/>
      <c r="K104" s="65"/>
      <c r="L104" s="65">
        <v>0</v>
      </c>
      <c r="M104" s="65"/>
      <c r="N104" s="65"/>
      <c r="O104" s="65"/>
      <c r="P104" s="65"/>
      <c r="Q104" s="65"/>
      <c r="R104" s="225"/>
      <c r="S104" s="225"/>
      <c r="T104" s="225"/>
      <c r="U104" s="225"/>
      <c r="V104" s="65">
        <f t="shared" si="71"/>
        <v>0</v>
      </c>
      <c r="W104" s="73">
        <f t="shared" si="35"/>
        <v>0</v>
      </c>
      <c r="X104" s="89"/>
      <c r="Y104" s="65">
        <f>VLOOKUP($I104,'[17]Resumen OPE'!$A$84:$M$105,Y$1,0)</f>
        <v>0</v>
      </c>
      <c r="Z104" s="65">
        <f>VLOOKUP($I104,'[17]Resumen OPE'!$A$84:$M$105,Z$1,0)</f>
        <v>0</v>
      </c>
      <c r="AA104" s="65">
        <f>VLOOKUP($I104,'[17]Resumen OPE'!$A$84:$M$105,AA$1,0)</f>
        <v>0</v>
      </c>
      <c r="AB104" s="65">
        <f>VLOOKUP($I104,'[17]Resumen OPE'!$A$84:$M$105,AB$1,0)</f>
        <v>0</v>
      </c>
      <c r="AC104" s="65">
        <f>VLOOKUP($I104,'[17]Resumen OPE'!$A$84:$M$105,AC$1,0)</f>
        <v>0</v>
      </c>
      <c r="AD104" s="65">
        <f>VLOOKUP($I104,'[17]Resumen OPE'!$A$84:$M$105,AD$1,0)</f>
        <v>0</v>
      </c>
      <c r="AE104" s="65">
        <f>VLOOKUP($I104,'[17]Resumen OPE'!$A$84:$M$105,AE$1,0)</f>
        <v>0</v>
      </c>
      <c r="AF104" s="65">
        <f>VLOOKUP($I104,'[17]Resumen OPE'!$A$84:$M$105,AF$1,0)</f>
        <v>0</v>
      </c>
      <c r="AG104" s="65">
        <f>VLOOKUP($I104,'[17]Resumen OPE'!$A$84:$M$105,AG$1,0)</f>
        <v>0</v>
      </c>
      <c r="AH104" s="65">
        <f>VLOOKUP($I104,'[17]Resumen OPE'!$A$84:$M$105,AH$1,0)</f>
        <v>0</v>
      </c>
      <c r="AI104" s="65">
        <f>VLOOKUP($I104,'[17]Resumen OPE'!$A$84:$M$105,AI$1,0)</f>
        <v>0</v>
      </c>
      <c r="AJ104" s="65">
        <f>VLOOKUP($I104,'[17]Resumen OPE'!$A$84:$M$105,AJ$1,0)</f>
        <v>0</v>
      </c>
      <c r="AK104" s="65">
        <f t="shared" si="72"/>
        <v>0</v>
      </c>
      <c r="AL104" s="73">
        <f t="shared" si="37"/>
        <v>0</v>
      </c>
      <c r="AM104" s="14">
        <f t="shared" si="38"/>
        <v>0</v>
      </c>
      <c r="AN104" s="9"/>
    </row>
    <row r="105" spans="1:40" ht="14.45" hidden="1" customHeight="1" outlineLevel="1">
      <c r="A105" s="12" t="s">
        <v>195</v>
      </c>
      <c r="B105" s="8" t="s">
        <v>88</v>
      </c>
      <c r="I105" s="246" t="s">
        <v>210</v>
      </c>
      <c r="J105" s="65">
        <v>0</v>
      </c>
      <c r="K105" s="65"/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225"/>
      <c r="S105" s="225"/>
      <c r="T105" s="225">
        <f t="shared" si="70"/>
        <v>0</v>
      </c>
      <c r="U105" s="225">
        <f t="shared" si="70"/>
        <v>0</v>
      </c>
      <c r="V105" s="65">
        <f t="shared" si="71"/>
        <v>0</v>
      </c>
      <c r="W105" s="73">
        <f t="shared" si="35"/>
        <v>0</v>
      </c>
      <c r="X105" s="89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>
        <f t="shared" si="72"/>
        <v>0</v>
      </c>
      <c r="AL105" s="73">
        <f t="shared" si="37"/>
        <v>0</v>
      </c>
      <c r="AM105" s="14">
        <f t="shared" si="38"/>
        <v>0</v>
      </c>
      <c r="AN105" s="9"/>
    </row>
    <row r="106" spans="1:40" ht="14.45" hidden="1" customHeight="1" outlineLevel="1">
      <c r="A106" s="12" t="s">
        <v>195</v>
      </c>
      <c r="B106" s="8" t="s">
        <v>88</v>
      </c>
      <c r="I106" s="246" t="s">
        <v>211</v>
      </c>
      <c r="J106" s="65">
        <v>91048</v>
      </c>
      <c r="K106" s="65">
        <v>138128</v>
      </c>
      <c r="L106" s="65">
        <v>163218</v>
      </c>
      <c r="M106" s="65">
        <v>159057</v>
      </c>
      <c r="N106" s="65">
        <v>168377</v>
      </c>
      <c r="O106" s="65">
        <v>151460</v>
      </c>
      <c r="P106" s="65">
        <v>156176</v>
      </c>
      <c r="Q106" s="65">
        <v>179596</v>
      </c>
      <c r="R106" s="225">
        <v>158041</v>
      </c>
      <c r="S106" s="225">
        <v>152890</v>
      </c>
      <c r="T106" s="225">
        <f t="shared" si="70"/>
        <v>163509</v>
      </c>
      <c r="U106" s="225">
        <f t="shared" si="70"/>
        <v>158146.66666666666</v>
      </c>
      <c r="V106" s="65">
        <f t="shared" si="71"/>
        <v>1839646.6666666667</v>
      </c>
      <c r="W106" s="73">
        <f t="shared" si="35"/>
        <v>1.5626546681464105E-2</v>
      </c>
      <c r="X106" s="89"/>
      <c r="Y106" s="65">
        <f>VLOOKUP($I106,'[17]Resumen OPE'!$A$84:$M$105,Y$1,0)</f>
        <v>178607.09512249997</v>
      </c>
      <c r="Z106" s="65">
        <f>VLOOKUP($I106,'[17]Resumen OPE'!$A$84:$M$105,Z$1,0)</f>
        <v>161322.53753</v>
      </c>
      <c r="AA106" s="65">
        <f>VLOOKUP($I106,'[17]Resumen OPE'!$A$84:$M$105,AA$1,0)</f>
        <v>178607.09512249997</v>
      </c>
      <c r="AB106" s="65">
        <f>VLOOKUP($I106,'[17]Resumen OPE'!$A$84:$M$105,AB$1,0)</f>
        <v>172845.57592499998</v>
      </c>
      <c r="AC106" s="65">
        <f>VLOOKUP($I106,'[17]Resumen OPE'!$A$84:$M$105,AC$1,0)</f>
        <v>178607.09512249997</v>
      </c>
      <c r="AD106" s="65">
        <f>VLOOKUP($I106,'[17]Resumen OPE'!$A$84:$M$105,AD$1,0)</f>
        <v>172845.57592499998</v>
      </c>
      <c r="AE106" s="65">
        <f>VLOOKUP($I106,'[17]Resumen OPE'!$A$84:$M$105,AE$1,0)</f>
        <v>178607.09512249997</v>
      </c>
      <c r="AF106" s="65">
        <f>VLOOKUP($I106,'[17]Resumen OPE'!$A$84:$M$105,AF$1,0)</f>
        <v>178607.09512249997</v>
      </c>
      <c r="AG106" s="65">
        <f>VLOOKUP($I106,'[17]Resumen OPE'!$A$84:$M$105,AG$1,0)</f>
        <v>172845.57592499998</v>
      </c>
      <c r="AH106" s="65">
        <f>VLOOKUP($I106,'[17]Resumen OPE'!$A$84:$M$105,AH$1,0)</f>
        <v>178607.09512249997</v>
      </c>
      <c r="AI106" s="65">
        <f>VLOOKUP($I106,'[17]Resumen OPE'!$A$84:$M$105,AI$1,0)</f>
        <v>172845.57592499998</v>
      </c>
      <c r="AJ106" s="65">
        <f>VLOOKUP($I106,'[17]Resumen OPE'!$A$84:$M$105,AJ$1,0)</f>
        <v>178607.09512249997</v>
      </c>
      <c r="AK106" s="65">
        <f t="shared" si="72"/>
        <v>2102954.5070874994</v>
      </c>
      <c r="AL106" s="73">
        <f t="shared" si="37"/>
        <v>1.6418144937100854E-2</v>
      </c>
      <c r="AM106" s="14">
        <f t="shared" si="38"/>
        <v>0.14312957221178313</v>
      </c>
      <c r="AN106" s="9"/>
    </row>
    <row r="107" spans="1:40" ht="14.45" hidden="1" customHeight="1" outlineLevel="1">
      <c r="A107" s="12" t="s">
        <v>195</v>
      </c>
      <c r="B107" s="8" t="s">
        <v>88</v>
      </c>
      <c r="I107" s="246" t="s">
        <v>213</v>
      </c>
      <c r="J107" s="65">
        <v>2520</v>
      </c>
      <c r="K107" s="65">
        <v>1680</v>
      </c>
      <c r="L107" s="65">
        <v>1680</v>
      </c>
      <c r="M107" s="65">
        <v>840</v>
      </c>
      <c r="N107" s="65">
        <v>1680</v>
      </c>
      <c r="O107" s="65">
        <v>840</v>
      </c>
      <c r="P107" s="65">
        <v>2520</v>
      </c>
      <c r="Q107" s="65">
        <v>1680</v>
      </c>
      <c r="R107" s="225">
        <v>2100</v>
      </c>
      <c r="S107" s="225">
        <v>0</v>
      </c>
      <c r="T107" s="225">
        <f t="shared" si="70"/>
        <v>1260</v>
      </c>
      <c r="U107" s="225">
        <f t="shared" si="70"/>
        <v>1120</v>
      </c>
      <c r="V107" s="65">
        <f t="shared" si="71"/>
        <v>17920</v>
      </c>
      <c r="W107" s="73">
        <f t="shared" si="35"/>
        <v>1.5221820668380348E-4</v>
      </c>
      <c r="X107" s="89"/>
      <c r="Y107" s="65">
        <f>VLOOKUP($I107,'[17]Resumen OPE'!$A$84:$M$105,Y$1,0)</f>
        <v>0</v>
      </c>
      <c r="Z107" s="65">
        <f>VLOOKUP($I107,'[17]Resumen OPE'!$A$84:$M$105,Z$1,0)</f>
        <v>0</v>
      </c>
      <c r="AA107" s="65">
        <f>VLOOKUP($I107,'[17]Resumen OPE'!$A$84:$M$105,AA$1,0)</f>
        <v>0</v>
      </c>
      <c r="AB107" s="65">
        <f>VLOOKUP($I107,'[17]Resumen OPE'!$A$84:$M$105,AB$1,0)</f>
        <v>0</v>
      </c>
      <c r="AC107" s="65">
        <f>VLOOKUP($I107,'[17]Resumen OPE'!$A$84:$M$105,AC$1,0)</f>
        <v>0</v>
      </c>
      <c r="AD107" s="65">
        <f>VLOOKUP($I107,'[17]Resumen OPE'!$A$84:$M$105,AD$1,0)</f>
        <v>0</v>
      </c>
      <c r="AE107" s="65">
        <f>VLOOKUP($I107,'[17]Resumen OPE'!$A$84:$M$105,AE$1,0)</f>
        <v>0</v>
      </c>
      <c r="AF107" s="65">
        <f>VLOOKUP($I107,'[17]Resumen OPE'!$A$84:$M$105,AF$1,0)</f>
        <v>0</v>
      </c>
      <c r="AG107" s="65">
        <f>VLOOKUP($I107,'[17]Resumen OPE'!$A$84:$M$105,AG$1,0)</f>
        <v>0</v>
      </c>
      <c r="AH107" s="65">
        <f>VLOOKUP($I107,'[17]Resumen OPE'!$A$84:$M$105,AH$1,0)</f>
        <v>0</v>
      </c>
      <c r="AI107" s="65">
        <f>VLOOKUP($I107,'[17]Resumen OPE'!$A$84:$M$105,AI$1,0)</f>
        <v>0</v>
      </c>
      <c r="AJ107" s="65">
        <f>VLOOKUP($I107,'[17]Resumen OPE'!$A$84:$M$105,AJ$1,0)</f>
        <v>0</v>
      </c>
      <c r="AK107" s="65">
        <f t="shared" si="72"/>
        <v>0</v>
      </c>
      <c r="AL107" s="73">
        <f t="shared" si="37"/>
        <v>0</v>
      </c>
      <c r="AM107" s="14">
        <f t="shared" si="38"/>
        <v>-1</v>
      </c>
      <c r="AN107" s="9"/>
    </row>
    <row r="108" spans="1:40" ht="14.45" hidden="1" customHeight="1" outlineLevel="1">
      <c r="A108" s="12" t="s">
        <v>195</v>
      </c>
      <c r="B108" s="8" t="s">
        <v>88</v>
      </c>
      <c r="I108" s="246" t="s">
        <v>214</v>
      </c>
      <c r="J108" s="65">
        <v>4364</v>
      </c>
      <c r="K108" s="65">
        <v>5264</v>
      </c>
      <c r="L108" s="65">
        <v>6404</v>
      </c>
      <c r="M108" s="65">
        <v>5992</v>
      </c>
      <c r="N108" s="65">
        <v>6411</v>
      </c>
      <c r="O108" s="65">
        <v>5993</v>
      </c>
      <c r="P108" s="65">
        <v>6189</v>
      </c>
      <c r="Q108" s="65">
        <v>6885</v>
      </c>
      <c r="R108" s="225">
        <v>6588</v>
      </c>
      <c r="S108" s="225">
        <v>6452</v>
      </c>
      <c r="T108" s="225">
        <f t="shared" si="70"/>
        <v>6641.666666666667</v>
      </c>
      <c r="U108" s="225">
        <f t="shared" si="70"/>
        <v>6560.5555555555557</v>
      </c>
      <c r="V108" s="65">
        <f t="shared" si="71"/>
        <v>73744.222222222234</v>
      </c>
      <c r="W108" s="73">
        <f t="shared" si="35"/>
        <v>6.2640698995304449E-4</v>
      </c>
      <c r="X108" s="89"/>
      <c r="Y108" s="65">
        <f>VLOOKUP($I108,'[17]Resumen OPE'!$A$84:$M$105,Y$1,0)</f>
        <v>0</v>
      </c>
      <c r="Z108" s="65">
        <f>VLOOKUP($I108,'[17]Resumen OPE'!$A$84:$M$105,Z$1,0)</f>
        <v>0</v>
      </c>
      <c r="AA108" s="65">
        <f>VLOOKUP($I108,'[17]Resumen OPE'!$A$84:$M$105,AA$1,0)</f>
        <v>0</v>
      </c>
      <c r="AB108" s="65">
        <f>VLOOKUP($I108,'[17]Resumen OPE'!$A$84:$M$105,AB$1,0)</f>
        <v>0</v>
      </c>
      <c r="AC108" s="65">
        <f>VLOOKUP($I108,'[17]Resumen OPE'!$A$84:$M$105,AC$1,0)</f>
        <v>0</v>
      </c>
      <c r="AD108" s="65">
        <f>VLOOKUP($I108,'[17]Resumen OPE'!$A$84:$M$105,AD$1,0)</f>
        <v>0</v>
      </c>
      <c r="AE108" s="65">
        <f>VLOOKUP($I108,'[17]Resumen OPE'!$A$84:$M$105,AE$1,0)</f>
        <v>0</v>
      </c>
      <c r="AF108" s="65">
        <f>VLOOKUP($I108,'[17]Resumen OPE'!$A$84:$M$105,AF$1,0)</f>
        <v>0</v>
      </c>
      <c r="AG108" s="65">
        <f>VLOOKUP($I108,'[17]Resumen OPE'!$A$84:$M$105,AG$1,0)</f>
        <v>0</v>
      </c>
      <c r="AH108" s="65">
        <f>VLOOKUP($I108,'[17]Resumen OPE'!$A$84:$M$105,AH$1,0)</f>
        <v>0</v>
      </c>
      <c r="AI108" s="65">
        <f>VLOOKUP($I108,'[17]Resumen OPE'!$A$84:$M$105,AI$1,0)</f>
        <v>0</v>
      </c>
      <c r="AJ108" s="65">
        <f>VLOOKUP($I108,'[17]Resumen OPE'!$A$84:$M$105,AJ$1,0)</f>
        <v>0</v>
      </c>
      <c r="AK108" s="65">
        <f t="shared" si="72"/>
        <v>0</v>
      </c>
      <c r="AL108" s="73">
        <f t="shared" si="37"/>
        <v>0</v>
      </c>
      <c r="AM108" s="14">
        <f t="shared" si="38"/>
        <v>-1</v>
      </c>
      <c r="AN108" s="9"/>
    </row>
    <row r="109" spans="1:40" ht="14.45" customHeight="1" collapsed="1">
      <c r="A109" s="12" t="s">
        <v>215</v>
      </c>
      <c r="B109" s="8" t="s">
        <v>88</v>
      </c>
      <c r="I109" s="167" t="s">
        <v>216</v>
      </c>
      <c r="J109" s="15">
        <v>34939</v>
      </c>
      <c r="K109" s="15">
        <v>41468</v>
      </c>
      <c r="L109" s="15">
        <v>53205</v>
      </c>
      <c r="M109" s="15">
        <v>49869</v>
      </c>
      <c r="N109" s="15">
        <v>56413</v>
      </c>
      <c r="O109" s="15">
        <v>49165</v>
      </c>
      <c r="P109" s="15">
        <v>53750</v>
      </c>
      <c r="Q109" s="15">
        <v>58631</v>
      </c>
      <c r="R109" s="15">
        <v>53715</v>
      </c>
      <c r="S109" s="15">
        <v>49775</v>
      </c>
      <c r="T109" s="15">
        <f t="shared" ref="R109:U109" si="78">SUM(T110:T113)</f>
        <v>54040.333333333336</v>
      </c>
      <c r="U109" s="15">
        <f t="shared" si="78"/>
        <v>52510.111111111109</v>
      </c>
      <c r="V109" s="15">
        <f t="shared" ref="V109" si="79">SUM(V110:V113)</f>
        <v>607480.4444444445</v>
      </c>
      <c r="W109" s="72">
        <f t="shared" si="35"/>
        <v>5.1601330272775248E-3</v>
      </c>
      <c r="X109" s="89"/>
      <c r="Y109" s="15">
        <f>SUM(Y110:Y113)</f>
        <v>63809.504666396184</v>
      </c>
      <c r="Z109" s="15">
        <f t="shared" ref="Z109:AK109" si="80">SUM(Z110:Z113)</f>
        <v>59058.994704651734</v>
      </c>
      <c r="AA109" s="15">
        <f t="shared" si="80"/>
        <v>63809.504666396184</v>
      </c>
      <c r="AB109" s="15">
        <f t="shared" si="80"/>
        <v>60747.39179241738</v>
      </c>
      <c r="AC109" s="15">
        <f t="shared" si="80"/>
        <v>63809.504666396184</v>
      </c>
      <c r="AD109" s="15">
        <f t="shared" si="80"/>
        <v>60747.39179241738</v>
      </c>
      <c r="AE109" s="15">
        <f t="shared" si="80"/>
        <v>62330.895112998871</v>
      </c>
      <c r="AF109" s="15">
        <f t="shared" si="80"/>
        <v>62330.895112998871</v>
      </c>
      <c r="AG109" s="15">
        <f t="shared" si="80"/>
        <v>62226.0013458147</v>
      </c>
      <c r="AH109" s="15">
        <f t="shared" si="80"/>
        <v>62330.895112998871</v>
      </c>
      <c r="AI109" s="15">
        <f t="shared" si="80"/>
        <v>62226.0013458147</v>
      </c>
      <c r="AJ109" s="15">
        <f t="shared" si="80"/>
        <v>63809.504666396184</v>
      </c>
      <c r="AK109" s="15">
        <f t="shared" si="80"/>
        <v>747236.48498569732</v>
      </c>
      <c r="AL109" s="72">
        <f t="shared" si="37"/>
        <v>5.833809942838916E-3</v>
      </c>
      <c r="AM109" s="10">
        <f t="shared" si="38"/>
        <v>0.2300585011737506</v>
      </c>
      <c r="AN109" s="9"/>
    </row>
    <row r="110" spans="1:40" ht="15" hidden="1" customHeight="1" outlineLevel="1">
      <c r="A110" s="12" t="s">
        <v>215</v>
      </c>
      <c r="B110" s="8" t="s">
        <v>88</v>
      </c>
      <c r="I110" s="246" t="s">
        <v>217</v>
      </c>
      <c r="J110" s="65">
        <v>6340</v>
      </c>
      <c r="K110" s="65">
        <v>7562</v>
      </c>
      <c r="L110" s="65">
        <v>9868</v>
      </c>
      <c r="M110" s="65">
        <v>9187</v>
      </c>
      <c r="N110" s="65">
        <v>10334</v>
      </c>
      <c r="O110" s="65">
        <v>8963</v>
      </c>
      <c r="P110" s="65">
        <v>10135</v>
      </c>
      <c r="Q110" s="65">
        <v>11205</v>
      </c>
      <c r="R110" s="225">
        <v>10228</v>
      </c>
      <c r="S110" s="225">
        <v>9723</v>
      </c>
      <c r="T110" s="225">
        <f t="shared" ref="T110:T113" si="81">+AVERAGE(Q110:S110)</f>
        <v>10385.333333333334</v>
      </c>
      <c r="U110" s="225">
        <f t="shared" ref="U110:U113" si="82">+AVERAGE(R110:T110)</f>
        <v>10112.111111111111</v>
      </c>
      <c r="V110" s="65">
        <f t="shared" ref="V110:V113" si="83">SUM(J110:U110)</f>
        <v>114042.44444444444</v>
      </c>
      <c r="W110" s="73">
        <f t="shared" si="35"/>
        <v>9.6871296758764612E-4</v>
      </c>
      <c r="X110" s="89"/>
      <c r="Y110" s="65">
        <f>VLOOKUP($I110,'[17]Resumen OPE'!$A$84:$M$105,Y$1,0)</f>
        <v>11071.262220162498</v>
      </c>
      <c r="Z110" s="65">
        <f>VLOOKUP($I110,'[17]Resumen OPE'!$A$84:$M$105,Z$1,0)</f>
        <v>10134.083407099999</v>
      </c>
      <c r="AA110" s="65">
        <f>VLOOKUP($I110,'[17]Resumen OPE'!$A$84:$M$105,AA$1,0)</f>
        <v>11071.262220162498</v>
      </c>
      <c r="AB110" s="65">
        <f>VLOOKUP($I110,'[17]Resumen OPE'!$A$84:$M$105,AB$1,0)</f>
        <v>10413.178130624998</v>
      </c>
      <c r="AC110" s="65">
        <f>VLOOKUP($I110,'[17]Resumen OPE'!$A$84:$M$105,AC$1,0)</f>
        <v>11071.262220162498</v>
      </c>
      <c r="AD110" s="65">
        <f>VLOOKUP($I110,'[17]Resumen OPE'!$A$84:$M$105,AD$1,0)</f>
        <v>10413.178130624998</v>
      </c>
      <c r="AE110" s="65">
        <f>VLOOKUP($I110,'[17]Resumen OPE'!$A$84:$M$105,AE$1,0)</f>
        <v>10725.5710683125</v>
      </c>
      <c r="AF110" s="65">
        <f>VLOOKUP($I110,'[17]Resumen OPE'!$A$84:$M$105,AF$1,0)</f>
        <v>10725.5710683125</v>
      </c>
      <c r="AG110" s="65">
        <f>VLOOKUP($I110,'[17]Resumen OPE'!$A$84:$M$105,AG$1,0)</f>
        <v>10758.869282475</v>
      </c>
      <c r="AH110" s="65">
        <f>VLOOKUP($I110,'[17]Resumen OPE'!$A$84:$M$105,AH$1,0)</f>
        <v>10725.5710683125</v>
      </c>
      <c r="AI110" s="65">
        <f>VLOOKUP($I110,'[17]Resumen OPE'!$A$84:$M$105,AI$1,0)</f>
        <v>10758.869282475</v>
      </c>
      <c r="AJ110" s="65">
        <f>VLOOKUP($I110,'[17]Resumen OPE'!$A$84:$M$105,AJ$1,0)</f>
        <v>11071.262220162498</v>
      </c>
      <c r="AK110" s="65">
        <f t="shared" si="72"/>
        <v>128939.9403188875</v>
      </c>
      <c r="AL110" s="73">
        <f t="shared" si="37"/>
        <v>1.0066573581130481E-3</v>
      </c>
      <c r="AM110" s="14">
        <f t="shared" si="38"/>
        <v>0.13063115182260354</v>
      </c>
      <c r="AN110" s="9"/>
    </row>
    <row r="111" spans="1:40" ht="15" hidden="1" customHeight="1" outlineLevel="1">
      <c r="A111" s="12" t="s">
        <v>215</v>
      </c>
      <c r="B111" s="8" t="s">
        <v>88</v>
      </c>
      <c r="I111" s="246" t="s">
        <v>218</v>
      </c>
      <c r="J111" s="65">
        <v>10671</v>
      </c>
      <c r="K111" s="65">
        <v>12500</v>
      </c>
      <c r="L111" s="65">
        <v>16010</v>
      </c>
      <c r="M111" s="65">
        <v>15064</v>
      </c>
      <c r="N111" s="65">
        <v>17206</v>
      </c>
      <c r="O111" s="65">
        <v>14802</v>
      </c>
      <c r="P111" s="65">
        <v>16441</v>
      </c>
      <c r="Q111" s="65">
        <v>17890</v>
      </c>
      <c r="R111" s="225">
        <v>16298</v>
      </c>
      <c r="S111" s="225">
        <v>15519</v>
      </c>
      <c r="T111" s="225">
        <f t="shared" si="81"/>
        <v>16569</v>
      </c>
      <c r="U111" s="225">
        <f t="shared" si="82"/>
        <v>16128.666666666666</v>
      </c>
      <c r="V111" s="65">
        <f t="shared" si="83"/>
        <v>185098.66666666666</v>
      </c>
      <c r="W111" s="73">
        <f t="shared" si="35"/>
        <v>1.57228722653812E-3</v>
      </c>
      <c r="X111" s="89"/>
      <c r="Y111" s="65">
        <f>VLOOKUP($I111,'[17]Resumen OPE'!$A$84:$M$105,Y$1,0)</f>
        <v>21064.18350008117</v>
      </c>
      <c r="Z111" s="65">
        <f>VLOOKUP($I111,'[17]Resumen OPE'!$A$84:$M$105,Z$1,0)</f>
        <v>19281.107090348458</v>
      </c>
      <c r="AA111" s="65">
        <f>VLOOKUP($I111,'[17]Resumen OPE'!$A$84:$M$105,AA$1,0)</f>
        <v>21064.18350008117</v>
      </c>
      <c r="AB111" s="65">
        <f>VLOOKUP($I111,'[17]Resumen OPE'!$A$84:$M$105,AB$1,0)</f>
        <v>19812.112711327121</v>
      </c>
      <c r="AC111" s="65">
        <f>VLOOKUP($I111,'[17]Resumen OPE'!$A$84:$M$105,AC$1,0)</f>
        <v>21064.18350008117</v>
      </c>
      <c r="AD111" s="65">
        <f>VLOOKUP($I111,'[17]Resumen OPE'!$A$84:$M$105,AD$1,0)</f>
        <v>19812.112711327121</v>
      </c>
      <c r="AE111" s="65">
        <f>VLOOKUP($I111,'[17]Resumen OPE'!$A$84:$M$105,AE$1,0)</f>
        <v>20406.471514571364</v>
      </c>
      <c r="AF111" s="65">
        <f>VLOOKUP($I111,'[17]Resumen OPE'!$A$84:$M$105,AF$1,0)</f>
        <v>20406.471514571364</v>
      </c>
      <c r="AG111" s="65">
        <f>VLOOKUP($I111,'[17]Resumen OPE'!$A$84:$M$105,AG$1,0)</f>
        <v>20469.824696836931</v>
      </c>
      <c r="AH111" s="65">
        <f>VLOOKUP($I111,'[17]Resumen OPE'!$A$84:$M$105,AH$1,0)</f>
        <v>20406.471514571364</v>
      </c>
      <c r="AI111" s="65">
        <f>VLOOKUP($I111,'[17]Resumen OPE'!$A$84:$M$105,AI$1,0)</f>
        <v>20469.824696836931</v>
      </c>
      <c r="AJ111" s="65">
        <f>VLOOKUP($I111,'[17]Resumen OPE'!$A$84:$M$105,AJ$1,0)</f>
        <v>21064.18350008117</v>
      </c>
      <c r="AK111" s="65">
        <f t="shared" si="72"/>
        <v>245321.13045071537</v>
      </c>
      <c r="AL111" s="73">
        <f t="shared" si="37"/>
        <v>1.9152662895458852E-3</v>
      </c>
      <c r="AM111" s="14">
        <f t="shared" si="38"/>
        <v>0.32535330950006158</v>
      </c>
      <c r="AN111" s="9"/>
    </row>
    <row r="112" spans="1:40" ht="15" hidden="1" customHeight="1" outlineLevel="1">
      <c r="A112" s="12" t="s">
        <v>215</v>
      </c>
      <c r="B112" s="8" t="s">
        <v>88</v>
      </c>
      <c r="I112" s="246" t="s">
        <v>219</v>
      </c>
      <c r="J112" s="65">
        <v>12850</v>
      </c>
      <c r="K112" s="65">
        <v>15222</v>
      </c>
      <c r="L112" s="65">
        <v>19292</v>
      </c>
      <c r="M112" s="65">
        <v>18636</v>
      </c>
      <c r="N112" s="65">
        <v>20781</v>
      </c>
      <c r="O112" s="65">
        <v>18184</v>
      </c>
      <c r="P112" s="65">
        <v>19085</v>
      </c>
      <c r="Q112" s="65">
        <v>20967</v>
      </c>
      <c r="R112" s="225">
        <v>19295</v>
      </c>
      <c r="S112" s="225">
        <v>18201</v>
      </c>
      <c r="T112" s="225">
        <f t="shared" si="81"/>
        <v>19487.666666666668</v>
      </c>
      <c r="U112" s="225">
        <f t="shared" si="82"/>
        <v>18994.555555555558</v>
      </c>
      <c r="V112" s="65">
        <f t="shared" si="83"/>
        <v>220995.22222222222</v>
      </c>
      <c r="W112" s="73">
        <f t="shared" si="35"/>
        <v>1.8772040408680413E-3</v>
      </c>
      <c r="X112" s="89"/>
      <c r="Y112" s="65">
        <f>VLOOKUP($I112,'[17]Resumen OPE'!$A$84:$M$105,Y$1,0)</f>
        <v>22886.0583970197</v>
      </c>
      <c r="Z112" s="65">
        <f>VLOOKUP($I112,'[17]Resumen OPE'!$A$84:$M$105,Z$1,0)</f>
        <v>20855.803658070461</v>
      </c>
      <c r="AA112" s="65">
        <f>VLOOKUP($I112,'[17]Resumen OPE'!$A$84:$M$105,AA$1,0)</f>
        <v>22886.0583970197</v>
      </c>
      <c r="AB112" s="65">
        <f>VLOOKUP($I112,'[17]Resumen OPE'!$A$84:$M$105,AB$1,0)</f>
        <v>21734.100401332442</v>
      </c>
      <c r="AC112" s="65">
        <f>VLOOKUP($I112,'[17]Resumen OPE'!$A$84:$M$105,AC$1,0)</f>
        <v>22886.0583970197</v>
      </c>
      <c r="AD112" s="65">
        <f>VLOOKUP($I112,'[17]Resumen OPE'!$A$84:$M$105,AD$1,0)</f>
        <v>21734.100401332442</v>
      </c>
      <c r="AE112" s="65">
        <f>VLOOKUP($I112,'[17]Resumen OPE'!$A$84:$M$105,AE$1,0)</f>
        <v>22410.851980982185</v>
      </c>
      <c r="AF112" s="65">
        <f>VLOOKUP($I112,'[17]Resumen OPE'!$A$84:$M$105,AF$1,0)</f>
        <v>22410.851980982185</v>
      </c>
      <c r="AG112" s="65">
        <f>VLOOKUP($I112,'[17]Resumen OPE'!$A$84:$M$105,AG$1,0)</f>
        <v>22209.306817369954</v>
      </c>
      <c r="AH112" s="65">
        <f>VLOOKUP($I112,'[17]Resumen OPE'!$A$84:$M$105,AH$1,0)</f>
        <v>22410.851980982185</v>
      </c>
      <c r="AI112" s="65">
        <f>VLOOKUP($I112,'[17]Resumen OPE'!$A$84:$M$105,AI$1,0)</f>
        <v>22209.306817369954</v>
      </c>
      <c r="AJ112" s="65">
        <f>VLOOKUP($I112,'[17]Resumen OPE'!$A$84:$M$105,AJ$1,0)</f>
        <v>22886.0583970197</v>
      </c>
      <c r="AK112" s="65">
        <f t="shared" si="72"/>
        <v>267519.40762650053</v>
      </c>
      <c r="AL112" s="73">
        <f t="shared" si="37"/>
        <v>2.0885722411476309E-3</v>
      </c>
      <c r="AM112" s="14">
        <f t="shared" si="38"/>
        <v>0.21052122727565492</v>
      </c>
      <c r="AN112" s="9"/>
    </row>
    <row r="113" spans="1:40" ht="15" hidden="1" customHeight="1" outlineLevel="1">
      <c r="A113" s="12" t="s">
        <v>215</v>
      </c>
      <c r="B113" s="8" t="s">
        <v>88</v>
      </c>
      <c r="I113" s="246" t="s">
        <v>220</v>
      </c>
      <c r="J113" s="65">
        <v>5077</v>
      </c>
      <c r="K113" s="65">
        <v>6184</v>
      </c>
      <c r="L113" s="65">
        <v>8036</v>
      </c>
      <c r="M113" s="65">
        <v>6982</v>
      </c>
      <c r="N113" s="65">
        <v>8092</v>
      </c>
      <c r="O113" s="65">
        <v>7216</v>
      </c>
      <c r="P113" s="65">
        <v>8089</v>
      </c>
      <c r="Q113" s="65">
        <v>8569</v>
      </c>
      <c r="R113" s="225">
        <v>7894</v>
      </c>
      <c r="S113" s="225">
        <v>6332</v>
      </c>
      <c r="T113" s="225">
        <f t="shared" si="81"/>
        <v>7598.333333333333</v>
      </c>
      <c r="U113" s="225">
        <f t="shared" si="82"/>
        <v>7274.7777777777774</v>
      </c>
      <c r="V113" s="65">
        <f t="shared" si="83"/>
        <v>87344.111111111109</v>
      </c>
      <c r="W113" s="73">
        <f t="shared" si="35"/>
        <v>7.4192879228371681E-4</v>
      </c>
      <c r="X113" s="89"/>
      <c r="Y113" s="65">
        <f>VLOOKUP($I113,'[17]Resumen OPE'!$A$84:$M$105,Y$1,0)</f>
        <v>8788.0005491328211</v>
      </c>
      <c r="Z113" s="65">
        <f>VLOOKUP($I113,'[17]Resumen OPE'!$A$84:$M$105,Z$1,0)</f>
        <v>8788.0005491328211</v>
      </c>
      <c r="AA113" s="65">
        <f>VLOOKUP($I113,'[17]Resumen OPE'!$A$84:$M$105,AA$1,0)</f>
        <v>8788.0005491328211</v>
      </c>
      <c r="AB113" s="65">
        <f>VLOOKUP($I113,'[17]Resumen OPE'!$A$84:$M$105,AB$1,0)</f>
        <v>8788.0005491328211</v>
      </c>
      <c r="AC113" s="65">
        <f>VLOOKUP($I113,'[17]Resumen OPE'!$A$84:$M$105,AC$1,0)</f>
        <v>8788.0005491328211</v>
      </c>
      <c r="AD113" s="65">
        <f>VLOOKUP($I113,'[17]Resumen OPE'!$A$84:$M$105,AD$1,0)</f>
        <v>8788.0005491328211</v>
      </c>
      <c r="AE113" s="65">
        <f>VLOOKUP($I113,'[17]Resumen OPE'!$A$84:$M$105,AE$1,0)</f>
        <v>8788.0005491328211</v>
      </c>
      <c r="AF113" s="65">
        <f>VLOOKUP($I113,'[17]Resumen OPE'!$A$84:$M$105,AF$1,0)</f>
        <v>8788.0005491328211</v>
      </c>
      <c r="AG113" s="65">
        <f>VLOOKUP($I113,'[17]Resumen OPE'!$A$84:$M$105,AG$1,0)</f>
        <v>8788.0005491328211</v>
      </c>
      <c r="AH113" s="65">
        <f>VLOOKUP($I113,'[17]Resumen OPE'!$A$84:$M$105,AH$1,0)</f>
        <v>8788.0005491328211</v>
      </c>
      <c r="AI113" s="65">
        <f>VLOOKUP($I113,'[17]Resumen OPE'!$A$84:$M$105,AI$1,0)</f>
        <v>8788.0005491328211</v>
      </c>
      <c r="AJ113" s="65">
        <f>VLOOKUP($I113,'[17]Resumen OPE'!$A$84:$M$105,AJ$1,0)</f>
        <v>8788.0005491328211</v>
      </c>
      <c r="AK113" s="65">
        <f t="shared" si="72"/>
        <v>105456.00658959385</v>
      </c>
      <c r="AL113" s="73">
        <f t="shared" si="37"/>
        <v>8.2331405403235152E-4</v>
      </c>
      <c r="AM113" s="14">
        <f t="shared" si="38"/>
        <v>0.20736252562513857</v>
      </c>
      <c r="AN113" s="9"/>
    </row>
    <row r="114" spans="1:40" ht="14.45" customHeight="1" collapsed="1">
      <c r="A114" s="12" t="s">
        <v>221</v>
      </c>
      <c r="B114" s="8" t="s">
        <v>88</v>
      </c>
      <c r="C114" s="8" t="s">
        <v>222</v>
      </c>
      <c r="I114" s="167" t="s">
        <v>223</v>
      </c>
      <c r="J114" s="15">
        <v>114758</v>
      </c>
      <c r="K114" s="15">
        <v>44590</v>
      </c>
      <c r="L114" s="15">
        <v>91449</v>
      </c>
      <c r="M114" s="15">
        <v>107981</v>
      </c>
      <c r="N114" s="15">
        <v>162371</v>
      </c>
      <c r="O114" s="15">
        <v>147457</v>
      </c>
      <c r="P114" s="15">
        <v>128669</v>
      </c>
      <c r="Q114" s="15">
        <v>227256</v>
      </c>
      <c r="R114" s="15">
        <v>136156</v>
      </c>
      <c r="S114" s="15">
        <v>178099</v>
      </c>
      <c r="T114" s="15">
        <v>103983.82276398988</v>
      </c>
      <c r="U114" s="15">
        <v>109236.04528123947</v>
      </c>
      <c r="V114" s="15">
        <f t="shared" ref="V114" si="84">SUM(V115:V150)</f>
        <v>1555006.8680452295</v>
      </c>
      <c r="W114" s="72">
        <f t="shared" si="35"/>
        <v>1.3208725269801488E-2</v>
      </c>
      <c r="X114" s="89"/>
      <c r="Y114" s="15">
        <f>SUM(Y115:Y150)</f>
        <v>147515.52426804759</v>
      </c>
      <c r="Z114" s="15">
        <f t="shared" ref="Z114:AK114" si="85">SUM(Z115:Z150)</f>
        <v>164866.67769078258</v>
      </c>
      <c r="AA114" s="15">
        <f t="shared" si="85"/>
        <v>150832.52935484378</v>
      </c>
      <c r="AB114" s="15">
        <f t="shared" si="85"/>
        <v>99995.280658467629</v>
      </c>
      <c r="AC114" s="15">
        <f t="shared" si="85"/>
        <v>115140.20374680794</v>
      </c>
      <c r="AD114" s="15">
        <f t="shared" si="85"/>
        <v>109005.72228754335</v>
      </c>
      <c r="AE114" s="15">
        <f t="shared" si="85"/>
        <v>146342.35211563861</v>
      </c>
      <c r="AF114" s="15">
        <f t="shared" si="85"/>
        <v>167456.10758153483</v>
      </c>
      <c r="AG114" s="15">
        <f t="shared" si="85"/>
        <v>127900.82161804271</v>
      </c>
      <c r="AH114" s="15">
        <f t="shared" si="85"/>
        <v>106629.68611703845</v>
      </c>
      <c r="AI114" s="15">
        <f t="shared" si="85"/>
        <v>117421.26600830455</v>
      </c>
      <c r="AJ114" s="15">
        <f t="shared" si="85"/>
        <v>105695.36587628638</v>
      </c>
      <c r="AK114" s="15">
        <f t="shared" si="85"/>
        <v>1558801.5373233384</v>
      </c>
      <c r="AL114" s="72">
        <f t="shared" si="37"/>
        <v>1.2169844607525475E-2</v>
      </c>
      <c r="AM114" s="10">
        <f t="shared" si="38"/>
        <v>2.4402910084115881E-3</v>
      </c>
      <c r="AN114" s="9"/>
    </row>
    <row r="115" spans="1:40" ht="14.45" hidden="1" customHeight="1" outlineLevel="1">
      <c r="A115" s="12" t="s">
        <v>221</v>
      </c>
      <c r="B115" s="8" t="s">
        <v>88</v>
      </c>
      <c r="I115" s="246" t="s">
        <v>225</v>
      </c>
      <c r="J115" s="65">
        <v>0</v>
      </c>
      <c r="K115" s="65">
        <v>0</v>
      </c>
      <c r="L115" s="65">
        <v>824</v>
      </c>
      <c r="M115" s="65">
        <v>9000</v>
      </c>
      <c r="N115" s="65">
        <v>5400</v>
      </c>
      <c r="O115" s="65">
        <v>0</v>
      </c>
      <c r="P115" s="65">
        <v>6500</v>
      </c>
      <c r="Q115" s="65">
        <v>0</v>
      </c>
      <c r="R115" s="65">
        <v>0</v>
      </c>
      <c r="S115" s="65">
        <v>0</v>
      </c>
      <c r="T115" s="65">
        <v>3762.7200000000003</v>
      </c>
      <c r="U115" s="65">
        <v>3762.7200000000003</v>
      </c>
      <c r="V115" s="65">
        <f t="shared" ref="V115:V150" si="86">SUM(J115:U115)</f>
        <v>29249.440000000002</v>
      </c>
      <c r="W115" s="73">
        <f t="shared" si="35"/>
        <v>2.4845409058624494E-4</v>
      </c>
      <c r="X115" s="89"/>
      <c r="Y115" s="65">
        <f>VLOOKUP($E$1,[18]Resumen!$V$8:$AI$14,Y1,0)+VLOOKUP($E$1,[6]Resumen!$C$32:$O$39,Y1,0)</f>
        <v>4047.3343999999997</v>
      </c>
      <c r="Z115" s="65">
        <f>VLOOKUP($E$1,[18]Resumen!$V$8:$AI$14,Z1,0)+VLOOKUP($E$1,[6]Resumen!$C$32:$O$39,Z1,0)</f>
        <v>4047.3343999999997</v>
      </c>
      <c r="AA115" s="65">
        <f>VLOOKUP($E$1,[18]Resumen!$V$8:$AI$14,AA1,0)+VLOOKUP($E$1,[6]Resumen!$C$32:$O$39,AA1,0)</f>
        <v>4047.3343999999997</v>
      </c>
      <c r="AB115" s="65">
        <f>VLOOKUP($E$1,[18]Resumen!$V$8:$AI$14,AB1,0)+VLOOKUP($E$1,[6]Resumen!$C$32:$O$39,AB1,0)</f>
        <v>4047.3343999999997</v>
      </c>
      <c r="AC115" s="65">
        <f>VLOOKUP($E$1,[18]Resumen!$V$8:$AI$14,AC1,0)+VLOOKUP($E$1,[6]Resumen!$C$32:$O$39,AC1,0)</f>
        <v>4047.3343999999997</v>
      </c>
      <c r="AD115" s="65">
        <f>VLOOKUP($E$1,[18]Resumen!$V$8:$AI$14,AD1,0)+VLOOKUP($E$1,[6]Resumen!$C$32:$O$39,AD1,0)</f>
        <v>4047.3343999999997</v>
      </c>
      <c r="AE115" s="65">
        <f>VLOOKUP($E$1,[18]Resumen!$V$8:$AI$14,AE1,0)+VLOOKUP($E$1,[6]Resumen!$C$32:$O$39,AE1,0)</f>
        <v>4047.3343999999997</v>
      </c>
      <c r="AF115" s="65">
        <f>VLOOKUP($E$1,[18]Resumen!$V$8:$AI$14,AF1,0)+VLOOKUP($E$1,[6]Resumen!$C$32:$O$39,AF1,0)</f>
        <v>4047.3343999999997</v>
      </c>
      <c r="AG115" s="65">
        <f>VLOOKUP($E$1,[18]Resumen!$V$8:$AI$14,AG1,0)+VLOOKUP($E$1,[6]Resumen!$C$32:$O$39,AG1,0)</f>
        <v>4047.3343999999997</v>
      </c>
      <c r="AH115" s="65">
        <f>VLOOKUP($E$1,[18]Resumen!$V$8:$AI$14,AH1,0)+VLOOKUP($E$1,[6]Resumen!$C$32:$O$39,AH1,0)</f>
        <v>4047.3343999999997</v>
      </c>
      <c r="AI115" s="65">
        <f>VLOOKUP($E$1,[18]Resumen!$V$8:$AI$14,AI1,0)+VLOOKUP($E$1,[6]Resumen!$C$32:$O$39,AI1,0)</f>
        <v>4047.3343999999997</v>
      </c>
      <c r="AJ115" s="65">
        <f>VLOOKUP($E$1,[18]Resumen!$V$8:$AI$14,AJ1,0)+VLOOKUP($E$1,[6]Resumen!$C$32:$O$39,AJ1,0)</f>
        <v>4047.3343999999997</v>
      </c>
      <c r="AK115" s="65">
        <f t="shared" si="72"/>
        <v>48568.012799999997</v>
      </c>
      <c r="AL115" s="73">
        <f t="shared" si="37"/>
        <v>3.7917923130050457E-4</v>
      </c>
      <c r="AM115" s="14">
        <f t="shared" si="38"/>
        <v>0.66047667237389818</v>
      </c>
      <c r="AN115" s="9"/>
    </row>
    <row r="116" spans="1:40" ht="14.45" hidden="1" customHeight="1" outlineLevel="1">
      <c r="A116" s="12"/>
      <c r="I116" s="246" t="s">
        <v>227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/>
      <c r="U116" s="65"/>
      <c r="V116" s="65">
        <f t="shared" si="86"/>
        <v>0</v>
      </c>
      <c r="W116" s="73">
        <f t="shared" si="35"/>
        <v>0</v>
      </c>
      <c r="X116" s="89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>
        <f t="shared" si="72"/>
        <v>0</v>
      </c>
      <c r="AL116" s="73">
        <f t="shared" si="37"/>
        <v>0</v>
      </c>
      <c r="AM116" s="14">
        <f t="shared" si="38"/>
        <v>0</v>
      </c>
      <c r="AN116" s="9"/>
    </row>
    <row r="117" spans="1:40" ht="14.45" hidden="1" customHeight="1" outlineLevel="1">
      <c r="A117" s="12"/>
      <c r="I117" s="246" t="s">
        <v>228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/>
      <c r="U117" s="65"/>
      <c r="V117" s="65">
        <f t="shared" si="86"/>
        <v>0</v>
      </c>
      <c r="W117" s="73">
        <f t="shared" si="35"/>
        <v>0</v>
      </c>
      <c r="X117" s="89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>
        <f t="shared" si="72"/>
        <v>0</v>
      </c>
      <c r="AL117" s="73">
        <f t="shared" si="37"/>
        <v>0</v>
      </c>
      <c r="AM117" s="14">
        <f t="shared" si="38"/>
        <v>0</v>
      </c>
      <c r="AN117" s="9"/>
    </row>
    <row r="118" spans="1:40" ht="14.45" hidden="1" customHeight="1" outlineLevel="1">
      <c r="A118" s="12"/>
      <c r="E118" s="7" t="s">
        <v>474</v>
      </c>
      <c r="I118" s="246" t="s">
        <v>229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15080</v>
      </c>
      <c r="S118" s="65">
        <v>0</v>
      </c>
      <c r="T118" s="65">
        <v>0</v>
      </c>
      <c r="U118" s="65">
        <v>0</v>
      </c>
      <c r="V118" s="65">
        <f t="shared" si="86"/>
        <v>15080</v>
      </c>
      <c r="W118" s="73">
        <f t="shared" si="35"/>
        <v>1.2809433910668282E-4</v>
      </c>
      <c r="X118" s="89"/>
      <c r="Y118" s="65">
        <f>VLOOKUP($E$1,[9]Resumen!$V$22:$AH$28,Y1,0)</f>
        <v>0</v>
      </c>
      <c r="Z118" s="65">
        <f>VLOOKUP($E$1,[9]Resumen!$V$22:$AH$28,Z1,0)</f>
        <v>36228.5</v>
      </c>
      <c r="AA118" s="65">
        <f>VLOOKUP($E$1,[9]Resumen!$V$22:$AH$28,AA1,0)</f>
        <v>0</v>
      </c>
      <c r="AB118" s="65">
        <f>VLOOKUP($E$1,[9]Resumen!$V$22:$AH$28,AB1,0)</f>
        <v>0</v>
      </c>
      <c r="AC118" s="65">
        <f>VLOOKUP($E$1,[9]Resumen!$V$22:$AH$28,AC1,0)</f>
        <v>0</v>
      </c>
      <c r="AD118" s="65">
        <f>VLOOKUP($E$1,[9]Resumen!$V$22:$AH$28,AD1,0)</f>
        <v>0</v>
      </c>
      <c r="AE118" s="65">
        <f>VLOOKUP($E$1,[9]Resumen!$V$22:$AH$28,AE1,0)</f>
        <v>0</v>
      </c>
      <c r="AF118" s="65">
        <f>VLOOKUP($E$1,[9]Resumen!$V$22:$AH$28,AF1,0)</f>
        <v>0</v>
      </c>
      <c r="AG118" s="65">
        <f>VLOOKUP($E$1,[9]Resumen!$V$22:$AH$28,AG1,0)</f>
        <v>0</v>
      </c>
      <c r="AH118" s="65">
        <f>VLOOKUP($E$1,[9]Resumen!$V$22:$AH$28,AH1,0)</f>
        <v>0</v>
      </c>
      <c r="AI118" s="65">
        <f>VLOOKUP($E$1,[9]Resumen!$V$22:$AH$28,AI1,0)</f>
        <v>0</v>
      </c>
      <c r="AJ118" s="65">
        <f>VLOOKUP($E$1,[9]Resumen!$V$22:$AH$28,AJ1,0)</f>
        <v>0</v>
      </c>
      <c r="AK118" s="65">
        <f t="shared" si="72"/>
        <v>36228.5</v>
      </c>
      <c r="AL118" s="73">
        <f t="shared" si="37"/>
        <v>2.8284243042306091E-4</v>
      </c>
      <c r="AM118" s="14">
        <f t="shared" si="38"/>
        <v>1.402420424403183</v>
      </c>
      <c r="AN118" s="9"/>
    </row>
    <row r="119" spans="1:40" ht="14.45" hidden="1" customHeight="1" outlineLevel="1">
      <c r="A119" s="12"/>
      <c r="I119" s="246" t="s">
        <v>231</v>
      </c>
      <c r="J119" s="65">
        <v>0</v>
      </c>
      <c r="K119" s="65">
        <v>0</v>
      </c>
      <c r="L119" s="65">
        <v>0</v>
      </c>
      <c r="M119" s="65">
        <v>2200</v>
      </c>
      <c r="N119" s="65">
        <v>0</v>
      </c>
      <c r="O119" s="65">
        <v>0</v>
      </c>
      <c r="P119" s="65">
        <v>11314</v>
      </c>
      <c r="Q119" s="65">
        <v>6900</v>
      </c>
      <c r="R119" s="65">
        <v>0</v>
      </c>
      <c r="S119" s="65">
        <v>0</v>
      </c>
      <c r="T119" s="65">
        <v>0</v>
      </c>
      <c r="U119" s="65">
        <v>0</v>
      </c>
      <c r="V119" s="65">
        <f t="shared" si="86"/>
        <v>20414</v>
      </c>
      <c r="W119" s="73">
        <f t="shared" si="35"/>
        <v>1.734030396899087E-4</v>
      </c>
      <c r="X119" s="89"/>
      <c r="Y119" s="65">
        <f>VLOOKUP($E$1,[9]Resumen!$V$34:$AH$40,Y1,0)</f>
        <v>0</v>
      </c>
      <c r="Z119" s="65">
        <f>VLOOKUP($E$1,[9]Resumen!$V$34:$AH$40,Z1,0)</f>
        <v>0</v>
      </c>
      <c r="AA119" s="65">
        <f>VLOOKUP($E$1,[9]Resumen!$V$34:$AH$40,AA1,0)</f>
        <v>0</v>
      </c>
      <c r="AB119" s="65">
        <f>VLOOKUP($E$1,[9]Resumen!$V$34:$AH$40,AB1,0)</f>
        <v>0</v>
      </c>
      <c r="AC119" s="65">
        <f>VLOOKUP($E$1,[9]Resumen!$V$34:$AH$40,AC1,0)</f>
        <v>0</v>
      </c>
      <c r="AD119" s="65">
        <f>VLOOKUP($E$1,[9]Resumen!$V$34:$AH$40,AD1,0)</f>
        <v>0</v>
      </c>
      <c r="AE119" s="65">
        <f>VLOOKUP($E$1,[9]Resumen!$V$34:$AH$40,AE1,0)</f>
        <v>22169.771799999999</v>
      </c>
      <c r="AF119" s="65">
        <f>VLOOKUP($E$1,[9]Resumen!$V$34:$AH$40,AF1,0)</f>
        <v>0</v>
      </c>
      <c r="AG119" s="65">
        <f>VLOOKUP($E$1,[9]Resumen!$V$34:$AH$40,AG1,0)</f>
        <v>0</v>
      </c>
      <c r="AH119" s="65">
        <f>VLOOKUP($E$1,[9]Resumen!$V$34:$AH$40,AH1,0)</f>
        <v>0</v>
      </c>
      <c r="AI119" s="65">
        <f>VLOOKUP($E$1,[9]Resumen!$V$34:$AH$40,AI1,0)</f>
        <v>0</v>
      </c>
      <c r="AJ119" s="65">
        <f>VLOOKUP($E$1,[9]Resumen!$V$34:$AH$40,AJ1,0)</f>
        <v>0</v>
      </c>
      <c r="AK119" s="65">
        <f t="shared" si="72"/>
        <v>22169.771799999999</v>
      </c>
      <c r="AL119" s="73">
        <f t="shared" si="37"/>
        <v>1.7308340499431766E-4</v>
      </c>
      <c r="AM119" s="14">
        <f t="shared" si="38"/>
        <v>8.6008219849122991E-2</v>
      </c>
      <c r="AN119" s="9"/>
    </row>
    <row r="120" spans="1:40" ht="14.45" hidden="1" customHeight="1" outlineLevel="1">
      <c r="A120" s="12"/>
      <c r="I120" s="246" t="s">
        <v>232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/>
      <c r="U120" s="65"/>
      <c r="V120" s="65">
        <f t="shared" si="86"/>
        <v>0</v>
      </c>
      <c r="W120" s="73">
        <f t="shared" si="35"/>
        <v>0</v>
      </c>
      <c r="X120" s="89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>
        <f t="shared" si="72"/>
        <v>0</v>
      </c>
      <c r="AL120" s="73">
        <f t="shared" si="37"/>
        <v>0</v>
      </c>
      <c r="AM120" s="14">
        <f t="shared" si="38"/>
        <v>0</v>
      </c>
      <c r="AN120" s="9"/>
    </row>
    <row r="121" spans="1:40" ht="14.45" hidden="1" customHeight="1" outlineLevel="1">
      <c r="A121" s="12"/>
      <c r="I121" s="246" t="s">
        <v>233</v>
      </c>
      <c r="J121" s="65">
        <v>37688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f t="shared" si="86"/>
        <v>37688</v>
      </c>
      <c r="W121" s="73">
        <f>V121/V$6</f>
        <v>3.2013391593187419E-4</v>
      </c>
      <c r="X121" s="89"/>
      <c r="Y121" s="65">
        <f>VLOOKUP($E$1,[8]Resumen!$V$68:$AH$74,Y1,0)</f>
        <v>39010.8488</v>
      </c>
      <c r="Z121" s="65">
        <f>VLOOKUP($E$1,[8]Resumen!$V$68:$AH$74,Z1,0)</f>
        <v>0</v>
      </c>
      <c r="AA121" s="65">
        <f>VLOOKUP($E$1,[8]Resumen!$V$68:$AH$74,AA1,0)</f>
        <v>0</v>
      </c>
      <c r="AB121" s="65">
        <f>VLOOKUP($E$1,[8]Resumen!$V$68:$AH$74,AB1,0)</f>
        <v>0</v>
      </c>
      <c r="AC121" s="65">
        <f>VLOOKUP($E$1,[8]Resumen!$V$68:$AH$74,AC1,0)</f>
        <v>0</v>
      </c>
      <c r="AD121" s="65">
        <f>VLOOKUP($E$1,[8]Resumen!$V$68:$AH$74,AD1,0)</f>
        <v>0</v>
      </c>
      <c r="AE121" s="65">
        <f>VLOOKUP($E$1,[8]Resumen!$V$68:$AH$74,AE1,0)</f>
        <v>0</v>
      </c>
      <c r="AF121" s="65">
        <f>VLOOKUP($E$1,[8]Resumen!$V$68:$AH$74,AF1,0)</f>
        <v>0</v>
      </c>
      <c r="AG121" s="65">
        <f>VLOOKUP($E$1,[8]Resumen!$V$68:$AH$74,AG1,0)</f>
        <v>0</v>
      </c>
      <c r="AH121" s="65">
        <f>VLOOKUP($E$1,[8]Resumen!$V$68:$AH$74,AH1,0)</f>
        <v>0</v>
      </c>
      <c r="AI121" s="65">
        <f>VLOOKUP($E$1,[8]Resumen!$V$68:$AH$74,AI1,0)</f>
        <v>0</v>
      </c>
      <c r="AJ121" s="65">
        <f>VLOOKUP($E$1,[8]Resumen!$V$68:$AH$74,AJ1,0)</f>
        <v>0</v>
      </c>
      <c r="AK121" s="65">
        <f t="shared" si="72"/>
        <v>39010.8488</v>
      </c>
      <c r="AL121" s="73">
        <f>AK121/AK$6</f>
        <v>3.0456472907955195E-4</v>
      </c>
      <c r="AM121" s="14">
        <f>IFERROR(AK121/V121-1,0)</f>
        <v>3.5099999999999909E-2</v>
      </c>
      <c r="AN121" s="9"/>
    </row>
    <row r="122" spans="1:40" ht="14.45" hidden="1" customHeight="1" outlineLevel="1">
      <c r="A122" s="12"/>
      <c r="I122" s="246" t="s">
        <v>234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/>
      <c r="U122" s="65"/>
      <c r="V122" s="65">
        <f t="shared" si="86"/>
        <v>0</v>
      </c>
      <c r="W122" s="73">
        <f>V122/V$6</f>
        <v>0</v>
      </c>
      <c r="X122" s="89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>
        <f t="shared" si="72"/>
        <v>0</v>
      </c>
      <c r="AL122" s="73">
        <f>AK122/AK$6</f>
        <v>0</v>
      </c>
      <c r="AM122" s="14">
        <f>IFERROR(AK122/V122-1,0)</f>
        <v>0</v>
      </c>
      <c r="AN122" s="9"/>
    </row>
    <row r="123" spans="1:40" ht="14.45" hidden="1" customHeight="1" outlineLevel="1">
      <c r="A123" s="12"/>
      <c r="I123" s="246" t="s">
        <v>235</v>
      </c>
      <c r="J123" s="65">
        <v>6100</v>
      </c>
      <c r="K123" s="65">
        <v>0</v>
      </c>
      <c r="L123" s="65"/>
      <c r="M123" s="65">
        <v>0</v>
      </c>
      <c r="N123" s="65"/>
      <c r="O123" s="65"/>
      <c r="P123" s="65"/>
      <c r="Q123" s="65"/>
      <c r="R123" s="65"/>
      <c r="S123" s="65"/>
      <c r="T123" s="65">
        <v>0</v>
      </c>
      <c r="U123" s="65">
        <v>0</v>
      </c>
      <c r="V123" s="65">
        <f t="shared" si="86"/>
        <v>6100</v>
      </c>
      <c r="W123" s="73">
        <f>V123/V$6</f>
        <v>5.1815349373392925E-5</v>
      </c>
      <c r="X123" s="89"/>
      <c r="Y123" s="65">
        <f>VLOOKUP($E$1,[9]Resumen!$V$46:$AH$52,Y1,0)</f>
        <v>0</v>
      </c>
      <c r="Z123" s="65">
        <f>VLOOKUP($E$1,[9]Resumen!$V$46:$AH$52,Z1,0)</f>
        <v>6314.11</v>
      </c>
      <c r="AA123" s="65">
        <f>VLOOKUP($E$1,[9]Resumen!$V$46:$AH$52,AA1,0)</f>
        <v>0</v>
      </c>
      <c r="AB123" s="65">
        <f>VLOOKUP($E$1,[9]Resumen!$V$46:$AH$52,AB1,0)</f>
        <v>0</v>
      </c>
      <c r="AC123" s="65">
        <f>VLOOKUP($E$1,[9]Resumen!$V$46:$AH$52,AC1,0)</f>
        <v>0</v>
      </c>
      <c r="AD123" s="65">
        <f>VLOOKUP($E$1,[9]Resumen!$V$46:$AH$52,AD1,0)</f>
        <v>0</v>
      </c>
      <c r="AE123" s="65">
        <f>VLOOKUP($E$1,[9]Resumen!$V$46:$AH$52,AE1,0)</f>
        <v>0</v>
      </c>
      <c r="AF123" s="65">
        <f>VLOOKUP($E$1,[9]Resumen!$V$46:$AH$52,AF1,0)</f>
        <v>0</v>
      </c>
      <c r="AG123" s="65">
        <f>VLOOKUP($E$1,[9]Resumen!$V$46:$AH$52,AG1,0)</f>
        <v>0</v>
      </c>
      <c r="AH123" s="65">
        <f>VLOOKUP($E$1,[9]Resumen!$V$46:$AH$52,AH1,0)</f>
        <v>0</v>
      </c>
      <c r="AI123" s="65">
        <f>VLOOKUP($E$1,[9]Resumen!$V$46:$AH$52,AI1,0)</f>
        <v>0</v>
      </c>
      <c r="AJ123" s="65">
        <f>VLOOKUP($E$1,[9]Resumen!$V$46:$AH$52,AJ1,0)</f>
        <v>0</v>
      </c>
      <c r="AK123" s="65">
        <f t="shared" si="72"/>
        <v>6314.11</v>
      </c>
      <c r="AL123" s="73">
        <f>AK123/AK$6</f>
        <v>4.9295395016590606E-5</v>
      </c>
      <c r="AM123" s="14">
        <f>IFERROR(AK123/V123-1,0)</f>
        <v>3.5099999999999909E-2</v>
      </c>
      <c r="AN123" s="9"/>
    </row>
    <row r="124" spans="1:40" ht="14.45" hidden="1" customHeight="1" outlineLevel="1">
      <c r="A124" s="12"/>
      <c r="I124" s="246" t="s">
        <v>236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/>
      <c r="U124" s="65"/>
      <c r="V124" s="65">
        <f t="shared" si="86"/>
        <v>0</v>
      </c>
      <c r="W124" s="73">
        <f>V124/V$6</f>
        <v>0</v>
      </c>
      <c r="X124" s="89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>
        <f t="shared" si="72"/>
        <v>0</v>
      </c>
      <c r="AL124" s="73">
        <f>AK124/AK$6</f>
        <v>0</v>
      </c>
      <c r="AM124" s="14">
        <f>IFERROR(AK124/V124-1,0)</f>
        <v>0</v>
      </c>
      <c r="AN124" s="9"/>
    </row>
    <row r="125" spans="1:40" ht="14.45" hidden="1" customHeight="1" outlineLevel="1">
      <c r="A125" s="12"/>
      <c r="I125" s="246" t="s">
        <v>237</v>
      </c>
      <c r="J125" s="65">
        <v>10276</v>
      </c>
      <c r="K125" s="65">
        <v>10935</v>
      </c>
      <c r="L125" s="65">
        <v>11566</v>
      </c>
      <c r="M125" s="65">
        <v>3600</v>
      </c>
      <c r="N125" s="65">
        <v>119834</v>
      </c>
      <c r="O125" s="65">
        <v>85540</v>
      </c>
      <c r="P125" s="65">
        <v>69674</v>
      </c>
      <c r="Q125" s="65">
        <v>121761</v>
      </c>
      <c r="R125" s="65">
        <v>83468</v>
      </c>
      <c r="S125" s="65">
        <v>154272</v>
      </c>
      <c r="T125" s="65">
        <v>23677.794400000002</v>
      </c>
      <c r="U125" s="65">
        <v>24341.106400000001</v>
      </c>
      <c r="V125" s="65">
        <f t="shared" ref="V125:V136" si="87">SUM(J125:U125)</f>
        <v>718944.90080000006</v>
      </c>
      <c r="W125" s="73">
        <f t="shared" ref="W125:W136" si="88">V125/V$6</f>
        <v>6.1069477401920194E-3</v>
      </c>
      <c r="X125" s="89"/>
      <c r="Y125" s="65">
        <f>VLOOKUP($E$1,[9]Resumen!$V$58:$AH$64,Y1,0)</f>
        <v>41616.656264413999</v>
      </c>
      <c r="Z125" s="65">
        <f>VLOOKUP($E$1,[9]Resumen!$V$58:$AH$64,Z1,0)</f>
        <v>29134.157487148997</v>
      </c>
      <c r="AA125" s="65">
        <f>VLOOKUP($E$1,[9]Resumen!$V$58:$AH$64,AA1,0)</f>
        <v>38976.131773721994</v>
      </c>
      <c r="AB125" s="65">
        <f>VLOOKUP($E$1,[9]Resumen!$V$58:$AH$64,AB1,0)</f>
        <v>31870.705803408997</v>
      </c>
      <c r="AC125" s="65">
        <f>VLOOKUP($E$1,[9]Resumen!$V$58:$AH$64,AC1,0)</f>
        <v>35855.506507512997</v>
      </c>
      <c r="AD125" s="65">
        <f>VLOOKUP($E$1,[9]Resumen!$V$58:$AH$64,AD1,0)</f>
        <v>31150.559220450996</v>
      </c>
      <c r="AE125" s="65">
        <f>VLOOKUP($E$1,[9]Resumen!$V$58:$AH$64,AE1,0)</f>
        <v>42576.850942383993</v>
      </c>
      <c r="AF125" s="65">
        <f>VLOOKUP($E$1,[9]Resumen!$V$58:$AH$64,AF1,0)</f>
        <v>29950.318735039997</v>
      </c>
      <c r="AG125" s="65">
        <f>VLOOKUP($E$1,[9]Resumen!$V$58:$AH$64,AG1,0)</f>
        <v>46777.694934068997</v>
      </c>
      <c r="AH125" s="65">
        <f>VLOOKUP($E$1,[9]Resumen!$V$58:$AH$64,AH1,0)</f>
        <v>31230.405902860999</v>
      </c>
      <c r="AI125" s="65">
        <f>VLOOKUP($E$1,[9]Resumen!$V$58:$AH$64,AI1,0)</f>
        <v>29347.000307635997</v>
      </c>
      <c r="AJ125" s="65">
        <f>VLOOKUP($E$1,[9]Resumen!$V$58:$AH$64,AJ1,0)</f>
        <v>29950.318735039997</v>
      </c>
      <c r="AK125" s="65">
        <f t="shared" ref="AK125:AK135" si="89">SUM(Y125:AJ125)</f>
        <v>418436.30661368789</v>
      </c>
      <c r="AL125" s="73">
        <f t="shared" ref="AL125:AL135" si="90">AK125/AK$6</f>
        <v>3.2668076773773296E-3</v>
      </c>
      <c r="AM125" s="14">
        <f t="shared" ref="AM125:AM135" si="91">IFERROR(AK125/V125-1,0)</f>
        <v>-0.41798557003731951</v>
      </c>
      <c r="AN125" s="9"/>
    </row>
    <row r="126" spans="1:40" ht="14.45" hidden="1" customHeight="1" outlineLevel="1">
      <c r="A126" s="12"/>
      <c r="I126" s="246" t="s">
        <v>238</v>
      </c>
      <c r="J126" s="65">
        <v>0</v>
      </c>
      <c r="K126" s="65">
        <v>5166</v>
      </c>
      <c r="L126" s="65">
        <v>420</v>
      </c>
      <c r="M126" s="65">
        <v>0</v>
      </c>
      <c r="N126" s="65">
        <v>0</v>
      </c>
      <c r="O126" s="65">
        <v>431</v>
      </c>
      <c r="P126" s="65">
        <v>1890</v>
      </c>
      <c r="Q126" s="65">
        <v>0</v>
      </c>
      <c r="R126" s="65">
        <v>431</v>
      </c>
      <c r="S126" s="65">
        <v>0</v>
      </c>
      <c r="T126" s="65">
        <v>1266.72</v>
      </c>
      <c r="U126" s="65">
        <v>0</v>
      </c>
      <c r="V126" s="65">
        <f t="shared" si="87"/>
        <v>9604.7199999999993</v>
      </c>
      <c r="W126" s="73">
        <f t="shared" si="88"/>
        <v>8.1585561054690892E-5</v>
      </c>
      <c r="X126" s="89"/>
      <c r="Y126" s="65">
        <f>VLOOKUP($E$1,[9]Resumen!$V$70:$AH$76,Y1,0)</f>
        <v>0</v>
      </c>
      <c r="Z126" s="65">
        <f>VLOOKUP($E$1,[9]Resumen!$V$70:$AH$76,Z1,0)</f>
        <v>4595.8439999999991</v>
      </c>
      <c r="AA126" s="65">
        <f>VLOOKUP($E$1,[9]Resumen!$V$70:$AH$76,AA1,0)</f>
        <v>0</v>
      </c>
      <c r="AB126" s="65">
        <f>VLOOKUP($E$1,[9]Resumen!$V$70:$AH$76,AB1,0)</f>
        <v>455.44399999999996</v>
      </c>
      <c r="AC126" s="65">
        <f>VLOOKUP($E$1,[9]Resumen!$V$70:$AH$76,AC1,0)</f>
        <v>0</v>
      </c>
      <c r="AD126" s="65">
        <f>VLOOKUP($E$1,[9]Resumen!$V$70:$AH$76,AD1,0)</f>
        <v>455.44399999999996</v>
      </c>
      <c r="AE126" s="65">
        <f>VLOOKUP($E$1,[9]Resumen!$V$70:$AH$76,AE1,0)</f>
        <v>0</v>
      </c>
      <c r="AF126" s="65">
        <f>VLOOKUP($E$1,[9]Resumen!$V$70:$AH$76,AF1,0)</f>
        <v>455.44399999999996</v>
      </c>
      <c r="AG126" s="65">
        <f>VLOOKUP($E$1,[9]Resumen!$V$70:$AH$76,AG1,0)</f>
        <v>455.44399999999996</v>
      </c>
      <c r="AH126" s="65">
        <f>VLOOKUP($E$1,[9]Resumen!$V$70:$AH$76,AH1,0)</f>
        <v>455.44399999999996</v>
      </c>
      <c r="AI126" s="65">
        <f>VLOOKUP($E$1,[9]Resumen!$V$70:$AH$76,AI1,0)</f>
        <v>0</v>
      </c>
      <c r="AJ126" s="65">
        <f>VLOOKUP($E$1,[9]Resumen!$V$70:$AH$76,AJ1,0)</f>
        <v>0</v>
      </c>
      <c r="AK126" s="65">
        <f t="shared" si="89"/>
        <v>6873.0639999999967</v>
      </c>
      <c r="AL126" s="73">
        <f t="shared" si="90"/>
        <v>5.3659249657403524E-5</v>
      </c>
      <c r="AM126" s="14">
        <f t="shared" si="91"/>
        <v>-0.28440766623077018</v>
      </c>
      <c r="AN126" s="9"/>
    </row>
    <row r="127" spans="1:40" ht="14.45" hidden="1" customHeight="1" outlineLevel="1">
      <c r="A127" s="12"/>
      <c r="I127" s="250" t="s">
        <v>239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3499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f t="shared" si="87"/>
        <v>3499</v>
      </c>
      <c r="W127" s="73">
        <f t="shared" si="88"/>
        <v>2.9721624173360955E-5</v>
      </c>
      <c r="X127" s="89"/>
      <c r="Y127" s="65">
        <f>VLOOKUP($E$1,[8]Resumen!$V$80:$AH$86,Y1,0)</f>
        <v>0</v>
      </c>
      <c r="Z127" s="65">
        <f>VLOOKUP($E$1,[8]Resumen!$V$80:$AH$86,Z1,0)</f>
        <v>0</v>
      </c>
      <c r="AA127" s="65">
        <f>VLOOKUP($E$1,[8]Resumen!$V$80:$AH$86,AA1,0)</f>
        <v>0</v>
      </c>
      <c r="AB127" s="65">
        <f>VLOOKUP($E$1,[8]Resumen!$V$80:$AH$86,AB1,0)</f>
        <v>0</v>
      </c>
      <c r="AC127" s="65">
        <f>VLOOKUP($E$1,[8]Resumen!$V$80:$AH$86,AC1,0)</f>
        <v>0</v>
      </c>
      <c r="AD127" s="65">
        <f>VLOOKUP($E$1,[8]Resumen!$V$80:$AH$86,AD1,0)</f>
        <v>0</v>
      </c>
      <c r="AE127" s="65">
        <f>VLOOKUP($E$1,[8]Resumen!$V$80:$AH$86,AE1,0)</f>
        <v>4201.305284</v>
      </c>
      <c r="AF127" s="65">
        <f>VLOOKUP($E$1,[8]Resumen!$V$80:$AH$86,AF1,0)</f>
        <v>0</v>
      </c>
      <c r="AG127" s="65">
        <f>VLOOKUP($E$1,[8]Resumen!$V$80:$AH$86,AG1,0)</f>
        <v>0</v>
      </c>
      <c r="AH127" s="65">
        <f>VLOOKUP($E$1,[8]Resumen!$V$80:$AH$86,AH1,0)</f>
        <v>0</v>
      </c>
      <c r="AI127" s="65">
        <f>VLOOKUP($E$1,[8]Resumen!$V$80:$AH$86,AI1,0)</f>
        <v>0</v>
      </c>
      <c r="AJ127" s="65">
        <f>VLOOKUP($E$1,[8]Resumen!$V$80:$AH$86,AJ1,0)</f>
        <v>0</v>
      </c>
      <c r="AK127" s="65">
        <f t="shared" si="89"/>
        <v>4201.305284</v>
      </c>
      <c r="AL127" s="73">
        <f t="shared" si="90"/>
        <v>3.2800347722809616E-5</v>
      </c>
      <c r="AM127" s="14">
        <f t="shared" si="91"/>
        <v>0.20071600000000012</v>
      </c>
      <c r="AN127" s="9"/>
    </row>
    <row r="128" spans="1:40" ht="14.45" hidden="1" customHeight="1" outlineLevel="1">
      <c r="A128" s="12"/>
      <c r="I128" s="246" t="s">
        <v>240</v>
      </c>
      <c r="J128" s="65">
        <v>0</v>
      </c>
      <c r="K128" s="65">
        <v>0</v>
      </c>
      <c r="L128" s="65">
        <v>0</v>
      </c>
      <c r="M128" s="65">
        <v>9600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f t="shared" si="87"/>
        <v>9600</v>
      </c>
      <c r="W128" s="73">
        <f t="shared" si="88"/>
        <v>8.1545467866323286E-5</v>
      </c>
      <c r="X128" s="89"/>
      <c r="Y128" s="65">
        <f>VLOOKUP($E$1,[6]Resumen!$C$45:$O$51,Y1,0)+VLOOKUP($E$1,[9]Resumen!$V$82:$AH$88,Y1,0)</f>
        <v>0</v>
      </c>
      <c r="Z128" s="65">
        <f>VLOOKUP($E$1,[6]Resumen!$C$45:$O$51,Z1,0)+VLOOKUP($E$1,[9]Resumen!$V$82:$AH$88,Z1,0)</f>
        <v>10351</v>
      </c>
      <c r="AA128" s="65">
        <f>VLOOKUP($E$1,[6]Resumen!$C$45:$O$51,AA1,0)+VLOOKUP($E$1,[9]Resumen!$V$82:$AH$88,AA1,0)</f>
        <v>0</v>
      </c>
      <c r="AB128" s="65">
        <f>VLOOKUP($E$1,[6]Resumen!$C$45:$O$51,AB1,0)+VLOOKUP($E$1,[9]Resumen!$V$82:$AH$88,AB1,0)</f>
        <v>0</v>
      </c>
      <c r="AC128" s="65">
        <f>VLOOKUP($E$1,[6]Resumen!$C$45:$O$51,AC1,0)+VLOOKUP($E$1,[9]Resumen!$V$82:$AH$88,AC1,0)</f>
        <v>0</v>
      </c>
      <c r="AD128" s="65">
        <f>VLOOKUP($E$1,[6]Resumen!$C$45:$O$51,AD1,0)+VLOOKUP($E$1,[9]Resumen!$V$82:$AH$88,AD1,0)</f>
        <v>0</v>
      </c>
      <c r="AE128" s="65">
        <f>VLOOKUP($E$1,[6]Resumen!$C$45:$O$51,AE1,0)+VLOOKUP($E$1,[9]Resumen!$V$82:$AH$88,AE1,0)</f>
        <v>0</v>
      </c>
      <c r="AF128" s="65">
        <f>VLOOKUP($E$1,[6]Resumen!$C$45:$O$51,AF1,0)+VLOOKUP($E$1,[9]Resumen!$V$82:$AH$88,AF1,0)</f>
        <v>10351</v>
      </c>
      <c r="AG128" s="65">
        <f>VLOOKUP($E$1,[6]Resumen!$C$45:$O$51,AG1,0)+VLOOKUP($E$1,[9]Resumen!$V$82:$AH$88,AG1,0)</f>
        <v>0</v>
      </c>
      <c r="AH128" s="65">
        <f>VLOOKUP($E$1,[6]Resumen!$C$45:$O$51,AH1,0)+VLOOKUP($E$1,[9]Resumen!$V$82:$AH$88,AH1,0)</f>
        <v>0</v>
      </c>
      <c r="AI128" s="65">
        <f>VLOOKUP($E$1,[6]Resumen!$C$45:$O$51,AI1,0)+VLOOKUP($E$1,[9]Resumen!$V$82:$AH$88,AI1,0)</f>
        <v>0</v>
      </c>
      <c r="AJ128" s="65">
        <f>VLOOKUP($E$1,[6]Resumen!$C$45:$O$51,AJ1,0)+VLOOKUP($E$1,[9]Resumen!$V$82:$AH$88,AJ1,0)</f>
        <v>0</v>
      </c>
      <c r="AK128" s="65">
        <f t="shared" si="89"/>
        <v>20702</v>
      </c>
      <c r="AL128" s="73">
        <f t="shared" si="90"/>
        <v>1.616242459560348E-4</v>
      </c>
      <c r="AM128" s="14">
        <f t="shared" si="91"/>
        <v>1.1564583333333331</v>
      </c>
      <c r="AN128" s="9"/>
    </row>
    <row r="129" spans="1:40" ht="14.45" hidden="1" customHeight="1" outlineLevel="1">
      <c r="A129" s="12"/>
      <c r="I129" s="246" t="s">
        <v>241</v>
      </c>
      <c r="J129" s="65">
        <v>0</v>
      </c>
      <c r="K129" s="65">
        <v>6600</v>
      </c>
      <c r="L129" s="65">
        <v>0</v>
      </c>
      <c r="M129" s="65">
        <v>12350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f t="shared" si="87"/>
        <v>18950</v>
      </c>
      <c r="W129" s="73">
        <f t="shared" si="88"/>
        <v>1.6096735584029441E-4</v>
      </c>
      <c r="X129" s="89"/>
      <c r="Y129" s="65">
        <f>VLOOKUP($E$1,[9]Resumen!$V$94:$AH$100,Y1,0)</f>
        <v>0</v>
      </c>
      <c r="Z129" s="65">
        <f>VLOOKUP($E$1,[9]Resumen!$V$94:$AH$100,Z1,0)</f>
        <v>0</v>
      </c>
      <c r="AA129" s="65">
        <f>VLOOKUP($E$1,[9]Resumen!$V$94:$AH$100,AA1,0)</f>
        <v>0</v>
      </c>
      <c r="AB129" s="65">
        <f>VLOOKUP($E$1,[9]Resumen!$V$94:$AH$100,AB1,0)</f>
        <v>0</v>
      </c>
      <c r="AC129" s="65">
        <f>VLOOKUP($E$1,[9]Resumen!$V$94:$AH$100,AC1,0)</f>
        <v>0</v>
      </c>
      <c r="AD129" s="65">
        <f>VLOOKUP($E$1,[9]Resumen!$V$94:$AH$100,AD1,0)</f>
        <v>0</v>
      </c>
      <c r="AE129" s="65">
        <f>VLOOKUP($E$1,[9]Resumen!$V$94:$AH$100,AE1,0)</f>
        <v>0</v>
      </c>
      <c r="AF129" s="65">
        <f>VLOOKUP($E$1,[9]Resumen!$V$94:$AH$100,AF1,0)</f>
        <v>0</v>
      </c>
      <c r="AG129" s="65">
        <f>VLOOKUP($E$1,[9]Resumen!$V$94:$AH$100,AG1,0)</f>
        <v>0</v>
      </c>
      <c r="AH129" s="65">
        <f>VLOOKUP($E$1,[9]Resumen!$V$94:$AH$100,AH1,0)</f>
        <v>0</v>
      </c>
      <c r="AI129" s="65">
        <f>VLOOKUP($E$1,[9]Resumen!$V$94:$AH$100,AI1,0)</f>
        <v>0</v>
      </c>
      <c r="AJ129" s="65">
        <f>VLOOKUP($E$1,[9]Resumen!$V$94:$AH$100,AJ1,0)</f>
        <v>0</v>
      </c>
      <c r="AK129" s="65">
        <f t="shared" si="89"/>
        <v>0</v>
      </c>
      <c r="AL129" s="73">
        <f t="shared" si="90"/>
        <v>0</v>
      </c>
      <c r="AM129" s="14">
        <f t="shared" si="91"/>
        <v>-1</v>
      </c>
      <c r="AN129" s="9"/>
    </row>
    <row r="130" spans="1:40" ht="14.45" hidden="1" customHeight="1" outlineLevel="1">
      <c r="A130" s="12"/>
      <c r="I130" s="246" t="s">
        <v>242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/>
      <c r="U130" s="65"/>
      <c r="V130" s="65">
        <f t="shared" si="87"/>
        <v>0</v>
      </c>
      <c r="W130" s="73">
        <f t="shared" si="88"/>
        <v>0</v>
      </c>
      <c r="X130" s="89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>
        <f t="shared" si="89"/>
        <v>0</v>
      </c>
      <c r="AL130" s="73">
        <f t="shared" si="90"/>
        <v>0</v>
      </c>
      <c r="AM130" s="14">
        <f t="shared" si="91"/>
        <v>0</v>
      </c>
      <c r="AN130" s="9"/>
    </row>
    <row r="131" spans="1:40" ht="14.45" hidden="1" customHeight="1" outlineLevel="1">
      <c r="A131" s="12"/>
      <c r="I131" s="246" t="s">
        <v>243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f t="shared" si="87"/>
        <v>0</v>
      </c>
      <c r="W131" s="73">
        <f t="shared" si="88"/>
        <v>0</v>
      </c>
      <c r="X131" s="89"/>
      <c r="Y131" s="65">
        <f>VLOOKUP($E$1,[9]Resumen!$V$106:$AH$112,Y1,0)</f>
        <v>0</v>
      </c>
      <c r="Z131" s="65">
        <f>VLOOKUP($E$1,[9]Resumen!$V$106:$AH$112,Z1,0)</f>
        <v>0</v>
      </c>
      <c r="AA131" s="65">
        <f>VLOOKUP($E$1,[9]Resumen!$V$106:$AH$112,AA1,0)</f>
        <v>0</v>
      </c>
      <c r="AB131" s="65">
        <f>VLOOKUP($E$1,[9]Resumen!$V$106:$AH$112,AB1,0)</f>
        <v>0</v>
      </c>
      <c r="AC131" s="65">
        <f>VLOOKUP($E$1,[9]Resumen!$V$106:$AH$112,AC1,0)</f>
        <v>0</v>
      </c>
      <c r="AD131" s="65">
        <f>VLOOKUP($E$1,[9]Resumen!$V$106:$AH$112,AD1,0)</f>
        <v>0</v>
      </c>
      <c r="AE131" s="65">
        <f>VLOOKUP($E$1,[9]Resumen!$V$106:$AH$112,AE1,0)</f>
        <v>0</v>
      </c>
      <c r="AF131" s="65">
        <f>VLOOKUP($E$1,[9]Resumen!$V$106:$AH$112,AF1,0)</f>
        <v>0</v>
      </c>
      <c r="AG131" s="65">
        <f>VLOOKUP($E$1,[9]Resumen!$V$106:$AH$112,AG1,0)</f>
        <v>0</v>
      </c>
      <c r="AH131" s="65">
        <f>VLOOKUP($E$1,[9]Resumen!$V$106:$AH$112,AH1,0)</f>
        <v>0</v>
      </c>
      <c r="AI131" s="65">
        <f>VLOOKUP($E$1,[9]Resumen!$V$106:$AH$112,AI1,0)</f>
        <v>0</v>
      </c>
      <c r="AJ131" s="65">
        <f>VLOOKUP($E$1,[9]Resumen!$V$106:$AH$112,AJ1,0)</f>
        <v>0</v>
      </c>
      <c r="AK131" s="65">
        <f t="shared" si="89"/>
        <v>0</v>
      </c>
      <c r="AL131" s="73">
        <f t="shared" si="90"/>
        <v>0</v>
      </c>
      <c r="AM131" s="14">
        <f t="shared" si="91"/>
        <v>0</v>
      </c>
      <c r="AN131" s="9"/>
    </row>
    <row r="132" spans="1:40" ht="14.45" hidden="1" customHeight="1" outlineLevel="1">
      <c r="A132" s="12"/>
      <c r="I132" s="246" t="s">
        <v>244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/>
      <c r="U132" s="65"/>
      <c r="V132" s="65">
        <f t="shared" si="87"/>
        <v>0</v>
      </c>
      <c r="W132" s="73">
        <f t="shared" si="88"/>
        <v>0</v>
      </c>
      <c r="X132" s="89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>
        <f t="shared" si="89"/>
        <v>0</v>
      </c>
      <c r="AL132" s="73">
        <f t="shared" si="90"/>
        <v>0</v>
      </c>
      <c r="AM132" s="14">
        <f t="shared" si="91"/>
        <v>0</v>
      </c>
      <c r="AN132" s="9"/>
    </row>
    <row r="133" spans="1:40" ht="14.45" hidden="1" customHeight="1" outlineLevel="1">
      <c r="A133" s="12"/>
      <c r="I133" s="246" t="s">
        <v>245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/>
      <c r="U133" s="65"/>
      <c r="V133" s="65">
        <f t="shared" si="87"/>
        <v>0</v>
      </c>
      <c r="W133" s="73">
        <f t="shared" si="88"/>
        <v>0</v>
      </c>
      <c r="X133" s="89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>
        <f t="shared" si="89"/>
        <v>0</v>
      </c>
      <c r="AL133" s="73">
        <f t="shared" si="90"/>
        <v>0</v>
      </c>
      <c r="AM133" s="14">
        <f t="shared" si="91"/>
        <v>0</v>
      </c>
      <c r="AN133" s="9"/>
    </row>
    <row r="134" spans="1:40" ht="14.45" hidden="1" customHeight="1" outlineLevel="1">
      <c r="A134" s="12"/>
      <c r="I134" s="246" t="s">
        <v>246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/>
      <c r="U134" s="65"/>
      <c r="V134" s="65">
        <f t="shared" si="87"/>
        <v>0</v>
      </c>
      <c r="W134" s="73">
        <f t="shared" si="88"/>
        <v>0</v>
      </c>
      <c r="X134" s="89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>
        <f t="shared" si="89"/>
        <v>0</v>
      </c>
      <c r="AL134" s="73">
        <f t="shared" si="90"/>
        <v>0</v>
      </c>
      <c r="AM134" s="14">
        <f t="shared" si="91"/>
        <v>0</v>
      </c>
      <c r="AN134" s="9"/>
    </row>
    <row r="135" spans="1:40" ht="14.45" hidden="1" customHeight="1" outlineLevel="1">
      <c r="A135" s="12"/>
      <c r="I135" s="246" t="s">
        <v>247</v>
      </c>
      <c r="J135" s="65">
        <v>0</v>
      </c>
      <c r="K135" s="65">
        <v>5962</v>
      </c>
      <c r="L135" s="65">
        <v>0</v>
      </c>
      <c r="M135" s="65">
        <v>0</v>
      </c>
      <c r="N135" s="65">
        <v>0</v>
      </c>
      <c r="O135" s="65">
        <v>0</v>
      </c>
      <c r="P135" s="65">
        <v>5962</v>
      </c>
      <c r="Q135" s="65">
        <v>0</v>
      </c>
      <c r="R135" s="65">
        <v>0</v>
      </c>
      <c r="S135" s="65">
        <v>0</v>
      </c>
      <c r="T135" s="65">
        <v>1539.2</v>
      </c>
      <c r="U135" s="65">
        <v>0</v>
      </c>
      <c r="V135" s="65">
        <f t="shared" si="87"/>
        <v>13463.2</v>
      </c>
      <c r="W135" s="73">
        <f t="shared" si="88"/>
        <v>1.1436072322686289E-4</v>
      </c>
      <c r="X135" s="89"/>
      <c r="Y135" s="65">
        <f>VLOOKUP($E$1,[6]Resumen!$C$21:$O$27,Y1,0)+VLOOKUP($E$1,[9]Resumen!$V$118:$AH$124,Y1,0)</f>
        <v>4000</v>
      </c>
      <c r="Z135" s="65">
        <f>VLOOKUP($E$1,[6]Resumen!$C$21:$O$27,Z1,0)+VLOOKUP($E$1,[9]Resumen!$V$118:$AH$124,Z1,0)</f>
        <v>4000</v>
      </c>
      <c r="AA135" s="65">
        <f>VLOOKUP($E$1,[6]Resumen!$C$21:$O$27,AA1,0)+VLOOKUP($E$1,[9]Resumen!$V$118:$AH$124,AA1,0)</f>
        <v>0</v>
      </c>
      <c r="AB135" s="65">
        <f>VLOOKUP($E$1,[6]Resumen!$C$21:$O$27,AB1,0)+VLOOKUP($E$1,[9]Resumen!$V$118:$AH$124,AB1,0)</f>
        <v>0</v>
      </c>
      <c r="AC135" s="65">
        <f>VLOOKUP($E$1,[6]Resumen!$C$21:$O$27,AC1,0)+VLOOKUP($E$1,[9]Resumen!$V$118:$AH$124,AC1,0)</f>
        <v>1600</v>
      </c>
      <c r="AD135" s="65">
        <f>VLOOKUP($E$1,[6]Resumen!$C$21:$O$27,AD1,0)+VLOOKUP($E$1,[9]Resumen!$V$118:$AH$124,AD1,0)</f>
        <v>0</v>
      </c>
      <c r="AE135" s="65">
        <f>VLOOKUP($E$1,[6]Resumen!$C$21:$O$27,AE1,0)+VLOOKUP($E$1,[9]Resumen!$V$118:$AH$124,AE1,0)</f>
        <v>4000</v>
      </c>
      <c r="AF135" s="65">
        <f>VLOOKUP($E$1,[6]Resumen!$C$21:$O$27,AF1,0)+VLOOKUP($E$1,[9]Resumen!$V$118:$AH$124,AF1,0)</f>
        <v>4000</v>
      </c>
      <c r="AG135" s="65">
        <f>VLOOKUP($E$1,[6]Resumen!$C$21:$O$27,AG1,0)+VLOOKUP($E$1,[9]Resumen!$V$118:$AH$124,AG1,0)</f>
        <v>0</v>
      </c>
      <c r="AH135" s="65">
        <f>VLOOKUP($E$1,[6]Resumen!$C$21:$O$27,AH1,0)+VLOOKUP($E$1,[9]Resumen!$V$118:$AH$124,AH1,0)</f>
        <v>0</v>
      </c>
      <c r="AI135" s="65">
        <f>VLOOKUP($E$1,[6]Resumen!$C$21:$O$27,AI1,0)+VLOOKUP($E$1,[9]Resumen!$V$118:$AH$124,AI1,0)</f>
        <v>1600</v>
      </c>
      <c r="AJ135" s="65">
        <f>VLOOKUP($E$1,[6]Resumen!$C$21:$O$27,AJ1,0)+VLOOKUP($E$1,[9]Resumen!$V$118:$AH$124,AJ1,0)</f>
        <v>0</v>
      </c>
      <c r="AK135" s="65">
        <f t="shared" si="89"/>
        <v>19200</v>
      </c>
      <c r="AL135" s="73">
        <f t="shared" si="90"/>
        <v>1.4989786119002358E-4</v>
      </c>
      <c r="AM135" s="14">
        <f t="shared" si="91"/>
        <v>0.42610969160377921</v>
      </c>
      <c r="AN135" s="9"/>
    </row>
    <row r="136" spans="1:40" ht="14.45" hidden="1" customHeight="1" outlineLevel="1">
      <c r="A136" s="12"/>
      <c r="I136" s="246" t="s">
        <v>249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/>
      <c r="U136" s="65"/>
      <c r="V136" s="65">
        <f t="shared" si="87"/>
        <v>0</v>
      </c>
      <c r="W136" s="73">
        <f t="shared" si="88"/>
        <v>0</v>
      </c>
      <c r="X136" s="89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>
        <f t="shared" si="72"/>
        <v>0</v>
      </c>
      <c r="AL136" s="73">
        <f t="shared" si="37"/>
        <v>0</v>
      </c>
      <c r="AM136" s="14">
        <f t="shared" si="38"/>
        <v>0</v>
      </c>
      <c r="AN136" s="9"/>
    </row>
    <row r="137" spans="1:40" ht="14.45" hidden="1" customHeight="1" outlineLevel="1">
      <c r="A137" s="12"/>
      <c r="I137" s="246" t="s">
        <v>250</v>
      </c>
      <c r="J137" s="65">
        <v>0</v>
      </c>
      <c r="K137" s="65">
        <v>0</v>
      </c>
      <c r="L137" s="65">
        <v>5892</v>
      </c>
      <c r="M137" s="65">
        <v>1200</v>
      </c>
      <c r="N137" s="65">
        <v>0</v>
      </c>
      <c r="O137" s="65">
        <v>0</v>
      </c>
      <c r="P137" s="65">
        <v>0</v>
      </c>
      <c r="Q137" s="65">
        <v>427</v>
      </c>
      <c r="R137" s="65">
        <v>41</v>
      </c>
      <c r="S137" s="65">
        <v>0</v>
      </c>
      <c r="T137" s="65">
        <v>0</v>
      </c>
      <c r="U137" s="65">
        <v>0</v>
      </c>
      <c r="V137" s="65">
        <f t="shared" si="86"/>
        <v>7560</v>
      </c>
      <c r="W137" s="73">
        <f t="shared" si="35"/>
        <v>6.4217055944729588E-5</v>
      </c>
      <c r="X137" s="89"/>
      <c r="Y137" s="65">
        <f>VLOOKUP($E$1,[9]Resumen!$V$130:$AH$136,Y1,0)</f>
        <v>0</v>
      </c>
      <c r="Z137" s="65">
        <f>VLOOKUP($E$1,[9]Resumen!$V$130:$AH$136,Z1,0)</f>
        <v>0</v>
      </c>
      <c r="AA137" s="65">
        <f>VLOOKUP($E$1,[9]Resumen!$V$130:$AH$136,AA1,0)</f>
        <v>36407.5723</v>
      </c>
      <c r="AB137" s="65">
        <f>VLOOKUP($E$1,[9]Resumen!$V$130:$AH$136,AB1,0)</f>
        <v>0</v>
      </c>
      <c r="AC137" s="65">
        <f>VLOOKUP($E$1,[9]Resumen!$V$130:$AH$136,AC1,0)</f>
        <v>0</v>
      </c>
      <c r="AD137" s="65">
        <f>VLOOKUP($E$1,[9]Resumen!$V$130:$AH$136,AD1,0)</f>
        <v>0</v>
      </c>
      <c r="AE137" s="65">
        <f>VLOOKUP($E$1,[9]Resumen!$V$130:$AH$136,AE1,0)</f>
        <v>0</v>
      </c>
      <c r="AF137" s="65">
        <f>VLOOKUP($E$1,[9]Resumen!$V$130:$AH$136,AF1,0)</f>
        <v>36407.5723</v>
      </c>
      <c r="AG137" s="65">
        <f>VLOOKUP($E$1,[9]Resumen!$V$130:$AH$136,AG1,0)</f>
        <v>0</v>
      </c>
      <c r="AH137" s="65">
        <f>VLOOKUP($E$1,[9]Resumen!$V$130:$AH$136,AH1,0)</f>
        <v>0</v>
      </c>
      <c r="AI137" s="65">
        <f>VLOOKUP($E$1,[9]Resumen!$V$130:$AH$136,AI1,0)</f>
        <v>0</v>
      </c>
      <c r="AJ137" s="65">
        <f>VLOOKUP($E$1,[9]Resumen!$V$130:$AH$136,AJ1,0)</f>
        <v>0</v>
      </c>
      <c r="AK137" s="65">
        <f t="shared" si="72"/>
        <v>72815.1446</v>
      </c>
      <c r="AL137" s="73">
        <f t="shared" si="37"/>
        <v>5.6848096030116119E-4</v>
      </c>
      <c r="AM137" s="14">
        <f t="shared" si="38"/>
        <v>8.6316328835978844</v>
      </c>
      <c r="AN137" s="9"/>
    </row>
    <row r="138" spans="1:40" ht="14.45" hidden="1" customHeight="1" outlineLevel="1">
      <c r="A138" s="12"/>
      <c r="I138" s="246" t="s">
        <v>251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/>
      <c r="U138" s="65"/>
      <c r="V138" s="65">
        <f t="shared" si="86"/>
        <v>0</v>
      </c>
      <c r="W138" s="73">
        <f t="shared" si="35"/>
        <v>0</v>
      </c>
      <c r="X138" s="89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>
        <f t="shared" si="72"/>
        <v>0</v>
      </c>
      <c r="AL138" s="73">
        <f t="shared" si="37"/>
        <v>0</v>
      </c>
      <c r="AM138" s="14">
        <f t="shared" si="38"/>
        <v>0</v>
      </c>
      <c r="AN138" s="9"/>
    </row>
    <row r="139" spans="1:40" ht="14.45" hidden="1" customHeight="1" outlineLevel="1">
      <c r="A139" s="12"/>
      <c r="I139" s="246" t="s">
        <v>252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/>
      <c r="U139" s="65"/>
      <c r="V139" s="65">
        <f t="shared" si="86"/>
        <v>0</v>
      </c>
      <c r="W139" s="73">
        <f t="shared" si="35"/>
        <v>0</v>
      </c>
      <c r="X139" s="89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>
        <f t="shared" si="72"/>
        <v>0</v>
      </c>
      <c r="AL139" s="73">
        <f t="shared" si="37"/>
        <v>0</v>
      </c>
      <c r="AM139" s="14">
        <f t="shared" si="38"/>
        <v>0</v>
      </c>
      <c r="AN139" s="9"/>
    </row>
    <row r="140" spans="1:40" ht="14.45" hidden="1" customHeight="1" outlineLevel="1">
      <c r="A140" s="12"/>
      <c r="I140" s="246" t="s">
        <v>253</v>
      </c>
      <c r="J140" s="65">
        <v>0</v>
      </c>
      <c r="K140" s="65">
        <v>0</v>
      </c>
      <c r="L140" s="65">
        <v>7800</v>
      </c>
      <c r="M140" s="65">
        <v>0</v>
      </c>
      <c r="N140" s="65">
        <v>0</v>
      </c>
      <c r="O140" s="65">
        <v>1850</v>
      </c>
      <c r="P140" s="65">
        <v>5550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f t="shared" si="86"/>
        <v>15200</v>
      </c>
      <c r="W140" s="73">
        <f t="shared" si="35"/>
        <v>1.2911365745501188E-4</v>
      </c>
      <c r="X140" s="89"/>
      <c r="Y140" s="65">
        <f>VLOOKUP($E$1,[9]Resumen!$V$142:$AH$148,Y1,0)</f>
        <v>0</v>
      </c>
      <c r="Z140" s="65">
        <f>VLOOKUP($E$1,[9]Resumen!$V$142:$AH$148,Z1,0)</f>
        <v>0</v>
      </c>
      <c r="AA140" s="65">
        <f>VLOOKUP($E$1,[9]Resumen!$V$142:$AH$148,AA1,0)</f>
        <v>8073.7799999999988</v>
      </c>
      <c r="AB140" s="65">
        <f>VLOOKUP($E$1,[9]Resumen!$V$142:$AH$148,AB1,0)</f>
        <v>0</v>
      </c>
      <c r="AC140" s="65">
        <f>VLOOKUP($E$1,[9]Resumen!$V$142:$AH$148,AC1,0)</f>
        <v>0</v>
      </c>
      <c r="AD140" s="65">
        <f>VLOOKUP($E$1,[9]Resumen!$V$142:$AH$148,AD1,0)</f>
        <v>0</v>
      </c>
      <c r="AE140" s="65">
        <f>VLOOKUP($E$1,[9]Resumen!$V$142:$AH$148,AE1,0)</f>
        <v>0</v>
      </c>
      <c r="AF140" s="65">
        <f>VLOOKUP($E$1,[9]Resumen!$V$142:$AH$148,AF1,0)</f>
        <v>0</v>
      </c>
      <c r="AG140" s="65">
        <f>VLOOKUP($E$1,[9]Resumen!$V$142:$AH$148,AG1,0)</f>
        <v>0</v>
      </c>
      <c r="AH140" s="65">
        <f>VLOOKUP($E$1,[9]Resumen!$V$142:$AH$148,AH1,0)</f>
        <v>0</v>
      </c>
      <c r="AI140" s="65">
        <f>VLOOKUP($E$1,[9]Resumen!$V$142:$AH$148,AI1,0)</f>
        <v>0</v>
      </c>
      <c r="AJ140" s="65">
        <f>VLOOKUP($E$1,[9]Resumen!$V$142:$AH$148,AJ1,0)</f>
        <v>0</v>
      </c>
      <c r="AK140" s="65">
        <f t="shared" si="72"/>
        <v>8073.7799999999988</v>
      </c>
      <c r="AL140" s="73">
        <f t="shared" si="37"/>
        <v>6.3033455922853566E-5</v>
      </c>
      <c r="AM140" s="14">
        <f t="shared" si="38"/>
        <v>-0.46883026315789478</v>
      </c>
      <c r="AN140" s="9"/>
    </row>
    <row r="141" spans="1:40" ht="14.45" hidden="1" customHeight="1" outlineLevel="1">
      <c r="A141" s="12"/>
      <c r="E141" s="7" t="s">
        <v>254</v>
      </c>
      <c r="I141" s="246" t="s">
        <v>254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f t="shared" si="86"/>
        <v>0</v>
      </c>
      <c r="W141" s="73">
        <f t="shared" si="35"/>
        <v>0</v>
      </c>
      <c r="X141" s="89"/>
      <c r="Y141" s="65">
        <f>VLOOKUP($E$1,[9]Resumen!$V$154:$AH$160,Y1,0)</f>
        <v>0</v>
      </c>
      <c r="Z141" s="65">
        <f>VLOOKUP($E$1,[9]Resumen!$V$154:$AH$160,Z1,0)</f>
        <v>0</v>
      </c>
      <c r="AA141" s="65">
        <f>VLOOKUP($E$1,[9]Resumen!$V$154:$AH$160,AA1,0)</f>
        <v>0</v>
      </c>
      <c r="AB141" s="65">
        <f>VLOOKUP($E$1,[9]Resumen!$V$154:$AH$160,AB1,0)</f>
        <v>0</v>
      </c>
      <c r="AC141" s="65">
        <f>VLOOKUP($E$1,[9]Resumen!$V$154:$AH$160,AC1,0)</f>
        <v>0</v>
      </c>
      <c r="AD141" s="65">
        <f>VLOOKUP($E$1,[9]Resumen!$V$154:$AH$160,AD1,0)</f>
        <v>0</v>
      </c>
      <c r="AE141" s="65">
        <f>VLOOKUP($E$1,[9]Resumen!$V$154:$AH$160,AE1,0)</f>
        <v>0</v>
      </c>
      <c r="AF141" s="65">
        <f>VLOOKUP($E$1,[9]Resumen!$V$154:$AH$160,AF1,0)</f>
        <v>0</v>
      </c>
      <c r="AG141" s="65">
        <f>VLOOKUP($E$1,[9]Resumen!$V$154:$AH$160,AG1,0)</f>
        <v>0</v>
      </c>
      <c r="AH141" s="65">
        <f>VLOOKUP($E$1,[9]Resumen!$V$154:$AH$160,AH1,0)</f>
        <v>0</v>
      </c>
      <c r="AI141" s="65">
        <f>VLOOKUP($E$1,[9]Resumen!$V$154:$AH$160,AI1,0)</f>
        <v>0</v>
      </c>
      <c r="AJ141" s="65">
        <f>VLOOKUP($E$1,[9]Resumen!$V$154:$AH$160,AJ1,0)</f>
        <v>0</v>
      </c>
      <c r="AK141" s="65">
        <f t="shared" si="72"/>
        <v>0</v>
      </c>
      <c r="AL141" s="73">
        <f t="shared" si="37"/>
        <v>0</v>
      </c>
      <c r="AM141" s="14">
        <f t="shared" si="38"/>
        <v>0</v>
      </c>
      <c r="AN141" s="9"/>
    </row>
    <row r="142" spans="1:40" ht="14.45" hidden="1" customHeight="1" outlineLevel="1">
      <c r="A142" s="12"/>
      <c r="I142" s="246" t="s">
        <v>255</v>
      </c>
      <c r="J142" s="65">
        <v>0</v>
      </c>
      <c r="K142" s="65">
        <v>0</v>
      </c>
      <c r="L142" s="65">
        <v>0</v>
      </c>
      <c r="M142" s="65">
        <v>5000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3300</v>
      </c>
      <c r="T142" s="65">
        <v>0</v>
      </c>
      <c r="U142" s="65">
        <v>3000</v>
      </c>
      <c r="V142" s="65">
        <f t="shared" si="86"/>
        <v>11300</v>
      </c>
      <c r="W142" s="73">
        <f t="shared" si="35"/>
        <v>9.5985811134318035E-5</v>
      </c>
      <c r="X142" s="89"/>
      <c r="Y142" s="65">
        <f>VLOOKUP($E$1,[9]Resumen!$V$166:$AH$172,Y1,0)</f>
        <v>0</v>
      </c>
      <c r="Z142" s="65">
        <f>VLOOKUP($E$1,[9]Resumen!$V$166:$AH$172,Z1,0)</f>
        <v>0</v>
      </c>
      <c r="AA142" s="65">
        <f>VLOOKUP($E$1,[9]Resumen!$V$166:$AH$172,AA1,0)</f>
        <v>3829.87</v>
      </c>
      <c r="AB142" s="65">
        <f>VLOOKUP($E$1,[9]Resumen!$V$166:$AH$172,AB1,0)</f>
        <v>0</v>
      </c>
      <c r="AC142" s="65">
        <f>VLOOKUP($E$1,[9]Resumen!$V$166:$AH$172,AC1,0)</f>
        <v>0</v>
      </c>
      <c r="AD142" s="65">
        <f>VLOOKUP($E$1,[9]Resumen!$V$166:$AH$172,AD1,0)</f>
        <v>3829.87</v>
      </c>
      <c r="AE142" s="65">
        <f>VLOOKUP($E$1,[9]Resumen!$V$166:$AH$172,AE1,0)</f>
        <v>0</v>
      </c>
      <c r="AF142" s="65">
        <f>VLOOKUP($E$1,[9]Resumen!$V$166:$AH$172,AF1,0)</f>
        <v>0</v>
      </c>
      <c r="AG142" s="65">
        <f>VLOOKUP($E$1,[9]Resumen!$V$166:$AH$172,AG1,0)</f>
        <v>3829.87</v>
      </c>
      <c r="AH142" s="65">
        <f>VLOOKUP($E$1,[9]Resumen!$V$166:$AH$172,AH1,0)</f>
        <v>0</v>
      </c>
      <c r="AI142" s="65">
        <f>VLOOKUP($E$1,[9]Resumen!$V$166:$AH$172,AI1,0)</f>
        <v>0</v>
      </c>
      <c r="AJ142" s="65">
        <f>VLOOKUP($E$1,[9]Resumen!$V$166:$AH$172,AJ1,0)</f>
        <v>0</v>
      </c>
      <c r="AK142" s="65">
        <f t="shared" si="72"/>
        <v>11489.61</v>
      </c>
      <c r="AL142" s="73">
        <f t="shared" si="37"/>
        <v>8.9701456505599314E-5</v>
      </c>
      <c r="AM142" s="14">
        <f t="shared" si="38"/>
        <v>1.6779646017699212E-2</v>
      </c>
      <c r="AN142" s="9"/>
    </row>
    <row r="143" spans="1:40" ht="14.45" hidden="1" customHeight="1" outlineLevel="1">
      <c r="A143" s="12"/>
      <c r="I143" s="246" t="s">
        <v>256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/>
      <c r="U143" s="65"/>
      <c r="V143" s="65">
        <f t="shared" si="86"/>
        <v>0</v>
      </c>
      <c r="W143" s="73">
        <f t="shared" si="35"/>
        <v>0</v>
      </c>
      <c r="X143" s="89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>
        <f t="shared" si="72"/>
        <v>0</v>
      </c>
      <c r="AL143" s="73">
        <f t="shared" si="37"/>
        <v>0</v>
      </c>
      <c r="AM143" s="14">
        <f t="shared" si="38"/>
        <v>0</v>
      </c>
      <c r="AN143" s="9"/>
    </row>
    <row r="144" spans="1:40" ht="14.45" hidden="1" customHeight="1" outlineLevel="1">
      <c r="A144" s="12"/>
      <c r="I144" s="246" t="s">
        <v>257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4960</v>
      </c>
      <c r="R144" s="65">
        <v>0</v>
      </c>
      <c r="S144" s="65">
        <v>4600</v>
      </c>
      <c r="T144" s="65">
        <v>0</v>
      </c>
      <c r="U144" s="65">
        <v>4529.2</v>
      </c>
      <c r="V144" s="65">
        <f t="shared" si="86"/>
        <v>14089.2</v>
      </c>
      <c r="W144" s="73">
        <f t="shared" si="35"/>
        <v>1.1967816727731272E-4</v>
      </c>
      <c r="X144" s="89"/>
      <c r="Y144" s="65">
        <f>VLOOKUP($E$1,[9]Resumen!$V$178:$AH$184,Y1,0)</f>
        <v>0</v>
      </c>
      <c r="Z144" s="65">
        <f>VLOOKUP($E$1,[9]Resumen!$V$178:$AH$184,Z1,0)</f>
        <v>9885.2049999999999</v>
      </c>
      <c r="AA144" s="65">
        <f>VLOOKUP($E$1,[9]Resumen!$V$178:$AH$184,AA1,0)</f>
        <v>0</v>
      </c>
      <c r="AB144" s="65">
        <f>VLOOKUP($E$1,[9]Resumen!$V$178:$AH$184,AB1,0)</f>
        <v>0</v>
      </c>
      <c r="AC144" s="65">
        <f>VLOOKUP($E$1,[9]Resumen!$V$178:$AH$184,AC1,0)</f>
        <v>9885.2049999999999</v>
      </c>
      <c r="AD144" s="65">
        <f>VLOOKUP($E$1,[9]Resumen!$V$178:$AH$184,AD1,0)</f>
        <v>0</v>
      </c>
      <c r="AE144" s="65">
        <f>VLOOKUP($E$1,[9]Resumen!$V$178:$AH$184,AE1,0)</f>
        <v>0</v>
      </c>
      <c r="AF144" s="65">
        <f>VLOOKUP($E$1,[9]Resumen!$V$178:$AH$184,AF1,0)</f>
        <v>9885.2049999999999</v>
      </c>
      <c r="AG144" s="65">
        <f>VLOOKUP($E$1,[9]Resumen!$V$178:$AH$184,AG1,0)</f>
        <v>0</v>
      </c>
      <c r="AH144" s="65">
        <f>VLOOKUP($E$1,[9]Resumen!$V$178:$AH$184,AH1,0)</f>
        <v>0</v>
      </c>
      <c r="AI144" s="65">
        <f>VLOOKUP($E$1,[9]Resumen!$V$178:$AH$184,AI1,0)</f>
        <v>9885.2049999999999</v>
      </c>
      <c r="AJ144" s="65">
        <f>VLOOKUP($E$1,[9]Resumen!$V$178:$AH$184,AJ1,0)</f>
        <v>0</v>
      </c>
      <c r="AK144" s="65">
        <f t="shared" si="72"/>
        <v>39540.82</v>
      </c>
      <c r="AL144" s="73">
        <f t="shared" si="37"/>
        <v>3.0870230977602644E-4</v>
      </c>
      <c r="AM144" s="14">
        <f t="shared" si="38"/>
        <v>1.8064631064929162</v>
      </c>
      <c r="AN144" s="9"/>
    </row>
    <row r="145" spans="1:40" ht="14.45" hidden="1" customHeight="1" outlineLevel="1">
      <c r="A145" s="12"/>
      <c r="I145" s="246" t="s">
        <v>258</v>
      </c>
      <c r="J145" s="65">
        <v>0</v>
      </c>
      <c r="K145" s="65">
        <v>0</v>
      </c>
      <c r="L145" s="65">
        <v>0</v>
      </c>
      <c r="M145" s="65">
        <v>4355</v>
      </c>
      <c r="N145" s="65">
        <v>0</v>
      </c>
      <c r="O145" s="65">
        <v>0</v>
      </c>
      <c r="P145" s="65">
        <v>0</v>
      </c>
      <c r="Q145" s="65">
        <v>900</v>
      </c>
      <c r="R145" s="65">
        <v>0</v>
      </c>
      <c r="S145" s="65">
        <v>0</v>
      </c>
      <c r="T145" s="65">
        <v>0</v>
      </c>
      <c r="U145" s="65">
        <v>1040</v>
      </c>
      <c r="V145" s="65">
        <f t="shared" si="86"/>
        <v>6295</v>
      </c>
      <c r="W145" s="73">
        <f t="shared" si="35"/>
        <v>5.3471741689427611E-5</v>
      </c>
      <c r="X145" s="89"/>
      <c r="Y145" s="65">
        <f>VLOOKUP($E$1,[9]Resumen!$V$190:$AH$196,Y1,0)</f>
        <v>0</v>
      </c>
      <c r="Z145" s="65">
        <f>VLOOKUP($E$1,[9]Resumen!$V$190:$AH$196,Z1,0)</f>
        <v>1469.8419999999999</v>
      </c>
      <c r="AA145" s="65">
        <f>VLOOKUP($E$1,[9]Resumen!$V$190:$AH$196,AA1,0)</f>
        <v>0</v>
      </c>
      <c r="AB145" s="65">
        <f>VLOOKUP($E$1,[9]Resumen!$V$190:$AH$196,AB1,0)</f>
        <v>0</v>
      </c>
      <c r="AC145" s="65">
        <f>VLOOKUP($E$1,[9]Resumen!$V$190:$AH$196,AC1,0)</f>
        <v>1469.8419999999999</v>
      </c>
      <c r="AD145" s="65">
        <f>VLOOKUP($E$1,[9]Resumen!$V$190:$AH$196,AD1,0)</f>
        <v>0</v>
      </c>
      <c r="AE145" s="65">
        <f>VLOOKUP($E$1,[9]Resumen!$V$190:$AH$196,AE1,0)</f>
        <v>0</v>
      </c>
      <c r="AF145" s="65">
        <f>VLOOKUP($E$1,[9]Resumen!$V$190:$AH$196,AF1,0)</f>
        <v>1469.8419999999999</v>
      </c>
      <c r="AG145" s="65">
        <f>VLOOKUP($E$1,[9]Resumen!$V$190:$AH$196,AG1,0)</f>
        <v>0</v>
      </c>
      <c r="AH145" s="65">
        <f>VLOOKUP($E$1,[9]Resumen!$V$190:$AH$196,AH1,0)</f>
        <v>0</v>
      </c>
      <c r="AI145" s="65">
        <f>VLOOKUP($E$1,[9]Resumen!$V$190:$AH$196,AI1,0)</f>
        <v>1469.8419999999999</v>
      </c>
      <c r="AJ145" s="65">
        <f>VLOOKUP($E$1,[9]Resumen!$V$190:$AH$196,AJ1,0)</f>
        <v>0</v>
      </c>
      <c r="AK145" s="65">
        <f t="shared" si="72"/>
        <v>5879.3679999999995</v>
      </c>
      <c r="AL145" s="73">
        <f t="shared" si="37"/>
        <v>4.590128585151388E-5</v>
      </c>
      <c r="AM145" s="14">
        <f t="shared" ref="AM145:AM165" si="92">IFERROR(AK145/V145-1,0)</f>
        <v>-6.6025734710087436E-2</v>
      </c>
      <c r="AN145" s="9"/>
    </row>
    <row r="146" spans="1:40" ht="14.45" hidden="1" customHeight="1" outlineLevel="1">
      <c r="A146" s="12"/>
      <c r="I146" s="246" t="s">
        <v>259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/>
      <c r="U146" s="65"/>
      <c r="V146" s="65">
        <f t="shared" si="86"/>
        <v>0</v>
      </c>
      <c r="W146" s="73">
        <f t="shared" si="35"/>
        <v>0</v>
      </c>
      <c r="X146" s="89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>
        <f t="shared" si="72"/>
        <v>0</v>
      </c>
      <c r="AL146" s="73">
        <f t="shared" si="37"/>
        <v>0</v>
      </c>
      <c r="AM146" s="14">
        <f t="shared" si="92"/>
        <v>0</v>
      </c>
      <c r="AN146" s="9"/>
    </row>
    <row r="147" spans="1:40" ht="14.45" hidden="1" customHeight="1" outlineLevel="1">
      <c r="A147" s="12"/>
      <c r="I147" s="251" t="s">
        <v>260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/>
      <c r="U147" s="65"/>
      <c r="V147" s="65">
        <f t="shared" si="86"/>
        <v>0</v>
      </c>
      <c r="W147" s="73">
        <f t="shared" si="35"/>
        <v>0</v>
      </c>
      <c r="X147" s="89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>
        <f t="shared" si="72"/>
        <v>0</v>
      </c>
      <c r="AL147" s="73">
        <f t="shared" si="37"/>
        <v>0</v>
      </c>
      <c r="AM147" s="14">
        <f t="shared" si="92"/>
        <v>0</v>
      </c>
      <c r="AN147" s="9"/>
    </row>
    <row r="148" spans="1:40" ht="14.45" hidden="1" customHeight="1" outlineLevel="1">
      <c r="A148" s="12"/>
      <c r="I148" s="251" t="s">
        <v>261</v>
      </c>
      <c r="J148" s="65"/>
      <c r="K148" s="65">
        <v>0</v>
      </c>
      <c r="L148" s="65"/>
      <c r="M148" s="65"/>
      <c r="N148" s="65"/>
      <c r="O148" s="65">
        <v>0</v>
      </c>
      <c r="P148" s="65"/>
      <c r="Q148" s="65"/>
      <c r="R148" s="65"/>
      <c r="S148" s="65"/>
      <c r="T148" s="65">
        <v>0</v>
      </c>
      <c r="U148" s="65">
        <v>3640</v>
      </c>
      <c r="V148" s="65">
        <f t="shared" si="86"/>
        <v>3640</v>
      </c>
      <c r="W148" s="73">
        <f t="shared" si="35"/>
        <v>3.0919323232647577E-5</v>
      </c>
      <c r="X148" s="89"/>
      <c r="Y148" s="65">
        <f>VLOOKUP($E$1,[9]Resumen!$V$214:$AH$220,Y1,0)</f>
        <v>0</v>
      </c>
      <c r="Z148" s="65">
        <f>VLOOKUP($E$1,[9]Resumen!$V$214:$AH$220,Z1,0)</f>
        <v>0</v>
      </c>
      <c r="AA148" s="65">
        <f>VLOOKUP($E$1,[9]Resumen!$V$214:$AH$220,AA1,0)</f>
        <v>0</v>
      </c>
      <c r="AB148" s="65">
        <f>VLOOKUP($E$1,[9]Resumen!$V$214:$AH$220,AB1,0)</f>
        <v>0</v>
      </c>
      <c r="AC148" s="65">
        <f>VLOOKUP($E$1,[9]Resumen!$V$214:$AH$220,AC1,0)</f>
        <v>0</v>
      </c>
      <c r="AD148" s="65">
        <f>VLOOKUP($E$1,[9]Resumen!$V$214:$AH$220,AD1,0)</f>
        <v>0</v>
      </c>
      <c r="AE148" s="65">
        <f>VLOOKUP($E$1,[9]Resumen!$V$214:$AH$220,AE1,0)</f>
        <v>0</v>
      </c>
      <c r="AF148" s="65">
        <f>VLOOKUP($E$1,[9]Resumen!$V$214:$AH$220,AF1,0)</f>
        <v>0</v>
      </c>
      <c r="AG148" s="65">
        <f>VLOOKUP($E$1,[9]Resumen!$V$214:$AH$220,AG1,0)</f>
        <v>0</v>
      </c>
      <c r="AH148" s="65">
        <f>VLOOKUP($E$1,[9]Resumen!$V$214:$AH$220,AH1,0)</f>
        <v>0</v>
      </c>
      <c r="AI148" s="65">
        <f>VLOOKUP($E$1,[9]Resumen!$V$214:$AH$220,AI1,0)</f>
        <v>0</v>
      </c>
      <c r="AJ148" s="65">
        <f>VLOOKUP($E$1,[9]Resumen!$V$214:$AH$220,AJ1,0)</f>
        <v>3208.8099999999995</v>
      </c>
      <c r="AK148" s="65">
        <f t="shared" si="72"/>
        <v>3208.8099999999995</v>
      </c>
      <c r="AL148" s="73">
        <f t="shared" si="37"/>
        <v>2.5051758123185389E-5</v>
      </c>
      <c r="AM148" s="14">
        <f t="shared" si="92"/>
        <v>-0.11845879120879133</v>
      </c>
      <c r="AN148" s="9"/>
    </row>
    <row r="149" spans="1:40" ht="14.45" hidden="1" customHeight="1" outlineLevel="1">
      <c r="A149" s="12"/>
      <c r="I149" s="290" t="s">
        <v>464</v>
      </c>
      <c r="J149" s="65"/>
      <c r="K149" s="65"/>
      <c r="L149" s="65"/>
      <c r="M149" s="65"/>
      <c r="N149" s="65"/>
      <c r="O149" s="65">
        <v>22500</v>
      </c>
      <c r="P149" s="65"/>
      <c r="Q149" s="65"/>
      <c r="R149" s="65"/>
      <c r="S149" s="65"/>
      <c r="T149" s="65"/>
      <c r="U149" s="65"/>
      <c r="V149" s="65">
        <f t="shared" ref="V149" si="93">SUM(J149:U149)</f>
        <v>22500</v>
      </c>
      <c r="W149" s="73">
        <f t="shared" ref="W149" si="94">V149/V$6</f>
        <v>1.911221903116952E-4</v>
      </c>
      <c r="X149" s="89"/>
      <c r="Y149" s="65">
        <f>VLOOKUP($E$1,[9]Detalle!$C$150:$O$156,Y1,0)</f>
        <v>0</v>
      </c>
      <c r="Z149" s="65">
        <f>VLOOKUP($E$1,[9]Detalle!$C$150:$O$156,Z1,0)</f>
        <v>0</v>
      </c>
      <c r="AA149" s="65">
        <f>VLOOKUP($E$1,[9]Detalle!$C$150:$O$156,AA1,0)</f>
        <v>0</v>
      </c>
      <c r="AB149" s="65">
        <f>VLOOKUP($E$1,[9]Detalle!$C$150:$O$156,AB1,0)</f>
        <v>0</v>
      </c>
      <c r="AC149" s="65">
        <f>VLOOKUP($E$1,[9]Detalle!$C$150:$O$156,AC1,0)</f>
        <v>0</v>
      </c>
      <c r="AD149" s="65">
        <f>VLOOKUP($E$1,[9]Detalle!$C$150:$O$156,AD1,0)</f>
        <v>0</v>
      </c>
      <c r="AE149" s="65">
        <f>VLOOKUP($E$1,[9]Detalle!$C$150:$O$156,AE1,0)</f>
        <v>0</v>
      </c>
      <c r="AF149" s="65">
        <f>VLOOKUP($E$1,[9]Detalle!$C$150:$O$156,AF1,0)</f>
        <v>0</v>
      </c>
      <c r="AG149" s="65">
        <f>VLOOKUP($E$1,[9]Detalle!$C$150:$O$156,AG1,0)</f>
        <v>0</v>
      </c>
      <c r="AH149" s="65">
        <f>VLOOKUP($E$1,[9]Detalle!$C$150:$O$156,AH1,0)</f>
        <v>0</v>
      </c>
      <c r="AI149" s="65">
        <f>VLOOKUP($E$1,[9]Detalle!$C$150:$O$156,AI1,0)</f>
        <v>0</v>
      </c>
      <c r="AJ149" s="65">
        <f>VLOOKUP($E$1,[9]Detalle!$C$150:$O$156,AJ1,0)</f>
        <v>0</v>
      </c>
      <c r="AK149" s="65">
        <f t="shared" ref="AK149" si="95">SUM(Y149:AJ149)</f>
        <v>0</v>
      </c>
      <c r="AL149" s="73">
        <f t="shared" ref="AL149" si="96">AK149/AK$6</f>
        <v>0</v>
      </c>
      <c r="AM149" s="14">
        <f t="shared" ref="AM149" si="97">IFERROR(AK149/V149-1,0)</f>
        <v>-1</v>
      </c>
      <c r="AN149" s="9"/>
    </row>
    <row r="150" spans="1:40" ht="14.45" hidden="1" customHeight="1" outlineLevel="1">
      <c r="A150" s="12"/>
      <c r="I150" s="246" t="s">
        <v>262</v>
      </c>
      <c r="J150" s="65">
        <v>60693</v>
      </c>
      <c r="K150" s="65">
        <v>15927</v>
      </c>
      <c r="L150" s="65">
        <v>64947</v>
      </c>
      <c r="M150" s="65">
        <v>60676</v>
      </c>
      <c r="N150" s="65">
        <v>37137</v>
      </c>
      <c r="O150" s="65">
        <v>37137</v>
      </c>
      <c r="P150" s="65">
        <v>24280</v>
      </c>
      <c r="Q150" s="65">
        <v>92308</v>
      </c>
      <c r="R150" s="65">
        <v>37137</v>
      </c>
      <c r="S150" s="65">
        <v>15927</v>
      </c>
      <c r="T150" s="65">
        <v>73737.388363989885</v>
      </c>
      <c r="U150" s="65">
        <v>71923.018881239463</v>
      </c>
      <c r="V150" s="65">
        <f t="shared" si="86"/>
        <v>591829.40724522935</v>
      </c>
      <c r="W150" s="73">
        <f t="shared" si="35"/>
        <v>5.027188115714688E-3</v>
      </c>
      <c r="X150" s="89"/>
      <c r="Y150" s="65">
        <f>+Z150</f>
        <v>58840.684803633601</v>
      </c>
      <c r="Z150" s="65">
        <f>((Y40*3.41*4.5%)+(Y41*2.89*4.5%))+((Z7+Z8)*0.03*5.5%)</f>
        <v>58840.684803633601</v>
      </c>
      <c r="AA150" s="65">
        <f t="shared" ref="AA150:AJ150" si="98">((Z40*3.41*4.5%)+(Z41*2.89*4.5%))+((AA7+AA8)*0.03*5.5%)</f>
        <v>59497.840881121767</v>
      </c>
      <c r="AB150" s="65">
        <f t="shared" si="98"/>
        <v>63621.796455058633</v>
      </c>
      <c r="AC150" s="65">
        <f t="shared" si="98"/>
        <v>62282.315839294941</v>
      </c>
      <c r="AD150" s="65">
        <f t="shared" si="98"/>
        <v>69522.514667092357</v>
      </c>
      <c r="AE150" s="65">
        <f t="shared" si="98"/>
        <v>69347.089689254601</v>
      </c>
      <c r="AF150" s="65">
        <f t="shared" si="98"/>
        <v>70889.391146494818</v>
      </c>
      <c r="AG150" s="65">
        <f t="shared" si="98"/>
        <v>72790.478283973716</v>
      </c>
      <c r="AH150" s="65">
        <f t="shared" si="98"/>
        <v>70896.501814177449</v>
      </c>
      <c r="AI150" s="65">
        <f t="shared" si="98"/>
        <v>71071.884300668564</v>
      </c>
      <c r="AJ150" s="65">
        <f t="shared" si="98"/>
        <v>68488.902741246377</v>
      </c>
      <c r="AK150" s="65">
        <f t="shared" si="72"/>
        <v>796090.08542565047</v>
      </c>
      <c r="AL150" s="73">
        <f t="shared" si="37"/>
        <v>6.2152188083275089E-3</v>
      </c>
      <c r="AM150" s="14">
        <f t="shared" si="92"/>
        <v>0.34513438446931377</v>
      </c>
      <c r="AN150" s="9"/>
    </row>
    <row r="151" spans="1:40" ht="14.45" customHeight="1" collapsed="1">
      <c r="A151" s="12" t="s">
        <v>263</v>
      </c>
      <c r="B151" s="8" t="s">
        <v>88</v>
      </c>
      <c r="I151" s="121" t="s">
        <v>264</v>
      </c>
      <c r="J151" s="15">
        <v>21187</v>
      </c>
      <c r="K151" s="15">
        <v>19693</v>
      </c>
      <c r="L151" s="15">
        <v>20085</v>
      </c>
      <c r="M151" s="15">
        <v>16151</v>
      </c>
      <c r="N151" s="15">
        <v>18233</v>
      </c>
      <c r="O151" s="15">
        <v>17553</v>
      </c>
      <c r="P151" s="15">
        <v>19454</v>
      </c>
      <c r="Q151" s="15">
        <v>17890</v>
      </c>
      <c r="R151" s="15">
        <v>18927</v>
      </c>
      <c r="S151" s="15">
        <v>19006</v>
      </c>
      <c r="T151" s="15">
        <f t="shared" ref="R151:U151" si="99">SUM(T152:T158)</f>
        <v>18608</v>
      </c>
      <c r="U151" s="15">
        <f t="shared" si="99"/>
        <v>18847.333333333336</v>
      </c>
      <c r="V151" s="15">
        <f t="shared" ref="V151" si="100">SUM(V152:V158)</f>
        <v>225633.33333333334</v>
      </c>
      <c r="W151" s="72">
        <f t="shared" si="35"/>
        <v>1.9166016388442442E-3</v>
      </c>
      <c r="X151" s="89"/>
      <c r="Y151" s="15">
        <f>SUM(Y152:Y158)</f>
        <v>22210.599399999996</v>
      </c>
      <c r="Z151" s="15">
        <f t="shared" ref="Z151:AK151" si="101">SUM(Z152:Z158)</f>
        <v>20664.191199999997</v>
      </c>
      <c r="AA151" s="15">
        <f t="shared" si="101"/>
        <v>21073.329599999997</v>
      </c>
      <c r="AB151" s="15">
        <f t="shared" si="101"/>
        <v>16996.591899999999</v>
      </c>
      <c r="AC151" s="15">
        <f t="shared" si="101"/>
        <v>19153.021999999997</v>
      </c>
      <c r="AD151" s="15">
        <f t="shared" si="101"/>
        <v>18448.887599999998</v>
      </c>
      <c r="AE151" s="15">
        <f t="shared" si="101"/>
        <v>20415.601599999998</v>
      </c>
      <c r="AF151" s="15">
        <f t="shared" si="101"/>
        <v>18797.7955</v>
      </c>
      <c r="AG151" s="15">
        <f t="shared" si="101"/>
        <v>19872.529299999998</v>
      </c>
      <c r="AH151" s="15">
        <f t="shared" si="101"/>
        <v>19801.133799999996</v>
      </c>
      <c r="AI151" s="15">
        <f t="shared" si="101"/>
        <v>19490.486199999999</v>
      </c>
      <c r="AJ151" s="15">
        <f t="shared" si="101"/>
        <v>19721.383099999999</v>
      </c>
      <c r="AK151" s="15">
        <f t="shared" si="101"/>
        <v>236645.55119999999</v>
      </c>
      <c r="AL151" s="72">
        <f t="shared" si="37"/>
        <v>1.8475344783861569E-3</v>
      </c>
      <c r="AM151" s="10">
        <f t="shared" si="92"/>
        <v>4.8805811198108895E-2</v>
      </c>
      <c r="AN151" s="9"/>
    </row>
    <row r="152" spans="1:40" ht="14.45" hidden="1" customHeight="1" outlineLevel="1">
      <c r="A152" s="12" t="s">
        <v>263</v>
      </c>
      <c r="B152" s="8" t="s">
        <v>88</v>
      </c>
      <c r="I152" s="213" t="s">
        <v>265</v>
      </c>
      <c r="J152" s="67">
        <v>0</v>
      </c>
      <c r="K152" s="67">
        <v>0</v>
      </c>
      <c r="L152" s="67">
        <v>0</v>
      </c>
      <c r="M152" s="67">
        <v>0</v>
      </c>
      <c r="N152" s="67">
        <v>0</v>
      </c>
      <c r="O152" s="67">
        <v>0</v>
      </c>
      <c r="P152" s="67">
        <v>0</v>
      </c>
      <c r="Q152" s="67">
        <v>0</v>
      </c>
      <c r="R152" s="67">
        <v>0</v>
      </c>
      <c r="S152" s="67">
        <v>0</v>
      </c>
      <c r="T152" s="67"/>
      <c r="U152" s="67"/>
      <c r="V152" s="65">
        <f t="shared" ref="V152:V158" si="102">SUM(J152:U152)</f>
        <v>0</v>
      </c>
      <c r="W152" s="73">
        <f t="shared" si="35"/>
        <v>0</v>
      </c>
      <c r="X152" s="89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5">
        <f t="shared" si="72"/>
        <v>0</v>
      </c>
      <c r="AL152" s="73">
        <f t="shared" si="37"/>
        <v>0</v>
      </c>
      <c r="AM152" s="14">
        <f t="shared" si="92"/>
        <v>0</v>
      </c>
      <c r="AN152" s="9"/>
    </row>
    <row r="153" spans="1:40" ht="14.45" hidden="1" customHeight="1" outlineLevel="1">
      <c r="A153" s="12" t="s">
        <v>263</v>
      </c>
      <c r="B153" s="8" t="s">
        <v>88</v>
      </c>
      <c r="I153" s="137" t="s">
        <v>292</v>
      </c>
      <c r="J153" s="67">
        <v>0</v>
      </c>
      <c r="K153" s="67">
        <v>0</v>
      </c>
      <c r="L153" s="67">
        <v>0</v>
      </c>
      <c r="M153" s="67">
        <v>0</v>
      </c>
      <c r="N153" s="67">
        <v>0</v>
      </c>
      <c r="O153" s="67">
        <v>0</v>
      </c>
      <c r="P153" s="67">
        <v>0</v>
      </c>
      <c r="Q153" s="67">
        <v>0</v>
      </c>
      <c r="R153" s="67">
        <v>0</v>
      </c>
      <c r="S153" s="67">
        <v>0</v>
      </c>
      <c r="T153" s="67"/>
      <c r="U153" s="67"/>
      <c r="V153" s="65">
        <f t="shared" si="102"/>
        <v>0</v>
      </c>
      <c r="W153" s="73">
        <f t="shared" si="35"/>
        <v>0</v>
      </c>
      <c r="X153" s="89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5">
        <f t="shared" si="72"/>
        <v>0</v>
      </c>
      <c r="AL153" s="73">
        <f t="shared" si="37"/>
        <v>0</v>
      </c>
      <c r="AM153" s="14">
        <f t="shared" si="92"/>
        <v>0</v>
      </c>
      <c r="AN153" s="9"/>
    </row>
    <row r="154" spans="1:40" ht="14.45" hidden="1" customHeight="1" outlineLevel="1">
      <c r="A154" s="12" t="s">
        <v>263</v>
      </c>
      <c r="B154" s="8" t="s">
        <v>88</v>
      </c>
      <c r="I154" s="213" t="s">
        <v>266</v>
      </c>
      <c r="J154" s="65">
        <v>17602</v>
      </c>
      <c r="K154" s="65">
        <v>16095</v>
      </c>
      <c r="L154" s="65">
        <v>15079</v>
      </c>
      <c r="M154" s="65">
        <v>12652</v>
      </c>
      <c r="N154" s="65">
        <v>14603</v>
      </c>
      <c r="O154" s="65">
        <v>14034</v>
      </c>
      <c r="P154" s="65">
        <v>15924</v>
      </c>
      <c r="Q154" s="65">
        <v>14338</v>
      </c>
      <c r="R154" s="225">
        <v>15251</v>
      </c>
      <c r="S154" s="225">
        <v>15318</v>
      </c>
      <c r="T154" s="225">
        <f t="shared" ref="T154" si="103">+AVERAGE(Q154:S154)</f>
        <v>14969</v>
      </c>
      <c r="U154" s="225">
        <f t="shared" ref="U154" si="104">+AVERAGE(R154:T154)</f>
        <v>15179.333333333334</v>
      </c>
      <c r="V154" s="65">
        <f t="shared" si="102"/>
        <v>181044.33333333334</v>
      </c>
      <c r="W154" s="73">
        <f t="shared" si="35"/>
        <v>1.5378484235638809E-3</v>
      </c>
      <c r="X154" s="89"/>
      <c r="Y154" s="65">
        <f>VLOOKUP($E$1,[8]Resumen!$V$104:$AH$110,Y1,0)</f>
        <v>18219.830199999997</v>
      </c>
      <c r="Z154" s="65">
        <f>VLOOKUP($E$1,[8]Resumen!$V$104:$AH$110,Z1,0)</f>
        <v>16659.934499999999</v>
      </c>
      <c r="AA154" s="65">
        <f>VLOOKUP($E$1,[8]Resumen!$V$104:$AH$110,AA1,0)</f>
        <v>15608.272899999998</v>
      </c>
      <c r="AB154" s="65">
        <f>VLOOKUP($E$1,[8]Resumen!$V$104:$AH$110,AB1,0)</f>
        <v>13096.0852</v>
      </c>
      <c r="AC154" s="65">
        <f>VLOOKUP($E$1,[8]Resumen!$V$104:$AH$110,AC1,0)</f>
        <v>15115.565299999998</v>
      </c>
      <c r="AD154" s="65">
        <f>VLOOKUP($E$1,[8]Resumen!$V$104:$AH$110,AD1,0)</f>
        <v>14526.593399999998</v>
      </c>
      <c r="AE154" s="65">
        <f>VLOOKUP($E$1,[8]Resumen!$V$104:$AH$110,AE1,0)</f>
        <v>16482.932399999998</v>
      </c>
      <c r="AF154" s="65">
        <f>VLOOKUP($E$1,[8]Resumen!$V$104:$AH$110,AF1,0)</f>
        <v>14841.263799999999</v>
      </c>
      <c r="AG154" s="65">
        <f>VLOOKUP($E$1,[8]Resumen!$V$104:$AH$110,AG1,0)</f>
        <v>15786.310099999999</v>
      </c>
      <c r="AH154" s="65">
        <f>VLOOKUP($E$1,[8]Resumen!$V$104:$AH$110,AH1,0)</f>
        <v>15703.502099999998</v>
      </c>
      <c r="AI154" s="65">
        <f>VLOOKUP($E$1,[8]Resumen!$V$104:$AH$110,AI1,0)</f>
        <v>15443.691999999999</v>
      </c>
      <c r="AJ154" s="65">
        <f>VLOOKUP($E$1,[8]Resumen!$V$104:$AH$110,AJ1,0)</f>
        <v>15644.501399999999</v>
      </c>
      <c r="AK154" s="65">
        <f t="shared" si="72"/>
        <v>187128.48329999999</v>
      </c>
      <c r="AL154" s="73">
        <f t="shared" si="37"/>
        <v>1.4609458028334919E-3</v>
      </c>
      <c r="AM154" s="14">
        <f t="shared" si="92"/>
        <v>3.3605856944799894E-2</v>
      </c>
      <c r="AN154" s="9"/>
    </row>
    <row r="155" spans="1:40" ht="14.45" hidden="1" customHeight="1" outlineLevel="1">
      <c r="A155" s="12" t="s">
        <v>263</v>
      </c>
      <c r="B155" s="8" t="s">
        <v>88</v>
      </c>
      <c r="I155" s="213" t="s">
        <v>267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f t="shared" si="102"/>
        <v>0</v>
      </c>
      <c r="W155" s="73">
        <f t="shared" si="35"/>
        <v>0</v>
      </c>
      <c r="X155" s="89"/>
      <c r="Y155" s="65">
        <f>VLOOKUP($E$1,[5]Resumen!$V$32:$AH$38,Y1,0)</f>
        <v>0</v>
      </c>
      <c r="Z155" s="65">
        <f>VLOOKUP($E$1,[5]Resumen!$V$32:$AH$38,Z1,0)</f>
        <v>0</v>
      </c>
      <c r="AA155" s="65">
        <f>VLOOKUP($E$1,[5]Resumen!$V$32:$AH$38,AA1,0)</f>
        <v>0</v>
      </c>
      <c r="AB155" s="65">
        <f>VLOOKUP($E$1,[5]Resumen!$V$32:$AH$38,AB1,0)</f>
        <v>0</v>
      </c>
      <c r="AC155" s="65">
        <f>VLOOKUP($E$1,[5]Resumen!$V$32:$AH$38,AC1,0)</f>
        <v>0</v>
      </c>
      <c r="AD155" s="65">
        <f>VLOOKUP($E$1,[5]Resumen!$V$32:$AH$38,AD1,0)</f>
        <v>0</v>
      </c>
      <c r="AE155" s="65">
        <f>VLOOKUP($E$1,[5]Resumen!$V$32:$AH$38,AE1,0)</f>
        <v>0</v>
      </c>
      <c r="AF155" s="65">
        <f>VLOOKUP($E$1,[5]Resumen!$V$32:$AH$38,AF1,0)</f>
        <v>0</v>
      </c>
      <c r="AG155" s="65">
        <f>VLOOKUP($E$1,[5]Resumen!$V$32:$AH$38,AG1,0)</f>
        <v>0</v>
      </c>
      <c r="AH155" s="65">
        <f>VLOOKUP($E$1,[5]Resumen!$V$32:$AH$38,AH1,0)</f>
        <v>0</v>
      </c>
      <c r="AI155" s="65">
        <f>VLOOKUP($E$1,[5]Resumen!$V$32:$AH$38,AI1,0)</f>
        <v>0</v>
      </c>
      <c r="AJ155" s="65">
        <f>VLOOKUP($E$1,[5]Resumen!$V$32:$AH$38,AJ1,0)</f>
        <v>0</v>
      </c>
      <c r="AK155" s="65">
        <f t="shared" si="72"/>
        <v>0</v>
      </c>
      <c r="AL155" s="73">
        <f t="shared" si="37"/>
        <v>0</v>
      </c>
      <c r="AM155" s="14">
        <f t="shared" si="92"/>
        <v>0</v>
      </c>
      <c r="AN155" s="9"/>
    </row>
    <row r="156" spans="1:40" ht="14.45" hidden="1" customHeight="1" outlineLevel="1">
      <c r="A156" s="12" t="s">
        <v>263</v>
      </c>
      <c r="B156" s="8" t="s">
        <v>88</v>
      </c>
      <c r="C156" s="19" t="s">
        <v>268</v>
      </c>
      <c r="D156" s="12"/>
      <c r="E156" s="20"/>
      <c r="F156" s="12"/>
      <c r="G156" s="12"/>
      <c r="H156" s="12"/>
      <c r="I156" s="213" t="s">
        <v>269</v>
      </c>
      <c r="J156" s="65">
        <v>1485</v>
      </c>
      <c r="K156" s="65">
        <v>1498</v>
      </c>
      <c r="L156" s="65">
        <v>2906</v>
      </c>
      <c r="M156" s="65">
        <v>1398</v>
      </c>
      <c r="N156" s="65">
        <v>1530</v>
      </c>
      <c r="O156" s="65">
        <v>1419</v>
      </c>
      <c r="P156" s="65">
        <v>1429</v>
      </c>
      <c r="Q156" s="65">
        <v>1452</v>
      </c>
      <c r="R156" s="225">
        <v>1577</v>
      </c>
      <c r="S156" s="225">
        <v>1588</v>
      </c>
      <c r="T156" s="225">
        <f t="shared" ref="T156" si="105">+AVERAGE(Q156:S156)</f>
        <v>1539</v>
      </c>
      <c r="U156" s="225">
        <f t="shared" ref="U156" si="106">+AVERAGE(R156:T156)</f>
        <v>1568</v>
      </c>
      <c r="V156" s="65">
        <f t="shared" si="102"/>
        <v>19389</v>
      </c>
      <c r="W156" s="73">
        <f t="shared" si="35"/>
        <v>1.6469636213126482E-4</v>
      </c>
      <c r="X156" s="89"/>
      <c r="Y156" s="65">
        <f>J156*1.0375</f>
        <v>1540.6875000000002</v>
      </c>
      <c r="Z156" s="65">
        <f t="shared" ref="Z156:AJ156" si="107">K156*1.0375</f>
        <v>1554.1750000000002</v>
      </c>
      <c r="AA156" s="65">
        <f t="shared" si="107"/>
        <v>3014.9750000000004</v>
      </c>
      <c r="AB156" s="65">
        <f t="shared" si="107"/>
        <v>1450.4250000000002</v>
      </c>
      <c r="AC156" s="65">
        <f t="shared" si="107"/>
        <v>1587.3750000000002</v>
      </c>
      <c r="AD156" s="65">
        <f t="shared" si="107"/>
        <v>1472.2125000000001</v>
      </c>
      <c r="AE156" s="65">
        <f t="shared" si="107"/>
        <v>1482.5875000000001</v>
      </c>
      <c r="AF156" s="65">
        <f t="shared" si="107"/>
        <v>1506.45</v>
      </c>
      <c r="AG156" s="65">
        <f t="shared" si="107"/>
        <v>1636.1375</v>
      </c>
      <c r="AH156" s="65">
        <f t="shared" si="107"/>
        <v>1647.5500000000002</v>
      </c>
      <c r="AI156" s="65">
        <f t="shared" si="107"/>
        <v>1596.7125000000001</v>
      </c>
      <c r="AJ156" s="65">
        <f t="shared" si="107"/>
        <v>1626.8000000000002</v>
      </c>
      <c r="AK156" s="65">
        <f t="shared" si="72"/>
        <v>20116.087500000001</v>
      </c>
      <c r="AL156" s="73">
        <f t="shared" si="37"/>
        <v>1.5704992144590461E-4</v>
      </c>
      <c r="AM156" s="14">
        <f t="shared" si="92"/>
        <v>3.7500000000000089E-2</v>
      </c>
      <c r="AN156" s="9"/>
    </row>
    <row r="157" spans="1:40" ht="14.45" hidden="1" customHeight="1" outlineLevel="1">
      <c r="A157" s="12" t="s">
        <v>263</v>
      </c>
      <c r="B157" s="8" t="s">
        <v>88</v>
      </c>
      <c r="I157" s="213"/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/>
      <c r="Q157" s="65">
        <v>0</v>
      </c>
      <c r="R157" s="65">
        <v>0</v>
      </c>
      <c r="S157" s="65">
        <v>0</v>
      </c>
      <c r="T157" s="65"/>
      <c r="U157" s="65"/>
      <c r="V157" s="65">
        <f t="shared" si="102"/>
        <v>0</v>
      </c>
      <c r="W157" s="73">
        <f t="shared" si="35"/>
        <v>0</v>
      </c>
      <c r="X157" s="89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>
        <f t="shared" si="72"/>
        <v>0</v>
      </c>
      <c r="AL157" s="73">
        <f t="shared" si="37"/>
        <v>0</v>
      </c>
      <c r="AM157" s="14">
        <f t="shared" si="92"/>
        <v>0</v>
      </c>
      <c r="AN157" s="9"/>
    </row>
    <row r="158" spans="1:40" ht="14.45" hidden="1" customHeight="1" outlineLevel="1">
      <c r="A158" s="12"/>
      <c r="I158" s="213" t="s">
        <v>270</v>
      </c>
      <c r="J158" s="67">
        <v>2100</v>
      </c>
      <c r="K158" s="67">
        <v>2100</v>
      </c>
      <c r="L158" s="67">
        <v>2100</v>
      </c>
      <c r="M158" s="67">
        <v>2100</v>
      </c>
      <c r="N158" s="67">
        <v>2100</v>
      </c>
      <c r="O158" s="67">
        <v>2100</v>
      </c>
      <c r="P158" s="67">
        <v>2100</v>
      </c>
      <c r="Q158" s="67">
        <v>2100</v>
      </c>
      <c r="R158" s="225">
        <v>2100</v>
      </c>
      <c r="S158" s="225">
        <v>2100</v>
      </c>
      <c r="T158" s="225">
        <f t="shared" ref="T158" si="108">+AVERAGE(Q158:S158)</f>
        <v>2100</v>
      </c>
      <c r="U158" s="225">
        <f t="shared" ref="U158" si="109">+AVERAGE(R158:T158)</f>
        <v>2100</v>
      </c>
      <c r="V158" s="65">
        <f t="shared" si="102"/>
        <v>25200</v>
      </c>
      <c r="W158" s="73">
        <f>V158/V$6</f>
        <v>2.1405685314909863E-4</v>
      </c>
      <c r="X158" s="89"/>
      <c r="Y158" s="67">
        <f>VLOOKUP($E$1,[19]Resumen!$V$8:$AH$14,Y1,0)</f>
        <v>2450.0816999999997</v>
      </c>
      <c r="Z158" s="67">
        <f>VLOOKUP($E$1,[19]Resumen!$V$8:$AH$14,Z1,0)</f>
        <v>2450.0816999999997</v>
      </c>
      <c r="AA158" s="67">
        <f>VLOOKUP($E$1,[19]Resumen!$V$8:$AH$14,AA1,0)</f>
        <v>2450.0816999999997</v>
      </c>
      <c r="AB158" s="67">
        <f>VLOOKUP($E$1,[19]Resumen!$V$8:$AH$14,AB1,0)</f>
        <v>2450.0816999999997</v>
      </c>
      <c r="AC158" s="67">
        <f>VLOOKUP($E$1,[19]Resumen!$V$8:$AH$14,AC1,0)</f>
        <v>2450.0816999999997</v>
      </c>
      <c r="AD158" s="67">
        <f>VLOOKUP($E$1,[19]Resumen!$V$8:$AH$14,AD1,0)</f>
        <v>2450.0816999999997</v>
      </c>
      <c r="AE158" s="67">
        <f>VLOOKUP($E$1,[19]Resumen!$V$8:$AH$14,AE1,0)</f>
        <v>2450.0816999999997</v>
      </c>
      <c r="AF158" s="67">
        <f>VLOOKUP($E$1,[19]Resumen!$V$8:$AH$14,AF1,0)</f>
        <v>2450.0816999999997</v>
      </c>
      <c r="AG158" s="67">
        <f>VLOOKUP($E$1,[19]Resumen!$V$8:$AH$14,AG1,0)</f>
        <v>2450.0816999999997</v>
      </c>
      <c r="AH158" s="67">
        <f>VLOOKUP($E$1,[19]Resumen!$V$8:$AH$14,AH1,0)</f>
        <v>2450.0816999999997</v>
      </c>
      <c r="AI158" s="67">
        <f>VLOOKUP($E$1,[19]Resumen!$V$8:$AH$14,AI1,0)</f>
        <v>2450.0816999999997</v>
      </c>
      <c r="AJ158" s="67">
        <f>VLOOKUP($E$1,[19]Resumen!$V$8:$AH$14,AJ1,0)</f>
        <v>2450.0816999999997</v>
      </c>
      <c r="AK158" s="65">
        <f t="shared" si="72"/>
        <v>29400.980399999989</v>
      </c>
      <c r="AL158" s="73">
        <f>AK158/AK$6</f>
        <v>2.2953875410676054E-4</v>
      </c>
      <c r="AM158" s="14">
        <f>IFERROR(AK158/V158-1,0)</f>
        <v>0.16670557142857101</v>
      </c>
      <c r="AN158" s="9"/>
    </row>
    <row r="159" spans="1:40" ht="15" collapsed="1">
      <c r="I159" s="121" t="s">
        <v>466</v>
      </c>
      <c r="J159" s="15">
        <f>SUM(J160)</f>
        <v>46770.604612284988</v>
      </c>
      <c r="K159" s="15">
        <f t="shared" ref="K159:V159" si="110">SUM(K160)</f>
        <v>49697.600906176536</v>
      </c>
      <c r="L159" s="15">
        <f t="shared" si="110"/>
        <v>56998.227616165954</v>
      </c>
      <c r="M159" s="15">
        <f t="shared" si="110"/>
        <v>52411.076886834664</v>
      </c>
      <c r="N159" s="15">
        <f t="shared" si="110"/>
        <v>59319.75102183126</v>
      </c>
      <c r="O159" s="15">
        <f t="shared" si="110"/>
        <v>58685.038090709997</v>
      </c>
      <c r="P159" s="15">
        <f t="shared" si="110"/>
        <v>63916.421765128376</v>
      </c>
      <c r="Q159" s="15">
        <f t="shared" si="110"/>
        <v>53214.838065949014</v>
      </c>
      <c r="R159" s="15">
        <f t="shared" si="110"/>
        <v>63319.380889271859</v>
      </c>
      <c r="S159" s="15">
        <f t="shared" si="110"/>
        <v>64240.102239966305</v>
      </c>
      <c r="T159" s="15">
        <f t="shared" si="110"/>
        <v>60258.107065062395</v>
      </c>
      <c r="U159" s="15">
        <f t="shared" si="110"/>
        <v>62605.863398100184</v>
      </c>
      <c r="V159" s="15">
        <f t="shared" si="110"/>
        <v>691437.01255748153</v>
      </c>
      <c r="W159" s="72">
        <f t="shared" ref="W159:W160" si="111">V159/V$6</f>
        <v>5.8732869467804875E-3</v>
      </c>
      <c r="X159" s="89"/>
      <c r="Y159" s="15">
        <f t="shared" ref="Y159" si="112">SUM(Y160)</f>
        <v>48524.502285245682</v>
      </c>
      <c r="Z159" s="15">
        <f t="shared" ref="Z159" si="113">SUM(Z160)</f>
        <v>51561.260940158158</v>
      </c>
      <c r="AA159" s="15">
        <f t="shared" ref="AA159" si="114">SUM(AA160)</f>
        <v>59135.661151772183</v>
      </c>
      <c r="AB159" s="15">
        <f t="shared" ref="AB159" si="115">SUM(AB160)</f>
        <v>54376.492270090966</v>
      </c>
      <c r="AC159" s="15">
        <f t="shared" ref="AC159" si="116">SUM(AC160)</f>
        <v>61544.241685149937</v>
      </c>
      <c r="AD159" s="15">
        <f t="shared" ref="AD159" si="117">SUM(AD160)</f>
        <v>60885.727019111626</v>
      </c>
      <c r="AE159" s="15">
        <f t="shared" ref="AE159" si="118">SUM(AE160)</f>
        <v>66313.287581320692</v>
      </c>
      <c r="AF159" s="15">
        <f t="shared" ref="AF159" si="119">SUM(AF160)</f>
        <v>55210.394493422107</v>
      </c>
      <c r="AG159" s="15">
        <f t="shared" ref="AG159" si="120">SUM(AG160)</f>
        <v>65693.857672619561</v>
      </c>
      <c r="AH159" s="15">
        <f t="shared" ref="AH159" si="121">SUM(AH160)</f>
        <v>66649.106073965042</v>
      </c>
      <c r="AI159" s="15">
        <f t="shared" ref="AI159" si="122">SUM(AI160)</f>
        <v>62517.786080002239</v>
      </c>
      <c r="AJ159" s="15">
        <f t="shared" ref="AJ159" si="123">SUM(AJ160)</f>
        <v>64953.583275528945</v>
      </c>
      <c r="AK159" s="15">
        <f t="shared" ref="AK159:AK160" si="124">SUM(Y159:AJ159)</f>
        <v>717365.90052838717</v>
      </c>
      <c r="AL159" s="72">
        <f t="shared" ref="AL159:AL160" si="125">AK159/AK$6</f>
        <v>5.6006049052010646E-3</v>
      </c>
      <c r="AM159" s="10">
        <f t="shared" ref="AM159:AM160" si="126">IFERROR(AK159/V159-1,0)</f>
        <v>3.7500000000000089E-2</v>
      </c>
    </row>
    <row r="160" spans="1:40" ht="15" hidden="1" outlineLevel="1">
      <c r="I160" s="251" t="s">
        <v>328</v>
      </c>
      <c r="J160" s="65">
        <v>46770.604612284988</v>
      </c>
      <c r="K160" s="65">
        <v>49697.600906176536</v>
      </c>
      <c r="L160" s="65">
        <v>56998.227616165954</v>
      </c>
      <c r="M160" s="65">
        <v>52411.076886834664</v>
      </c>
      <c r="N160" s="65">
        <v>59319.75102183126</v>
      </c>
      <c r="O160" s="65">
        <v>58685.038090709997</v>
      </c>
      <c r="P160" s="65">
        <v>63916.421765128376</v>
      </c>
      <c r="Q160" s="65">
        <v>53214.838065949014</v>
      </c>
      <c r="R160" s="65">
        <v>63319.380889271859</v>
      </c>
      <c r="S160" s="65">
        <v>64240.102239966305</v>
      </c>
      <c r="T160" s="65">
        <v>60258.107065062395</v>
      </c>
      <c r="U160" s="65">
        <v>62605.863398100184</v>
      </c>
      <c r="V160" s="65">
        <f t="shared" ref="V160" si="127">SUM(J160:U160)</f>
        <v>691437.01255748153</v>
      </c>
      <c r="W160" s="73">
        <f t="shared" si="111"/>
        <v>5.8732869467804875E-3</v>
      </c>
      <c r="X160" s="89"/>
      <c r="Y160" s="65">
        <f>VLOOKUP($E$1,[8]Resumen!$V$8:$AH$14,Y1,0)</f>
        <v>48524.502285245682</v>
      </c>
      <c r="Z160" s="65">
        <f>VLOOKUP($E$1,[8]Resumen!$V$8:$AH$14,Z1,0)</f>
        <v>51561.260940158158</v>
      </c>
      <c r="AA160" s="65">
        <f>VLOOKUP($E$1,[8]Resumen!$V$8:$AH$14,AA1,0)</f>
        <v>59135.661151772183</v>
      </c>
      <c r="AB160" s="65">
        <f>VLOOKUP($E$1,[8]Resumen!$V$8:$AH$14,AB1,0)</f>
        <v>54376.492270090966</v>
      </c>
      <c r="AC160" s="65">
        <f>VLOOKUP($E$1,[8]Resumen!$V$8:$AH$14,AC1,0)</f>
        <v>61544.241685149937</v>
      </c>
      <c r="AD160" s="65">
        <f>VLOOKUP($E$1,[8]Resumen!$V$8:$AH$14,AD1,0)</f>
        <v>60885.727019111626</v>
      </c>
      <c r="AE160" s="65">
        <f>VLOOKUP($E$1,[8]Resumen!$V$8:$AH$14,AE1,0)</f>
        <v>66313.287581320692</v>
      </c>
      <c r="AF160" s="65">
        <f>VLOOKUP($E$1,[8]Resumen!$V$8:$AH$14,AF1,0)</f>
        <v>55210.394493422107</v>
      </c>
      <c r="AG160" s="65">
        <f>VLOOKUP($E$1,[8]Resumen!$V$8:$AH$14,AG1,0)</f>
        <v>65693.857672619561</v>
      </c>
      <c r="AH160" s="65">
        <f>VLOOKUP($E$1,[8]Resumen!$V$8:$AH$14,AH1,0)</f>
        <v>66649.106073965042</v>
      </c>
      <c r="AI160" s="65">
        <f>VLOOKUP($E$1,[8]Resumen!$V$8:$AH$14,AI1,0)</f>
        <v>62517.786080002239</v>
      </c>
      <c r="AJ160" s="65">
        <f>VLOOKUP($E$1,[8]Resumen!$V$8:$AH$14,AJ1,0)</f>
        <v>64953.583275528945</v>
      </c>
      <c r="AK160" s="65">
        <f t="shared" si="124"/>
        <v>717365.90052838717</v>
      </c>
      <c r="AL160" s="73">
        <f t="shared" si="125"/>
        <v>5.6006049052010646E-3</v>
      </c>
      <c r="AM160" s="14">
        <f t="shared" si="126"/>
        <v>3.7500000000000089E-2</v>
      </c>
    </row>
    <row r="161" spans="9:40" ht="14.45" customHeight="1">
      <c r="I161" s="28" t="s">
        <v>271</v>
      </c>
      <c r="J161" s="27">
        <v>608332</v>
      </c>
      <c r="K161" s="27">
        <v>505251</v>
      </c>
      <c r="L161" s="27">
        <v>599776</v>
      </c>
      <c r="M161" s="27">
        <v>583489</v>
      </c>
      <c r="N161" s="27">
        <v>680437</v>
      </c>
      <c r="O161" s="27">
        <v>665069</v>
      </c>
      <c r="P161" s="27">
        <v>656512</v>
      </c>
      <c r="Q161" s="27">
        <v>781888</v>
      </c>
      <c r="R161" s="27">
        <v>661752</v>
      </c>
      <c r="S161" s="27">
        <v>695414</v>
      </c>
      <c r="T161" s="27">
        <f t="shared" ref="R161:U161" si="128">T50+T92+T109+T114+T151</f>
        <v>670323.84736398992</v>
      </c>
      <c r="U161" s="27">
        <f t="shared" si="128"/>
        <v>625220.329325684</v>
      </c>
      <c r="V161" s="27">
        <f>V50+V92+V109+V114+V151</f>
        <v>7732775.1766896741</v>
      </c>
      <c r="W161" s="76">
        <f t="shared" si="35"/>
        <v>6.5684663509192734E-2</v>
      </c>
      <c r="X161" s="89"/>
      <c r="Y161" s="27">
        <f t="shared" ref="Y161:AJ161" si="129">Y50+Y92+Y109+Y114+Y151+Y159</f>
        <v>839747.82879241894</v>
      </c>
      <c r="Z161" s="27">
        <f t="shared" si="129"/>
        <v>740911.75557525991</v>
      </c>
      <c r="AA161" s="27">
        <f t="shared" si="129"/>
        <v>780887.44306195225</v>
      </c>
      <c r="AB161" s="27">
        <f t="shared" si="129"/>
        <v>685313.50247749919</v>
      </c>
      <c r="AC161" s="27">
        <f t="shared" si="129"/>
        <v>725745.8489457682</v>
      </c>
      <c r="AD161" s="27">
        <f t="shared" si="129"/>
        <v>720950.75982520229</v>
      </c>
      <c r="AE161" s="27">
        <f t="shared" si="129"/>
        <v>765882.32384893787</v>
      </c>
      <c r="AF161" s="27">
        <f t="shared" si="129"/>
        <v>812427.10961379122</v>
      </c>
      <c r="AG161" s="27">
        <f t="shared" si="129"/>
        <v>770121.5038115083</v>
      </c>
      <c r="AH161" s="27">
        <f t="shared" si="129"/>
        <v>774781.49230591219</v>
      </c>
      <c r="AI161" s="27">
        <f t="shared" si="129"/>
        <v>754096.81720779021</v>
      </c>
      <c r="AJ161" s="27">
        <f t="shared" si="129"/>
        <v>742302.73156638478</v>
      </c>
      <c r="AK161" s="27">
        <f>AK50+AK92+AK109+AK114+AK151+AK159</f>
        <v>9113169.1170324236</v>
      </c>
      <c r="AL161" s="76">
        <f t="shared" si="37"/>
        <v>7.1148154130527913E-2</v>
      </c>
      <c r="AM161" s="10">
        <f t="shared" si="92"/>
        <v>0.17851210061090672</v>
      </c>
      <c r="AN161" s="9"/>
    </row>
    <row r="162" spans="9:40" ht="14.45" customHeight="1">
      <c r="I162" s="26" t="s">
        <v>272</v>
      </c>
      <c r="J162" s="17">
        <v>1.24</v>
      </c>
      <c r="K162" s="17">
        <v>1.1000000000000001</v>
      </c>
      <c r="L162" s="17">
        <v>1.21</v>
      </c>
      <c r="M162" s="17">
        <v>1.22</v>
      </c>
      <c r="N162" s="17">
        <v>1.29</v>
      </c>
      <c r="O162" s="17">
        <v>1.25</v>
      </c>
      <c r="P162" s="17">
        <v>1.21</v>
      </c>
      <c r="Q162" s="17">
        <v>1.44</v>
      </c>
      <c r="R162" s="17">
        <v>1.24</v>
      </c>
      <c r="S162" s="17">
        <v>1.25</v>
      </c>
      <c r="T162" s="17">
        <v>1.2711297543873425</v>
      </c>
      <c r="U162" s="17">
        <v>1.2909854543377641</v>
      </c>
      <c r="V162" s="17">
        <f>IFERROR(V161/V39,0)</f>
        <v>1.2494928567245327</v>
      </c>
      <c r="W162" s="73">
        <f t="shared" si="35"/>
        <v>1.0613591624711548E-8</v>
      </c>
      <c r="X162" s="89"/>
      <c r="Y162" s="17">
        <f t="shared" ref="Y162:AK162" si="130">IFERROR(Y161/Y39,0)</f>
        <v>1.6823590326584226</v>
      </c>
      <c r="Z162" s="17">
        <f t="shared" si="130"/>
        <v>1.5809085344560898</v>
      </c>
      <c r="AA162" s="17">
        <f t="shared" si="130"/>
        <v>1.5378793172918241</v>
      </c>
      <c r="AB162" s="17">
        <f t="shared" si="130"/>
        <v>1.4053590484791112</v>
      </c>
      <c r="AC162" s="17">
        <f t="shared" si="130"/>
        <v>1.3225822510465328</v>
      </c>
      <c r="AD162" s="17">
        <f t="shared" si="130"/>
        <v>1.3157404325362352</v>
      </c>
      <c r="AE162" s="17">
        <f t="shared" si="130"/>
        <v>1.3791828865887852</v>
      </c>
      <c r="AF162" s="17">
        <f t="shared" si="130"/>
        <v>1.4388179375395886</v>
      </c>
      <c r="AG162" s="17">
        <f t="shared" si="130"/>
        <v>1.3925643440637445</v>
      </c>
      <c r="AH162" s="17">
        <f t="shared" si="130"/>
        <v>1.3758043929942256</v>
      </c>
      <c r="AI162" s="17">
        <f t="shared" si="130"/>
        <v>1.3840498950308897</v>
      </c>
      <c r="AJ162" s="17">
        <f t="shared" si="130"/>
        <v>1.4591147288202793</v>
      </c>
      <c r="AK162" s="17">
        <f t="shared" si="130"/>
        <v>1.4352306306570195</v>
      </c>
      <c r="AL162" s="73">
        <f t="shared" si="37"/>
        <v>1.1205104263015412E-8</v>
      </c>
      <c r="AM162" s="16">
        <f t="shared" si="92"/>
        <v>0.14865052883886576</v>
      </c>
      <c r="AN162" s="9"/>
    </row>
    <row r="163" spans="9:40" ht="14.45" customHeight="1">
      <c r="I163" s="26" t="s">
        <v>273</v>
      </c>
      <c r="J163" s="17">
        <v>1.24</v>
      </c>
      <c r="K163" s="17">
        <v>1.1000000000000001</v>
      </c>
      <c r="L163" s="17">
        <v>1.21</v>
      </c>
      <c r="M163" s="17">
        <v>1.22</v>
      </c>
      <c r="N163" s="17">
        <v>1.29</v>
      </c>
      <c r="O163" s="17">
        <v>1.25</v>
      </c>
      <c r="P163" s="17">
        <v>1.21</v>
      </c>
      <c r="Q163" s="17">
        <v>1.44</v>
      </c>
      <c r="R163" s="17">
        <v>1.24</v>
      </c>
      <c r="S163" s="17">
        <v>1.25</v>
      </c>
      <c r="T163" s="17">
        <v>3.4355415341528311E-6</v>
      </c>
      <c r="U163" s="17">
        <v>3.7932896928833563E-6</v>
      </c>
      <c r="V163" s="17">
        <f>IFERROR((V161-V152)/V39,0)</f>
        <v>1.2494928567245327</v>
      </c>
      <c r="W163" s="73">
        <f t="shared" si="35"/>
        <v>1.0613591624711548E-8</v>
      </c>
      <c r="X163" s="89"/>
      <c r="Y163" s="17">
        <f t="shared" ref="Y163:AJ163" si="131">IFERROR(Y162/Y40,0)</f>
        <v>5.5952740755248111E-6</v>
      </c>
      <c r="Z163" s="17">
        <f t="shared" si="131"/>
        <v>5.2914783674663696E-6</v>
      </c>
      <c r="AA163" s="17">
        <f t="shared" si="131"/>
        <v>4.7343690982499445E-6</v>
      </c>
      <c r="AB163" s="17">
        <f t="shared" si="131"/>
        <v>4.5676293023196693E-6</v>
      </c>
      <c r="AC163" s="17">
        <f t="shared" si="131"/>
        <v>3.7139919660511216E-6</v>
      </c>
      <c r="AD163" s="17">
        <f t="shared" si="131"/>
        <v>3.8360338562843051E-6</v>
      </c>
      <c r="AE163" s="17">
        <f t="shared" si="131"/>
        <v>3.9041580891943192E-6</v>
      </c>
      <c r="AF163" s="17">
        <f t="shared" si="131"/>
        <v>3.9140112607746547E-6</v>
      </c>
      <c r="AG163" s="17">
        <f t="shared" si="131"/>
        <v>3.9323757061394314E-6</v>
      </c>
      <c r="AH163" s="17">
        <f t="shared" si="131"/>
        <v>3.8226982556299062E-6</v>
      </c>
      <c r="AI163" s="17">
        <f t="shared" si="131"/>
        <v>3.9726000793081775E-6</v>
      </c>
      <c r="AJ163" s="17">
        <f t="shared" si="131"/>
        <v>4.4934273896449251E-6</v>
      </c>
      <c r="AK163" s="17">
        <f>IFERROR((AK161-AK152)/AK39,0)</f>
        <v>1.4352306306570195</v>
      </c>
      <c r="AL163" s="73">
        <f t="shared" si="37"/>
        <v>1.1205104263015412E-8</v>
      </c>
      <c r="AM163" s="16">
        <f t="shared" si="92"/>
        <v>0.14865052883886576</v>
      </c>
      <c r="AN163" s="9"/>
    </row>
    <row r="164" spans="9:40" ht="15.6" customHeight="1">
      <c r="I164" s="25" t="s">
        <v>274</v>
      </c>
      <c r="J164" s="24">
        <v>693711</v>
      </c>
      <c r="K164" s="24">
        <v>747573</v>
      </c>
      <c r="L164" s="24">
        <v>713315</v>
      </c>
      <c r="M164" s="24">
        <v>694810</v>
      </c>
      <c r="N164" s="24">
        <v>849133</v>
      </c>
      <c r="O164" s="24">
        <v>683346</v>
      </c>
      <c r="P164" s="24">
        <v>660519</v>
      </c>
      <c r="Q164" s="24">
        <v>545481</v>
      </c>
      <c r="R164" s="24">
        <v>688073</v>
      </c>
      <c r="S164" s="24">
        <v>909098</v>
      </c>
      <c r="T164" s="24">
        <f t="shared" ref="R164:U164" si="132">T34-T161</f>
        <v>756911.15263601008</v>
      </c>
      <c r="U164" s="24">
        <f t="shared" si="132"/>
        <v>835303.33734098275</v>
      </c>
      <c r="V164" s="24">
        <f>V34-V161</f>
        <v>8777964.4899769947</v>
      </c>
      <c r="W164" s="77">
        <f t="shared" si="35"/>
        <v>7.4562835546786027E-2</v>
      </c>
      <c r="X164" s="89"/>
      <c r="Y164" s="24">
        <f t="shared" ref="Y164:AK164" si="133">Y34-Y161</f>
        <v>402273.71120758017</v>
      </c>
      <c r="Z164" s="24">
        <f t="shared" si="133"/>
        <v>395536.35442473949</v>
      </c>
      <c r="AA164" s="24">
        <f t="shared" si="133"/>
        <v>524142.92693804693</v>
      </c>
      <c r="AB164" s="24">
        <f t="shared" si="133"/>
        <v>508025.70752250077</v>
      </c>
      <c r="AC164" s="24">
        <f t="shared" si="133"/>
        <v>700263.25105423143</v>
      </c>
      <c r="AD164" s="24">
        <f t="shared" si="133"/>
        <v>642563.51017479727</v>
      </c>
      <c r="AE164" s="24">
        <f t="shared" si="133"/>
        <v>625150.84615106205</v>
      </c>
      <c r="AF164" s="24">
        <f t="shared" si="133"/>
        <v>609609.54038620915</v>
      </c>
      <c r="AG164" s="24">
        <f t="shared" si="133"/>
        <v>594939.41618849162</v>
      </c>
      <c r="AH164" s="24">
        <f t="shared" si="133"/>
        <v>638544.90769408632</v>
      </c>
      <c r="AI164" s="24">
        <f t="shared" si="133"/>
        <v>591613.71279220912</v>
      </c>
      <c r="AJ164" s="24">
        <f t="shared" si="133"/>
        <v>490138.23843361402</v>
      </c>
      <c r="AK164" s="24">
        <f t="shared" si="133"/>
        <v>6722802.122967571</v>
      </c>
      <c r="AL164" s="77">
        <f t="shared" si="37"/>
        <v>5.2486128095655664E-2</v>
      </c>
      <c r="AM164" s="23">
        <f t="shared" si="92"/>
        <v>-0.23412744143087894</v>
      </c>
      <c r="AN164" s="9"/>
    </row>
    <row r="165" spans="9:40" ht="14.45" customHeight="1">
      <c r="I165" s="26" t="s">
        <v>309</v>
      </c>
      <c r="J165" s="17">
        <f>+J164/J39</f>
        <v>1.4157078426970877</v>
      </c>
      <c r="K165" s="17">
        <f>+K164/K39</f>
        <v>1.6322412031335971</v>
      </c>
      <c r="L165" s="17">
        <f>+L164/L39</f>
        <v>1.4388138759011309</v>
      </c>
      <c r="M165" s="17">
        <f>+M164/M39</f>
        <v>1.4521131411421955</v>
      </c>
      <c r="N165" s="17">
        <f>+N164/N39</f>
        <v>1.6058493688241691</v>
      </c>
      <c r="O165" s="17">
        <f>+O164/O39</f>
        <v>1.2833776872961111</v>
      </c>
      <c r="P165" s="17">
        <f>+P164/P39</f>
        <v>1.2194459572975418</v>
      </c>
      <c r="Q165" s="17">
        <f>+Q164/Q39</f>
        <v>1.0050188205771644</v>
      </c>
      <c r="R165" s="17">
        <f>+R164/R39</f>
        <v>1.290360268621505</v>
      </c>
      <c r="S165" s="17">
        <f>+S164/S39</f>
        <v>1.6286008083008485</v>
      </c>
      <c r="T165" s="17">
        <f>+T164/T39</f>
        <v>1.4229445299239003</v>
      </c>
      <c r="U165" s="17">
        <f>+U164/U39</f>
        <v>1.6792008245017656</v>
      </c>
      <c r="V165" s="17">
        <f>+V164/V39</f>
        <v>1.418378741938694</v>
      </c>
      <c r="W165" s="73">
        <f t="shared" ref="W165" si="134">V165/V$6</f>
        <v>1.2048162304483106E-8</v>
      </c>
      <c r="X165" s="89"/>
      <c r="Y165" s="17">
        <f>+Y164/Y39</f>
        <v>0.80591909671777395</v>
      </c>
      <c r="Z165" s="17">
        <f>+Z164/Z39</f>
        <v>0.8439693306151117</v>
      </c>
      <c r="AA165" s="17">
        <f>+AA164/AA39</f>
        <v>1.0322468030502983</v>
      </c>
      <c r="AB165" s="17">
        <f>+AB164/AB39</f>
        <v>1.0417984212272109</v>
      </c>
      <c r="AC165" s="17">
        <f>+AC164/AC39</f>
        <v>1.2761433609986468</v>
      </c>
      <c r="AD165" s="17">
        <f>+AD164/AD39</f>
        <v>1.1726831261185877</v>
      </c>
      <c r="AE165" s="17">
        <f>+AE164/AE39</f>
        <v>1.1257569494685224</v>
      </c>
      <c r="AF165" s="17">
        <f>+AF164/AF39</f>
        <v>1.0796256442253669</v>
      </c>
      <c r="AG165" s="17">
        <f>+AG164/AG39</f>
        <v>1.0757931232432798</v>
      </c>
      <c r="AH165" s="17">
        <f>+AH164/AH39</f>
        <v>1.1338847118236881</v>
      </c>
      <c r="AI165" s="17">
        <f>+AI164/AI39</f>
        <v>1.0858325859546316</v>
      </c>
      <c r="AJ165" s="17">
        <f>+AJ164/AJ39</f>
        <v>0.96344509112526955</v>
      </c>
      <c r="AK165" s="17">
        <f>+AK164/AK39</f>
        <v>1.0587723553484414</v>
      </c>
      <c r="AL165" s="73">
        <f t="shared" ref="AL165" si="135">AK165/AK$6</f>
        <v>8.2660266434299464E-9</v>
      </c>
      <c r="AM165" s="16">
        <f t="shared" si="92"/>
        <v>-0.25353340116951339</v>
      </c>
      <c r="AN165" s="9"/>
    </row>
  </sheetData>
  <mergeCells count="4">
    <mergeCell ref="J2:U2"/>
    <mergeCell ref="V2:W2"/>
    <mergeCell ref="Y2:AJ2"/>
    <mergeCell ref="AK2:AL2"/>
  </mergeCells>
  <conditionalFormatting sqref="AM1:AM158 AM161:AM165">
    <cfRule type="cellIs" dxfId="3" priority="4" operator="lessThan">
      <formula>0</formula>
    </cfRule>
  </conditionalFormatting>
  <conditionalFormatting sqref="AO43:AO46">
    <cfRule type="cellIs" dxfId="2" priority="3" operator="lessThan">
      <formula>0</formula>
    </cfRule>
  </conditionalFormatting>
  <conditionalFormatting sqref="AM159">
    <cfRule type="cellIs" dxfId="1" priority="2" operator="lessThan">
      <formula>0</formula>
    </cfRule>
  </conditionalFormatting>
  <conditionalFormatting sqref="AM160">
    <cfRule type="cellIs" dxfId="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60">
    <tabColor rgb="FF002060"/>
  </sheetPr>
  <dimension ref="A1"/>
  <sheetViews>
    <sheetView workbookViewId="0">
      <selection activeCell="L26" sqref="L26"/>
    </sheetView>
  </sheetViews>
  <sheetFormatPr defaultColWidth="11.57031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Franco</dc:creator>
  <cp:keywords/>
  <dc:description/>
  <cp:lastModifiedBy/>
  <cp:revision/>
  <dcterms:created xsi:type="dcterms:W3CDTF">2020-09-23T11:40:37Z</dcterms:created>
  <dcterms:modified xsi:type="dcterms:W3CDTF">2026-04-29T15:06:06Z</dcterms:modified>
  <cp:category/>
  <cp:contentStatus/>
</cp:coreProperties>
</file>